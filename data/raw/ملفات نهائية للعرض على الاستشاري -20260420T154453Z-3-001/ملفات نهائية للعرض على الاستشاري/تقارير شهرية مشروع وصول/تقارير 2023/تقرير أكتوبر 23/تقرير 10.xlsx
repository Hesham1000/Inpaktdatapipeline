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أكتوبر 23\"/>
    </mc:Choice>
  </mc:AlternateContent>
  <xr:revisionPtr revIDLastSave="0" documentId="13_ncr:1_{92657572-4D37-4264-B841-385E7E52AF7C}" xr6:coauthVersionLast="41" xr6:coauthVersionMax="41" xr10:uidLastSave="{00000000-0000-0000-0000-000000000000}"/>
  <bookViews>
    <workbookView xWindow="-108" yWindow="-108" windowWidth="23256" windowHeight="12576" firstSheet="6" activeTab="10" xr2:uid="{00000000-000D-0000-FFFF-FFFF00000000}"/>
  </bookViews>
  <sheets>
    <sheet name="قاعدة بيانات مقدمي الدعم " sheetId="1" r:id="rId1"/>
    <sheet name="تقرير مجمع" sheetId="2" r:id="rId2"/>
    <sheet name="قاعدة بيانات مسئولات التاهيل " sheetId="3" r:id="rId3"/>
    <sheet name="تقرير شهر يناير" sheetId="4" r:id="rId4"/>
    <sheet name="تقرير فبراير 2023" sheetId="5" r:id="rId5"/>
    <sheet name="تقرير مارس 2023" sheetId="6" r:id="rId6"/>
    <sheet name="تقرير أبريل 2023" sheetId="7" r:id="rId7"/>
    <sheet name="تقرير مجمع مايو 2023" sheetId="8" r:id="rId8"/>
    <sheet name="تقرير مجمع يونيو 2023" sheetId="9" r:id="rId9"/>
    <sheet name="تقرير مجمع يوليو 2023" sheetId="10" r:id="rId10"/>
    <sheet name="تقرير اكتوبر 2023" sheetId="11" r:id="rId11"/>
    <sheet name="تقرير أغسطس 2023" sheetId="12" r:id="rId12"/>
    <sheet name="تقري ستمبر 2023" sheetId="13" r:id="rId13"/>
  </sheets>
  <calcPr calcId="181029"/>
  <extLst>
    <ext uri="GoogleSheetsCustomDataVersion2">
      <go:sheetsCustomData xmlns:go="http://customooxmlschemas.google.com/" r:id="rId17" roundtripDataChecksum="vBYIYeooFc+aDAdwrTL19CaL/g4aT3ljsUu0NWtdnwE="/>
    </ext>
  </extLst>
</workbook>
</file>

<file path=xl/calcChain.xml><?xml version="1.0" encoding="utf-8"?>
<calcChain xmlns="http://schemas.openxmlformats.org/spreadsheetml/2006/main">
  <c r="AK66" i="13" l="1"/>
  <c r="AK65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52" i="13"/>
  <c r="AK51" i="13"/>
  <c r="AK50" i="13"/>
  <c r="AK49" i="13"/>
  <c r="AK48" i="13"/>
  <c r="AK47" i="13"/>
  <c r="AK46" i="13"/>
  <c r="AK45" i="13"/>
  <c r="AK44" i="13"/>
  <c r="AK43" i="13"/>
  <c r="AK42" i="13"/>
  <c r="AK41" i="13"/>
  <c r="AK40" i="13"/>
  <c r="AK39" i="13"/>
  <c r="AK38" i="13"/>
  <c r="AK37" i="13"/>
  <c r="AK36" i="13"/>
  <c r="AK35" i="13"/>
  <c r="AK34" i="13"/>
  <c r="AH34" i="13"/>
  <c r="R34" i="13"/>
  <c r="J34" i="13"/>
  <c r="AK33" i="13"/>
  <c r="AK32" i="13"/>
  <c r="AK31" i="13"/>
  <c r="AK30" i="13"/>
  <c r="AI30" i="13"/>
  <c r="AH30" i="13"/>
  <c r="AG30" i="13"/>
  <c r="AK29" i="13"/>
  <c r="AK28" i="13"/>
  <c r="AK27" i="13"/>
  <c r="AK26" i="13"/>
  <c r="AK25" i="13"/>
  <c r="AK24" i="13"/>
  <c r="AI24" i="13"/>
  <c r="AH24" i="13"/>
  <c r="AG24" i="13"/>
  <c r="AK23" i="13"/>
  <c r="AK22" i="13"/>
  <c r="AK21" i="13"/>
  <c r="AH20" i="13"/>
  <c r="AK20" i="13" s="1"/>
  <c r="AG20" i="13"/>
  <c r="AF20" i="13"/>
  <c r="AE20" i="13"/>
  <c r="AD20" i="13"/>
  <c r="AC20" i="13"/>
  <c r="AB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G20" i="13"/>
  <c r="AK19" i="13"/>
  <c r="AK18" i="13"/>
  <c r="AK17" i="13"/>
  <c r="AH17" i="13"/>
  <c r="AK16" i="13"/>
  <c r="AK15" i="13"/>
  <c r="AK14" i="13"/>
  <c r="AK13" i="13"/>
  <c r="AK12" i="13"/>
  <c r="AK11" i="13"/>
  <c r="AK10" i="13"/>
  <c r="AK67" i="13" s="1"/>
  <c r="AI10" i="13"/>
  <c r="AH10" i="13"/>
  <c r="AG10" i="13"/>
  <c r="AF10" i="13"/>
  <c r="AE10" i="13"/>
  <c r="AD10" i="13"/>
  <c r="AC10" i="13"/>
  <c r="AB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G10" i="13"/>
  <c r="AK9" i="13"/>
  <c r="AK8" i="13"/>
  <c r="AG8" i="13"/>
  <c r="AK7" i="13"/>
  <c r="AK6" i="13"/>
  <c r="AK5" i="13"/>
  <c r="AK4" i="13"/>
  <c r="AK3" i="13"/>
  <c r="AK66" i="12"/>
  <c r="AK65" i="12"/>
  <c r="AK64" i="12"/>
  <c r="AK63" i="12"/>
  <c r="AK62" i="12"/>
  <c r="AK61" i="12"/>
  <c r="AK60" i="12"/>
  <c r="AK59" i="12"/>
  <c r="AK58" i="12"/>
  <c r="AK57" i="12"/>
  <c r="AK56" i="12"/>
  <c r="AK55" i="12"/>
  <c r="AK54" i="12"/>
  <c r="AK53" i="12"/>
  <c r="AK52" i="12"/>
  <c r="AK51" i="12"/>
  <c r="AK50" i="12"/>
  <c r="AK49" i="12"/>
  <c r="AK48" i="12"/>
  <c r="AK47" i="12"/>
  <c r="AK46" i="12"/>
  <c r="AK45" i="12"/>
  <c r="AK44" i="12"/>
  <c r="AK43" i="12"/>
  <c r="AK42" i="12"/>
  <c r="AK41" i="12"/>
  <c r="AK40" i="12"/>
  <c r="AK39" i="12"/>
  <c r="AK38" i="12"/>
  <c r="AK37" i="12"/>
  <c r="AK36" i="12"/>
  <c r="AK35" i="12"/>
  <c r="AK34" i="12"/>
  <c r="U34" i="12"/>
  <c r="R34" i="12"/>
  <c r="J34" i="12"/>
  <c r="AK33" i="12"/>
  <c r="AK32" i="12"/>
  <c r="AK31" i="12"/>
  <c r="AK30" i="12"/>
  <c r="AG30" i="12"/>
  <c r="AK29" i="12"/>
  <c r="AK28" i="12"/>
  <c r="AK27" i="12"/>
  <c r="AK26" i="12"/>
  <c r="AK25" i="12"/>
  <c r="AK24" i="12"/>
  <c r="AI24" i="12"/>
  <c r="AH24" i="12"/>
  <c r="AG24" i="12"/>
  <c r="AK23" i="12"/>
  <c r="AK22" i="12"/>
  <c r="AK21" i="12"/>
  <c r="AK20" i="12"/>
  <c r="AF20" i="12"/>
  <c r="AE20" i="12"/>
  <c r="AD20" i="12"/>
  <c r="AC20" i="12"/>
  <c r="AB20" i="12"/>
  <c r="Y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G20" i="12"/>
  <c r="AK19" i="12"/>
  <c r="AK18" i="12"/>
  <c r="AK17" i="12"/>
  <c r="AK16" i="12"/>
  <c r="AK15" i="12"/>
  <c r="AK14" i="12"/>
  <c r="AK13" i="12"/>
  <c r="AK12" i="12"/>
  <c r="AK11" i="12"/>
  <c r="AK10" i="12"/>
  <c r="AK67" i="12" s="1"/>
  <c r="AF10" i="12"/>
  <c r="AE10" i="12"/>
  <c r="AD10" i="12"/>
  <c r="AC10" i="12"/>
  <c r="AB10" i="12"/>
  <c r="AA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G10" i="12"/>
  <c r="AK9" i="12"/>
  <c r="AK8" i="12"/>
  <c r="AK7" i="12"/>
  <c r="AK6" i="12"/>
  <c r="AK5" i="12"/>
  <c r="AK4" i="12"/>
  <c r="AK3" i="12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R34" i="11"/>
  <c r="J34" i="11"/>
  <c r="AK33" i="11"/>
  <c r="AK32" i="11"/>
  <c r="AK31" i="11"/>
  <c r="AI30" i="11"/>
  <c r="AG30" i="11"/>
  <c r="AK29" i="11"/>
  <c r="AK28" i="11"/>
  <c r="AK27" i="11"/>
  <c r="AK26" i="11"/>
  <c r="AK25" i="11"/>
  <c r="AI24" i="11"/>
  <c r="AH24" i="11"/>
  <c r="AG24" i="11"/>
  <c r="AK23" i="11"/>
  <c r="AK22" i="11"/>
  <c r="AK21" i="11"/>
  <c r="AI20" i="11"/>
  <c r="AH20" i="11"/>
  <c r="AF20" i="11"/>
  <c r="AE20" i="11"/>
  <c r="AD20" i="11"/>
  <c r="AC20" i="11"/>
  <c r="AB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G20" i="11"/>
  <c r="AK20" i="11" s="1"/>
  <c r="AK19" i="11"/>
  <c r="AK18" i="11"/>
  <c r="AK17" i="11"/>
  <c r="AK16" i="11"/>
  <c r="AK15" i="11"/>
  <c r="AK14" i="11"/>
  <c r="AK13" i="11"/>
  <c r="AK12" i="11"/>
  <c r="AK11" i="11"/>
  <c r="AH10" i="11"/>
  <c r="AF10" i="11"/>
  <c r="AE10" i="11"/>
  <c r="AD10" i="11"/>
  <c r="AC10" i="11"/>
  <c r="AB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G10" i="11"/>
  <c r="AK10" i="11" s="1"/>
  <c r="AK67" i="11" s="1"/>
  <c r="AK9" i="11"/>
  <c r="AK8" i="11"/>
  <c r="AK7" i="11"/>
  <c r="AK6" i="11"/>
  <c r="AK5" i="11"/>
  <c r="AK4" i="11"/>
  <c r="AK3" i="11"/>
  <c r="AK66" i="10"/>
  <c r="AK65" i="10"/>
  <c r="AK64" i="10"/>
  <c r="AK63" i="10"/>
  <c r="AK62" i="10"/>
  <c r="AK61" i="10"/>
  <c r="AK60" i="10"/>
  <c r="AK59" i="10"/>
  <c r="AK58" i="10"/>
  <c r="AK57" i="10"/>
  <c r="AK56" i="10"/>
  <c r="AK55" i="10"/>
  <c r="AK54" i="10"/>
  <c r="AK53" i="10"/>
  <c r="AK52" i="10"/>
  <c r="AK51" i="10"/>
  <c r="AK50" i="10"/>
  <c r="AK49" i="10"/>
  <c r="AK48" i="10"/>
  <c r="AK47" i="10"/>
  <c r="AK46" i="10"/>
  <c r="AK45" i="10"/>
  <c r="AK44" i="10"/>
  <c r="AK43" i="10"/>
  <c r="AK42" i="10"/>
  <c r="AK41" i="10"/>
  <c r="AK40" i="10"/>
  <c r="AK39" i="10"/>
  <c r="AK38" i="10"/>
  <c r="AK37" i="10"/>
  <c r="AK36" i="10"/>
  <c r="AK35" i="10"/>
  <c r="AK34" i="10"/>
  <c r="R34" i="10"/>
  <c r="J34" i="10"/>
  <c r="AK33" i="10"/>
  <c r="AK32" i="10"/>
  <c r="AK31" i="10"/>
  <c r="AK30" i="10"/>
  <c r="AK29" i="10"/>
  <c r="AK28" i="10"/>
  <c r="AK27" i="10"/>
  <c r="AK26" i="10"/>
  <c r="AK25" i="10"/>
  <c r="AK24" i="10"/>
  <c r="AK23" i="10"/>
  <c r="AK22" i="10"/>
  <c r="AK21" i="10"/>
  <c r="AK20" i="10"/>
  <c r="AJ20" i="10"/>
  <c r="AG20" i="10"/>
  <c r="AF20" i="10"/>
  <c r="AE20" i="10"/>
  <c r="AD20" i="10"/>
  <c r="AC20" i="10"/>
  <c r="AB20" i="10"/>
  <c r="AA20" i="10"/>
  <c r="Z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AK19" i="10"/>
  <c r="AK18" i="10"/>
  <c r="AK17" i="10"/>
  <c r="AK16" i="10"/>
  <c r="AK15" i="10"/>
  <c r="AK14" i="10"/>
  <c r="AK13" i="10"/>
  <c r="AK12" i="10"/>
  <c r="AK11" i="10"/>
  <c r="AK10" i="10"/>
  <c r="AK67" i="10" s="1"/>
  <c r="AJ10" i="10"/>
  <c r="AI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AK9" i="10"/>
  <c r="AK8" i="10"/>
  <c r="AK7" i="10"/>
  <c r="AK6" i="10"/>
  <c r="AK5" i="10"/>
  <c r="AK4" i="10"/>
  <c r="AK3" i="10"/>
  <c r="AK67" i="9"/>
  <c r="AK66" i="9"/>
  <c r="AK65" i="9"/>
  <c r="AK64" i="9"/>
  <c r="AK63" i="9"/>
  <c r="AK62" i="9"/>
  <c r="AK61" i="9"/>
  <c r="AK60" i="9"/>
  <c r="AK59" i="9"/>
  <c r="AK58" i="9"/>
  <c r="AK57" i="9"/>
  <c r="AK56" i="9"/>
  <c r="AK55" i="9"/>
  <c r="AK54" i="9"/>
  <c r="AK53" i="9"/>
  <c r="AK52" i="9"/>
  <c r="AK51" i="9"/>
  <c r="AK50" i="9"/>
  <c r="AK49" i="9"/>
  <c r="AK48" i="9"/>
  <c r="AK47" i="9"/>
  <c r="AK46" i="9"/>
  <c r="AK45" i="9"/>
  <c r="AK44" i="9"/>
  <c r="AK43" i="9"/>
  <c r="AK42" i="9"/>
  <c r="AK41" i="9"/>
  <c r="AK40" i="9"/>
  <c r="AK39" i="9"/>
  <c r="AK38" i="9"/>
  <c r="AK37" i="9"/>
  <c r="AK36" i="9"/>
  <c r="AK35" i="9"/>
  <c r="AK34" i="9"/>
  <c r="U34" i="9"/>
  <c r="R34" i="9"/>
  <c r="J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AK19" i="9"/>
  <c r="AK18" i="9"/>
  <c r="AK17" i="9"/>
  <c r="AK16" i="9"/>
  <c r="AK15" i="9"/>
  <c r="AK14" i="9"/>
  <c r="AK13" i="9"/>
  <c r="AK12" i="9"/>
  <c r="AK11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AK9" i="9"/>
  <c r="AK8" i="9"/>
  <c r="AK7" i="9"/>
  <c r="AK6" i="9"/>
  <c r="AK5" i="9"/>
  <c r="AK4" i="9"/>
  <c r="AK3" i="9"/>
  <c r="AK66" i="8"/>
  <c r="AK65" i="8"/>
  <c r="AK64" i="8"/>
  <c r="AK63" i="8"/>
  <c r="AK62" i="8"/>
  <c r="AK61" i="8"/>
  <c r="AK60" i="8"/>
  <c r="AK59" i="8"/>
  <c r="AK58" i="8"/>
  <c r="AK57" i="8"/>
  <c r="AK56" i="8"/>
  <c r="AK55" i="8"/>
  <c r="AK54" i="8"/>
  <c r="AK53" i="8"/>
  <c r="AK52" i="8"/>
  <c r="AK51" i="8"/>
  <c r="AK50" i="8"/>
  <c r="AK49" i="8"/>
  <c r="AK48" i="8"/>
  <c r="AK47" i="8"/>
  <c r="AK46" i="8"/>
  <c r="AK45" i="8"/>
  <c r="AK44" i="8"/>
  <c r="AK43" i="8"/>
  <c r="AK42" i="8"/>
  <c r="AK41" i="8"/>
  <c r="AK40" i="8"/>
  <c r="AK39" i="8"/>
  <c r="AK38" i="8"/>
  <c r="AK37" i="8"/>
  <c r="AK36" i="8"/>
  <c r="AK35" i="8"/>
  <c r="AK34" i="8"/>
  <c r="U34" i="8"/>
  <c r="R34" i="8"/>
  <c r="N34" i="8"/>
  <c r="J34" i="8"/>
  <c r="AK33" i="8"/>
  <c r="AK32" i="8"/>
  <c r="AK31" i="8"/>
  <c r="AK30" i="8"/>
  <c r="AK29" i="8"/>
  <c r="AK28" i="8"/>
  <c r="AK27" i="8"/>
  <c r="AK26" i="8"/>
  <c r="AK25" i="8"/>
  <c r="AK24" i="8"/>
  <c r="AK23" i="8"/>
  <c r="AK22" i="8"/>
  <c r="AK21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AK19" i="8"/>
  <c r="AK18" i="8"/>
  <c r="AK17" i="8"/>
  <c r="AK16" i="8"/>
  <c r="AK15" i="8"/>
  <c r="AK14" i="8"/>
  <c r="AK13" i="8"/>
  <c r="AK12" i="8"/>
  <c r="AK11" i="8"/>
  <c r="AK10" i="8"/>
  <c r="AK67" i="8" s="1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AK9" i="8"/>
  <c r="AK8" i="8"/>
  <c r="AK7" i="8"/>
  <c r="AK6" i="8"/>
  <c r="AK5" i="8"/>
  <c r="AK4" i="8"/>
  <c r="AK3" i="8"/>
  <c r="AB67" i="7"/>
  <c r="Z67" i="7"/>
  <c r="Y67" i="7"/>
  <c r="X67" i="7"/>
  <c r="AC67" i="7" s="1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4" i="7"/>
  <c r="AC43" i="7"/>
  <c r="AC42" i="7"/>
  <c r="AC41" i="7"/>
  <c r="AC40" i="7"/>
  <c r="AC39" i="7"/>
  <c r="AC38" i="7"/>
  <c r="AC37" i="7"/>
  <c r="AC36" i="7"/>
  <c r="AC35" i="7"/>
  <c r="AC34" i="7"/>
  <c r="U34" i="7"/>
  <c r="R34" i="7"/>
  <c r="N34" i="7"/>
  <c r="J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AC19" i="7"/>
  <c r="AC18" i="7"/>
  <c r="AC17" i="7"/>
  <c r="AC16" i="7"/>
  <c r="AC15" i="7"/>
  <c r="AC14" i="7"/>
  <c r="AC13" i="7"/>
  <c r="AC12" i="7"/>
  <c r="AC11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AC9" i="7"/>
  <c r="AC8" i="7"/>
  <c r="AC7" i="7"/>
  <c r="AC6" i="7"/>
  <c r="AC5" i="7"/>
  <c r="AC4" i="7"/>
  <c r="AC3" i="7"/>
  <c r="AB68" i="6"/>
  <c r="AA67" i="6"/>
  <c r="Z67" i="6"/>
  <c r="AB67" i="6" s="1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4" i="6"/>
  <c r="AB43" i="6"/>
  <c r="AB42" i="6"/>
  <c r="AB41" i="6"/>
  <c r="AB40" i="6"/>
  <c r="AB39" i="6"/>
  <c r="AB38" i="6"/>
  <c r="AB37" i="6"/>
  <c r="AB36" i="6"/>
  <c r="AB35" i="6"/>
  <c r="AB34" i="6"/>
  <c r="U34" i="6"/>
  <c r="R34" i="6"/>
  <c r="Q34" i="6"/>
  <c r="P34" i="6"/>
  <c r="O34" i="6"/>
  <c r="N34" i="6"/>
  <c r="M34" i="6"/>
  <c r="J34" i="6"/>
  <c r="I34" i="6"/>
  <c r="H34" i="6"/>
  <c r="G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N20" i="6"/>
  <c r="M20" i="6"/>
  <c r="L20" i="6"/>
  <c r="K20" i="6"/>
  <c r="J20" i="6"/>
  <c r="H20" i="6"/>
  <c r="AB19" i="6"/>
  <c r="AB18" i="6"/>
  <c r="AB17" i="6"/>
  <c r="AB16" i="6"/>
  <c r="AB15" i="6"/>
  <c r="AB14" i="6"/>
  <c r="AB13" i="6"/>
  <c r="AB12" i="6"/>
  <c r="AB11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AB9" i="6"/>
  <c r="AB8" i="6"/>
  <c r="AB7" i="6"/>
  <c r="AB6" i="6"/>
  <c r="AB5" i="6"/>
  <c r="AB4" i="6"/>
  <c r="AB3" i="6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0" i="4"/>
  <c r="V39" i="4"/>
  <c r="V38" i="4"/>
  <c r="V37" i="4"/>
  <c r="V36" i="4"/>
  <c r="V35" i="4"/>
  <c r="V34" i="4"/>
  <c r="V33" i="4"/>
  <c r="V32" i="4"/>
  <c r="V31" i="4"/>
  <c r="W30" i="4"/>
  <c r="V30" i="4"/>
  <c r="V29" i="4"/>
  <c r="V28" i="4"/>
  <c r="V27" i="4"/>
  <c r="V26" i="4"/>
  <c r="V25" i="4"/>
  <c r="W24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C7" i="2"/>
  <c r="D6" i="2"/>
  <c r="C6" i="2"/>
  <c r="D5" i="2"/>
  <c r="D34" i="2" s="1"/>
  <c r="C5" i="2"/>
  <c r="D4" i="2"/>
  <c r="C4" i="2"/>
  <c r="AK34" i="11" l="1"/>
  <c r="AK24" i="11"/>
  <c r="AK3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6" authorId="0" shapeId="0" xr:uid="{00000000-0006-0000-0400-000002000000}">
      <text>
        <r>
          <rPr>
            <sz val="10"/>
            <color rgb="FF000000"/>
            <rFont val="Arial"/>
            <scheme val="minor"/>
          </rPr>
          <t>======
ID#AAAArmpt9Lo
snaa khalifa    (2023-03-09 08:16:31)
عكاز</t>
        </r>
      </text>
    </comment>
    <comment ref="L62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ID#AAAArmpt9L0
snaa khalifa    (2023-03-09 08:18:37)
توفير حفاضات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22ywQh/USuLnDFPJwv2Il/bTr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8" authorId="0" shapeId="0" xr:uid="{00000000-0006-0000-0500-00000B000000}">
      <text>
        <r>
          <rPr>
            <sz val="10"/>
            <color rgb="FF000000"/>
            <rFont val="Arial"/>
            <scheme val="minor"/>
          </rPr>
          <t>======
ID#AAAAnmn7x9s
snaa khalifa    (2023-03-26 11:27:16)
تنفيذ ندوة توعية عن االتوعية بالأكتشاف المبكر للأعاقة السمعية بحضور عدد(30 أسرة )</t>
        </r>
      </text>
    </comment>
    <comment ref="N38" authorId="0" shapeId="0" xr:uid="{00000000-0006-0000-0500-00000A000000}">
      <text>
        <r>
          <rPr>
            <sz val="10"/>
            <color rgb="FF000000"/>
            <rFont val="Arial"/>
            <scheme val="minor"/>
          </rPr>
          <t>======
ID#AAAAsvZ9mt8
snaa khalifa    (2023-03-27 08:48:55)
تنفيذ ندوة توعية عن االتوعية بالأكتشاف المبكر للأعاقة السمعية بحضور عدد(16 أسرة )</t>
        </r>
      </text>
    </comment>
    <comment ref="Q38" authorId="0" shapeId="0" xr:uid="{00000000-0006-0000-0500-000009000000}">
      <text>
        <r>
          <rPr>
            <sz val="10"/>
            <color rgb="FF000000"/>
            <rFont val="Arial"/>
            <scheme val="minor"/>
          </rPr>
          <t>======
ID#AAAAsvZ9muE
snaa khalifa    (2023-03-27 08:58:38)
نفيذ ندوة توعية عن االتوعية بالأكتشاف المبكر للأعاقة السمعية بحضور عدد(28أسرة )</t>
        </r>
      </text>
    </comment>
    <comment ref="T38" authorId="0" shapeId="0" xr:uid="{00000000-0006-0000-0500-000008000000}">
      <text>
        <r>
          <rPr>
            <sz val="10"/>
            <color rgb="FF000000"/>
            <rFont val="Arial"/>
            <scheme val="minor"/>
          </rPr>
          <t>======
ID#AAAAsvZ9muI
snaa khalifa    (2023-03-27 08:59:17)
نفيذ ندوة توعية عن االتوعية بالأكتشاف المبكر للأعاقة السمعية بحضور عدد(15 أسرة )</t>
        </r>
      </text>
    </comment>
    <comment ref="M40" authorId="0" shapeId="0" xr:uid="{00000000-0006-0000-0500-000007000000}">
      <text>
        <r>
          <rPr>
            <sz val="10"/>
            <color rgb="FF000000"/>
            <rFont val="Arial"/>
            <scheme val="minor"/>
          </rPr>
          <t>======
ID#AAAAsvZ9muQ
snaa khalifa    (2023-03-27 09:02:46)
تنفيذ جولة الى الفكهانى بعدد أطفال (1 طفل )</t>
        </r>
      </text>
    </comment>
    <comment ref="S42" authorId="0" shapeId="0" xr:uid="{00000000-0006-0000-0500-000004000000}">
      <text>
        <r>
          <rPr>
            <sz val="10"/>
            <color rgb="FF000000"/>
            <rFont val="Arial"/>
            <scheme val="minor"/>
          </rPr>
          <t>======
ID#AAAAuX3Y26c
snaa khalifa    (2023-03-30 11:50:37)
يوم ترفيهى فى مركز الشباب بعدد (12 طفل )</t>
        </r>
      </text>
    </comment>
    <comment ref="H61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ID#AAAAs0eaRSw
snaa khalifa    (2023-04-01 09:12:32)
توزيع10بونات مواد غيذائية بقيمه 300 جنيه من بيت الذكاة  لاسر ذوى الاعاقة</t>
        </r>
      </text>
    </comment>
    <comment ref="H62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ID#AAAAs0eaRSo
snaa khalifa    (2023-04-01 08:56:48)
عمل عدد (12 أحالة ) من وحدة التأهيل لجمعية تنمية المجتمع بالحواتكة لعمل نظارات طبية</t>
        </r>
      </text>
    </comment>
    <comment ref="P66" authorId="0" shapeId="0" xr:uid="{00000000-0006-0000-0500-000003000000}">
      <text>
        <r>
          <rPr>
            <sz val="10"/>
            <color rgb="FF000000"/>
            <rFont val="Arial"/>
            <scheme val="minor"/>
          </rPr>
          <t>======
ID#AAAAs0eaRSc
snaa khalifa    (2023-04-01 08:36:39)
توزيع شنط رمضان مواد غذائية لعدد 50 مستفيد من داخل المستفيدين بالزيارات المنزلية والوحدة</t>
        </r>
      </text>
    </comment>
    <comment ref="Q66" authorId="0" shapeId="0" xr:uid="{00000000-0006-0000-0500-000006000000}">
      <text>
        <r>
          <rPr>
            <sz val="10"/>
            <color rgb="FF000000"/>
            <rFont val="Arial"/>
            <scheme val="minor"/>
          </rPr>
          <t>======
ID#AAAAuXsFWWQ
snaa khalifa    (2023-03-30 10:32:38)
تسليم شنط رمضان</t>
        </r>
      </text>
    </comment>
    <comment ref="R66" authorId="0" shapeId="0" xr:uid="{00000000-0006-0000-0500-000005000000}">
      <text>
        <r>
          <rPr>
            <sz val="10"/>
            <color rgb="FF000000"/>
            <rFont val="Arial"/>
            <scheme val="minor"/>
          </rPr>
          <t>======
ID#AAAAuXsFWWY
snaa khalifa    (2023-03-30 11:33:16)
توفير كرسى أطفال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/krW+jd2uO2tYuP1/b696tDvf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6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ID#AAAApbJSawk
snaa khalifa    (2023-04-30 07:46:15)
تم تنفيذ 15 تقييم نفسى لأطفال      قام بالتشخصيات النفسية أخصائى نفسى مكتب كيان منفلوط</t>
        </r>
      </text>
    </comment>
    <comment ref="N38" authorId="0" shapeId="0" xr:uid="{00000000-0006-0000-0600-000007000000}">
      <text>
        <r>
          <rPr>
            <sz val="10"/>
            <color rgb="FF000000"/>
            <rFont val="Arial"/>
            <scheme val="minor"/>
          </rPr>
          <t>======
ID#AAAAwHZTsu8
snaa khalifa    (2023-04-27 07:08:43)
تنفيذ ندوة عن الأهتمام بالنظافة الشخصية لذوى العاقة من المنظور الدينى بحضور عدد (21 أسرة )</t>
        </r>
      </text>
    </comment>
    <comment ref="P56" authorId="0" shapeId="0" xr:uid="{00000000-0006-0000-0600-000003000000}">
      <text>
        <r>
          <rPr>
            <sz val="10"/>
            <color rgb="FF000000"/>
            <rFont val="Arial"/>
            <scheme val="minor"/>
          </rPr>
          <t>======
ID#AAAAwHZTsvg
snaa khalifa    (2023-04-27 08:30:42)
توفير مساعدة للأسرة فى جهاز عروسة ( الأبنه ) عبارة عن مطبخ خشب )</t>
        </r>
      </text>
    </comment>
    <comment ref="P58" authorId="0" shapeId="0" xr:uid="{00000000-0006-0000-0600-000004000000}">
      <text>
        <r>
          <rPr>
            <sz val="10"/>
            <color rgb="FF000000"/>
            <rFont val="Arial"/>
            <scheme val="minor"/>
          </rPr>
          <t>======
ID#AAAAwHZTsvc
snaa khalifa    (2023-04-27 08:19:23)
توفير غسالة نصف أوتوماتيك للحالة حسنية محمد طلبه تعانى من شلل أطفال</t>
        </r>
      </text>
    </comment>
    <comment ref="H61" authorId="0" shapeId="0" xr:uid="{00000000-0006-0000-0600-000009000000}">
      <text>
        <r>
          <rPr>
            <sz val="10"/>
            <color rgb="FF000000"/>
            <rFont val="Arial"/>
            <scheme val="minor"/>
          </rPr>
          <t>======
ID#AAAAv8rS1bY
snaa khalifa    (2023-04-26 10:27:23)
تم تسليم 5كراتين رمضان بالتشبيك مع جمعيه بصمه</t>
        </r>
      </text>
    </comment>
    <comment ref="J61" authorId="0" shapeId="0" xr:uid="{00000000-0006-0000-0600-000008000000}">
      <text>
        <r>
          <rPr>
            <sz val="10"/>
            <color rgb="FF000000"/>
            <rFont val="Arial"/>
            <scheme val="minor"/>
          </rPr>
          <t>======
ID#AAAAv8rS1bc
snaa khalifa    (2023-04-26 10:54:12)
تسليم شنط رمضان</t>
        </r>
      </text>
    </comment>
    <comment ref="N61" authorId="0" shapeId="0" xr:uid="{00000000-0006-0000-0600-000006000000}">
      <text>
        <r>
          <rPr>
            <sz val="10"/>
            <color rgb="FF000000"/>
            <rFont val="Arial"/>
            <scheme val="minor"/>
          </rPr>
          <t>======
ID#AAAAwHZTsvA
snaa khalifa    (2023-04-27 07:10:48)
تسليم عدد (30 أسرة ) شنطة رمضان</t>
        </r>
      </text>
    </comment>
    <comment ref="P61" authorId="0" shapeId="0" xr:uid="{00000000-0006-0000-0600-000005000000}">
      <text>
        <r>
          <rPr>
            <sz val="10"/>
            <color rgb="FF000000"/>
            <rFont val="Arial"/>
            <scheme val="minor"/>
          </rPr>
          <t>======
ID#AAAAwHZTsvY
snaa khalifa    (2023-04-27 08:16:26)
أستفادة كل الأسر (123 أسرة ) من شنطة رمضان</t>
        </r>
      </text>
    </comment>
    <comment ref="Q61" authorId="0" shapeId="0" xr:uid="{00000000-0006-0000-0600-000002000000}">
      <text>
        <r>
          <rPr>
            <sz val="10"/>
            <color rgb="FF000000"/>
            <rFont val="Arial"/>
            <scheme val="minor"/>
          </rPr>
          <t>======
ID#AAAAwHZTswA
snaa khalifa    (2023-04-27 09:23:59)
تسليم ملابس جديدة لعدد (19 مستفيد من الوحدة ) بالأضافة الى 96 مستفيد أخوات + (18 مستفيذ من شنطة رمضان 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+4wKCezFTDtsxwe6I0Ffs5mJk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4" authorId="0" shapeId="0" xr:uid="{00000000-0006-0000-0700-00000F000000}">
      <text>
        <r>
          <rPr>
            <sz val="10"/>
            <color rgb="FF000000"/>
            <rFont val="Arial"/>
            <scheme val="minor"/>
          </rPr>
          <t>======
ID#AAAAx9HfrrM
snaa khalifa    (2023-05-29 08:35:23)
الجدد 36 بالأضافة الى تحويل عدد 2 طفل من الخدمات الداخلية الى الزيارات الخارجية</t>
        </r>
      </text>
    </comment>
    <comment ref="V24" authorId="0" shapeId="0" xr:uid="{00000000-0006-0000-0700-000003000000}">
      <text>
        <r>
          <rPr>
            <sz val="10"/>
            <color rgb="FF000000"/>
            <rFont val="Arial"/>
            <scheme val="minor"/>
          </rPr>
          <t>======
ID#AAAAyggybuU
snaa khalifa    (2023-06-05 15:21:00)
عدد الجلسات مفقود بسبب إنضمام المسؤلات الجدد لتدريب تنشيطى لمدة 15 يوم تدريبى</t>
        </r>
      </text>
    </comment>
    <comment ref="V34" authorId="0" shapeId="0" xr:uid="{00000000-0006-0000-0700-000002000000}">
      <text>
        <r>
          <rPr>
            <sz val="10"/>
            <color rgb="FF000000"/>
            <rFont val="Arial"/>
            <scheme val="minor"/>
          </rPr>
          <t>======
ID#AAAAyggybuY
snaa khalifa    (2023-06-05 15:21:44)
عدد الزيارات مفقود بسبب إنضمام المسؤلات الجدد لتدريب تنشيطى لمدة 15 يوم تدريبى</t>
        </r>
      </text>
    </comment>
    <comment ref="G38" authorId="0" shapeId="0" xr:uid="{00000000-0006-0000-0700-00000B000000}">
      <text>
        <r>
          <rPr>
            <sz val="10"/>
            <color rgb="FF000000"/>
            <rFont val="Arial"/>
            <scheme val="minor"/>
          </rPr>
          <t>======
ID#AAAAx9ZW3xk
snaa khalifa    (2023-05-29 10:48:50)
تنفيذ ندوة عن الأكتشاف المبكر للأعاقة السمعية والتدخلات المناسبة عدد حضور ( 33 شخص )</t>
        </r>
      </text>
    </comment>
    <comment ref="S39" authorId="0" shapeId="0" xr:uid="{00000000-0006-0000-0700-000008000000}">
      <text>
        <r>
          <rPr>
            <sz val="10"/>
            <color rgb="FF000000"/>
            <rFont val="Arial"/>
            <scheme val="minor"/>
          </rPr>
          <t>======
ID#AAAAyLgLBdc
snaa khalifa    (2023-05-31 06:01:29)
تم تنفيذ جولة الى اسوبر ماركت بمشاركة عدد 
( 3 أطفال )</t>
        </r>
      </text>
    </comment>
    <comment ref="G40" authorId="0" shapeId="0" xr:uid="{00000000-0006-0000-0700-000005000000}">
      <text>
        <r>
          <rPr>
            <sz val="10"/>
            <color rgb="FF000000"/>
            <rFont val="Arial"/>
            <scheme val="minor"/>
          </rPr>
          <t>======
ID#AAAAyLgLBd4
snaa khalifa    (2023-05-31 06:24:33)
نفيذ الجولة لمحل الخضار والفاكهة بعدد أطفال (2 )</t>
        </r>
      </text>
    </comment>
    <comment ref="H40" authorId="0" shapeId="0" xr:uid="{00000000-0006-0000-0700-000006000000}">
      <text>
        <r>
          <rPr>
            <sz val="10"/>
            <color rgb="FF000000"/>
            <rFont val="Arial"/>
            <scheme val="minor"/>
          </rPr>
          <t>======
ID#AAAAyLgLBdk
snaa khalifa    (2023-05-31 06:10:20)
تنفيذ الجولة لمحل الخضار والفاكهة بعدد أطفال (6 )</t>
        </r>
      </text>
    </comment>
    <comment ref="I40" authorId="0" shapeId="0" xr:uid="{00000000-0006-0000-0700-000009000000}">
      <text>
        <r>
          <rPr>
            <sz val="10"/>
            <color rgb="FF000000"/>
            <rFont val="Arial"/>
            <scheme val="minor"/>
          </rPr>
          <t>======
ID#AAAAyLgLBdU
snaa khalifa    (2023-05-31 05:53:59)
جولة الى محل الفكهانى بعدد أطفال (2)</t>
        </r>
      </text>
    </comment>
    <comment ref="J40" authorId="0" shapeId="0" xr:uid="{00000000-0006-0000-0700-000015000000}">
      <text>
        <r>
          <rPr>
            <sz val="10"/>
            <color rgb="FF000000"/>
            <rFont val="Arial"/>
            <scheme val="minor"/>
          </rPr>
          <t>======
ID#AAAAx9eyKoU
snaa khalifa    (2023-05-28 11:22:43)
جولة لمحل المنظفات بعدد (4 أطفال )</t>
        </r>
      </text>
    </comment>
    <comment ref="L40" authorId="0" shapeId="0" xr:uid="{00000000-0006-0000-0700-00000A000000}">
      <text>
        <r>
          <rPr>
            <sz val="10"/>
            <color rgb="FF000000"/>
            <rFont val="Arial"/>
            <scheme val="minor"/>
          </rPr>
          <t>======
ID#AAAAx3CrhXM
snaa khalifa    (2023-05-30 12:13:21)
تنفيذ جولة لعيادة الدكتور  بعدد (4 أطفال )</t>
        </r>
      </text>
    </comment>
    <comment ref="M40" authorId="0" shapeId="0" xr:uid="{00000000-0006-0000-0700-000011000000}">
      <text>
        <r>
          <rPr>
            <sz val="10"/>
            <color rgb="FF000000"/>
            <rFont val="Arial"/>
            <scheme val="minor"/>
          </rPr>
          <t>======
ID#AAAAx9HfrrE
snaa khalifa    (2023-05-29 06:45:03)
جولة الى محل الفكهانى بعدد أطفال (5 )</t>
        </r>
      </text>
    </comment>
    <comment ref="N40" authorId="0" shapeId="0" xr:uid="{00000000-0006-0000-0700-00000E000000}">
      <text>
        <r>
          <rPr>
            <sz val="10"/>
            <color rgb="FF000000"/>
            <rFont val="Arial"/>
            <scheme val="minor"/>
          </rPr>
          <t>======
ID#AAAAx9ZW3xI
snaa khalifa    (2023-05-29 10:07:18)
جولة الى محل الفكهانى بعدد أطفال (5)</t>
        </r>
      </text>
    </comment>
    <comment ref="O40" authorId="0" shapeId="0" xr:uid="{00000000-0006-0000-0700-000007000000}">
      <text>
        <r>
          <rPr>
            <sz val="10"/>
            <color rgb="FF000000"/>
            <rFont val="Arial"/>
            <scheme val="minor"/>
          </rPr>
          <t>======
ID#AAAAyLgLBdg
snaa khalifa    (2023-05-31 06:02:35)
تنفيذ جولة الى السوق بمشاركة عدد أطفال (4 )</t>
        </r>
      </text>
    </comment>
    <comment ref="Q40" authorId="0" shapeId="0" xr:uid="{00000000-0006-0000-0700-000014000000}">
      <text>
        <r>
          <rPr>
            <sz val="10"/>
            <color rgb="FF000000"/>
            <rFont val="Arial"/>
            <scheme val="minor"/>
          </rPr>
          <t>======
ID#AAAAx9eyKoc
snaa khalifa    (2023-05-28 11:47:47)
تنفيذ جولة لمحل البقالة بعدد أطفال (9)</t>
        </r>
      </text>
    </comment>
    <comment ref="R40" authorId="0" shapeId="0" xr:uid="{00000000-0006-0000-0700-000012000000}">
      <text>
        <r>
          <rPr>
            <sz val="10"/>
            <color rgb="FF000000"/>
            <rFont val="Arial"/>
            <scheme val="minor"/>
          </rPr>
          <t>======
ID#AAAAx9Hfrq0
snaa khalifa    (2023-05-29 05:48:19)
تنفيذ جولة لمحل اللفكهانى بعدد أطفال (2 )</t>
        </r>
      </text>
    </comment>
    <comment ref="S40" authorId="0" shapeId="0" xr:uid="{00000000-0006-0000-0700-000004000000}">
      <text>
        <r>
          <rPr>
            <sz val="10"/>
            <color rgb="FF000000"/>
            <rFont val="Arial"/>
            <scheme val="minor"/>
          </rPr>
          <t>======
ID#AAAAyLgLBfk
snaa khalifa    (2023-05-31 08:21:08)
تنفيذ جولة حرة الى الفكهانى بعدد أطفال (3 )</t>
        </r>
      </text>
    </comment>
    <comment ref="M48" authorId="0" shapeId="0" xr:uid="{00000000-0006-0000-0700-000010000000}">
      <text>
        <r>
          <rPr>
            <sz val="10"/>
            <color rgb="FF000000"/>
            <rFont val="Arial"/>
            <scheme val="minor"/>
          </rPr>
          <t>======
ID#AAAAx9HfrrI
snaa khalifa    (2023-05-29 07:52:42)
توفير من خدمة المرضى داخل الكنيسة</t>
        </r>
      </text>
    </comment>
    <comment ref="Q60" authorId="0" shapeId="0" xr:uid="{00000000-0006-0000-0700-000013000000}">
      <text>
        <r>
          <rPr>
            <sz val="10"/>
            <color rgb="FF000000"/>
            <rFont val="Arial"/>
            <scheme val="minor"/>
          </rPr>
          <t>======
ID#AAAAx9eyKog
snaa khalifa    (2023-05-28 11:48:43)
مصطفى فنجرى
داليا فنجرى
حربى فنجري
أسماء فرج</t>
        </r>
      </text>
    </comment>
    <comment ref="N61" authorId="0" shapeId="0" xr:uid="{00000000-0006-0000-0700-00000D000000}">
      <text>
        <r>
          <rPr>
            <sz val="10"/>
            <color rgb="FF000000"/>
            <rFont val="Arial"/>
            <scheme val="minor"/>
          </rPr>
          <t>======
ID#AAAAx9ZW3xM
snaa khalifa    (2023-05-29 10:08:33)
أشرف كامل محمد , محمود صابر (ملابس و شنط )</t>
        </r>
      </text>
    </comment>
    <comment ref="V61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ID#AAAAyggybuc
snaa khalifa    (2023-06-05 15:23:51)
استفاد عدد 32 شخص من المساعدات الأجتماعية</t>
        </r>
      </text>
    </comment>
    <comment ref="N62" authorId="0" shapeId="0" xr:uid="{00000000-0006-0000-0700-00000C000000}">
      <text>
        <r>
          <rPr>
            <sz val="10"/>
            <color rgb="FF000000"/>
            <rFont val="Arial"/>
            <scheme val="minor"/>
          </rPr>
          <t>======
ID#AAAAx9ZW3xQ
snaa khalifa    (2023-05-29 10:08:59)
حنان صبرة, فتحية محمود(دكتور عيون) 
على عبدالناصر , مصطفى كمال (دكتور أنف و أذن 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Y9VB53lWX1mXBaowQOyQIscwH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38" authorId="0" shapeId="0" xr:uid="{00000000-0006-0000-0800-000012000000}">
      <text>
        <r>
          <rPr>
            <sz val="10"/>
            <color rgb="FF000000"/>
            <rFont val="Arial"/>
            <scheme val="minor"/>
          </rPr>
          <t>======
ID#AAAA0NX8AWY
snaa khalifa    (2023-07-03 06:20:48)
ندوة عن الأطتشاف والتدخل المبكر بحضور عدد (25 أسرة )</t>
        </r>
      </text>
    </comment>
    <comment ref="Q38" authorId="0" shapeId="0" xr:uid="{00000000-0006-0000-0800-00001A000000}">
      <text>
        <r>
          <rPr>
            <sz val="10"/>
            <color rgb="FF000000"/>
            <rFont val="Arial"/>
            <scheme val="minor"/>
          </rPr>
          <t>======
ID#AAAA0AzqPXE
snaa khalifa    (2023-07-02 12:05:06)
ندوة عن حقوق الأشخاص ذوى الإعاقة حضور عدد 30 أسرة</t>
        </r>
      </text>
    </comment>
    <comment ref="V38" authorId="0" shapeId="0" xr:uid="{00000000-0006-0000-0800-000008000000}">
      <text>
        <r>
          <rPr>
            <sz val="10"/>
            <color rgb="FF000000"/>
            <rFont val="Arial"/>
            <scheme val="minor"/>
          </rPr>
          <t>======
ID#AAAA0OzAczM
snaa khalifa    (2023-07-04 07:23:05)
بحضور عدد (50 أسرة )</t>
        </r>
      </text>
    </comment>
    <comment ref="AD38" authorId="0" shapeId="0" xr:uid="{00000000-0006-0000-0800-00000D000000}">
      <text>
        <r>
          <rPr>
            <sz val="10"/>
            <color rgb="FF000000"/>
            <rFont val="Arial"/>
            <scheme val="minor"/>
          </rPr>
          <t>======
ID#AAAA0NX8AXQ
snaa khalifa    (2023-07-03 07:59:03)
تمت الندوه بوحدة تاهيل العسيرات بحضور 20 فرد موع الندوه حقوق الاشخاص ذوى الاعاقه فى القانون 10 لسنة 20218</t>
        </r>
      </text>
    </comment>
    <comment ref="G40" authorId="0" shapeId="0" xr:uid="{00000000-0006-0000-0800-000014000000}">
      <text>
        <r>
          <rPr>
            <sz val="10"/>
            <color rgb="FF000000"/>
            <rFont val="Arial"/>
            <scheme val="minor"/>
          </rPr>
          <t>======
ID#AAAA0NX8AWQ
snaa khalifa    (2023-07-03 06:18:34)
موقف السيارات بعدد 2 طفل</t>
        </r>
      </text>
    </comment>
    <comment ref="H40" authorId="0" shapeId="0" xr:uid="{00000000-0006-0000-0800-000011000000}">
      <text>
        <r>
          <rPr>
            <sz val="10"/>
            <color rgb="FF000000"/>
            <rFont val="Arial"/>
            <scheme val="minor"/>
          </rPr>
          <t>======
ID#AAAA0NX8AWc
snaa khalifa    (2023-07-03 06:21:37)
جولة للمكتبة بعدد (4 أطفال )</t>
        </r>
      </text>
    </comment>
    <comment ref="I40" authorId="0" shapeId="0" xr:uid="{00000000-0006-0000-0800-000010000000}">
      <text>
        <r>
          <rPr>
            <sz val="10"/>
            <color rgb="FF000000"/>
            <rFont val="Arial"/>
            <scheme val="minor"/>
          </rPr>
          <t>======
ID#AAAA0NX8AWg
snaa khalifa    (2023-07-03 06:22:16)
جولة للصيدلية بعدد (3 أطفال )</t>
        </r>
      </text>
    </comment>
    <comment ref="M40" authorId="0" shapeId="0" xr:uid="{00000000-0006-0000-0800-00000F000000}">
      <text>
        <r>
          <rPr>
            <sz val="10"/>
            <color rgb="FF000000"/>
            <rFont val="Arial"/>
            <scheme val="minor"/>
          </rPr>
          <t>======
ID#AAAA0NX8AWk
snaa khalifa    (2023-07-03 06:23:41)
جولة لمحل الألعاب بعدد (4 أطفال )</t>
        </r>
      </text>
    </comment>
    <comment ref="N40" authorId="0" shapeId="0" xr:uid="{00000000-0006-0000-0800-00000E000000}">
      <text>
        <r>
          <rPr>
            <sz val="10"/>
            <color rgb="FF000000"/>
            <rFont val="Arial"/>
            <scheme val="minor"/>
          </rPr>
          <t>======
ID#AAAA0NX8AWo
snaa khalifa    (2023-07-03 06:24:42)
جولة للتعرف على مهنة الصياد والسمك ( بعدد 4 أطفال )</t>
        </r>
      </text>
    </comment>
    <comment ref="O40" authorId="0" shapeId="0" xr:uid="{00000000-0006-0000-0800-000016000000}">
      <text>
        <r>
          <rPr>
            <sz val="10"/>
            <color rgb="FF000000"/>
            <rFont val="Arial"/>
            <scheme val="minor"/>
          </rPr>
          <t>======
ID#AAAA0NX8AWI
snaa khalifa    (2023-07-03 06:08:10)
جولة للسوبر ماركت بعدد (6 أطفال )</t>
        </r>
      </text>
    </comment>
    <comment ref="P40" authorId="0" shapeId="0" xr:uid="{00000000-0006-0000-0800-000013000000}">
      <text>
        <r>
          <rPr>
            <sz val="10"/>
            <color rgb="FF000000"/>
            <rFont val="Arial"/>
            <scheme val="minor"/>
          </rPr>
          <t>======
ID#AAAA0NX8AWU
snaa khalifa    (2023-07-03 06:19:39)
محل البقالة بعدد أطفال ( 7 )</t>
        </r>
      </text>
    </comment>
    <comment ref="Q40" authorId="0" shapeId="0" xr:uid="{00000000-0006-0000-0800-000019000000}">
      <text>
        <r>
          <rPr>
            <sz val="10"/>
            <color rgb="FF000000"/>
            <rFont val="Arial"/>
            <scheme val="minor"/>
          </rPr>
          <t>======
ID#AAAA0AzqPXI
snaa khalifa    (2023-07-02 12:08:04)
جولة الفاكهانى بعدد 4 أطفال</t>
        </r>
      </text>
    </comment>
    <comment ref="S40" authorId="0" shapeId="0" xr:uid="{00000000-0006-0000-0800-000015000000}">
      <text>
        <r>
          <rPr>
            <sz val="10"/>
            <color rgb="FF000000"/>
            <rFont val="Arial"/>
            <scheme val="minor"/>
          </rPr>
          <t>======
ID#AAAA0NX8AWM
snaa khalifa    (2023-07-03 06:10:07)
المكتبة بعدد ( 4 ) أطفال</t>
        </r>
      </text>
    </comment>
    <comment ref="X40" authorId="0" shapeId="0" xr:uid="{00000000-0006-0000-0800-00000B000000}">
      <text>
        <r>
          <rPr>
            <sz val="10"/>
            <color rgb="FF000000"/>
            <rFont val="Arial"/>
            <scheme val="minor"/>
          </rPr>
          <t>======
ID#AAAA0OzAczA
snaa khalifa    (2023-07-04 06:46:14)
1- جولة الفاكهانى 
2- جولة السوبر ماركت</t>
        </r>
      </text>
    </comment>
    <comment ref="Y40" authorId="0" shapeId="0" xr:uid="{00000000-0006-0000-0800-00000C000000}">
      <text>
        <r>
          <rPr>
            <sz val="10"/>
            <color rgb="FF000000"/>
            <rFont val="Arial"/>
            <scheme val="minor"/>
          </rPr>
          <t>======
ID#AAAA0OzAcy4
snaa khalifa    (2023-07-04 06:33:16)
1- جولة للفكهانى 
2- الصيدلية</t>
        </r>
      </text>
    </comment>
    <comment ref="V52" authorId="0" shapeId="0" xr:uid="{00000000-0006-0000-0800-000001000000}">
      <text>
        <r>
          <rPr>
            <sz val="10"/>
            <color rgb="FF000000"/>
            <rFont val="Arial"/>
            <scheme val="minor"/>
          </rPr>
          <t>كرسي متحرك لطفلة اسماء صبري
======</t>
        </r>
      </text>
    </comment>
    <comment ref="Y59" authorId="0" shapeId="0" xr:uid="{00000000-0006-0000-0800-000002000000}">
      <text>
        <r>
          <rPr>
            <sz val="10"/>
            <color rgb="FF000000"/>
            <rFont val="Arial"/>
            <scheme val="minor"/>
          </rPr>
          <t>تم توزيعهم في شهر 3 ولاكن لم يسجل الا في شهر 6 في قاعدة بيانات المستفدين
======</t>
        </r>
      </text>
    </comment>
    <comment ref="AA62" authorId="0" shapeId="0" xr:uid="{00000000-0006-0000-0800-000009000000}">
      <text>
        <r>
          <rPr>
            <sz val="10"/>
            <color rgb="FF000000"/>
            <rFont val="Arial"/>
            <scheme val="minor"/>
          </rPr>
          <t>======
ID#AAAA0OzAczI
snaa khalifa    (2023-07-04 06:56:47)
عمل 13كشف مجاني 2دمج تعليمي</t>
        </r>
      </text>
    </comment>
    <comment ref="AH62" authorId="0" shapeId="0" xr:uid="{00000000-0006-0000-0800-000003000000}">
      <text>
        <r>
          <rPr>
            <sz val="10"/>
            <color rgb="FF000000"/>
            <rFont val="Arial"/>
            <scheme val="minor"/>
          </rPr>
          <t>تم  احالة وتنفيذ عدد 2 وصلة مياه لاسر اشخاص ذوى اعاقه
======</t>
        </r>
      </text>
    </comment>
    <comment ref="Q63" authorId="0" shapeId="0" xr:uid="{00000000-0006-0000-0800-000017000000}">
      <text>
        <r>
          <rPr>
            <sz val="10"/>
            <color rgb="FF000000"/>
            <rFont val="Arial"/>
            <scheme val="minor"/>
          </rPr>
          <t>======
ID#AAAA0AzqPXU
snaa khalifa    (2023-07-02 12:11:08)
محمد أشرف (إجراءات معاش تكافل و كرامة)</t>
        </r>
      </text>
    </comment>
    <comment ref="V64" authorId="0" shapeId="0" xr:uid="{00000000-0006-0000-0800-000004000000}">
      <text>
        <r>
          <rPr>
            <sz val="10"/>
            <color rgb="FF000000"/>
            <rFont val="Arial"/>
            <scheme val="minor"/>
          </rPr>
          <t>مبلغ مالي +كفالة لطفل محمود صابر
======</t>
        </r>
      </text>
    </comment>
    <comment ref="AH64" authorId="0" shapeId="0" xr:uid="{00000000-0006-0000-0800-000005000000}">
      <text>
        <r>
          <rPr>
            <sz val="10"/>
            <color rgb="FF000000"/>
            <rFont val="Arial"/>
            <scheme val="minor"/>
          </rPr>
          <t>بطاقه خدمات متكامله
======</t>
        </r>
      </text>
    </comment>
    <comment ref="Q66" authorId="0" shapeId="0" xr:uid="{00000000-0006-0000-0800-000018000000}">
      <text>
        <r>
          <rPr>
            <sz val="10"/>
            <color rgb="FF000000"/>
            <rFont val="Arial"/>
            <scheme val="minor"/>
          </rPr>
          <t>======
ID#AAAA0AzqPXM
snaa khalifa    (2023-07-02 12:10:45)
قافلة طبية</t>
        </r>
      </text>
    </comment>
    <comment ref="AA66" authorId="0" shapeId="0" xr:uid="{00000000-0006-0000-0800-00000A000000}">
      <text>
        <r>
          <rPr>
            <sz val="10"/>
            <color rgb="FF000000"/>
            <rFont val="Arial"/>
            <scheme val="minor"/>
          </rPr>
          <t>======
ID#AAAA0OzAczE
snaa khalifa    (2023-07-04 06:54:38)
توفير حفاضات</t>
        </r>
      </text>
    </comment>
    <comment ref="AH66" authorId="0" shapeId="0" xr:uid="{00000000-0006-0000-0800-000006000000}">
      <text>
        <r>
          <rPr>
            <sz val="10"/>
            <color rgb="FF000000"/>
            <rFont val="Arial"/>
            <scheme val="minor"/>
          </rPr>
          <t>بطاقه خدمات متكامله
======</t>
        </r>
      </text>
    </comment>
    <comment ref="AI66" authorId="0" shapeId="0" xr:uid="{00000000-0006-0000-0800-000007000000}">
      <text>
        <r>
          <rPr>
            <sz val="10"/>
            <color rgb="FF000000"/>
            <rFont val="Arial"/>
            <scheme val="minor"/>
          </rPr>
          <t>تم توزيع تبرع بقيمة 800 لعدد 5 اسر الوحدة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isAR4jod5OKNNJrj6UCldPwZj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24" authorId="0" shapeId="0" xr:uid="{00000000-0006-0000-0900-000001000000}">
      <text>
        <r>
          <rPr>
            <sz val="10"/>
            <color rgb="FF000000"/>
            <rFont val="Arial"/>
            <scheme val="minor"/>
          </rPr>
          <t>يعمل كل مسئولة تاهيل 2جلسة لكل طفل باجمالي 8مرات حيث نفذت مني 80جلسة وا/نهي 80 وا/نهاد 52
======</t>
        </r>
      </text>
    </comment>
    <comment ref="AA24" authorId="0" shapeId="0" xr:uid="{00000000-0006-0000-0900-000002000000}">
      <text>
        <r>
          <rPr>
            <sz val="10"/>
            <color rgb="FF000000"/>
            <rFont val="Arial"/>
            <scheme val="minor"/>
          </rPr>
          <t>تعمل مع 15 طفل 
======</t>
        </r>
      </text>
    </comment>
    <comment ref="AG34" authorId="0" shapeId="0" xr:uid="{00000000-0006-0000-0900-000003000000}">
      <text>
        <r>
          <rPr>
            <sz val="10"/>
            <color rgb="FF000000"/>
            <rFont val="Arial"/>
            <scheme val="minor"/>
          </rPr>
          <t>يتم تنفيذ عدد مضاعف من الزيارات المنزلية 
======</t>
        </r>
      </text>
    </comment>
    <comment ref="M38" authorId="0" shapeId="0" xr:uid="{00000000-0006-0000-0900-000016000000}">
      <text>
        <r>
          <rPr>
            <sz val="10"/>
            <color rgb="FF000000"/>
            <rFont val="Arial"/>
            <scheme val="minor"/>
          </rPr>
          <t>======
ID#AAAA2gWYfvs
snaa khalifa    (2023-07-27 06:07:34)
ندوة عن الأكتشاف والتدخل المبكر بحضور عدد24 شخص</t>
        </r>
      </text>
    </comment>
    <comment ref="N38" authorId="0" shapeId="0" xr:uid="{00000000-0006-0000-0900-000017000000}">
      <text>
        <r>
          <rPr>
            <sz val="10"/>
            <color rgb="FF000000"/>
            <rFont val="Arial"/>
            <scheme val="minor"/>
          </rPr>
          <t>======
ID#AAAA2gWYfvo
snaa khalifa    (2023-07-27 06:04:45)
ندوة عن حقوق الأشخاص ذوى الأعاقة بحضور عدد 27 أسرة</t>
        </r>
      </text>
    </comment>
    <comment ref="G40" authorId="0" shapeId="0" xr:uid="{00000000-0006-0000-0900-000010000000}">
      <text>
        <r>
          <rPr>
            <sz val="10"/>
            <color rgb="FF000000"/>
            <rFont val="Arial"/>
            <scheme val="minor"/>
          </rPr>
          <t>======
ID#AAAA2glC5pM
snaa khalifa    (2023-07-27 06:49:46)
حولة للصيدلية / محل البقالة بمشاركة عدد ( 4 أطفال )</t>
        </r>
      </text>
    </comment>
    <comment ref="H40" authorId="0" shapeId="0" xr:uid="{00000000-0006-0000-0900-000018000000}">
      <text>
        <r>
          <rPr>
            <sz val="10"/>
            <color rgb="FF000000"/>
            <rFont val="Arial"/>
            <scheme val="minor"/>
          </rPr>
          <t>======
ID#AAAA2gWYfvg
snaa khalifa    (2023-07-27 06:00:34)
جولة الصيدلية بعدد أطفال (5 )</t>
        </r>
      </text>
    </comment>
    <comment ref="I40" authorId="0" shapeId="0" xr:uid="{00000000-0006-0000-0900-000015000000}">
      <text>
        <r>
          <rPr>
            <sz val="10"/>
            <color rgb="FF000000"/>
            <rFont val="Arial"/>
            <scheme val="minor"/>
          </rPr>
          <t>======
ID#AAAA2gWYfvw
snaa khalifa    (2023-07-27 06:08:02)
1- جولة السوبر ماركت بعدد أطفال 3 
2- جولة المكتبة بمشاركة عدد (3 أطفال )</t>
        </r>
      </text>
    </comment>
    <comment ref="J40" authorId="0" shapeId="0" xr:uid="{00000000-0006-0000-0900-00000F000000}">
      <text>
        <r>
          <rPr>
            <sz val="10"/>
            <color rgb="FF000000"/>
            <rFont val="Arial"/>
            <scheme val="minor"/>
          </rPr>
          <t>======
ID#AAAA2glC5pQ
snaa khalifa    (2023-07-27 06:50:41)
جولة محطة القطار بمشاركة عدد ( 4 أطفال )</t>
        </r>
      </text>
    </comment>
    <comment ref="K40" authorId="0" shapeId="0" xr:uid="{00000000-0006-0000-0900-000013000000}">
      <text>
        <r>
          <rPr>
            <sz val="10"/>
            <color rgb="FF000000"/>
            <rFont val="Arial"/>
            <scheme val="minor"/>
          </rPr>
          <t>======
ID#AAAA2gWYfv4
snaa khalifa    (2023-07-27 06:11:28)
جولة للمكوجى / الخياط بمشاركة عدد (3 أطفال )</t>
        </r>
      </text>
    </comment>
    <comment ref="M40" authorId="0" shapeId="0" xr:uid="{00000000-0006-0000-0900-000014000000}">
      <text>
        <r>
          <rPr>
            <sz val="10"/>
            <color rgb="FF000000"/>
            <rFont val="Arial"/>
            <scheme val="minor"/>
          </rPr>
          <t>======
ID#AAAA2gWYfv0
snaa khalifa    (2023-07-27 06:08:40)
جولة الصيدلية بمشاركة عدد (4 أطفال )</t>
        </r>
      </text>
    </comment>
    <comment ref="N40" authorId="0" shapeId="0" xr:uid="{00000000-0006-0000-0900-00000E000000}">
      <text>
        <r>
          <rPr>
            <sz val="10"/>
            <color rgb="FF000000"/>
            <rFont val="Arial"/>
            <scheme val="minor"/>
          </rPr>
          <t>======
ID#AAAA2glC5pU
snaa khalifa    (2023-07-27 06:51:53)
جولة للتعرف على مهنة النجار بمشاركة عدد (4 أطفال )</t>
        </r>
      </text>
    </comment>
    <comment ref="P40" authorId="0" shapeId="0" xr:uid="{00000000-0006-0000-0900-000011000000}">
      <text>
        <r>
          <rPr>
            <sz val="10"/>
            <color rgb="FF000000"/>
            <rFont val="Arial"/>
            <scheme val="minor"/>
          </rPr>
          <t>======
ID#AAAA2glC5pI
snaa khalifa    (2023-07-27 06:48:54)
جولة للتعرف على مهنة الخياط بمشاركة عدد (4 أطفال )</t>
        </r>
      </text>
    </comment>
    <comment ref="Q40" authorId="0" shapeId="0" xr:uid="{00000000-0006-0000-0900-000012000000}">
      <text>
        <r>
          <rPr>
            <sz val="10"/>
            <color rgb="FF000000"/>
            <rFont val="Arial"/>
            <scheme val="minor"/>
          </rPr>
          <t>======
ID#AAAA2gWYfwA
snaa khalifa    (2023-07-27 06:24:57)
جولة الوحدة الصحية بمشاركة عدد 5 أطفال</t>
        </r>
      </text>
    </comment>
    <comment ref="V40" authorId="0" shapeId="0" xr:uid="{00000000-0006-0000-0900-000004000000}">
      <text>
        <r>
          <rPr>
            <sz val="10"/>
            <color rgb="FF000000"/>
            <rFont val="Arial"/>
            <scheme val="minor"/>
          </rPr>
          <t>جولة لصيدلية بعدد 5 اطفال 
======</t>
        </r>
      </text>
    </comment>
    <comment ref="M42" authorId="0" shapeId="0" xr:uid="{00000000-0006-0000-0900-00000D000000}">
      <text>
        <r>
          <rPr>
            <sz val="10"/>
            <color rgb="FF000000"/>
            <rFont val="Arial"/>
            <scheme val="minor"/>
          </rPr>
          <t>======
ID#AAAA1pEEtyE
snaa khalifa    (2023-07-27 08:46:46)
يوم ترفيهى بمشاركة 
٣٠ ذوي اعاقه 
١٠ من غير ذوي اعاقه
٦ اولياء الامور</t>
        </r>
      </text>
    </comment>
    <comment ref="P42" authorId="0" shapeId="0" xr:uid="{00000000-0006-0000-0900-00000C000000}">
      <text>
        <r>
          <rPr>
            <sz val="10"/>
            <color rgb="FF000000"/>
            <rFont val="Arial"/>
            <scheme val="minor"/>
          </rPr>
          <t>======
ID#AAAA2iuIN18
snaa khalifa    (2023-07-30 07:50:10)
تنفيذ يوم ترفيهى بمشاركة 30 طفل وولى أمر</t>
        </r>
      </text>
    </comment>
    <comment ref="X48" authorId="0" shapeId="0" xr:uid="{00000000-0006-0000-0900-000005000000}">
      <text>
        <r>
          <rPr>
            <sz val="10"/>
            <color rgb="FF000000"/>
            <rFont val="Arial"/>
            <scheme val="minor"/>
          </rPr>
          <t>هدي صابر 
======</t>
        </r>
      </text>
    </comment>
    <comment ref="V66" authorId="0" shapeId="0" xr:uid="{00000000-0006-0000-0900-000006000000}">
      <text>
        <r>
          <rPr>
            <sz val="10"/>
            <color rgb="FF000000"/>
            <rFont val="Arial"/>
            <scheme val="minor"/>
          </rPr>
          <t>10كيلو لحمة تم توزيعهم علي 10 اسر 
======</t>
        </r>
      </text>
    </comment>
    <comment ref="X66" authorId="0" shapeId="0" xr:uid="{00000000-0006-0000-0900-000007000000}">
      <text>
        <r>
          <rPr>
            <sz val="10"/>
            <color rgb="FF000000"/>
            <rFont val="Arial"/>
            <scheme val="minor"/>
          </rPr>
          <t>5 لحمة العيد
======</t>
        </r>
      </text>
    </comment>
    <comment ref="Y66" authorId="0" shapeId="0" xr:uid="{00000000-0006-0000-0900-000008000000}">
      <text>
        <r>
          <rPr>
            <sz val="10"/>
            <color rgb="FF000000"/>
            <rFont val="Arial"/>
            <scheme val="minor"/>
          </rPr>
          <t>لحمة العيد 
======</t>
        </r>
      </text>
    </comment>
    <comment ref="AG66" authorId="0" shapeId="0" xr:uid="{00000000-0006-0000-0900-000009000000}">
      <text>
        <r>
          <rPr>
            <sz val="10"/>
            <color rgb="FF000000"/>
            <rFont val="Arial"/>
            <scheme val="minor"/>
          </rPr>
          <t>تم توزيع 90 كيلو لحمة علي 90 اسرة من اسر كيان 
======</t>
        </r>
      </text>
    </comment>
    <comment ref="AH66" authorId="0" shapeId="0" xr:uid="{00000000-0006-0000-0900-00000A000000}">
      <text>
        <r>
          <rPr>
            <sz val="10"/>
            <color rgb="FF000000"/>
            <rFont val="Arial"/>
            <scheme val="minor"/>
          </rPr>
          <t>تم توزيع عدد50 لحوم اضحية علي اسر كيان
======</t>
        </r>
      </text>
    </comment>
    <comment ref="AI66" authorId="0" shapeId="0" xr:uid="{00000000-0006-0000-0900-00000B000000}">
      <text>
        <r>
          <rPr>
            <sz val="10"/>
            <color rgb="FF000000"/>
            <rFont val="Arial"/>
            <scheme val="minor"/>
          </rPr>
          <t>تم توزيع 30 كيلو لحمة علي 30 اسرة من اسر كيان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j68x6UDMADGuKRKsPWz6nrUll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6" authorId="0" shapeId="0" xr:uid="{00000000-0006-0000-0A00-000001000000}">
      <text>
        <r>
          <rPr>
            <sz val="10"/>
            <color rgb="FF000000"/>
            <rFont val="Arial"/>
            <scheme val="minor"/>
          </rPr>
          <t>سليمان محمد.يوسف محمد
======</t>
        </r>
      </text>
    </comment>
    <comment ref="V7" authorId="0" shapeId="0" xr:uid="{00000000-0006-0000-0A00-000002000000}">
      <text>
        <r>
          <rPr>
            <sz val="10"/>
            <color rgb="FF000000"/>
            <rFont val="Arial"/>
            <scheme val="minor"/>
          </rPr>
          <t>. أيتن محمود.احمد.طلعت.
======</t>
        </r>
      </text>
    </comment>
    <comment ref="V15" authorId="0" shapeId="0" xr:uid="{00000000-0006-0000-0A00-000003000000}">
      <text>
        <r>
          <rPr>
            <sz val="10"/>
            <color rgb="FF000000"/>
            <rFont val="Arial"/>
            <scheme val="minor"/>
          </rPr>
          <t>منار مصطفى تم انتهاء الخدمه من الزيارة وتحويلها إلى جلسات
======</t>
        </r>
      </text>
    </comment>
    <comment ref="V36" authorId="0" shapeId="0" xr:uid="{00000000-0006-0000-0A00-000004000000}">
      <text>
        <r>
          <rPr>
            <sz val="10"/>
            <color rgb="FF000000"/>
            <rFont val="Arial"/>
            <scheme val="minor"/>
          </rPr>
          <t>محمد رمضان.كامل سيد.روان هيثم.زياد ضياء
======</t>
        </r>
      </text>
    </comment>
    <comment ref="AH36" authorId="0" shapeId="0" xr:uid="{00000000-0006-0000-0A00-00002C000000}">
      <text>
        <r>
          <rPr>
            <sz val="10"/>
            <color rgb="FF000000"/>
            <rFont val="Arial"/>
            <scheme val="minor"/>
          </rPr>
          <t>======
ID#AAAA_KJaNUM
Ayat Ali    (2023-10-27 20:01:30)
تم عمل 2 تقيم نفسي بشهر مارس + تم عمل 10تقيمات نفسية في شهر ابريل</t>
        </r>
      </text>
    </comment>
    <comment ref="AI36" authorId="0" shapeId="0" xr:uid="{00000000-0006-0000-0A00-000029000000}">
      <text>
        <r>
          <rPr>
            <sz val="10"/>
            <color rgb="FF000000"/>
            <rFont val="Arial"/>
            <scheme val="minor"/>
          </rPr>
          <t>======
ID#AAAA_KJaNUs
Ayat Ali    (2023-10-27 21:22:00)
تم تنفيذ 2 تقيم بشهر مارس +تم تنفيذ 6 تقيمات بشهر مايو</t>
        </r>
      </text>
    </comment>
    <comment ref="AJ36" authorId="0" shapeId="0" xr:uid="{00000000-0006-0000-0A00-000026000000}">
      <text>
        <r>
          <rPr>
            <sz val="10"/>
            <color rgb="FF000000"/>
            <rFont val="Arial"/>
            <scheme val="minor"/>
          </rPr>
          <t>======
ID#AAAA_KKI7A8
Ayat Ali    (2023-10-27 22:29:04)
تم تنفيذ 12 تقيم نفسي بشهر 7</t>
        </r>
      </text>
    </comment>
    <comment ref="P37" authorId="0" shapeId="0" xr:uid="{00000000-0006-0000-0A00-00001E000000}">
      <text>
        <r>
          <rPr>
            <sz val="10"/>
            <color rgb="FF000000"/>
            <rFont val="Arial"/>
            <scheme val="minor"/>
          </rPr>
          <t>======
ID#AAAA_OXgj5g
snaa khalifa    (2023-10-30 08:38:52)
2 ندوة عن حقوق الأشخاص ذوى الأعاقة عدد الحضور (25 شخص ) بكل ندوة</t>
        </r>
      </text>
    </comment>
    <comment ref="H38" authorId="0" shapeId="0" xr:uid="{00000000-0006-0000-0A00-000012000000}">
      <text>
        <r>
          <rPr>
            <sz val="10"/>
            <color rgb="FF000000"/>
            <rFont val="Arial"/>
            <scheme val="minor"/>
          </rPr>
          <t>======
ID#AAAA_iliQ6M
Ayat Ali    (2023-11-04 08:20:45)
عدد الحضور 20 في مقر جمعية تنمية المجتمع بالحواتكة</t>
        </r>
      </text>
    </comment>
    <comment ref="I38" authorId="0" shapeId="0" xr:uid="{00000000-0006-0000-0A00-000005000000}">
      <text>
        <r>
          <rPr>
            <sz val="10"/>
            <color rgb="FF000000"/>
            <rFont val="Arial"/>
            <scheme val="minor"/>
          </rPr>
          <t>عنوان الندوة :- آداب التعامل مع الأشخاص ذوي الإعاقة  
التاريخ :- 15/10/2023
المسؤول :- أسماء مصطفي مدير  إحالة للأطفال  المعرضيين للخطر وزارة التضامن الإجتماعي المشاركين :-   26من أولياء الأمور من وحدة بني شقير
======</t>
        </r>
      </text>
    </comment>
    <comment ref="J38" authorId="0" shapeId="0" xr:uid="{00000000-0006-0000-0A00-000021000000}">
      <text>
        <r>
          <rPr>
            <sz val="10"/>
            <color rgb="FF000000"/>
            <rFont val="Arial"/>
            <scheme val="minor"/>
          </rPr>
          <t>======
ID#AAAA_Fdtx60
snaa khalifa    (2023-10-29 10:57:44)
1. ندوة الإكتشاف المبكر (23 حضور من أسر المستفدين , مقر الوحدة بجمعية كيان إنسان)
2. ندوة الإكتشاف المبكر (23 حضور من أسر المستفدين , مقر الوحدة بجمعية كيان إنسان )</t>
        </r>
      </text>
    </comment>
    <comment ref="M38" authorId="0" shapeId="0" xr:uid="{00000000-0006-0000-0A00-000030000000}">
      <text>
        <r>
          <rPr>
            <sz val="10"/>
            <color rgb="FF000000"/>
            <rFont val="Arial"/>
            <scheme val="minor"/>
          </rPr>
          <t>======
ID#AAAA_FltoXs
snaa khalifa    (2023-10-26 08:38:52)
حقوق الأشخاص ذزى الإعاقة بحضور عدد26 أسرة</t>
        </r>
      </text>
    </comment>
    <comment ref="N38" authorId="0" shapeId="0" xr:uid="{00000000-0006-0000-0A00-000023000000}">
      <text>
        <r>
          <rPr>
            <sz val="10"/>
            <color rgb="FF000000"/>
            <rFont val="Arial"/>
            <scheme val="minor"/>
          </rPr>
          <t>======
ID#AAAA_LhU8rE
snaa khalifa    (2023-10-29 07:17:05)
1. ندوة آداب التعامل بمدرسة تناغة (طلاب المدرسة جميعهم)
2. ندوة الإكتشاف المبكر بمدرسة تناغة (25 معلمة)</t>
        </r>
      </text>
    </comment>
    <comment ref="O38" authorId="0" shapeId="0" xr:uid="{00000000-0006-0000-0A00-00002E000000}">
      <text>
        <r>
          <rPr>
            <sz val="10"/>
            <color rgb="FF000000"/>
            <rFont val="Arial"/>
            <scheme val="minor"/>
          </rPr>
          <t>======
ID#AAAA_G1Is10
snaa khalifa    (2023-10-26 11:23:52)
1-ندوة الأكتشاف والتدخل المبكر بعدد (30 ) أسرة 
2- ندوة حقوق الأشخاص ذوى الإعاقة بعدد أسر (22 )أسرة</t>
        </r>
      </text>
    </comment>
    <comment ref="Q38" authorId="0" shapeId="0" xr:uid="{00000000-0006-0000-0A00-000020000000}">
      <text>
        <r>
          <rPr>
            <sz val="10"/>
            <color rgb="FF000000"/>
            <rFont val="Arial"/>
            <scheme val="minor"/>
          </rPr>
          <t>======
ID#AAAA_Fdtx64
snaa khalifa    (2023-10-29 12:51:22)
1.حقوق الأشخاص من ذوى الإعاقة بقرية بانوب (65 حضور)
2. آداب التعامل مع الأشخاص من ذوى الإعاقة بمقر الجمعية (30 حضور بأعمار مختلفة من 12 ل 25 سنة )</t>
        </r>
      </text>
    </comment>
    <comment ref="T38" authorId="0" shapeId="0" xr:uid="{00000000-0006-0000-0A00-000017000000}">
      <text>
        <r>
          <rPr>
            <sz val="10"/>
            <color rgb="FF000000"/>
            <rFont val="Arial"/>
            <scheme val="minor"/>
          </rPr>
          <t>======
ID#AAAA_OfsZRM
snaa khalifa    (2023-10-30 09:31:45)
أداب العمل مع ذوى الإعاقة بحضور 32 اسرة</t>
        </r>
      </text>
    </comment>
    <comment ref="U38" authorId="0" shapeId="0" xr:uid="{00000000-0006-0000-0A00-00001A000000}">
      <text>
        <r>
          <rPr>
            <sz val="10"/>
            <color rgb="FF000000"/>
            <rFont val="Arial"/>
            <scheme val="minor"/>
          </rPr>
          <t>======
ID#AAAA_OfsZQ0
snaa khalifa    (2023-10-30 09:09:30)
ندوة عن أداب التعامل مغ ذوى الإعاقة بحضور 20 شخص</t>
        </r>
      </text>
    </comment>
    <comment ref="V38" authorId="0" shapeId="0" xr:uid="{00000000-0006-0000-0A00-000006000000}">
      <text>
        <r>
          <rPr>
            <sz val="10"/>
            <color rgb="FF000000"/>
            <rFont val="Arial"/>
            <scheme val="minor"/>
          </rPr>
          <t>ندوه عن حقوق وآداب التعامل مع الأشخاص ذوي الاعاقة
======</t>
        </r>
      </text>
    </comment>
    <comment ref="W38" authorId="0" shapeId="0" xr:uid="{00000000-0006-0000-0A00-000016000000}">
      <text>
        <r>
          <rPr>
            <sz val="10"/>
            <color rgb="FF000000"/>
            <rFont val="Arial"/>
            <scheme val="minor"/>
          </rPr>
          <t>======
ID#AAAA_I-pCBE
Ayat Ali    (2023-10-30 18:10:27)
تم تنفيذ 6 ندوات مساهمة من الجمعية في الاشهر السابقة</t>
        </r>
      </text>
    </comment>
    <comment ref="Y38" authorId="0" shapeId="0" xr:uid="{00000000-0006-0000-0A00-000007000000}">
      <text>
        <r>
          <rPr>
            <sz val="10"/>
            <color rgb="FF000000"/>
            <rFont val="Arial"/>
            <scheme val="minor"/>
          </rPr>
          <t>الندوة عن حقوق الاشخاص ذوي  للاعاقة واهمية كرت الخدمات
======</t>
        </r>
      </text>
    </comment>
    <comment ref="AA38" authorId="0" shapeId="0" xr:uid="{00000000-0006-0000-0A00-000008000000}">
      <text>
        <r>
          <rPr>
            <sz val="10"/>
            <color rgb="FF000000"/>
            <rFont val="Arial"/>
            <scheme val="minor"/>
          </rPr>
          <t>ندوة عن استخراج بطاقة الخدمات المتكاملة والمحاضرين مسئولين مركز التاهيل الاجتماعي بابوتيج يوم الاحد الموافق 24/10/2023 وعدد الاسر 40 اسر الجلسات واسر الزيارات المنزلية
======</t>
        </r>
      </text>
    </comment>
    <comment ref="AG38" authorId="0" shapeId="0" xr:uid="{00000000-0006-0000-0A00-000009000000}">
      <text>
        <r>
          <rPr>
            <sz val="10"/>
            <color rgb="FF000000"/>
            <rFont val="Arial"/>
            <scheme val="minor"/>
          </rPr>
          <t xml:space="preserve"> تم تنفيذ الندوة في شهر 9
تم تنفيذ ندوة عن الاكتشاف المبكر للاعاقة تضمنت الندوة المحاور الاتيه : 
1- التدخل المبكر لاكتشاف ذوى الاعاقة 
2_ اهميه رعاية ذوى الاعاقة 
3_  عرض نماذج مبدعه ورائده لطاقات ذوى الاعاقة
 تم حضور 20 اسرة من اسر وحدة النويرة
======</t>
        </r>
      </text>
    </comment>
    <comment ref="AJ38" authorId="0" shapeId="0" xr:uid="{00000000-0006-0000-0A00-000025000000}">
      <text>
        <r>
          <rPr>
            <sz val="10"/>
            <color rgb="FF000000"/>
            <rFont val="Arial"/>
            <scheme val="minor"/>
          </rPr>
          <t>======
ID#AAAA_KKI7BA
Ayat Ali    (2023-10-27 22:29:44)
تم تنفيذ الندوة بشهر يناير</t>
        </r>
      </text>
    </comment>
    <comment ref="H40" authorId="0" shapeId="0" xr:uid="{00000000-0006-0000-0A00-000011000000}">
      <text>
        <r>
          <rPr>
            <sz val="10"/>
            <color rgb="FF000000"/>
            <rFont val="Arial"/>
            <scheme val="minor"/>
          </rPr>
          <t>======
ID#AAAA_iliQ6Q
Ayat Ali    (2023-11-04 08:21:23)
الجولة الاولي للخباط عدد حضور الاطفال 4 والجولة الثانية لجزار عدد حضور الاطفال 4</t>
        </r>
      </text>
    </comment>
    <comment ref="I40" authorId="0" shapeId="0" xr:uid="{00000000-0006-0000-0A00-00000A000000}">
      <text>
        <r>
          <rPr>
            <sz val="10"/>
            <color rgb="FF000000"/>
            <rFont val="Arial"/>
            <scheme val="minor"/>
          </rPr>
          <t>الجولة الأولي :- محل السلع الغذائية 14/10/2023  الأطفال:- مازن حمادة عادل 2- مروان حسني 3- محمد حسني  المسؤول :- أ/ نورا و أ/ آمل 
الجولة القانية :- محل الأحذية 16/10/2023 الأطفال :- 1- رمضان مسامج 2- لؤي رمضان 3- عمرو عباس المسؤول أ/ هبه وأنورا         الجولة الثالثة :- المزرعة 17/10/2023 الأطفال 1-هاجر جمال حسين 2- زينب محمد أحمد المسئول :- أ/ نورا وأامل
======</t>
        </r>
      </text>
    </comment>
    <comment ref="M40" authorId="0" shapeId="0" xr:uid="{00000000-0006-0000-0A00-00002F000000}">
      <text>
        <r>
          <rPr>
            <sz val="10"/>
            <color rgb="FF000000"/>
            <rFont val="Arial"/>
            <scheme val="minor"/>
          </rPr>
          <t>======
ID#AAAA_FltoXw
snaa khalifa    (2023-10-26 08:40:11)
1- جولة مهنة الحلاق بعدد (3 ) أطفال
2- جولة محل الفراخ بعدد (2 )طفل</t>
        </r>
      </text>
    </comment>
    <comment ref="N40" authorId="0" shapeId="0" xr:uid="{00000000-0006-0000-0A00-000022000000}">
      <text>
        <r>
          <rPr>
            <sz val="10"/>
            <color rgb="FF000000"/>
            <rFont val="Arial"/>
            <scheme val="minor"/>
          </rPr>
          <t>======
ID#AAAA_LhU8rI
snaa khalifa    (2023-10-29 07:18:46)
محل الأدوات المنزلية ( 3 طفل )
محل الملابس ( 3 طفل )
محل الأحذية ( 3 طفل )</t>
        </r>
      </text>
    </comment>
    <comment ref="O40" authorId="0" shapeId="0" xr:uid="{00000000-0006-0000-0A00-00002D000000}">
      <text>
        <r>
          <rPr>
            <sz val="10"/>
            <color rgb="FF000000"/>
            <rFont val="Arial"/>
            <scheme val="minor"/>
          </rPr>
          <t>======
ID#AAAA_G1Is18
snaa khalifa    (2023-10-26 11:29:21)
1- سوبر ماركت 6أطفال 
2-محل الملابس 4 أطفال 
3- محل الفراخ 4 أطفال</t>
        </r>
      </text>
    </comment>
    <comment ref="P40" authorId="0" shapeId="0" xr:uid="{00000000-0006-0000-0A00-00001D000000}">
      <text>
        <r>
          <rPr>
            <sz val="10"/>
            <color rgb="FF000000"/>
            <rFont val="Arial"/>
            <scheme val="minor"/>
          </rPr>
          <t>======
ID#AAAA_OXgj5k
snaa khalifa    (2023-10-30 08:40:03)
1- جولة المكتبة 3 أطفال 
2- جولة المزرعة 3 أطفال 
3- جولة مهنة الحلاق (3 أطفال )</t>
        </r>
      </text>
    </comment>
    <comment ref="Q40" authorId="0" shapeId="0" xr:uid="{00000000-0006-0000-0A00-00001F000000}">
      <text>
        <r>
          <rPr>
            <sz val="10"/>
            <color rgb="FF000000"/>
            <rFont val="Arial"/>
            <scheme val="minor"/>
          </rPr>
          <t>======
ID#AAAA_Fdtx68
snaa khalifa    (2023-10-29 12:52:14)
1. المكتبة 3 أطفال
2. محل الأدوات المنزلية 3 أطفال</t>
        </r>
      </text>
    </comment>
    <comment ref="T40" authorId="0" shapeId="0" xr:uid="{00000000-0006-0000-0A00-000018000000}">
      <text>
        <r>
          <rPr>
            <sz val="10"/>
            <color rgb="FF000000"/>
            <rFont val="Arial"/>
            <scheme val="minor"/>
          </rPr>
          <t>======
ID#AAAA_OfsZRE
snaa khalifa    (2023-10-30 09:24:21)
1- جولة المكتبة 2 طفل 
2- جولة السوبر ماركت 3 أطفال</t>
        </r>
      </text>
    </comment>
    <comment ref="U40" authorId="0" shapeId="0" xr:uid="{00000000-0006-0000-0A00-000019000000}">
      <text>
        <r>
          <rPr>
            <sz val="10"/>
            <color rgb="FF000000"/>
            <rFont val="Arial"/>
            <scheme val="minor"/>
          </rPr>
          <t>======
ID#AAAA_OfsZQ8
snaa khalifa    (2023-10-30 09:23:40)
1- جولة المكتبة 5 أطفل 
2-</t>
        </r>
      </text>
    </comment>
    <comment ref="V40" authorId="0" shapeId="0" xr:uid="{00000000-0006-0000-0A00-00000B000000}">
      <text>
        <r>
          <rPr>
            <sz val="10"/>
            <color rgb="FF000000"/>
            <rFont val="Arial"/>
            <scheme val="minor"/>
          </rPr>
          <t>جولة حره يوم 23/10/2023الي المخبز+ 2 جولة تم تنفيذها في شهلر 4
======</t>
        </r>
      </text>
    </comment>
    <comment ref="W40" authorId="0" shapeId="0" xr:uid="{00000000-0006-0000-0A00-000010000000}">
      <text>
        <r>
          <rPr>
            <sz val="10"/>
            <color rgb="FF000000"/>
            <rFont val="Arial"/>
            <scheme val="minor"/>
          </rPr>
          <t>======
ID#AAAA_iliQ6U
Ayat Ali    (2023-11-04 08:35:59)
تم تنفيذ 2 جولة في شهر اكتوبر +3 جولات تم تنفيذهم في الاشهر السابقة</t>
        </r>
      </text>
    </comment>
    <comment ref="Y40" authorId="0" shapeId="0" xr:uid="{00000000-0006-0000-0A00-00000C000000}">
      <text>
        <r>
          <rPr>
            <sz val="10"/>
            <color rgb="FF000000"/>
            <rFont val="Arial"/>
            <scheme val="minor"/>
          </rPr>
          <t>جولة للسوبر مركت يوم 19/10/2023 عدد الاطفال 5 اطفال (رحمة -زينب-محمد على -حنين -اميمة)    جولة للمخبز يوم 24/10/2023 عدد الاطفال 5 اطفال (حسن -ابراهيم -زياد-روان -اسلام )
======</t>
        </r>
      </text>
    </comment>
    <comment ref="Z40" authorId="0" shapeId="0" xr:uid="{00000000-0006-0000-0A00-000013000000}">
      <text>
        <r>
          <rPr>
            <sz val="10"/>
            <color rgb="FF000000"/>
            <rFont val="Arial"/>
            <scheme val="minor"/>
          </rPr>
          <t>======
ID#AAAA_O5P03s
Ayat Ali    (2023-10-31 05:33:38)
تم تنفيذ جولة لمعرفة الاطفال معرفة الشراء</t>
        </r>
      </text>
    </comment>
    <comment ref="AA40" authorId="0" shapeId="0" xr:uid="{00000000-0006-0000-0A00-00000D000000}">
      <text>
        <r>
          <rPr>
            <sz val="10"/>
            <color rgb="FF000000"/>
            <rFont val="Arial"/>
            <scheme val="minor"/>
          </rPr>
          <t>جولتين بتاريخ 19/10/2023 و23/10/2023 وعدد الاطفال 2 و 2 و أسر يوم الخميس والاثنين اول جولة للمخبز وتاني جولة للصيدلية+2 جولة تم تنفيذهم في شهر مارس وشهر ابريل 
======</t>
        </r>
      </text>
    </comment>
    <comment ref="AG40" authorId="0" shapeId="0" xr:uid="{00000000-0006-0000-0A00-000028000000}">
      <text>
        <r>
          <rPr>
            <sz val="10"/>
            <color rgb="FF000000"/>
            <rFont val="Arial"/>
            <scheme val="minor"/>
          </rPr>
          <t>======
ID#AAAA_KJaNUw
Ayat Ali    (2023-10-27 21:42:49)
تم تنفيذ جولة بحضورة 2 طفل</t>
        </r>
      </text>
    </comment>
    <comment ref="AH40" authorId="0" shapeId="0" xr:uid="{00000000-0006-0000-0A00-00002B000000}">
      <text>
        <r>
          <rPr>
            <sz val="10"/>
            <color rgb="FF000000"/>
            <rFont val="Arial"/>
            <scheme val="minor"/>
          </rPr>
          <t>======
ID#AAAA_KJaNUQ
Ayat Ali    (2023-10-27 20:03:50)
تم تنفيذ 3 جولات بشهر ابريل +تم تنفيذ ندوة بشهر مايو + تم تنفيذ ندوة بشهر يونيو</t>
        </r>
      </text>
    </comment>
    <comment ref="AJ40" authorId="0" shapeId="0" xr:uid="{00000000-0006-0000-0A00-000024000000}">
      <text>
        <r>
          <rPr>
            <sz val="10"/>
            <color rgb="FF000000"/>
            <rFont val="Arial"/>
            <scheme val="minor"/>
          </rPr>
          <t>======
ID#AAAA_KKI7BE
Ayat Ali    (2023-10-27 22:30:50)
تم تنفيذ 3 جولات بشهرمايو + 4 جولات بشهر فبراير</t>
        </r>
      </text>
    </comment>
    <comment ref="W42" authorId="0" shapeId="0" xr:uid="{00000000-0006-0000-0A00-000015000000}">
      <text>
        <r>
          <rPr>
            <sz val="10"/>
            <color rgb="FF000000"/>
            <rFont val="Arial"/>
            <scheme val="minor"/>
          </rPr>
          <t>======
ID#AAAA_I-pCBI
Ayat Ali    (2023-10-30 18:15:11)
تم تنفبذ 2 يوم ترفيهي دامج في شهر اكتوبر + تم تنفيذ يوم بشهر فبراير +2 يوم في شهر مارس +2 يوم في شهر ابريل +1 بشهر مايو+1 شهر ابريل +ايونيو</t>
        </r>
      </text>
    </comment>
    <comment ref="AA42" authorId="0" shapeId="0" xr:uid="{00000000-0006-0000-0A00-00000E000000}">
      <text>
        <r>
          <rPr>
            <sz val="10"/>
            <color rgb="FF000000"/>
            <rFont val="Arial"/>
            <scheme val="minor"/>
          </rPr>
          <t>بحديقة ناصر بابوتيج يوم الثلاثاء الموافق 2/10/2023 وعدد الاسر بالاطفال 37 ذكور وإناث وبالغين
======</t>
        </r>
      </text>
    </comment>
    <comment ref="AG42" authorId="0" shapeId="0" xr:uid="{00000000-0006-0000-0A00-000027000000}">
      <text>
        <r>
          <rPr>
            <sz val="10"/>
            <color rgb="FF000000"/>
            <rFont val="Arial"/>
            <scheme val="minor"/>
          </rPr>
          <t>======
ID#AAAA_KJaNU0
Ayat Ali    (2023-10-27 21:43:27)
تم تنفيذ اليوم الترفيهي في شهر 6</t>
        </r>
      </text>
    </comment>
    <comment ref="M44" authorId="0" shapeId="0" xr:uid="{00000000-0006-0000-0A00-000031000000}">
      <text>
        <r>
          <rPr>
            <sz val="10"/>
            <color rgb="FF000000"/>
            <rFont val="Arial"/>
            <scheme val="minor"/>
          </rPr>
          <t>======
ID#AAAA_FltoXo
snaa khalifa    (2023-10-26 08:36:06)
تنفيذ ورشة عن تنمية اللغه بحضور عدد 12 أسرة</t>
        </r>
      </text>
    </comment>
    <comment ref="O44" authorId="0" shapeId="0" xr:uid="{00000000-0006-0000-0A00-00001B000000}">
      <text>
        <r>
          <rPr>
            <sz val="10"/>
            <color rgb="FF000000"/>
            <rFont val="Arial"/>
            <scheme val="minor"/>
          </rPr>
          <t>======
ID#AAAA_OXgj5w
snaa khalifa    (2023-10-30 08:44:16)
تنفيذ ورشة عن تنمية اللغه بحضور عدد 15 أسرة</t>
        </r>
      </text>
    </comment>
    <comment ref="P44" authorId="0" shapeId="0" xr:uid="{00000000-0006-0000-0A00-00001C000000}">
      <text>
        <r>
          <rPr>
            <sz val="10"/>
            <color rgb="FF000000"/>
            <rFont val="Arial"/>
            <scheme val="minor"/>
          </rPr>
          <t>======
ID#AAAA_OXgj5s
snaa khalifa    (2023-10-30 08:42:57)
تنفيذ ورشة عن تنمية اللغه بحضور عدد 15 أسرة</t>
        </r>
      </text>
    </comment>
    <comment ref="X48" authorId="0" shapeId="0" xr:uid="{00000000-0006-0000-0A00-00000F000000}">
      <text>
        <r>
          <rPr>
            <sz val="10"/>
            <color rgb="FF000000"/>
            <rFont val="Arial"/>
            <scheme val="minor"/>
          </rPr>
          <t xml:space="preserve">
======</t>
        </r>
      </text>
    </comment>
    <comment ref="AA61" authorId="0" shapeId="0" xr:uid="{00000000-0006-0000-0A00-000014000000}">
      <text>
        <r>
          <rPr>
            <sz val="10"/>
            <color rgb="FF000000"/>
            <rFont val="Arial"/>
            <scheme val="minor"/>
          </rPr>
          <t>======
ID#AAAA_O5P03o
Ayat Ali    (2023-10-31 04:49:41)
2 احزية وشنطة مدرسة</t>
        </r>
      </text>
    </comment>
    <comment ref="AH66" authorId="0" shapeId="0" xr:uid="{00000000-0006-0000-0A00-00002A000000}">
      <text>
        <r>
          <rPr>
            <sz val="10"/>
            <color rgb="FF000000"/>
            <rFont val="Arial"/>
            <scheme val="minor"/>
          </rPr>
          <t>======
ID#AAAA_KJaNUg
Ayat Ali    (2023-10-27 20:09:17)
تم توزيع مواد غذائية علي ثلاث مستهدفين وهم هالة محمود +فايل يوسف +سعيد عاطف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TI0F+WgQO82P4TiJkjCRCmndPw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24" authorId="0" shapeId="0" xr:uid="{00000000-0006-0000-0B00-00000A000000}">
      <text>
        <r>
          <rPr>
            <sz val="10"/>
            <color rgb="FF000000"/>
            <rFont val="Arial"/>
            <scheme val="minor"/>
          </rPr>
          <t>======
ID#AAAA38OsIpU
Ayat Ali    (2023-08-28 12:35:30)
كل مسئولة تم تنفيذ 60  جلسة</t>
        </r>
      </text>
    </comment>
    <comment ref="M38" authorId="0" shapeId="0" xr:uid="{00000000-0006-0000-0B00-000014000000}">
      <text>
        <r>
          <rPr>
            <sz val="10"/>
            <color rgb="FF000000"/>
            <rFont val="Arial"/>
            <scheme val="minor"/>
          </rPr>
          <t>======
ID#AAAA3-UD-Dg
snaa khalifa    (2023-08-27 06:47:53)
ندوة عن الأكتشاف والتدخل المبكر مع أطفال الأعاقة الحركية بمشاركة عدد (26 أسرة )</t>
        </r>
      </text>
    </comment>
    <comment ref="R38" authorId="0" shapeId="0" xr:uid="{00000000-0006-0000-0B00-00000D000000}">
      <text>
        <r>
          <rPr>
            <sz val="10"/>
            <color rgb="FF000000"/>
            <rFont val="Arial"/>
            <scheme val="minor"/>
          </rPr>
          <t>======
ID#AAAA3-okLnU
snaa khalifa    (2023-08-28 08:40:44)
تنفيذ ندوة عن حقوق الأشخاص ذوى الإعاقة ( مناقشة الحق فى استخراج كارت الخدمات المتكاملة ) بحضور عدد (20 أسرة )</t>
        </r>
      </text>
    </comment>
    <comment ref="S38" authorId="0" shapeId="0" xr:uid="{00000000-0006-0000-0B00-00000E000000}">
      <text>
        <r>
          <rPr>
            <sz val="10"/>
            <color rgb="FF000000"/>
            <rFont val="Arial"/>
            <scheme val="minor"/>
          </rPr>
          <t>======
ID#AAAA3-okLnQ
snaa khalifa    (2023-08-28 08:39:24)
تنفيذ ندوة عن أهمية الأكتشاف والتدخل المبكر</t>
        </r>
      </text>
    </comment>
    <comment ref="Y38" authorId="0" shapeId="0" xr:uid="{00000000-0006-0000-0B00-000001000000}">
      <text>
        <r>
          <rPr>
            <sz val="10"/>
            <color rgb="FF000000"/>
            <rFont val="Arial"/>
            <scheme val="minor"/>
          </rPr>
          <t>عمل ندوة بتاريخ 19/8/2023عدد الأسر 60اسرة
ثانى ندوة بتاريخ 23/8/2023عددالاسرة50اسرة وأطفالهم من ذوى الاعاقة وغير ذوى الاعاقة
======</t>
        </r>
      </text>
    </comment>
    <comment ref="Z38" authorId="0" shapeId="0" xr:uid="{00000000-0006-0000-0B00-000002000000}">
      <text>
        <r>
          <rPr>
            <sz val="10"/>
            <color rgb="FF000000"/>
            <rFont val="Arial"/>
            <scheme val="minor"/>
          </rPr>
          <t>تاريخ الندوة/8/8/2023                     مكان اتنفيذ/ قصر الثقافه                 عددالاسر  10
======</t>
        </r>
      </text>
    </comment>
    <comment ref="AF38" authorId="0" shapeId="0" xr:uid="{00000000-0006-0000-0B00-000009000000}">
      <text>
        <r>
          <rPr>
            <sz val="10"/>
            <color rgb="FF000000"/>
            <rFont val="Arial"/>
            <scheme val="minor"/>
          </rPr>
          <t>======
ID#AAAA4EggDGI
snaa khalifa    (2023-08-30 07:39:47)
المحاضر ا/ لبني محمود عنوان / اداب التعامل مع الاشخاص ذوي الاعاقه عدد الحضور/23</t>
        </r>
      </text>
    </comment>
    <comment ref="I40" authorId="0" shapeId="0" xr:uid="{00000000-0006-0000-0B00-00000C000000}">
      <text>
        <r>
          <rPr>
            <sz val="10"/>
            <color rgb="FF000000"/>
            <rFont val="Arial"/>
            <scheme val="minor"/>
          </rPr>
          <t>======
ID#AAAA37RlYAc
Ayat Ali    (2023-08-28 10:43:08)
ا/ جولة بتاريخ 10/8/2023 لمحل الجزارة بحضور 3 اطفال
2/جولة بتاريخ 9/8/2023 محل الخياطة بحضور 3 اطفال 
3/جولة بتاريخ 13/8/2023 للمكوجي بحضور 3 اطفال</t>
        </r>
      </text>
    </comment>
    <comment ref="J40" authorId="0" shapeId="0" xr:uid="{00000000-0006-0000-0B00-000013000000}">
      <text>
        <r>
          <rPr>
            <sz val="10"/>
            <color rgb="FF000000"/>
            <rFont val="Arial"/>
            <scheme val="minor"/>
          </rPr>
          <t>======
ID#AAAA38_OKLI
snaa khalifa    (2023-08-27 11:48:44)
1- جولة محطة القطار بعدد 4 أطفال 
2- جولة السوبر ماركت بعدد 4 أطفال</t>
        </r>
      </text>
    </comment>
    <comment ref="K40" authorId="0" shapeId="0" xr:uid="{00000000-0006-0000-0B00-000015000000}">
      <text>
        <r>
          <rPr>
            <sz val="10"/>
            <color rgb="FF000000"/>
            <rFont val="Arial"/>
            <scheme val="minor"/>
          </rPr>
          <t>======
ID#AAAA3-UD-Dc
snaa khalifa    (2023-08-27 06:46:35)
1- جولة المشغل لتعرف على مهنة الخياط 3 أطفال
2- جولة السوير ماركت بمشاركة عدد 3 أطفال</t>
        </r>
      </text>
    </comment>
    <comment ref="L40" authorId="0" shapeId="0" xr:uid="{00000000-0006-0000-0B00-000010000000}">
      <text>
        <r>
          <rPr>
            <sz val="10"/>
            <color rgb="FF000000"/>
            <rFont val="Arial"/>
            <scheme val="minor"/>
          </rPr>
          <t>======
ID#AAAA3-okLmI
snaa khalifa    (2023-08-28 07:38:17)
جولة السوبر ماركت بعدد أطفال (6 )</t>
        </r>
      </text>
    </comment>
    <comment ref="M40" authorId="0" shapeId="0" xr:uid="{00000000-0006-0000-0B00-000016000000}">
      <text>
        <r>
          <rPr>
            <sz val="10"/>
            <color rgb="FF000000"/>
            <rFont val="Arial"/>
            <scheme val="minor"/>
          </rPr>
          <t>======
ID#AAAA3-UD-DY
snaa khalifa    (2023-08-27 06:40:27)
1- جولة المشغل لتعرف على مهنة الخياط 3 أطفال
2- جولة المكتبة  بمشاركة عدد 3 أطفال</t>
        </r>
      </text>
    </comment>
    <comment ref="N40" authorId="0" shapeId="0" xr:uid="{00000000-0006-0000-0B00-000012000000}">
      <text>
        <r>
          <rPr>
            <sz val="10"/>
            <color rgb="FF000000"/>
            <rFont val="Arial"/>
            <scheme val="minor"/>
          </rPr>
          <t>======
ID#AAAA38_OKLM
snaa khalifa    (2023-08-27 12:23:44)
م1- حل الجزارة  بعدد (3 أطفال ) 
2- / محل بيع الفراخ بعدد (3) أطفال</t>
        </r>
      </text>
    </comment>
    <comment ref="Q40" authorId="0" shapeId="0" xr:uid="{00000000-0006-0000-0B00-000017000000}">
      <text>
        <r>
          <rPr>
            <sz val="10"/>
            <color rgb="FF000000"/>
            <rFont val="Arial"/>
            <scheme val="minor"/>
          </rPr>
          <t>======
ID#AAAA385xg6w
snaa khalifa    (2023-08-26 10:31:33)
1- جولة محطة القطار بعدد 5 أطفال 
2- جولة الصيدلية بعدد 5 أطفال</t>
        </r>
      </text>
    </comment>
    <comment ref="R40" authorId="0" shapeId="0" xr:uid="{00000000-0006-0000-0B00-00000F000000}">
      <text>
        <r>
          <rPr>
            <sz val="10"/>
            <color rgb="FF000000"/>
            <rFont val="Arial"/>
            <scheme val="minor"/>
          </rPr>
          <t>======
ID#AAAA3-okLmQ
snaa khalifa    (2023-08-28 08:02:08)
1- جولة محل الملابس بعدد (5أطفال ) 
2- جولة محل أدوات منزاية ( 6 أطفال )</t>
        </r>
      </text>
    </comment>
    <comment ref="T40" authorId="0" shapeId="0" xr:uid="{00000000-0006-0000-0B00-000011000000}">
      <text>
        <r>
          <rPr>
            <sz val="10"/>
            <color rgb="FF000000"/>
            <rFont val="Arial"/>
            <scheme val="minor"/>
          </rPr>
          <t>======
ID#AAAA3-okLmE
snaa khalifa    (2023-08-28 07:12:16)
1- جولة الفاكهانى بعدد (5 أطفال ) 
2- المكتبة بعدد أطفال (4 أطفال )</t>
        </r>
      </text>
    </comment>
    <comment ref="V40" authorId="0" shapeId="0" xr:uid="{00000000-0006-0000-0B00-000003000000}">
      <text>
        <r>
          <rPr>
            <sz val="10"/>
            <color rgb="FF000000"/>
            <rFont val="Arial"/>
            <scheme val="minor"/>
          </rPr>
          <t>جولة حرة للوحدة الصحية 
لبيان الخدمات الموجودة في الوحدة الصحية 
أوضة كشف الاسنان، صيدلية الوحدة،المعمل والخدمات المتوفرة به
الممرضة ودورها في الوحدة
عدد الأطفال :1-زينب محمد عثمان
2-عبدالله محمود غندور
3-كامل سيد كامل
4-محمد رمضان
5-مروة محمد عبد المنطلب
6-مريم محمد عبد المنطلب
======</t>
        </r>
      </text>
    </comment>
    <comment ref="Y40" authorId="0" shapeId="0" xr:uid="{00000000-0006-0000-0B00-000004000000}">
      <text>
        <r>
          <rPr>
            <sz val="10"/>
            <color rgb="FF000000"/>
            <rFont val="Arial"/>
            <scheme val="minor"/>
          </rPr>
          <t>يوم 24/8/2023عدد الأطفال 4
======</t>
        </r>
      </text>
    </comment>
    <comment ref="AF40" authorId="0" shapeId="0" xr:uid="{00000000-0006-0000-0B00-000008000000}">
      <text>
        <r>
          <rPr>
            <sz val="10"/>
            <color rgb="FF000000"/>
            <rFont val="Arial"/>
            <scheme val="minor"/>
          </rPr>
          <t>======
ID#AAAA4EggDGM
snaa khalifa    (2023-08-30 07:40:28)
السوبر ماركت شيرين العارف كسر الرهبه عند الاخوه من الخروج بها امام الناس وكيفيه التعامل مع النقود</t>
        </r>
      </text>
    </comment>
    <comment ref="I42" authorId="0" shapeId="0" xr:uid="{00000000-0006-0000-0B00-00000B000000}">
      <text>
        <r>
          <rPr>
            <sz val="10"/>
            <color rgb="FF000000"/>
            <rFont val="Arial"/>
            <scheme val="minor"/>
          </rPr>
          <t>======
ID#AAAA37RlYAg
Ayat Ali    (2023-08-28 10:44:08)
يوم ترفيهي بتاريخ 24/8/2023 عدد الحضور 62
34 ذكور +28 ايناث</t>
        </r>
      </text>
    </comment>
    <comment ref="V44" authorId="0" shapeId="0" xr:uid="{00000000-0006-0000-0B00-000005000000}">
      <text>
        <r>
          <rPr>
            <sz val="10"/>
            <color rgb="FF000000"/>
            <rFont val="Arial"/>
            <scheme val="minor"/>
          </rPr>
          <t>تم تنفيذ ورشة عن كيفية تنفيذ الاهداف الاكادمية قامت بتنفيذها ا/صفية المدير الفني لمسئولات التاهيل الثلاثة بتاريخ 21/8/2023
======</t>
        </r>
      </text>
    </comment>
    <comment ref="X48" authorId="0" shapeId="0" xr:uid="{00000000-0006-0000-0B00-000006000000}">
      <text>
        <r>
          <rPr>
            <sz val="10"/>
            <color rgb="FF000000"/>
            <rFont val="Arial"/>
            <scheme val="minor"/>
          </rPr>
          <t xml:space="preserve">
======</t>
        </r>
      </text>
    </comment>
    <comment ref="AG66" authorId="0" shapeId="0" xr:uid="{00000000-0006-0000-0B00-000007000000}">
      <text>
        <r>
          <rPr>
            <sz val="10"/>
            <color rgb="FF000000"/>
            <rFont val="Arial"/>
            <scheme val="minor"/>
          </rPr>
          <t xml:space="preserve"> 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IRxd/xDyvfDlMmCDTEa5YD3LF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8" authorId="0" shapeId="0" xr:uid="{00000000-0006-0000-0C00-00000D000000}">
      <text>
        <r>
          <rPr>
            <sz val="10"/>
            <color rgb="FF000000"/>
            <rFont val="Arial"/>
            <scheme val="minor"/>
          </rPr>
          <t>======
ID#AAAA7iMqMfU
Ayat Ali    (2023-09-30 08:45:37)
ندوة 19/9/2023 في مقر الجمعية عدد الحضور 20</t>
        </r>
      </text>
    </comment>
    <comment ref="I38" authorId="0" shapeId="0" xr:uid="{00000000-0006-0000-0C00-000001000000}">
      <text>
        <r>
          <rPr>
            <sz val="10"/>
            <color rgb="FF000000"/>
            <rFont val="Arial"/>
            <scheme val="minor"/>
          </rPr>
          <t>عنوان الندوة :- آداب التعامل مع الأشخاص ذوي الإعاقة                                                   التاريخ :- 24/9/2023                        
 المسؤول :- أسماء مصطفي                    ( مدير حالة للأطفال المعرضيين للخطروزارة التضامن الإجتماعي  )                                   المشاركين :- (26 ) من أولياء الأمور من حدة بني شقير
======</t>
        </r>
      </text>
    </comment>
    <comment ref="J38" authorId="0" shapeId="0" xr:uid="{00000000-0006-0000-0C00-000023000000}">
      <text>
        <r>
          <rPr>
            <sz val="10"/>
            <color rgb="FF000000"/>
            <rFont val="Arial"/>
            <scheme val="minor"/>
          </rPr>
          <t>======
ID#AAAA56YAj70
snaa khalifa    (2023-09-26 06:11:00)
ندوة عن الأكتشاف والتدخل المبكر بحضانة الحرادنة / الحضور 23 ( معلمات + اولياء أمور)</t>
        </r>
      </text>
    </comment>
    <comment ref="M38" authorId="0" shapeId="0" xr:uid="{00000000-0006-0000-0C00-00001F000000}">
      <text>
        <r>
          <rPr>
            <sz val="10"/>
            <color rgb="FF000000"/>
            <rFont val="Arial"/>
            <scheme val="minor"/>
          </rPr>
          <t>======
ID#AAAA52u_1Mo
snaa khalifa    (2023-09-26 11:22:39)
حقوق الأشخاص ذوى الإعاقة بحضور عدد (20 أسرة )</t>
        </r>
      </text>
    </comment>
    <comment ref="N38" authorId="0" shapeId="0" xr:uid="{00000000-0006-0000-0C00-00001D000000}">
      <text>
        <r>
          <rPr>
            <sz val="10"/>
            <color rgb="FF000000"/>
            <rFont val="Arial"/>
            <scheme val="minor"/>
          </rPr>
          <t>======
ID#AAAA52u_1Mw
snaa khalifa    (2023-09-26 11:43:05)
1-الوحدة الصحية (الإكتشاف المبكر للإعاقة) 25 الحضور
2- مقر الجمعية (آداب التعامل مع ذوى الإعاقة ..التنمر) 25 الحضور</t>
        </r>
      </text>
    </comment>
    <comment ref="P38" authorId="0" shapeId="0" xr:uid="{00000000-0006-0000-0C00-00000B000000}">
      <text>
        <r>
          <rPr>
            <sz val="10"/>
            <color rgb="FF000000"/>
            <rFont val="Arial"/>
            <scheme val="minor"/>
          </rPr>
          <t>======
ID#AAAA7iMqMfc
snaa khalifa    (2023-09-30 09:31:59)
1- ندوة عن حقوق الأشخاص ذوى الإعاقة بوحدة القصير بعدد 22
2- ندوة عن حقوق الأشخاص ذوى الإعاقة بوحدة دير القصير بعدد 27</t>
        </r>
      </text>
    </comment>
    <comment ref="Q38" authorId="0" shapeId="0" xr:uid="{00000000-0006-0000-0C00-00001A000000}">
      <text>
        <r>
          <rPr>
            <sz val="10"/>
            <color rgb="FF000000"/>
            <rFont val="Arial"/>
            <scheme val="minor"/>
          </rPr>
          <t>======
ID#AAAA57vneaw
snaa khalifa    (2023-09-27 07:32:02)
1- الوحدة الصحية (الإكتشاف المبكر للإعاقة ) الحضور 25 أسرة
2- مقراءة القرآن ( آداب التعامل مع ذوى الإعاقة ...التنمر) الحضور 30 طفل</t>
        </r>
      </text>
    </comment>
    <comment ref="R38" authorId="0" shapeId="0" xr:uid="{00000000-0006-0000-0C00-000017000000}">
      <text>
        <r>
          <rPr>
            <sz val="10"/>
            <color rgb="FF000000"/>
            <rFont val="Arial"/>
            <scheme val="minor"/>
          </rPr>
          <t>======
ID#AAAA57vnebQ
snaa khalifa    (2023-09-27 08:34:55)
أداب النعامل مع الأشخاص ذوى الأعاقة 27 أسرة</t>
        </r>
      </text>
    </comment>
    <comment ref="Y38" authorId="0" shapeId="0" xr:uid="{00000000-0006-0000-0C00-000002000000}">
      <text>
        <r>
          <rPr>
            <sz val="10"/>
            <color rgb="FF000000"/>
            <rFont val="Arial"/>
            <scheme val="minor"/>
          </rPr>
          <t>٣/٩/٢٠٢٣عدد الأسر ٣٠  الندوة عن أهمية كرت الخدمات
======</t>
        </r>
      </text>
    </comment>
    <comment ref="H40" authorId="0" shapeId="0" xr:uid="{00000000-0006-0000-0C00-00000E000000}">
      <text>
        <r>
          <rPr>
            <sz val="10"/>
            <color rgb="FF000000"/>
            <rFont val="Arial"/>
            <scheme val="minor"/>
          </rPr>
          <t>======
ID#AAAA7iMqMfQ
Ayat Ali    (2023-09-30 08:39:17)
جولة 31/8 للخياط عدد الاطفال 4 
جولة 14/9 الجزار عدد الاطفال 4</t>
        </r>
      </text>
    </comment>
    <comment ref="I40" authorId="0" shapeId="0" xr:uid="{00000000-0006-0000-0C00-000003000000}">
      <text>
        <r>
          <rPr>
            <sz val="10"/>
            <color rgb="FF000000"/>
            <rFont val="Arial"/>
            <scheme val="minor"/>
          </rPr>
          <t>- الجولة الأولي :- محل الفراخ   17/9/2023     الأطفال :- 1- منه صبر عبد الحفيظ 2- أحمد ممدوح   3- منار سيد                          المسؤول أ/ هبه  أ /   آمل                     -الجولة الثانية  :-  ورشة النجارة 19/9/2023    الأطفال :- 1- عبد الرحمن أجمد 2- حازم محمد فزاع 3- مكاسب عبد الستار فراج             المسؤول :- أ/ نورا وأ/ آمل
======</t>
        </r>
      </text>
    </comment>
    <comment ref="J40" authorId="0" shapeId="0" xr:uid="{00000000-0006-0000-0C00-000022000000}">
      <text>
        <r>
          <rPr>
            <sz val="10"/>
            <color rgb="FF000000"/>
            <rFont val="Arial"/>
            <scheme val="minor"/>
          </rPr>
          <t>======
ID#AAAA56YAj74
snaa khalifa    (2023-09-26 06:11:27)
المكتبة/السوبر ماركت/محل النظارات
3 أطفال بكل جولة</t>
        </r>
      </text>
    </comment>
    <comment ref="L40" authorId="0" shapeId="0" xr:uid="{00000000-0006-0000-0C00-00000F000000}">
      <text>
        <r>
          <rPr>
            <sz val="10"/>
            <color rgb="FF000000"/>
            <rFont val="Arial"/>
            <scheme val="minor"/>
          </rPr>
          <t>======
ID#AAAA7iMqMfM
snaa khalifa    (2023-09-30 08:06:54)
1- جولة المسجد بعدد أطفال (6 ) 
2- جولة عيادة العلاج الطبيعى بعدد أطفال (6 )</t>
        </r>
      </text>
    </comment>
    <comment ref="M40" authorId="0" shapeId="0" xr:uid="{00000000-0006-0000-0C00-00001E000000}">
      <text>
        <r>
          <rPr>
            <sz val="10"/>
            <color rgb="FF000000"/>
            <rFont val="Arial"/>
            <scheme val="minor"/>
          </rPr>
          <t>======
ID#AAAA52u_1Ms
snaa khalifa    (2023-09-26 11:24:20)
1- عيادة الدكتور بعدد (4 أطفال ) 
2- المكوجى بعدد (3 أطفال )</t>
        </r>
      </text>
    </comment>
    <comment ref="N40" authorId="0" shapeId="0" xr:uid="{00000000-0006-0000-0C00-00001C000000}">
      <text>
        <r>
          <rPr>
            <sz val="10"/>
            <color rgb="FF000000"/>
            <rFont val="Arial"/>
            <scheme val="minor"/>
          </rPr>
          <t>======
ID#AAAA52u_1M0
snaa khalifa    (2023-09-26 11:43:58)
جولة للصيدلية / لمكتبة مركز الشباب 3 أطفال بكل جولة</t>
        </r>
      </text>
    </comment>
    <comment ref="P40" authorId="0" shapeId="0" xr:uid="{00000000-0006-0000-0C00-00000C000000}">
      <text>
        <r>
          <rPr>
            <sz val="10"/>
            <color rgb="FF000000"/>
            <rFont val="Arial"/>
            <scheme val="minor"/>
          </rPr>
          <t>======
ID#AAAA7iMqMfY
snaa khalifa    (2023-09-30 09:27:11)
1- جولة المزرعة للتعرف على مهنة وأدوات الفلاح بعدد أطفال 5 
2- جولة المركب للتعرف على مهنة الصياد بعدد أطفال 2
3- جولة المسجد بعدد اطفال 2</t>
        </r>
      </text>
    </comment>
    <comment ref="Q40" authorId="0" shapeId="0" xr:uid="{00000000-0006-0000-0C00-000019000000}">
      <text>
        <r>
          <rPr>
            <sz val="10"/>
            <color rgb="FF000000"/>
            <rFont val="Arial"/>
            <scheme val="minor"/>
          </rPr>
          <t>======
ID#AAAA57vnea0
snaa khalifa    (2023-09-27 07:32:40)
المكتبة (2) طفل
المسجد (3)أطفال
قصر الثقافة (5)أطفال
محل الخردوات(5)أطفال</t>
        </r>
      </text>
    </comment>
    <comment ref="R40" authorId="0" shapeId="0" xr:uid="{00000000-0006-0000-0C00-000016000000}">
      <text>
        <r>
          <rPr>
            <sz val="10"/>
            <color rgb="FF000000"/>
            <rFont val="Arial"/>
            <scheme val="minor"/>
          </rPr>
          <t>======
ID#AAAA57vnebU
snaa khalifa    (2023-09-27 08:37:10)
1- جولة الجزار 3 اطفال 
جولة حلوى المولد النبوى 5 اطفال</t>
        </r>
      </text>
    </comment>
    <comment ref="T40" authorId="0" shapeId="0" xr:uid="{00000000-0006-0000-0C00-000015000000}">
      <text>
        <r>
          <rPr>
            <sz val="10"/>
            <color rgb="FF000000"/>
            <rFont val="Arial"/>
            <scheme val="minor"/>
          </rPr>
          <t>======
ID#AAAA57vnebY
snaa khalifa    (2023-09-27 09:05:12)
1- جولة بائع العاب الأطفال بعدد 2 طفل 
2- جولة الصيدلية بعدد 3 أطفال</t>
        </r>
      </text>
    </comment>
    <comment ref="V40" authorId="0" shapeId="0" xr:uid="{00000000-0006-0000-0C00-000004000000}">
      <text>
        <r>
          <rPr>
            <sz val="10"/>
            <color rgb="FF000000"/>
            <rFont val="Arial"/>
            <scheme val="minor"/>
          </rPr>
          <t>تم تنفيذ الجولة في الوحدة الصحية عدد حضور عبدالرحمن محمد 
محمد رمضان 
زينب محمد عثمان 
عبدالرحمن مصطفي خليفة 
كامل سيد كامل 
عبداللة محمود غندور
======</t>
        </r>
      </text>
    </comment>
    <comment ref="W40" authorId="0" shapeId="0" xr:uid="{00000000-0006-0000-0C00-000011000000}">
      <text>
        <r>
          <rPr>
            <sz val="10"/>
            <color rgb="FF000000"/>
            <rFont val="Arial"/>
            <scheme val="minor"/>
          </rPr>
          <t>======
ID#AAAA57vnecg
Ayat Ali    (2023-09-27 10:12:10)
جولة حرة للسوبر ماركت يوم 5/9/2023
عدد الاطفال 7 هم. رسمى علاء .محمد طه. احمديوسف. يوسف انور. حبيبه مصطفى عمر .سجده عثمان . جنى عصام</t>
        </r>
      </text>
    </comment>
    <comment ref="Y40" authorId="0" shapeId="0" xr:uid="{00000000-0006-0000-0C00-000005000000}">
      <text>
        <r>
          <rPr>
            <sz val="10"/>
            <color rgb="FF000000"/>
            <rFont val="Arial"/>
            <scheme val="minor"/>
          </rPr>
          <t>جولة للمكتبة يوم ٩/٩/٢٠٢٣عددالاطفال ٥
جولة المولد النبوى يوم ٢٠/٩/٢٠٢٣ عدد الأطفال ٥
======</t>
        </r>
      </text>
    </comment>
    <comment ref="Z40" authorId="0" shapeId="0" xr:uid="{00000000-0006-0000-0C00-000006000000}">
      <text>
        <r>
          <rPr>
            <sz val="10"/>
            <color rgb="FF000000"/>
            <rFont val="Arial"/>
            <scheme val="minor"/>
          </rPr>
          <t>الصيدلية الموافق 25/9/2023
4  اطفال
======</t>
        </r>
      </text>
    </comment>
    <comment ref="AA40" authorId="0" shapeId="0" xr:uid="{00000000-0006-0000-0C00-000007000000}">
      <text>
        <r>
          <rPr>
            <sz val="10"/>
            <color rgb="FF000000"/>
            <rFont val="Arial"/>
            <scheme val="minor"/>
          </rPr>
          <t>الجولة الاولي كانوا معرض حلوي مولد النبوي الشريف بتاريخ 23/9/2023  يوم السبت وعدد الاطفال7 
الجولة التانية عند الفكهاني بتاريخ 24/9 يوم الاحد عدد الاطفال1
======</t>
        </r>
      </text>
    </comment>
    <comment ref="AI40" authorId="0" shapeId="0" xr:uid="{00000000-0006-0000-0C00-000008000000}">
      <text>
        <r>
          <rPr>
            <sz val="10"/>
            <color rgb="FF000000"/>
            <rFont val="Arial"/>
            <scheme val="minor"/>
          </rPr>
          <t>تم تنفيذ جولة واحدة  للطفل معاذ احمد
======</t>
        </r>
      </text>
    </comment>
    <comment ref="J42" authorId="0" shapeId="0" xr:uid="{00000000-0006-0000-0C00-000021000000}">
      <text>
        <r>
          <rPr>
            <sz val="10"/>
            <color rgb="FF000000"/>
            <rFont val="Arial"/>
            <scheme val="minor"/>
          </rPr>
          <t>======
ID#AAAA56YAj78
snaa khalifa    (2023-09-26 06:12:45)
برتو فاملى الحضور ( 33 طفل   )</t>
        </r>
      </text>
    </comment>
    <comment ref="N42" authorId="0" shapeId="0" xr:uid="{00000000-0006-0000-0C00-00001B000000}">
      <text>
        <r>
          <rPr>
            <sz val="10"/>
            <color rgb="FF000000"/>
            <rFont val="Arial"/>
            <scheme val="minor"/>
          </rPr>
          <t>======
ID#AAAA52u_1M4
snaa khalifa    (2023-09-26 11:44:47)
برتو فاملى الحضور ( )</t>
        </r>
      </text>
    </comment>
    <comment ref="Q42" authorId="0" shapeId="0" xr:uid="{00000000-0006-0000-0C00-000018000000}">
      <text>
        <r>
          <rPr>
            <sz val="10"/>
            <color rgb="FF000000"/>
            <rFont val="Arial"/>
            <scheme val="minor"/>
          </rPr>
          <t>======
ID#AAAA57vnea4
snaa khalifa    (2023-09-27 07:34:04)
ملاهى ديروط (40)</t>
        </r>
      </text>
    </comment>
    <comment ref="W42" authorId="0" shapeId="0" xr:uid="{00000000-0006-0000-0C00-000010000000}">
      <text>
        <r>
          <rPr>
            <sz val="10"/>
            <color rgb="FF000000"/>
            <rFont val="Arial"/>
            <scheme val="minor"/>
          </rPr>
          <t>======
ID#AAAA57vneck
Ayat Ali    (2023-09-27 10:14:58)
يوم ترفيهي بمركز شباب منقباد يوم 21/9/2023
عدد الحضور 25</t>
        </r>
      </text>
    </comment>
    <comment ref="AA42" authorId="0" shapeId="0" xr:uid="{00000000-0006-0000-0C00-000009000000}">
      <text>
        <r>
          <rPr>
            <sz val="10"/>
            <color rgb="FF000000"/>
            <rFont val="Arial"/>
            <scheme val="minor"/>
          </rPr>
          <t>بتاريخ 24/9 يوم الاحد عدد حضور الاطفال 20 طفل من وحدة التاهيل +أخواتهم ومنهم عدد 14 طفل مقيد بوحدة التاهيل
======</t>
        </r>
      </text>
    </comment>
    <comment ref="X48" authorId="0" shapeId="0" xr:uid="{00000000-0006-0000-0C00-00000A000000}">
      <text>
        <r>
          <rPr>
            <sz val="10"/>
            <color rgb="FF000000"/>
            <rFont val="Arial"/>
            <scheme val="minor"/>
          </rPr>
          <t xml:space="preserve">
======</t>
        </r>
      </text>
    </comment>
    <comment ref="AJ57" authorId="0" shapeId="0" xr:uid="{00000000-0006-0000-0C00-000013000000}">
      <text>
        <r>
          <rPr>
            <sz val="10"/>
            <color rgb="FF000000"/>
            <rFont val="Arial"/>
            <scheme val="minor"/>
          </rPr>
          <t>======
ID#AAAA57vnebo
Ayat Ali    (2023-09-27 09:13:22)
تجهيز حمام لمنزل الطفلين محمد انور وشهد انور</t>
        </r>
      </text>
    </comment>
    <comment ref="T61" authorId="0" shapeId="0" xr:uid="{00000000-0006-0000-0C00-000014000000}">
      <text>
        <r>
          <rPr>
            <sz val="10"/>
            <color rgb="FF000000"/>
            <rFont val="Arial"/>
            <scheme val="minor"/>
          </rPr>
          <t>======
ID#AAAA57vnebc
snaa khalifa    (2023-09-27 09:06:05)
( 7 ) شنط مواد غذائية من قبل الجمعية</t>
        </r>
      </text>
    </comment>
    <comment ref="AJ61" authorId="0" shapeId="0" xr:uid="{00000000-0006-0000-0C00-000012000000}">
      <text>
        <r>
          <rPr>
            <sz val="10"/>
            <color rgb="FF000000"/>
            <rFont val="Arial"/>
            <scheme val="minor"/>
          </rPr>
          <t>======
ID#AAAA57vnebs
Ayat Ali    (2023-09-27 09:14:19)
تم توفير لبس مدرسه ل5 أشقاء الاطفال من ذوى الإعاقه داخل الوحده</t>
        </r>
      </text>
    </comment>
    <comment ref="K66" authorId="0" shapeId="0" xr:uid="{00000000-0006-0000-0C00-000020000000}">
      <text>
        <r>
          <rPr>
            <sz val="10"/>
            <color rgb="FF000000"/>
            <rFont val="Arial"/>
            <scheme val="minor"/>
          </rPr>
          <t>======
ID#AAAA52u_1Mk
snaa khalifa    (2023-09-26 11:03:28)
مبلغ مالى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wvyXjkrKR6L7goTwYhTTg1hZnsw=="/>
    </ext>
  </extLst>
</comments>
</file>

<file path=xl/sharedStrings.xml><?xml version="1.0" encoding="utf-8"?>
<sst xmlns="http://schemas.openxmlformats.org/spreadsheetml/2006/main" count="2056" uniqueCount="487">
  <si>
    <t xml:space="preserve">قاعدة بيانات مقدمي الدعم للوحدات - ببرنامج وصول </t>
  </si>
  <si>
    <t>وحدات منفلوط</t>
  </si>
  <si>
    <t>م</t>
  </si>
  <si>
    <t>المحافظة</t>
  </si>
  <si>
    <t>المركز</t>
  </si>
  <si>
    <t>المكتب</t>
  </si>
  <si>
    <t>الجمعية / القرية</t>
  </si>
  <si>
    <t>المشرف الفني</t>
  </si>
  <si>
    <t>منسق التأهيل</t>
  </si>
  <si>
    <t>المدير الفني</t>
  </si>
  <si>
    <t>الأخصائيين</t>
  </si>
  <si>
    <t>التخصص</t>
  </si>
  <si>
    <t>أسيوط</t>
  </si>
  <si>
    <t>منفلوط</t>
  </si>
  <si>
    <t>جمعية المحافظة على القرأن الكريم / قرية جحدم</t>
  </si>
  <si>
    <t>أ/ منى صلاح</t>
  </si>
  <si>
    <t xml:space="preserve">أ/ سناء خليفة </t>
  </si>
  <si>
    <t>أ/  هدى أبو اليزيد</t>
  </si>
  <si>
    <t xml:space="preserve">القوصية </t>
  </si>
  <si>
    <t>جمعية تنمية المجتمع / تناغه نزالى جانوب</t>
  </si>
  <si>
    <t>أ/ أسماء حمدي</t>
  </si>
  <si>
    <t>القوصية</t>
  </si>
  <si>
    <t>جمعية دار الهداية بعرب الجهمة</t>
  </si>
  <si>
    <t>أ/ شيماء أحمد</t>
  </si>
  <si>
    <t>كيان إنسان بالقوصية</t>
  </si>
  <si>
    <t>كيان إنسان بالقصير</t>
  </si>
  <si>
    <t xml:space="preserve">جمعية تنمية المجتمع بالحواتكة </t>
  </si>
  <si>
    <t xml:space="preserve">جمعية تنمية المجتمع ببنى شقير </t>
  </si>
  <si>
    <t>ا/ أيات عبدالله</t>
  </si>
  <si>
    <t>الجمعية الخيرية الأسلامية بالتمساحية</t>
  </si>
  <si>
    <t>ا/ الاء عبد الوهاب</t>
  </si>
  <si>
    <t>جمعية إنسان بالقوصية فرع فزارة</t>
  </si>
  <si>
    <t>ا/ مصطفى صابر</t>
  </si>
  <si>
    <t>جمعية جبل قسطام برزقة الدير</t>
  </si>
  <si>
    <t>ديروط</t>
  </si>
  <si>
    <t xml:space="preserve"> جمعية تنمية المجتمع بنزلة ضاهر</t>
  </si>
  <si>
    <t xml:space="preserve"> جمعية تنمية المجتمع بالحوطا الغربية</t>
  </si>
  <si>
    <t>أ/ صفاء حامد</t>
  </si>
  <si>
    <t>جمعية كفالة اليتيم وتنمية المجتمع بدشلوط</t>
  </si>
  <si>
    <t>أ/ نجلاء مصطفى</t>
  </si>
  <si>
    <t>جمعية كفالة اليتيم بديروط</t>
  </si>
  <si>
    <t>جمعية رواد الخير  بزاوية هارون</t>
  </si>
  <si>
    <t>وحدات أسيوط</t>
  </si>
  <si>
    <t xml:space="preserve">اسيوط </t>
  </si>
  <si>
    <t>اسيوط</t>
  </si>
  <si>
    <t>البورة</t>
  </si>
  <si>
    <t>ا/شيماء خليفة</t>
  </si>
  <si>
    <t xml:space="preserve">ا/ايات علي </t>
  </si>
  <si>
    <t xml:space="preserve">ا/صفية عبدالمنعم </t>
  </si>
  <si>
    <t>منقباد</t>
  </si>
  <si>
    <t xml:space="preserve">ا/شيماء خليفة </t>
  </si>
  <si>
    <t xml:space="preserve">ريفا </t>
  </si>
  <si>
    <t xml:space="preserve">ا/عنان احمد </t>
  </si>
  <si>
    <t xml:space="preserve">الفتح </t>
  </si>
  <si>
    <t>الواسطي</t>
  </si>
  <si>
    <t xml:space="preserve">ا/ هدير احمد </t>
  </si>
  <si>
    <t>ابنوب</t>
  </si>
  <si>
    <t xml:space="preserve">كوم المنصورة </t>
  </si>
  <si>
    <t xml:space="preserve">ا/هدير احمد </t>
  </si>
  <si>
    <t>ابوتيج</t>
  </si>
  <si>
    <t xml:space="preserve">رسالة </t>
  </si>
  <si>
    <t xml:space="preserve">ا/ سارة احمد </t>
  </si>
  <si>
    <t>وحدات بنى سويف</t>
  </si>
  <si>
    <t xml:space="preserve">بني سويف </t>
  </si>
  <si>
    <t xml:space="preserve">اهناسيا </t>
  </si>
  <si>
    <t>بني سويف</t>
  </si>
  <si>
    <t>جمعية النهضة -قرية النويرة</t>
  </si>
  <si>
    <t>ا/الاء العشري</t>
  </si>
  <si>
    <t xml:space="preserve">ا/اسراء حسام </t>
  </si>
  <si>
    <t xml:space="preserve">دعاء سيد </t>
  </si>
  <si>
    <t>ببا</t>
  </si>
  <si>
    <t xml:space="preserve">ا/ جهاد نجيب </t>
  </si>
  <si>
    <t>سدس</t>
  </si>
  <si>
    <t xml:space="preserve">جمعية بيت المال -جمعية سدس </t>
  </si>
  <si>
    <t xml:space="preserve">ا/سارة محمد </t>
  </si>
  <si>
    <t>الرياض</t>
  </si>
  <si>
    <t>ا/سارة طاهر</t>
  </si>
  <si>
    <t>ا/دعاء سيد</t>
  </si>
  <si>
    <t xml:space="preserve">وحدات سوهاج </t>
  </si>
  <si>
    <t xml:space="preserve">سوهاج </t>
  </si>
  <si>
    <t xml:space="preserve">العسيرات </t>
  </si>
  <si>
    <t xml:space="preserve">تنمية المجتمع </t>
  </si>
  <si>
    <t>أ/ فاطمة عبدالعزيز</t>
  </si>
  <si>
    <t xml:space="preserve">أ/ محمود فرغلى </t>
  </si>
  <si>
    <t xml:space="preserve">أ/ آية محمد صلاح </t>
  </si>
  <si>
    <t>سوهاج</t>
  </si>
  <si>
    <t>المنشاه</t>
  </si>
  <si>
    <t>جمعية تنمية المجتمع بقرية كوم بدار</t>
  </si>
  <si>
    <t>الجوده من اجل التنميه</t>
  </si>
  <si>
    <t>جنينه أحمد عبدالرحيم</t>
  </si>
  <si>
    <t>أ / فاطمة عبد العزيز</t>
  </si>
  <si>
    <t>طهطا</t>
  </si>
  <si>
    <t>الرحمه</t>
  </si>
  <si>
    <t xml:space="preserve">أ/ اسراء خالد </t>
  </si>
  <si>
    <t>أ/ لبني محمود</t>
  </si>
  <si>
    <t>أ/ ايه صلاح</t>
  </si>
  <si>
    <t xml:space="preserve">اسم الوحدة </t>
  </si>
  <si>
    <t>اجمالى عدد الجلسات التأهيلية</t>
  </si>
  <si>
    <t>اجمالى عدد الزيارات المنزلية</t>
  </si>
  <si>
    <t>جحدم</t>
  </si>
  <si>
    <t>الحواتكة</t>
  </si>
  <si>
    <t xml:space="preserve">بنى شقير </t>
  </si>
  <si>
    <t xml:space="preserve">التمساحية </t>
  </si>
  <si>
    <t>عرب الجهمة</t>
  </si>
  <si>
    <t xml:space="preserve">الدير </t>
  </si>
  <si>
    <t>تناغة</t>
  </si>
  <si>
    <t>فزارة</t>
  </si>
  <si>
    <t>القصير</t>
  </si>
  <si>
    <t xml:space="preserve">نزلة ضاهر </t>
  </si>
  <si>
    <t xml:space="preserve">الحوطا </t>
  </si>
  <si>
    <t>دشلوط</t>
  </si>
  <si>
    <t>زاوية هارون</t>
  </si>
  <si>
    <t xml:space="preserve">البورة </t>
  </si>
  <si>
    <t xml:space="preserve">الواسطى </t>
  </si>
  <si>
    <t xml:space="preserve">ابوتيج </t>
  </si>
  <si>
    <t xml:space="preserve">تونس </t>
  </si>
  <si>
    <t>المنشأه</t>
  </si>
  <si>
    <t>كوم بدار</t>
  </si>
  <si>
    <t>فزارة / طهطا</t>
  </si>
  <si>
    <t xml:space="preserve">النويرة </t>
  </si>
  <si>
    <t xml:space="preserve">ببا </t>
  </si>
  <si>
    <t xml:space="preserve">سدس </t>
  </si>
  <si>
    <t>اجمالى</t>
  </si>
  <si>
    <t xml:space="preserve">قاعدة بيانات مسئولات التأهيل ببرنامج وصول </t>
  </si>
  <si>
    <t>الوحدة</t>
  </si>
  <si>
    <t xml:space="preserve">الاسم </t>
  </si>
  <si>
    <t xml:space="preserve">المحافظة </t>
  </si>
  <si>
    <t xml:space="preserve">القرية </t>
  </si>
  <si>
    <t xml:space="preserve">المؤهل الدراسي </t>
  </si>
  <si>
    <t>تاريخ الميلاد</t>
  </si>
  <si>
    <t xml:space="preserve">الرقم القومي </t>
  </si>
  <si>
    <t xml:space="preserve">سنوات خبرة سابقة
في الإعاقة </t>
  </si>
  <si>
    <t xml:space="preserve">تاريخ بدء العمل </t>
  </si>
  <si>
    <t xml:space="preserve">تاريخ انهاء التعاقد </t>
  </si>
  <si>
    <t xml:space="preserve">التدريبات التي حصلت عليها </t>
  </si>
  <si>
    <t xml:space="preserve">احتياجات تدريبية </t>
  </si>
  <si>
    <r>
      <rPr>
        <b/>
        <sz val="12"/>
        <color rgb="FF000000"/>
        <rFont val="Calibri"/>
      </rPr>
      <t xml:space="preserve">1- جمعيه المحافظة القران الكريم  </t>
    </r>
    <r>
      <rPr>
        <b/>
        <sz val="14"/>
        <color rgb="FF000000"/>
        <rFont val="Calibri"/>
      </rPr>
      <t>بجحدم</t>
    </r>
  </si>
  <si>
    <t xml:space="preserve">فاطمه مصطفى منصور عبد المتجلى </t>
  </si>
  <si>
    <t xml:space="preserve">بكالوريوس تجاره </t>
  </si>
  <si>
    <t>29705282500801</t>
  </si>
  <si>
    <t>عام</t>
  </si>
  <si>
    <t>شيماء احمد محمود راتب</t>
  </si>
  <si>
    <t xml:space="preserve">ليسانس تربيه قسم لغه عربيه </t>
  </si>
  <si>
    <t>30103102504826</t>
  </si>
  <si>
    <t>بدون</t>
  </si>
  <si>
    <t>------------</t>
  </si>
  <si>
    <r>
      <rPr>
        <b/>
        <sz val="12"/>
        <color rgb="FF000000"/>
        <rFont val="Calibri"/>
      </rPr>
      <t>2- جمعية تنمية المجتمع /</t>
    </r>
    <r>
      <rPr>
        <b/>
        <sz val="14"/>
        <color rgb="FF000000"/>
        <rFont val="Calibri"/>
      </rPr>
      <t xml:space="preserve"> تناغه نزالى جانوب</t>
    </r>
  </si>
  <si>
    <t>حنان توفيق مجلى سيف</t>
  </si>
  <si>
    <t>تناغه</t>
  </si>
  <si>
    <t>ليسانس لغة عربية</t>
  </si>
  <si>
    <t>27/1/1986</t>
  </si>
  <si>
    <t>سنتين فى كيان</t>
  </si>
  <si>
    <t>غادة محروس أحمد جبر</t>
  </si>
  <si>
    <t>بكالريوس خدمة إجتماعية</t>
  </si>
  <si>
    <t>7/12/1988</t>
  </si>
  <si>
    <t>نورة رمضان عبدالنعيم أحمد</t>
  </si>
  <si>
    <t>دبلوم تجارة</t>
  </si>
  <si>
    <t>25/2/1989</t>
  </si>
  <si>
    <r>
      <rPr>
        <b/>
        <sz val="12"/>
        <color rgb="FF000000"/>
        <rFont val="Calibri"/>
      </rPr>
      <t xml:space="preserve">3- جمعية كفالة اليتيم وتنمية المجتمع </t>
    </r>
    <r>
      <rPr>
        <b/>
        <sz val="14"/>
        <color rgb="FF000000"/>
        <rFont val="Calibri"/>
      </rPr>
      <t>بدشلوط</t>
    </r>
  </si>
  <si>
    <t>سناء حمدى عبد اللاه</t>
  </si>
  <si>
    <t>دبلوم صنايع</t>
  </si>
  <si>
    <t>لايوجد</t>
  </si>
  <si>
    <t>تكامل حسى / تعديل سلوك / تخاطب / تنمية مهارات / تأهيل حركى / اعاقة بصرية / اعاقة سمعية حماية الطفل / زيارات منزلية</t>
  </si>
  <si>
    <t>اكاديمى/ شلل دماغى</t>
  </si>
  <si>
    <t>حنان ابراهيم زكريا</t>
  </si>
  <si>
    <t>نعمه حسن عبد الرازق</t>
  </si>
  <si>
    <t>4-كيان إنسان بالقوصية</t>
  </si>
  <si>
    <t>أسماء عبدالحكم فهمى أبو العلا</t>
  </si>
  <si>
    <t>-----</t>
  </si>
  <si>
    <t>بكالريوس خدمة إجتماعية/دبلوم علم نفس/دبلوم المعاقين / ماجستير فى الخدمة الإجتماعية</t>
  </si>
  <si>
    <t>14/12/1991</t>
  </si>
  <si>
    <t>سنة ونصف</t>
  </si>
  <si>
    <t>شلل دماغى</t>
  </si>
  <si>
    <t>سمر محمود محمد سليم</t>
  </si>
  <si>
    <t>27/6/1989</t>
  </si>
  <si>
    <t>5- كيان إنسان بالقصير</t>
  </si>
  <si>
    <t>ايمان فنجري عبد النظير</t>
  </si>
  <si>
    <t>ثانوية عامة</t>
  </si>
  <si>
    <t>2 عام</t>
  </si>
  <si>
    <t xml:space="preserve"> التأهيل المرتكز على المجتمع - المفاهيم الحديثة للإعاقة - العمل مع الاسر -برنامج البورتيدج -ادلة منظمة الصحة العالمية -سلوك الاطفال والمراهقين -سياسة الحماية -الاعاقة البصرية -المهارات اللغوية والسمعية واضطرابات النطق -المشكلات الحسية -التعامل مع الورد والاكسل</t>
  </si>
  <si>
    <t>صابرةعوض عبد السلام</t>
  </si>
  <si>
    <t>العمل مع الاسر -برنامج البورتيدج -ادلة منظمة الصحة العالمية -سلوك الاطفال والمراهقين -سياسة الحماية -الاعاقة البصرية -المهارات اللغوية والسمعية واضطرابات النطق -المشكلات الحسية -التعامل مع الورد والاكسل</t>
  </si>
  <si>
    <t>دعاء صقر عمر عبدالشافي</t>
  </si>
  <si>
    <t>6- عرب الجهمة</t>
  </si>
  <si>
    <t>اشجان سمير إبراهيم</t>
  </si>
  <si>
    <t>بكالوريوس خدمة اجتماعية</t>
  </si>
  <si>
    <t>22/10/87</t>
  </si>
  <si>
    <t>3 سنوات</t>
  </si>
  <si>
    <t>ديسمبر-٢٢</t>
  </si>
  <si>
    <t>التاهيل الحركى لاطفال الضمور</t>
  </si>
  <si>
    <t>عنود محمود على</t>
  </si>
  <si>
    <t>ليسانس آداب وثائق ومكتبات</t>
  </si>
  <si>
    <t>1/21997</t>
  </si>
  <si>
    <t>آيه احمد صالح</t>
  </si>
  <si>
    <t>بكالوريوس تربية نوعية</t>
  </si>
  <si>
    <t>06/05/96</t>
  </si>
  <si>
    <t>7- وحدة بنى شقير</t>
  </si>
  <si>
    <t>نورا عمر محمد شحاتة</t>
  </si>
  <si>
    <t>بنى شقير</t>
  </si>
  <si>
    <t xml:space="preserve">دبلوم تجارة </t>
  </si>
  <si>
    <r>
      <rPr>
        <b/>
        <sz val="12"/>
        <color theme="1"/>
        <rFont val="Arial"/>
      </rPr>
      <t>عام 2019</t>
    </r>
  </si>
  <si>
    <t>تدريب عن لغة الاشاره</t>
  </si>
  <si>
    <t>هبة عمر محمد شحاته</t>
  </si>
  <si>
    <r>
      <rPr>
        <b/>
        <sz val="12"/>
        <color theme="1"/>
        <rFont val="Arial"/>
      </rPr>
      <t>عام 2019</t>
    </r>
  </si>
  <si>
    <t>تدريب عن لغه الاشاره وكيفيه التعامل معها</t>
  </si>
  <si>
    <t>أمل عبدالمالك عثمان</t>
  </si>
  <si>
    <t>8 -وحدة رزقة الدير</t>
  </si>
  <si>
    <t>ايمان يوسف غالي</t>
  </si>
  <si>
    <t>رزقة الدير</t>
  </si>
  <si>
    <t xml:space="preserve">كلية آداب </t>
  </si>
  <si>
    <t>حنان عيد رزق</t>
  </si>
  <si>
    <t xml:space="preserve">دبلوم صنايع </t>
  </si>
  <si>
    <t>هبه عزت صديق</t>
  </si>
  <si>
    <t>9- وحدة نزلة ضاهر</t>
  </si>
  <si>
    <t>أميرة صالح عبدالحفيظ سيد</t>
  </si>
  <si>
    <t>نزلة ضاهر</t>
  </si>
  <si>
    <t>ليسانس آداب قسم تاريخ</t>
  </si>
  <si>
    <t>7سنوات أبحاث لذوى الإعاقة</t>
  </si>
  <si>
    <t>تدريب برنامج وصول 2 نظرى و عملى</t>
  </si>
  <si>
    <t>تدريب مهارات حياتيه / الدعم التفسى/ كورس إنجلش</t>
  </si>
  <si>
    <t>أميرة عبدالتواب حسن مبروك</t>
  </si>
  <si>
    <t>iCDL /تدريب تخاطب / تدريب برنامج وصول نظرى و عملى</t>
  </si>
  <si>
    <t>كورس إنجلش / كور دكتور فينكس / كورس دكتور ماث</t>
  </si>
  <si>
    <t>عهود محمود مهران سيد</t>
  </si>
  <si>
    <t>بكالريوس تجارة قسم إدارة أعمال</t>
  </si>
  <si>
    <t>لا يوجد</t>
  </si>
  <si>
    <t>10- كفالة اليتم ديروط</t>
  </si>
  <si>
    <t>هاجر محمد سيد محمد</t>
  </si>
  <si>
    <t>مدينة ديروط</t>
  </si>
  <si>
    <t xml:space="preserve">ليسانس آداب + دبلوم عام تربوي+ 
دبلوم مهني معلم تربية خاصة
</t>
  </si>
  <si>
    <t xml:space="preserve">سنة </t>
  </si>
  <si>
    <t xml:space="preserve">إرشاد نفسي توحد وتخاطب - تقييم بورتاج
الإعاقة السمعية والبصرية - الإعاقة الحركية للشلل الدماغي - المشكلات السلوكية والحسية
</t>
  </si>
  <si>
    <t>نعمة راشد حسين إبراهيم</t>
  </si>
  <si>
    <t>ليسانس آداب + دبلوم عام تربوي حاسب ألي</t>
  </si>
  <si>
    <t>رشاد نفسي توحد وتخاطب - تقييم بورتاج -
إعاقة السمعية والبصرية - الإعاقة الحركية للشلل الدماغي 
- المشكلات السلوكية والحسية</t>
  </si>
  <si>
    <t>نجلاء حسني نياظ أحمد</t>
  </si>
  <si>
    <t>بكالريوس تجارة قسم إدارة اعمال</t>
  </si>
  <si>
    <t>ارشاد نفسي توحد وتخاطب - تقييم بورتاج -
إعاقة السمعية والبصرية -الإعاقة الحركية للشلل الدماغي 
- المشكلات السلوكية والحسية</t>
  </si>
  <si>
    <t xml:space="preserve">11- وحدة التمساحية </t>
  </si>
  <si>
    <t>أميرة عبد الرحيم أحمد رباعي</t>
  </si>
  <si>
    <t>معهد فني تجاري</t>
  </si>
  <si>
    <t>26/11/2000</t>
  </si>
  <si>
    <t>15/10/2023</t>
  </si>
  <si>
    <t>-برنامج البورتيدج -ادلة منظمة الصحة العالمية -سلوك الاطفال والمراهقين -سياسة الحماية -الاعاقة البصرية -المهارات اللغوية والسمعية واضطرابات النطق -المشكلات الحسية -التعامل مع الورد والاكسل</t>
  </si>
  <si>
    <t>العمل مع الأسر</t>
  </si>
  <si>
    <t>فاطمة محمود حسين عبد المولى</t>
  </si>
  <si>
    <t>دبلوم تجاري</t>
  </si>
  <si>
    <t>20\11\1996</t>
  </si>
  <si>
    <t>23/11/23</t>
  </si>
  <si>
    <t>برنامج البورتيدج -ادلة منظمة الصحة العالمية -سلوك الاطفال والمراهقين -سياسة الحماية -الاعاقة البصرية -المهارات اللغوية والسمعية واضطرابات النطق -المشكلات الحسية -التعامل مع الورد والاكسل</t>
  </si>
  <si>
    <t>التأهيل المرتكز على المجتمع</t>
  </si>
  <si>
    <t>هند محمود أحمد مطاوع</t>
  </si>
  <si>
    <t>دبلوم فني تجاري</t>
  </si>
  <si>
    <t>لم تتلقى سوى حضور جلسات عملية</t>
  </si>
  <si>
    <t>تحتاج إلى كل التدريبات التي تخص مجال التربية الخاصة</t>
  </si>
  <si>
    <t xml:space="preserve">12- وحدة الحواتكة </t>
  </si>
  <si>
    <t>ناديه محمد سيد</t>
  </si>
  <si>
    <t xml:space="preserve">الحواتكه </t>
  </si>
  <si>
    <t>ليسانس حقوق</t>
  </si>
  <si>
    <t>28502092501605</t>
  </si>
  <si>
    <t>الاحتياج الى التدريب العملى على كل انواع الاعاقات</t>
  </si>
  <si>
    <t>نحلاء على عبدالرحيم</t>
  </si>
  <si>
    <t xml:space="preserve">دبلوم تجاره </t>
  </si>
  <si>
    <t>28507062502306</t>
  </si>
  <si>
    <t xml:space="preserve">منى عبدالرحيم عبدالرحمن </t>
  </si>
  <si>
    <t>28801262501327</t>
  </si>
  <si>
    <t xml:space="preserve">13- وحدة فزارة </t>
  </si>
  <si>
    <t xml:space="preserve">سعاد هارون محمد </t>
  </si>
  <si>
    <t>معهدفنى شعبةكمبيوتر</t>
  </si>
  <si>
    <t xml:space="preserve">ياسمين احمد عبدالكريم </t>
  </si>
  <si>
    <t xml:space="preserve">فرحة سيد احمد </t>
  </si>
  <si>
    <t xml:space="preserve">14- وحدة  الحزطا </t>
  </si>
  <si>
    <t>ياسمين سمير محمود</t>
  </si>
  <si>
    <t>الحوطا</t>
  </si>
  <si>
    <t xml:space="preserve">اجازة تجويد </t>
  </si>
  <si>
    <t>إيمان رمضان  عبد الحكيم</t>
  </si>
  <si>
    <t>معهد فنى تجارى</t>
  </si>
  <si>
    <t>سناء محمد عبد العاطى</t>
  </si>
  <si>
    <t>بكلريوس تجارة</t>
  </si>
  <si>
    <t>23/5//85</t>
  </si>
  <si>
    <t>15- وحدة زاوية هارون</t>
  </si>
  <si>
    <t>جمعية الخيرية الاسلامية لتنمية المجتمع بالبورة</t>
  </si>
  <si>
    <t>مروه أشرف  عبدالرحيم</t>
  </si>
  <si>
    <t>البورتدج</t>
  </si>
  <si>
    <t xml:space="preserve"> تريب على الإعاقة الحركه ٠وكف البصر</t>
  </si>
  <si>
    <t>ياسمين حسين  عبد ربه</t>
  </si>
  <si>
    <t xml:space="preserve">ليسانس دراسات إسلامية </t>
  </si>
  <si>
    <t>5/17/2023</t>
  </si>
  <si>
    <t>الاعاقه الحركه وكف البصر</t>
  </si>
  <si>
    <t xml:space="preserve">نورهان ناصر علي </t>
  </si>
  <si>
    <t>تربية خاصة قسم إعاقة عقليةجامعة الازهر</t>
  </si>
  <si>
    <t>تدريب عن اضطراب طيف التوحد</t>
  </si>
  <si>
    <t>عن اللدغات. والإعاقة الالحركيةوالضموراوالتلعثم</t>
  </si>
  <si>
    <t xml:space="preserve">وحدة نداء </t>
  </si>
  <si>
    <t>نها عبد الموجود احمد</t>
  </si>
  <si>
    <t>بكالوريوس خدمه اجتماعيه</t>
  </si>
  <si>
    <t>تدريب اعداد معلم تربية خاصة</t>
  </si>
  <si>
    <t xml:space="preserve">صعوبات التعلم </t>
  </si>
  <si>
    <t>مني سعد حسن</t>
  </si>
  <si>
    <t>ليسانس اداب وتربيه علم نفس</t>
  </si>
  <si>
    <t xml:space="preserve">الاختبارات التشخصية </t>
  </si>
  <si>
    <t>منال شعبان عثمان محمد</t>
  </si>
  <si>
    <t>بكالوريوس تجارة -شعبة محاسبة</t>
  </si>
  <si>
    <t xml:space="preserve">تدريب اعداد معلم تربية خاصة </t>
  </si>
  <si>
    <t>تدريب تخاطب</t>
  </si>
  <si>
    <t xml:space="preserve">وحدة رسالة </t>
  </si>
  <si>
    <t xml:space="preserve">هاله هارون عبدالحليم </t>
  </si>
  <si>
    <t xml:space="preserve">أسيوط </t>
  </si>
  <si>
    <t xml:space="preserve">بكالوريوس خدمه اجتماعيه </t>
  </si>
  <si>
    <t>تدريب التأهيل المجتمعي وتدريب على قواعد وصول +تدريب معلم تربية خاصة</t>
  </si>
  <si>
    <t xml:space="preserve">تدريب تخاطب </t>
  </si>
  <si>
    <t xml:space="preserve">ياسمين احمد عبدالحميد </t>
  </si>
  <si>
    <t>ليسانس آداب علم نفس وتربوي</t>
  </si>
  <si>
    <t xml:space="preserve">تدريب تخاطب - تدريب التأهيل المجتمعي وتدريب على قواعد وصول +تدريب معلم تربية خاصة </t>
  </si>
  <si>
    <t>سارة محمد أزهري قاسم</t>
  </si>
  <si>
    <t>بكالوريوس خدمة أجتماعية</t>
  </si>
  <si>
    <t xml:space="preserve">تدريب التاهيل  المجتمعي+تدريب معلم تربية خاصة </t>
  </si>
  <si>
    <t>نور الله محمد عبد العزيز</t>
  </si>
  <si>
    <t xml:space="preserve">ليسانس اداب علم نفس </t>
  </si>
  <si>
    <t>وحدة  جمعية تنمية المجتمع بريفا</t>
  </si>
  <si>
    <t>ميادة خالد جمال</t>
  </si>
  <si>
    <t>ريفا</t>
  </si>
  <si>
    <t>بكالوريوس لغة عربية</t>
  </si>
  <si>
    <t>البرنامج التدريبي إعداد معلم تربية خاصة</t>
  </si>
  <si>
    <t xml:space="preserve">تدريب كف البصر </t>
  </si>
  <si>
    <t>صفاء شعبان عبد اللطيف</t>
  </si>
  <si>
    <t>إيمان حسني محمد</t>
  </si>
  <si>
    <t>بكالوريوس خدمة إجتماعية</t>
  </si>
  <si>
    <t>دوره icd l
البرنامج التدريبي إعداد معلم تربية خاصة</t>
  </si>
  <si>
    <t xml:space="preserve">وحدة امانينا لتنمية المستدامة بالواسطي </t>
  </si>
  <si>
    <t>زينب مصطفي علي</t>
  </si>
  <si>
    <t xml:space="preserve">الواسطي </t>
  </si>
  <si>
    <t>ثانويه ازهريه</t>
  </si>
  <si>
    <t>17/1/2000</t>
  </si>
  <si>
    <t xml:space="preserve">تدريب الكف البصري </t>
  </si>
  <si>
    <t xml:space="preserve">صابرين ابراهيم مصطفى
</t>
  </si>
  <si>
    <t>بكالوريوس تربيه طفولة</t>
  </si>
  <si>
    <t>19/8/1992</t>
  </si>
  <si>
    <t xml:space="preserve">حميدة عبدالمنعم حسين </t>
  </si>
  <si>
    <t xml:space="preserve">معهد فني تجاري </t>
  </si>
  <si>
    <t>30/4/1988</t>
  </si>
  <si>
    <t>كوم المنصورة</t>
  </si>
  <si>
    <t>مروة  حماد عبد الفتاح</t>
  </si>
  <si>
    <t>بكالوريوس  تربية نوعية</t>
  </si>
  <si>
    <t>أميمه سيد ابو زيد احمد</t>
  </si>
  <si>
    <t>بكالوريوس تجارة</t>
  </si>
  <si>
    <t xml:space="preserve">فاطمة رمضان محمد رمضان </t>
  </si>
  <si>
    <t>النويرة</t>
  </si>
  <si>
    <t xml:space="preserve">نعمه محمد   </t>
  </si>
  <si>
    <t xml:space="preserve">بنى سويف </t>
  </si>
  <si>
    <t xml:space="preserve">اداب اجتماع </t>
  </si>
  <si>
    <t xml:space="preserve">تدريب بناء قدرات مسؤولات التاهيل داخل جمعية كيان </t>
  </si>
  <si>
    <t xml:space="preserve">تدريب  عن التاهيل الحركى </t>
  </si>
  <si>
    <t xml:space="preserve">نهله محمود </t>
  </si>
  <si>
    <t xml:space="preserve">خدمه اجتماعية </t>
  </si>
  <si>
    <t xml:space="preserve">رانيا جمال </t>
  </si>
  <si>
    <t xml:space="preserve">وحدة ببا </t>
  </si>
  <si>
    <t xml:space="preserve">حمديه ابو شبهه </t>
  </si>
  <si>
    <t xml:space="preserve">مؤهل متوسط </t>
  </si>
  <si>
    <t xml:space="preserve">تدريب بناء قدرات مسؤولات التاهيل  داخل جمعيةكيان </t>
  </si>
  <si>
    <t xml:space="preserve">دعاء ماهر </t>
  </si>
  <si>
    <t>بكالوريس علوم ذوى احتياجات خاصة</t>
  </si>
  <si>
    <t xml:space="preserve">منى مسلم </t>
  </si>
  <si>
    <t xml:space="preserve">وحدة سدس </t>
  </si>
  <si>
    <t xml:space="preserve">دعاء اسماعيل </t>
  </si>
  <si>
    <t xml:space="preserve">بكالوريس تجارة </t>
  </si>
  <si>
    <t xml:space="preserve">تدريب عملى على التأهيل الاكاديمى </t>
  </si>
  <si>
    <t xml:space="preserve">شيماء سعد </t>
  </si>
  <si>
    <t xml:space="preserve">ليسانس اداب اجتماع </t>
  </si>
  <si>
    <t xml:space="preserve">حضور جلسات عملية لاطفال التوحد </t>
  </si>
  <si>
    <t xml:space="preserve">اسماء سعيد </t>
  </si>
  <si>
    <t xml:space="preserve">تدريب عملى على  التدخل مع أطفال الشلل الدماغى </t>
  </si>
  <si>
    <t>وحدة الرياض</t>
  </si>
  <si>
    <t>ياسمين  نادي نصرالله عبدالله</t>
  </si>
  <si>
    <t xml:space="preserve">أداب أجتماع </t>
  </si>
  <si>
    <r>
      <rPr>
        <b/>
        <sz val="14"/>
        <color theme="1"/>
        <rFont val="Arial"/>
      </rPr>
      <t>1</t>
    </r>
    <r>
      <rPr>
        <b/>
        <sz val="14"/>
        <color theme="1"/>
        <rFont val="Arial"/>
      </rPr>
      <t>- كيان الواسطي  اعداد اخصائي 
تخاطب
 2- تدريب  البورتاج بكيان الواسطي</t>
    </r>
    <r>
      <rPr>
        <b/>
        <sz val="14"/>
        <color theme="1"/>
        <rFont val="Arial"/>
      </rPr>
      <t xml:space="preserve"> 
 </t>
    </r>
  </si>
  <si>
    <t xml:space="preserve">تعريف الاعاقه / التأهيل المرتكز علي المحتمع 
مبادي سياسيه حمايه الطفل / التأهيل الحركي
تنميه المهارات اللغويه والسمعيه / اضطرابات النطق
 برنامج الزيارات المنزليه / اداره سلوك الاطفال والمراهقين
العمل الاكاديمي / الاعاقه البصريه
</t>
  </si>
  <si>
    <t>وحدة فزارة  طهطا</t>
  </si>
  <si>
    <t>ساره أبو الحمد أحمد</t>
  </si>
  <si>
    <t xml:space="preserve">فزاره </t>
  </si>
  <si>
    <t xml:space="preserve">بكالوريس اداب و تربيه قسم تاريخ </t>
  </si>
  <si>
    <t>عبير محمود محمد</t>
  </si>
  <si>
    <t>ناهد محمد  أحمد عبدالرحمن</t>
  </si>
  <si>
    <t xml:space="preserve">اداب  علم نفس </t>
  </si>
  <si>
    <t xml:space="preserve">وحدة العسيرات </t>
  </si>
  <si>
    <t xml:space="preserve"> خلود محمود احمد يوسف</t>
  </si>
  <si>
    <t>اولاد حمزة</t>
  </si>
  <si>
    <t>دعاء احمد سعد احمد</t>
  </si>
  <si>
    <t>دبلوم تجاره</t>
  </si>
  <si>
    <t>مريم على ابوزيد</t>
  </si>
  <si>
    <t>وجدان مظهر الحيص مهران</t>
  </si>
  <si>
    <t>العسيرات</t>
  </si>
  <si>
    <t>كلية دراسات انسانيه</t>
  </si>
  <si>
    <t>وحدات مكتب منفلوط</t>
  </si>
  <si>
    <t>وحات مكتب أسيوط</t>
  </si>
  <si>
    <t xml:space="preserve">عرب الجهمة </t>
  </si>
  <si>
    <t>الدير</t>
  </si>
  <si>
    <t>الحوطا الغربية</t>
  </si>
  <si>
    <t>إجمالى</t>
  </si>
  <si>
    <t>الواسطى</t>
  </si>
  <si>
    <t>أبو تيج</t>
  </si>
  <si>
    <t xml:space="preserve">إجمالي المستفيدين </t>
  </si>
  <si>
    <t xml:space="preserve">إجمالي المستفيدين بالوحدة خلال العام </t>
  </si>
  <si>
    <t xml:space="preserve">إجمالي المستفيدين بالوحدة شهريًا </t>
  </si>
  <si>
    <t>عدد الأطفال ذوى الإعاقة 
 (الجلسات التأهيلية داخل بالبرنامج )</t>
  </si>
  <si>
    <t xml:space="preserve">المخطط خلال العام </t>
  </si>
  <si>
    <t>عدد الأطفال الجدد الذين تم إضافتهم خلال الشهر</t>
  </si>
  <si>
    <t>عدد الأطفال المنقطعين عن الخدمة خلال الشهر</t>
  </si>
  <si>
    <t>عدد المستفيدين شهريا من الأطفال (ذكور )</t>
  </si>
  <si>
    <t>عدد المستفيدين شهريا من الأطفال (اناث)</t>
  </si>
  <si>
    <t>إجمالي عدد الأطفال المنتظمين بالوحدة خلال الشهر
(تحت 14 عام )</t>
  </si>
  <si>
    <t>عدد الأشخاص/الأطفال ذوى الإعاقة 
(الزيارات المنزلية )</t>
  </si>
  <si>
    <t>عدد الأشخاص/الأطفال الجدد الذين تم إضافتهم خلال الشهر</t>
  </si>
  <si>
    <t>عدد المستفيدين شهريا من البالغين  (ذكور )</t>
  </si>
  <si>
    <t>عدد المستفيدين شهريا من البالغين  (اناث)</t>
  </si>
  <si>
    <t xml:space="preserve">إجمالي عدد المستفيدين من خدمة الزيارات المنزلية شهريًا </t>
  </si>
  <si>
    <t>الجلسات التأهيلية داخل الوحدة</t>
  </si>
  <si>
    <t xml:space="preserve">جلسات إرشاد للأشخاص أنفسهم </t>
  </si>
  <si>
    <t xml:space="preserve">المستهدف الشهري </t>
  </si>
  <si>
    <t xml:space="preserve">الفعلي شهريًا </t>
  </si>
  <si>
    <t xml:space="preserve">جلسات إرشاد لأسر أ.ذ.إ </t>
  </si>
  <si>
    <t xml:space="preserve">جلسات تأهيلية للأطفال </t>
  </si>
  <si>
    <t>الجلسات التأهيلية خارج الوحدة</t>
  </si>
  <si>
    <t xml:space="preserve">جلسات تأهيلية للأطفال / البالغين </t>
  </si>
  <si>
    <t xml:space="preserve">الخدمات النفسية </t>
  </si>
  <si>
    <t xml:space="preserve">التقييمات التشخيصية </t>
  </si>
  <si>
    <t xml:space="preserve">الأنشطة المجتمعية </t>
  </si>
  <si>
    <t xml:space="preserve">الندوات </t>
  </si>
  <si>
    <t>الجولات الحرة</t>
  </si>
  <si>
    <t>الأيام الترفيهية</t>
  </si>
  <si>
    <t xml:space="preserve">ورش الأسر </t>
  </si>
  <si>
    <t xml:space="preserve">الخدمات الإجتماعية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</si>
  <si>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</si>
  <si>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</si>
  <si>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</si>
  <si>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</si>
  <si>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</si>
  <si>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</si>
  <si>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</si>
  <si>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</si>
  <si>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</si>
  <si>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</si>
  <si>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</si>
  <si>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</si>
  <si>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</si>
  <si>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</si>
  <si>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</si>
  <si>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</si>
  <si>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 xml:space="preserve">الإحالة </t>
  </si>
  <si>
    <t xml:space="preserve">معاش شهري </t>
  </si>
  <si>
    <t xml:space="preserve">أخرى تذكر </t>
  </si>
  <si>
    <t>تونس / سوهاج</t>
  </si>
  <si>
    <t>الجلسات التأهيلية 
(داخل الوحدة)</t>
  </si>
  <si>
    <t>الزيارات المنزلية 
(خارج الوحدة)</t>
  </si>
  <si>
    <t>تونس</t>
  </si>
  <si>
    <t xml:space="preserve">نظارة طبية </t>
  </si>
  <si>
    <t>مساعدات مادية من بنك ناصر</t>
  </si>
  <si>
    <t>أخرى</t>
  </si>
  <si>
    <t>مكتب سوهاج</t>
  </si>
  <si>
    <t xml:space="preserve">مكتب بنى سويف </t>
  </si>
  <si>
    <t xml:space="preserve">فزارة </t>
  </si>
  <si>
    <t xml:space="preserve">عدد الأشخاص الذين تم رصدهم </t>
  </si>
  <si>
    <t xml:space="preserve">عدد الأشخاص الذين تم رصدهم بالكامل </t>
  </si>
  <si>
    <t>عدد الأشخاص الذين تم رصدهم خلال الشهر</t>
  </si>
  <si>
    <t>جلسات تأهيل داخل الوحدة</t>
  </si>
  <si>
    <t>جلسات تأهيلية للأطفال / البالغين 
(تنمية قدرات/ تنمية المهارات اللغوية/ تنمية المهارات الحركية/  تنمية المهارات الأكاديمية)</t>
  </si>
  <si>
    <t>زيارات تستهدف خدمات إجتماعية</t>
  </si>
  <si>
    <t xml:space="preserve">إجمالي عدد الزيارات المنفذة </t>
  </si>
  <si>
    <t xml:space="preserve">اجمالى </t>
  </si>
  <si>
    <t xml:space="preserve">تنفيذ عدد 4 ندوات توعية عن الأكتشاف المبكر للأعاقة السمعية  وتم توعية عدد ( 89 أسرة ) </t>
  </si>
  <si>
    <t xml:space="preserve">تنفيذ 11 تقييم نفسى لوحدة نزلة ضاهر </t>
  </si>
  <si>
    <t xml:space="preserve">تنفيذ ندوة توعية عن أهمية النظافة الشخصية لذوى الأعاقة من المنظور الدينى وتم توعية عدد ( 21 أسرة ) </t>
  </si>
  <si>
    <t>تنفيذ 15تقييم نفسى لوحدة تناغة</t>
  </si>
  <si>
    <t>مكتب أسيوط</t>
  </si>
  <si>
    <t>أبوتيج</t>
  </si>
  <si>
    <t>إجمالى عدد المستفدين  خلال شهر مايو</t>
  </si>
  <si>
    <t xml:space="preserve">إجمالى الندوات </t>
  </si>
  <si>
    <t xml:space="preserve">تنفيذ ندوة توعية بوحدة جحدم  عن الأكتشاف المبكر للأعاقة السمعية والتدخلات المبكرة بعدد حضور   (33 شخص ) </t>
  </si>
  <si>
    <t xml:space="preserve">التقييمات النفسية </t>
  </si>
  <si>
    <t xml:space="preserve">تنفيذ 13تقييم نفسى  
عدد 7 تقييمات بوحدة ديروط 
عدد 6 تقييمات بوحدة القوصية </t>
  </si>
  <si>
    <t xml:space="preserve">الجولات الحرة </t>
  </si>
  <si>
    <t xml:space="preserve">تم تنفيذ عدد ( 12 جولة حرة بمشاركة عدد أطفال ( 51 طفل ) 
- اماكن الجولات 
( سوبر ماركت / العيادة / محل المنظفات / السوق / محلات الخضار والفاكهة ) </t>
  </si>
  <si>
    <t>إجمالى عدد المستفدين  خلال شهر يونيو</t>
  </si>
  <si>
    <t xml:space="preserve">9لحوم +شنط مواد غذائية </t>
  </si>
  <si>
    <t xml:space="preserve">5كيلو لحمة +2مبلغ مالي </t>
  </si>
  <si>
    <t xml:space="preserve">الحواتكة </t>
  </si>
  <si>
    <t xml:space="preserve">إجمالى عدد المستفدين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</si>
</sst>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[$-2000401]0"/>
    <numFmt numFmtId="166" formatCode="d/m/yyyy"/>
    <numFmt numFmtId="167" formatCode="yyyy/mm/dd"/>
  </numFmts>
  <fonts count="47" x14ac:knownFonts="1">
    <font>
      <sz val="10"/>
      <color rgb="FF000000"/>
      <name val="Arial"/>
      <scheme val="minor"/>
    </font>
    <font>
      <b/>
      <sz val="20"/>
      <color rgb="FFC00000"/>
      <name val="Calibri"/>
    </font>
    <font>
      <sz val="10"/>
      <name val="Arial"/>
    </font>
    <font>
      <b/>
      <sz val="14"/>
      <color theme="1"/>
      <name val="Calibri"/>
    </font>
    <font>
      <b/>
      <sz val="14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1"/>
      <color theme="1"/>
      <name val="Calibri"/>
    </font>
    <font>
      <sz val="12"/>
      <color theme="1"/>
      <name val="Calibri"/>
    </font>
    <font>
      <sz val="14"/>
      <color theme="1"/>
      <name val="Calibri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Calibri"/>
    </font>
    <font>
      <b/>
      <sz val="12"/>
      <color rgb="FFFF0000"/>
      <name val="Arial"/>
    </font>
    <font>
      <b/>
      <sz val="12"/>
      <color theme="1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4"/>
      <color rgb="FF000000"/>
      <name val="Calibri"/>
    </font>
    <font>
      <b/>
      <sz val="10"/>
      <color theme="1"/>
      <name val="Calibri"/>
    </font>
    <font>
      <b/>
      <sz val="10"/>
      <color theme="1"/>
      <name val="Arial"/>
    </font>
    <font>
      <b/>
      <sz val="15"/>
      <color theme="1"/>
      <name val="Calibri"/>
    </font>
    <font>
      <b/>
      <sz val="15"/>
      <color theme="1"/>
      <name val="Arial"/>
    </font>
    <font>
      <b/>
      <sz val="15"/>
      <color rgb="FF000000"/>
      <name val="Calibri"/>
    </font>
    <font>
      <b/>
      <sz val="14"/>
      <color rgb="FFFF0000"/>
      <name val="Arial"/>
    </font>
    <font>
      <b/>
      <sz val="15"/>
      <color rgb="FFFF0000"/>
      <name val="Arial"/>
    </font>
    <font>
      <sz val="10"/>
      <color theme="1"/>
      <name val="Arial"/>
    </font>
    <font>
      <b/>
      <sz val="18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8"/>
      <color theme="1"/>
      <name val="Calibri"/>
    </font>
    <font>
      <b/>
      <sz val="12"/>
      <color rgb="FFCC0000"/>
      <name val="Arial"/>
    </font>
    <font>
      <b/>
      <sz val="11"/>
      <color rgb="FFCC0000"/>
      <name val="Arial"/>
    </font>
    <font>
      <b/>
      <sz val="11"/>
      <color rgb="FFFF0000"/>
      <name val="Arial"/>
    </font>
    <font>
      <b/>
      <sz val="12"/>
      <color theme="1"/>
      <name val="Arial"/>
      <scheme val="minor"/>
    </font>
    <font>
      <b/>
      <sz val="14"/>
      <color rgb="FF000000"/>
      <name val="Arial"/>
    </font>
    <font>
      <b/>
      <sz val="12"/>
      <color rgb="FFCC4125"/>
      <name val="Arial"/>
    </font>
    <font>
      <b/>
      <sz val="13"/>
      <color theme="1"/>
      <name val="Arial"/>
    </font>
    <font>
      <b/>
      <sz val="13"/>
      <color rgb="FFFF0000"/>
      <name val="Arial"/>
    </font>
    <font>
      <b/>
      <sz val="12"/>
      <color rgb="FF741B47"/>
      <name val="Arial"/>
    </font>
    <font>
      <b/>
      <sz val="12"/>
      <color rgb="FF980000"/>
      <name val="Arial"/>
    </font>
    <font>
      <b/>
      <sz val="11"/>
      <color rgb="FF000000"/>
      <name val="Arial"/>
    </font>
    <font>
      <b/>
      <sz val="13"/>
      <color theme="1"/>
      <name val="Calibri"/>
    </font>
    <font>
      <b/>
      <sz val="13"/>
      <color rgb="FF000000"/>
      <name val="Arial"/>
    </font>
    <font>
      <b/>
      <sz val="15"/>
      <color rgb="FF000000"/>
      <name val="Arial"/>
    </font>
  </fonts>
  <fills count="47">
    <fill>
      <patternFill patternType="none"/>
    </fill>
    <fill>
      <patternFill patternType="gray125"/>
    </fill>
    <fill>
      <patternFill patternType="solid">
        <fgColor rgb="FFFEF8E3"/>
        <bgColor rgb="FFFEF8E3"/>
      </patternFill>
    </fill>
    <fill>
      <patternFill patternType="solid">
        <fgColor rgb="FFFFE599"/>
        <bgColor rgb="FFFFE599"/>
      </patternFill>
    </fill>
    <fill>
      <patternFill patternType="solid">
        <fgColor rgb="FFDEFCFE"/>
        <bgColor rgb="FFDEFCFE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7AD592"/>
        <bgColor rgb="FF7AD592"/>
      </patternFill>
    </fill>
    <fill>
      <patternFill patternType="solid">
        <fgColor rgb="FFCCFFFF"/>
        <bgColor rgb="FFCC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EBEFF1"/>
        <bgColor rgb="FFEBEFF1"/>
      </patternFill>
    </fill>
    <fill>
      <patternFill patternType="solid">
        <fgColor rgb="FF00FF00"/>
        <bgColor rgb="FF00FF00"/>
      </patternFill>
    </fill>
    <fill>
      <patternFill patternType="solid">
        <fgColor rgb="FFF6B3AE"/>
        <bgColor rgb="FFF6B3AE"/>
      </patternFill>
    </fill>
    <fill>
      <patternFill patternType="solid">
        <fgColor rgb="FFFDE9D9"/>
        <bgColor rgb="FFFDE9D9"/>
      </patternFill>
    </fill>
    <fill>
      <patternFill patternType="solid">
        <fgColor rgb="FF38761D"/>
        <bgColor rgb="FF38761D"/>
      </patternFill>
    </fill>
    <fill>
      <patternFill patternType="solid">
        <fgColor rgb="FF277E3E"/>
        <bgColor rgb="FF277E3E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theme="4"/>
        <bgColor theme="4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6D9EEB"/>
        <bgColor rgb="FF6D9EEB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theme="1"/>
        <bgColor theme="1"/>
      </patternFill>
    </fill>
  </fills>
  <borders count="19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/>
      <top/>
      <bottom style="medium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/>
      <top/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 style="medium">
        <color rgb="FFFF0000"/>
      </bottom>
      <diagonal/>
    </border>
    <border>
      <left style="medium">
        <color rgb="FF000000"/>
      </left>
      <right style="medium">
        <color rgb="FFFF0000"/>
      </right>
      <top style="medium">
        <color rgb="FF000000"/>
      </top>
      <bottom/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FF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8">
    <xf numFmtId="0" fontId="0" fillId="0" borderId="0" xfId="0" applyFont="1" applyAlignment="1"/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 applyAlignment="1"/>
    <xf numFmtId="0" fontId="10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" fontId="5" fillId="8" borderId="5" xfId="0" quotePrefix="1" applyNumberFormat="1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0" applyFont="1"/>
    <xf numFmtId="0" fontId="5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" fontId="5" fillId="8" borderId="36" xfId="0" applyNumberFormat="1" applyFont="1" applyFill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49" fontId="5" fillId="8" borderId="40" xfId="0" applyNumberFormat="1" applyFont="1" applyFill="1" applyBorder="1" applyAlignment="1">
      <alignment horizontal="center" vertical="center"/>
    </xf>
    <xf numFmtId="1" fontId="5" fillId="8" borderId="40" xfId="0" applyNumberFormat="1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5" fillId="8" borderId="41" xfId="0" applyFont="1" applyFill="1" applyBorder="1" applyAlignment="1">
      <alignment horizontal="center" vertical="center"/>
    </xf>
    <xf numFmtId="49" fontId="5" fillId="8" borderId="41" xfId="0" applyNumberFormat="1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49" fontId="5" fillId="8" borderId="43" xfId="0" applyNumberFormat="1" applyFont="1" applyFill="1" applyBorder="1" applyAlignment="1">
      <alignment horizontal="center" vertical="center"/>
    </xf>
    <xf numFmtId="0" fontId="17" fillId="8" borderId="35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8" borderId="15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/>
    </xf>
    <xf numFmtId="0" fontId="17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164" fontId="5" fillId="0" borderId="35" xfId="0" applyNumberFormat="1" applyFont="1" applyBorder="1" applyAlignment="1">
      <alignment horizontal="center" vertical="center"/>
    </xf>
    <xf numFmtId="1" fontId="5" fillId="0" borderId="53" xfId="0" applyNumberFormat="1" applyFont="1" applyBorder="1" applyAlignment="1">
      <alignment horizontal="center" vertical="center"/>
    </xf>
    <xf numFmtId="14" fontId="17" fillId="0" borderId="35" xfId="0" applyNumberFormat="1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1" fontId="5" fillId="0" borderId="59" xfId="0" applyNumberFormat="1" applyFont="1" applyBorder="1" applyAlignment="1">
      <alignment horizontal="center" vertical="center"/>
    </xf>
    <xf numFmtId="14" fontId="17" fillId="0" borderId="58" xfId="0" applyNumberFormat="1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164" fontId="5" fillId="0" borderId="58" xfId="0" applyNumberFormat="1" applyFont="1" applyBorder="1" applyAlignment="1">
      <alignment horizontal="center"/>
    </xf>
    <xf numFmtId="1" fontId="5" fillId="0" borderId="59" xfId="0" applyNumberFormat="1" applyFont="1" applyBorder="1" applyAlignment="1">
      <alignment horizontal="center"/>
    </xf>
    <xf numFmtId="165" fontId="5" fillId="0" borderId="59" xfId="0" applyNumberFormat="1" applyFont="1" applyBorder="1" applyAlignment="1">
      <alignment horizontal="center"/>
    </xf>
    <xf numFmtId="14" fontId="17" fillId="0" borderId="59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wrapText="1"/>
    </xf>
    <xf numFmtId="0" fontId="21" fillId="0" borderId="66" xfId="0" applyFont="1" applyBorder="1" applyAlignment="1">
      <alignment horizontal="right" wrapText="1"/>
    </xf>
    <xf numFmtId="0" fontId="17" fillId="0" borderId="6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0" fontId="15" fillId="0" borderId="49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21" fillId="0" borderId="68" xfId="0" applyFont="1" applyBorder="1" applyAlignment="1">
      <alignment horizontal="right" wrapText="1"/>
    </xf>
    <xf numFmtId="0" fontId="17" fillId="0" borderId="69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/>
    </xf>
    <xf numFmtId="165" fontId="5" fillId="0" borderId="37" xfId="0" applyNumberFormat="1" applyFont="1" applyBorder="1" applyAlignment="1">
      <alignment horizontal="center"/>
    </xf>
    <xf numFmtId="164" fontId="17" fillId="0" borderId="37" xfId="0" applyNumberFormat="1" applyFont="1" applyBorder="1" applyAlignment="1">
      <alignment horizontal="center"/>
    </xf>
    <xf numFmtId="0" fontId="22" fillId="0" borderId="71" xfId="0" applyFont="1" applyBorder="1" applyAlignment="1"/>
    <xf numFmtId="0" fontId="21" fillId="0" borderId="72" xfId="0" applyFont="1" applyBorder="1" applyAlignment="1"/>
    <xf numFmtId="0" fontId="17" fillId="0" borderId="59" xfId="0" applyFont="1" applyBorder="1" applyAlignment="1">
      <alignment horizontal="center"/>
    </xf>
    <xf numFmtId="14" fontId="5" fillId="0" borderId="59" xfId="0" applyNumberFormat="1" applyFont="1" applyBorder="1" applyAlignment="1">
      <alignment horizontal="center"/>
    </xf>
    <xf numFmtId="1" fontId="5" fillId="0" borderId="59" xfId="0" applyNumberFormat="1" applyFont="1" applyBorder="1" applyAlignment="1">
      <alignment horizontal="center"/>
    </xf>
    <xf numFmtId="14" fontId="17" fillId="0" borderId="59" xfId="0" applyNumberFormat="1" applyFont="1" applyBorder="1" applyAlignment="1">
      <alignment horizontal="center"/>
    </xf>
    <xf numFmtId="0" fontId="5" fillId="0" borderId="59" xfId="0" applyFont="1" applyBorder="1" applyAlignment="1">
      <alignment horizontal="center" wrapText="1"/>
    </xf>
    <xf numFmtId="0" fontId="22" fillId="0" borderId="66" xfId="0" applyFont="1" applyBorder="1"/>
    <xf numFmtId="0" fontId="17" fillId="0" borderId="16" xfId="0" applyFont="1" applyBorder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4" fontId="17" fillId="0" borderId="16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2" fillId="0" borderId="73" xfId="0" applyFont="1" applyBorder="1"/>
    <xf numFmtId="0" fontId="17" fillId="0" borderId="37" xfId="0" applyFont="1" applyBorder="1" applyAlignment="1">
      <alignment horizontal="center"/>
    </xf>
    <xf numFmtId="14" fontId="5" fillId="0" borderId="37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4" fontId="17" fillId="0" borderId="13" xfId="0" applyNumberFormat="1" applyFont="1" applyBorder="1" applyAlignment="1">
      <alignment horizontal="center"/>
    </xf>
    <xf numFmtId="14" fontId="17" fillId="0" borderId="1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0" fontId="22" fillId="0" borderId="74" xfId="0" applyFont="1" applyBorder="1"/>
    <xf numFmtId="0" fontId="3" fillId="0" borderId="46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166" fontId="4" fillId="0" borderId="59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14" fontId="17" fillId="0" borderId="4" xfId="0" applyNumberFormat="1" applyFont="1" applyBorder="1" applyAlignment="1">
      <alignment horizontal="center" vertical="center"/>
    </xf>
    <xf numFmtId="0" fontId="4" fillId="0" borderId="6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wrapText="1"/>
    </xf>
    <xf numFmtId="166" fontId="4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75" xfId="0" applyFont="1" applyBorder="1" applyAlignment="1">
      <alignment horizontal="center" wrapText="1"/>
    </xf>
    <xf numFmtId="0" fontId="3" fillId="0" borderId="51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wrapText="1"/>
    </xf>
    <xf numFmtId="166" fontId="4" fillId="0" borderId="37" xfId="0" applyNumberFormat="1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74" xfId="0" applyFont="1" applyBorder="1" applyAlignment="1"/>
    <xf numFmtId="0" fontId="4" fillId="0" borderId="59" xfId="0" applyFont="1" applyBorder="1" applyAlignment="1">
      <alignment horizontal="center" wrapText="1"/>
    </xf>
    <xf numFmtId="14" fontId="17" fillId="0" borderId="15" xfId="0" applyNumberFormat="1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wrapText="1"/>
    </xf>
    <xf numFmtId="0" fontId="3" fillId="0" borderId="65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/>
    </xf>
    <xf numFmtId="0" fontId="6" fillId="0" borderId="77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wrapText="1"/>
    </xf>
    <xf numFmtId="0" fontId="3" fillId="0" borderId="6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167" fontId="4" fillId="0" borderId="37" xfId="0" applyNumberFormat="1" applyFont="1" applyBorder="1" applyAlignment="1">
      <alignment horizontal="center" wrapText="1"/>
    </xf>
    <xf numFmtId="166" fontId="4" fillId="0" borderId="37" xfId="0" applyNumberFormat="1" applyFont="1" applyBorder="1" applyAlignment="1">
      <alignment horizontal="center" wrapText="1"/>
    </xf>
    <xf numFmtId="167" fontId="4" fillId="0" borderId="59" xfId="0" applyNumberFormat="1" applyFont="1" applyBorder="1" applyAlignment="1">
      <alignment horizontal="center" wrapText="1"/>
    </xf>
    <xf numFmtId="167" fontId="4" fillId="0" borderId="59" xfId="0" quotePrefix="1" applyNumberFormat="1" applyFont="1" applyBorder="1" applyAlignment="1">
      <alignment horizontal="center" wrapText="1"/>
    </xf>
    <xf numFmtId="14" fontId="8" fillId="0" borderId="59" xfId="0" applyNumberFormat="1" applyFont="1" applyBorder="1" applyAlignment="1"/>
    <xf numFmtId="0" fontId="6" fillId="0" borderId="58" xfId="0" applyFont="1" applyBorder="1" applyAlignment="1">
      <alignment horizontal="center" vertical="center" wrapText="1"/>
    </xf>
    <xf numFmtId="167" fontId="4" fillId="0" borderId="16" xfId="0" applyNumberFormat="1" applyFont="1" applyBorder="1" applyAlignment="1">
      <alignment horizontal="center" wrapText="1"/>
    </xf>
    <xf numFmtId="167" fontId="4" fillId="0" borderId="16" xfId="0" quotePrefix="1" applyNumberFormat="1" applyFont="1" applyBorder="1" applyAlignment="1">
      <alignment horizontal="center" wrapText="1"/>
    </xf>
    <xf numFmtId="14" fontId="8" fillId="0" borderId="16" xfId="0" applyNumberFormat="1" applyFont="1" applyBorder="1" applyAlignment="1"/>
    <xf numFmtId="0" fontId="6" fillId="0" borderId="49" xfId="0" applyFont="1" applyBorder="1" applyAlignment="1">
      <alignment horizontal="center" vertical="center" wrapText="1"/>
    </xf>
    <xf numFmtId="167" fontId="4" fillId="0" borderId="37" xfId="0" quotePrefix="1" applyNumberFormat="1" applyFont="1" applyBorder="1" applyAlignment="1">
      <alignment horizontal="center" wrapText="1"/>
    </xf>
    <xf numFmtId="14" fontId="8" fillId="0" borderId="37" xfId="0" applyNumberFormat="1" applyFont="1" applyBorder="1" applyAlignment="1"/>
    <xf numFmtId="0" fontId="6" fillId="0" borderId="7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164" fontId="9" fillId="0" borderId="59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164" fontId="9" fillId="0" borderId="37" xfId="0" applyNumberFormat="1" applyFont="1" applyBorder="1" applyAlignment="1">
      <alignment horizontal="center"/>
    </xf>
    <xf numFmtId="0" fontId="4" fillId="0" borderId="58" xfId="0" applyFont="1" applyBorder="1" applyAlignment="1">
      <alignment horizontal="center" wrapText="1"/>
    </xf>
    <xf numFmtId="164" fontId="8" fillId="0" borderId="58" xfId="0" applyNumberFormat="1" applyFont="1" applyBorder="1" applyAlignment="1"/>
    <xf numFmtId="0" fontId="4" fillId="0" borderId="53" xfId="0" applyFont="1" applyBorder="1" applyAlignment="1">
      <alignment horizontal="center" wrapText="1"/>
    </xf>
    <xf numFmtId="164" fontId="8" fillId="0" borderId="4" xfId="0" applyNumberFormat="1" applyFont="1" applyBorder="1" applyAlignment="1"/>
    <xf numFmtId="0" fontId="3" fillId="0" borderId="7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wrapText="1"/>
    </xf>
    <xf numFmtId="164" fontId="8" fillId="0" borderId="35" xfId="0" applyNumberFormat="1" applyFont="1" applyBorder="1" applyAlignment="1"/>
    <xf numFmtId="0" fontId="15" fillId="8" borderId="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wrapText="1"/>
    </xf>
    <xf numFmtId="0" fontId="24" fillId="8" borderId="13" xfId="0" applyFont="1" applyFill="1" applyBorder="1" applyAlignment="1">
      <alignment horizontal="center" vertical="center"/>
    </xf>
    <xf numFmtId="167" fontId="4" fillId="0" borderId="81" xfId="0" applyNumberFormat="1" applyFont="1" applyBorder="1" applyAlignment="1">
      <alignment horizontal="center" wrapText="1"/>
    </xf>
    <xf numFmtId="14" fontId="23" fillId="8" borderId="81" xfId="0" applyNumberFormat="1" applyFont="1" applyFill="1" applyBorder="1" applyAlignment="1">
      <alignment horizontal="center" wrapText="1"/>
    </xf>
    <xf numFmtId="167" fontId="4" fillId="0" borderId="82" xfId="0" applyNumberFormat="1" applyFont="1" applyBorder="1" applyAlignment="1">
      <alignment horizontal="center" wrapText="1"/>
    </xf>
    <xf numFmtId="0" fontId="23" fillId="8" borderId="16" xfId="0" applyFont="1" applyFill="1" applyBorder="1" applyAlignment="1">
      <alignment horizontal="center" wrapText="1"/>
    </xf>
    <xf numFmtId="0" fontId="23" fillId="8" borderId="81" xfId="0" applyFont="1" applyFill="1" applyBorder="1" applyAlignment="1">
      <alignment horizontal="center" wrapText="1"/>
    </xf>
    <xf numFmtId="0" fontId="23" fillId="8" borderId="4" xfId="0" applyFont="1" applyFill="1" applyBorder="1" applyAlignment="1">
      <alignment horizontal="center" wrapText="1"/>
    </xf>
    <xf numFmtId="0" fontId="15" fillId="8" borderId="32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/>
    </xf>
    <xf numFmtId="1" fontId="24" fillId="8" borderId="81" xfId="0" applyNumberFormat="1" applyFont="1" applyFill="1" applyBorder="1" applyAlignment="1">
      <alignment horizontal="right"/>
    </xf>
    <xf numFmtId="166" fontId="24" fillId="8" borderId="81" xfId="0" applyNumberFormat="1" applyFont="1" applyFill="1" applyBorder="1" applyAlignment="1">
      <alignment horizontal="right"/>
    </xf>
    <xf numFmtId="14" fontId="24" fillId="8" borderId="81" xfId="0" applyNumberFormat="1" applyFont="1" applyFill="1" applyBorder="1" applyAlignment="1">
      <alignment horizontal="right"/>
    </xf>
    <xf numFmtId="0" fontId="24" fillId="8" borderId="15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center" vertical="center" wrapText="1"/>
    </xf>
    <xf numFmtId="0" fontId="24" fillId="8" borderId="15" xfId="0" applyFont="1" applyFill="1" applyBorder="1" applyAlignment="1">
      <alignment horizontal="center"/>
    </xf>
    <xf numFmtId="0" fontId="4" fillId="0" borderId="81" xfId="0" applyFont="1" applyBorder="1" applyAlignment="1">
      <alignment horizontal="center" wrapText="1"/>
    </xf>
    <xf numFmtId="167" fontId="4" fillId="0" borderId="81" xfId="0" applyNumberFormat="1" applyFont="1" applyBorder="1" applyAlignment="1">
      <alignment horizontal="center" wrapText="1"/>
    </xf>
    <xf numFmtId="1" fontId="24" fillId="8" borderId="81" xfId="0" applyNumberFormat="1" applyFont="1" applyFill="1" applyBorder="1" applyAlignment="1">
      <alignment horizontal="right"/>
    </xf>
    <xf numFmtId="166" fontId="24" fillId="8" borderId="81" xfId="0" applyNumberFormat="1" applyFont="1" applyFill="1" applyBorder="1" applyAlignment="1">
      <alignment horizontal="right"/>
    </xf>
    <xf numFmtId="0" fontId="15" fillId="8" borderId="31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wrapText="1"/>
    </xf>
    <xf numFmtId="1" fontId="24" fillId="8" borderId="81" xfId="0" applyNumberFormat="1" applyFont="1" applyFill="1" applyBorder="1" applyAlignment="1">
      <alignment horizontal="center" wrapText="1"/>
    </xf>
    <xf numFmtId="166" fontId="24" fillId="8" borderId="81" xfId="0" applyNumberFormat="1" applyFont="1" applyFill="1" applyBorder="1" applyAlignment="1">
      <alignment horizontal="center" wrapText="1"/>
    </xf>
    <xf numFmtId="14" fontId="24" fillId="8" borderId="81" xfId="0" applyNumberFormat="1" applyFont="1" applyFill="1" applyBorder="1" applyAlignment="1">
      <alignment horizontal="center" wrapText="1"/>
    </xf>
    <xf numFmtId="0" fontId="24" fillId="8" borderId="15" xfId="0" applyFont="1" applyFill="1" applyBorder="1" applyAlignment="1">
      <alignment horizontal="center" wrapText="1"/>
    </xf>
    <xf numFmtId="0" fontId="15" fillId="8" borderId="85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wrapText="1"/>
    </xf>
    <xf numFmtId="166" fontId="24" fillId="8" borderId="81" xfId="0" applyNumberFormat="1" applyFont="1" applyFill="1" applyBorder="1" applyAlignment="1">
      <alignment horizontal="center" wrapText="1"/>
    </xf>
    <xf numFmtId="0" fontId="24" fillId="8" borderId="3" xfId="0" applyFont="1" applyFill="1" applyBorder="1" applyAlignment="1">
      <alignment horizontal="center"/>
    </xf>
    <xf numFmtId="1" fontId="24" fillId="8" borderId="81" xfId="0" applyNumberFormat="1" applyFont="1" applyFill="1" applyBorder="1" applyAlignment="1">
      <alignment horizontal="center"/>
    </xf>
    <xf numFmtId="166" fontId="24" fillId="8" borderId="81" xfId="0" applyNumberFormat="1" applyFont="1" applyFill="1" applyBorder="1" applyAlignment="1">
      <alignment horizontal="center"/>
    </xf>
    <xf numFmtId="14" fontId="24" fillId="8" borderId="81" xfId="0" applyNumberFormat="1" applyFont="1" applyFill="1" applyBorder="1" applyAlignment="1">
      <alignment horizontal="center"/>
    </xf>
    <xf numFmtId="0" fontId="24" fillId="8" borderId="44" xfId="0" applyFont="1" applyFill="1" applyBorder="1" applyAlignment="1">
      <alignment horizontal="center"/>
    </xf>
    <xf numFmtId="0" fontId="24" fillId="8" borderId="21" xfId="0" applyFont="1" applyFill="1" applyBorder="1" applyAlignment="1">
      <alignment horizontal="center"/>
    </xf>
    <xf numFmtId="0" fontId="24" fillId="8" borderId="81" xfId="0" applyFont="1" applyFill="1" applyBorder="1" applyAlignment="1">
      <alignment horizontal="center"/>
    </xf>
    <xf numFmtId="0" fontId="23" fillId="8" borderId="86" xfId="0" applyFont="1" applyFill="1" applyBorder="1" applyAlignment="1">
      <alignment horizontal="center" wrapText="1"/>
    </xf>
    <xf numFmtId="14" fontId="23" fillId="8" borderId="81" xfId="0" applyNumberFormat="1" applyFont="1" applyFill="1" applyBorder="1" applyAlignment="1">
      <alignment horizontal="center" wrapText="1"/>
    </xf>
    <xf numFmtId="14" fontId="23" fillId="8" borderId="81" xfId="0" applyNumberFormat="1" applyFont="1" applyFill="1" applyBorder="1" applyAlignment="1">
      <alignment horizontal="center" wrapText="1"/>
    </xf>
    <xf numFmtId="0" fontId="15" fillId="8" borderId="81" xfId="0" applyFont="1" applyFill="1" applyBorder="1" applyAlignment="1">
      <alignment horizontal="center" vertical="center" wrapText="1"/>
    </xf>
    <xf numFmtId="0" fontId="23" fillId="8" borderId="86" xfId="0" applyFont="1" applyFill="1" applyBorder="1" applyAlignment="1">
      <alignment horizontal="center" wrapText="1"/>
    </xf>
    <xf numFmtId="0" fontId="24" fillId="8" borderId="16" xfId="0" applyFont="1" applyFill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wrapText="1"/>
    </xf>
    <xf numFmtId="1" fontId="11" fillId="0" borderId="1" xfId="0" applyNumberFormat="1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 wrapText="1"/>
    </xf>
    <xf numFmtId="0" fontId="14" fillId="8" borderId="0" xfId="0" applyFont="1" applyFill="1"/>
    <xf numFmtId="0" fontId="24" fillId="8" borderId="34" xfId="0" applyFont="1" applyFill="1" applyBorder="1" applyAlignment="1">
      <alignment horizontal="center" vertical="center"/>
    </xf>
    <xf numFmtId="1" fontId="24" fillId="8" borderId="81" xfId="0" applyNumberFormat="1" applyFont="1" applyFill="1" applyBorder="1" applyAlignment="1">
      <alignment horizontal="center" vertical="center"/>
    </xf>
    <xf numFmtId="166" fontId="25" fillId="8" borderId="81" xfId="0" applyNumberFormat="1" applyFont="1" applyFill="1" applyBorder="1" applyAlignment="1">
      <alignment horizontal="center" vertical="center"/>
    </xf>
    <xf numFmtId="0" fontId="25" fillId="8" borderId="81" xfId="0" applyFont="1" applyFill="1" applyBorder="1" applyAlignment="1">
      <alignment horizontal="center" vertical="center"/>
    </xf>
    <xf numFmtId="14" fontId="23" fillId="8" borderId="81" xfId="0" applyNumberFormat="1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/>
    </xf>
    <xf numFmtId="167" fontId="4" fillId="0" borderId="81" xfId="0" applyNumberFormat="1" applyFont="1" applyBorder="1" applyAlignment="1">
      <alignment horizontal="center" vertical="center" wrapText="1"/>
    </xf>
    <xf numFmtId="0" fontId="25" fillId="10" borderId="86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24" fillId="8" borderId="87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8" borderId="88" xfId="0" applyFont="1" applyFill="1" applyBorder="1" applyAlignment="1">
      <alignment horizontal="center"/>
    </xf>
    <xf numFmtId="0" fontId="24" fillId="8" borderId="81" xfId="0" applyFont="1" applyFill="1" applyBorder="1" applyAlignment="1">
      <alignment horizontal="center" vertical="center"/>
    </xf>
    <xf numFmtId="1" fontId="24" fillId="8" borderId="81" xfId="0" applyNumberFormat="1" applyFont="1" applyFill="1" applyBorder="1" applyAlignment="1">
      <alignment horizontal="center" vertical="center"/>
    </xf>
    <xf numFmtId="166" fontId="24" fillId="8" borderId="81" xfId="0" applyNumberFormat="1" applyFont="1" applyFill="1" applyBorder="1" applyAlignment="1">
      <alignment horizontal="center" vertical="center"/>
    </xf>
    <xf numFmtId="0" fontId="4" fillId="0" borderId="74" xfId="0" applyFont="1" applyBorder="1" applyAlignment="1">
      <alignment horizontal="right" wrapText="1"/>
    </xf>
    <xf numFmtId="0" fontId="5" fillId="0" borderId="4" xfId="0" applyFont="1" applyBorder="1" applyAlignment="1">
      <alignment horizontal="center"/>
    </xf>
    <xf numFmtId="0" fontId="24" fillId="8" borderId="81" xfId="0" applyFont="1" applyFill="1" applyBorder="1" applyAlignment="1">
      <alignment horizontal="center" wrapText="1"/>
    </xf>
    <xf numFmtId="0" fontId="24" fillId="8" borderId="89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24" fillId="8" borderId="90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0" fontId="14" fillId="8" borderId="81" xfId="0" applyFont="1" applyFill="1" applyBorder="1"/>
    <xf numFmtId="167" fontId="4" fillId="8" borderId="81" xfId="0" applyNumberFormat="1" applyFont="1" applyFill="1" applyBorder="1" applyAlignment="1">
      <alignment horizontal="center" wrapText="1"/>
    </xf>
    <xf numFmtId="0" fontId="25" fillId="2" borderId="3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67" fontId="26" fillId="0" borderId="81" xfId="0" applyNumberFormat="1" applyFont="1" applyBorder="1" applyAlignment="1">
      <alignment horizontal="center" vertical="center" wrapText="1"/>
    </xf>
    <xf numFmtId="166" fontId="27" fillId="8" borderId="81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14" fillId="0" borderId="4" xfId="0" applyFont="1" applyBorder="1"/>
    <xf numFmtId="167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8" fillId="0" borderId="0" xfId="0" applyFont="1"/>
    <xf numFmtId="0" fontId="4" fillId="13" borderId="99" xfId="0" applyFont="1" applyFill="1" applyBorder="1" applyAlignment="1">
      <alignment horizontal="center" vertical="center"/>
    </xf>
    <xf numFmtId="0" fontId="4" fillId="13" borderId="100" xfId="0" applyFont="1" applyFill="1" applyBorder="1" applyAlignment="1">
      <alignment horizontal="center" vertical="center"/>
    </xf>
    <xf numFmtId="0" fontId="4" fillId="13" borderId="100" xfId="0" applyFont="1" applyFill="1" applyBorder="1" applyAlignment="1">
      <alignment horizontal="center" vertical="center" wrapText="1"/>
    </xf>
    <xf numFmtId="0" fontId="4" fillId="13" borderId="101" xfId="0" applyFont="1" applyFill="1" applyBorder="1" applyAlignment="1">
      <alignment horizontal="center" vertical="center" wrapText="1"/>
    </xf>
    <xf numFmtId="0" fontId="4" fillId="13" borderId="102" xfId="0" applyFont="1" applyFill="1" applyBorder="1" applyAlignment="1">
      <alignment horizontal="center" vertical="center"/>
    </xf>
    <xf numFmtId="0" fontId="4" fillId="13" borderId="102" xfId="0" applyFont="1" applyFill="1" applyBorder="1" applyAlignment="1">
      <alignment horizontal="center" vertical="center" wrapText="1"/>
    </xf>
    <xf numFmtId="0" fontId="4" fillId="14" borderId="99" xfId="0" applyFont="1" applyFill="1" applyBorder="1" applyAlignment="1">
      <alignment horizontal="center" vertical="center"/>
    </xf>
    <xf numFmtId="0" fontId="28" fillId="0" borderId="103" xfId="0" applyFont="1" applyBorder="1" applyAlignment="1"/>
    <xf numFmtId="0" fontId="28" fillId="0" borderId="104" xfId="0" applyFont="1" applyBorder="1" applyAlignment="1"/>
    <xf numFmtId="0" fontId="7" fillId="0" borderId="104" xfId="0" applyFont="1" applyBorder="1" applyAlignment="1"/>
    <xf numFmtId="0" fontId="7" fillId="0" borderId="105" xfId="0" applyFont="1" applyBorder="1" applyAlignment="1"/>
    <xf numFmtId="0" fontId="5" fillId="15" borderId="107" xfId="0" applyFont="1" applyFill="1" applyBorder="1" applyAlignment="1">
      <alignment horizontal="center" wrapText="1" readingOrder="2"/>
    </xf>
    <xf numFmtId="0" fontId="5" fillId="17" borderId="110" xfId="0" applyFont="1" applyFill="1" applyBorder="1" applyAlignment="1">
      <alignment horizontal="center"/>
    </xf>
    <xf numFmtId="0" fontId="5" fillId="14" borderId="111" xfId="0" applyFont="1" applyFill="1" applyBorder="1" applyAlignment="1">
      <alignment horizontal="center"/>
    </xf>
    <xf numFmtId="0" fontId="5" fillId="15" borderId="101" xfId="0" applyFont="1" applyFill="1" applyBorder="1" applyAlignment="1">
      <alignment horizontal="center" wrapText="1" readingOrder="2"/>
    </xf>
    <xf numFmtId="0" fontId="30" fillId="0" borderId="4" xfId="0" applyFont="1" applyBorder="1" applyAlignment="1">
      <alignment horizontal="center"/>
    </xf>
    <xf numFmtId="0" fontId="5" fillId="18" borderId="111" xfId="0" applyFont="1" applyFill="1" applyBorder="1" applyAlignment="1">
      <alignment horizontal="center"/>
    </xf>
    <xf numFmtId="0" fontId="5" fillId="19" borderId="107" xfId="0" applyFont="1" applyFill="1" applyBorder="1" applyAlignment="1">
      <alignment horizontal="center" wrapText="1" readingOrder="2"/>
    </xf>
    <xf numFmtId="0" fontId="5" fillId="0" borderId="1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19" borderId="117" xfId="0" applyFont="1" applyFill="1" applyBorder="1" applyAlignment="1">
      <alignment horizontal="center" wrapText="1" readingOrder="2"/>
    </xf>
    <xf numFmtId="0" fontId="5" fillId="5" borderId="41" xfId="0" applyFont="1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118" xfId="0" applyFont="1" applyFill="1" applyBorder="1" applyAlignment="1">
      <alignment horizontal="center"/>
    </xf>
    <xf numFmtId="0" fontId="5" fillId="5" borderId="117" xfId="0" applyFont="1" applyFill="1" applyBorder="1" applyAlignment="1">
      <alignment horizontal="center"/>
    </xf>
    <xf numFmtId="0" fontId="5" fillId="5" borderId="119" xfId="0" applyFont="1" applyFill="1" applyBorder="1" applyAlignment="1">
      <alignment horizontal="center"/>
    </xf>
    <xf numFmtId="0" fontId="30" fillId="5" borderId="4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19" borderId="101" xfId="0" applyFont="1" applyFill="1" applyBorder="1" applyAlignment="1">
      <alignment horizontal="center" wrapText="1" readingOrder="2"/>
    </xf>
    <xf numFmtId="0" fontId="5" fillId="20" borderId="121" xfId="0" applyFont="1" applyFill="1" applyBorder="1" applyAlignment="1">
      <alignment horizontal="center"/>
    </xf>
    <xf numFmtId="0" fontId="5" fillId="20" borderId="100" xfId="0" applyFont="1" applyFill="1" applyBorder="1" applyAlignment="1">
      <alignment horizontal="center"/>
    </xf>
    <xf numFmtId="0" fontId="5" fillId="21" borderId="100" xfId="0" applyFont="1" applyFill="1" applyBorder="1" applyAlignment="1">
      <alignment horizontal="center"/>
    </xf>
    <xf numFmtId="0" fontId="5" fillId="21" borderId="104" xfId="0" applyFont="1" applyFill="1" applyBorder="1" applyAlignment="1">
      <alignment horizontal="center"/>
    </xf>
    <xf numFmtId="0" fontId="5" fillId="21" borderId="122" xfId="0" applyFont="1" applyFill="1" applyBorder="1" applyAlignment="1">
      <alignment horizontal="center"/>
    </xf>
    <xf numFmtId="0" fontId="5" fillId="21" borderId="101" xfId="0" applyFont="1" applyFill="1" applyBorder="1" applyAlignment="1">
      <alignment horizontal="center"/>
    </xf>
    <xf numFmtId="0" fontId="5" fillId="21" borderId="123" xfId="0" applyFont="1" applyFill="1" applyBorder="1" applyAlignment="1">
      <alignment horizontal="center"/>
    </xf>
    <xf numFmtId="0" fontId="30" fillId="21" borderId="104" xfId="0" applyFont="1" applyFill="1" applyBorder="1" applyAlignment="1">
      <alignment horizontal="center"/>
    </xf>
    <xf numFmtId="0" fontId="5" fillId="21" borderId="111" xfId="0" applyFont="1" applyFill="1" applyBorder="1" applyAlignment="1">
      <alignment horizontal="center"/>
    </xf>
    <xf numFmtId="0" fontId="5" fillId="3" borderId="107" xfId="0" applyFont="1" applyFill="1" applyBorder="1" applyAlignment="1">
      <alignment horizontal="center" wrapText="1" readingOrder="2"/>
    </xf>
    <xf numFmtId="0" fontId="5" fillId="0" borderId="124" xfId="0" applyFont="1" applyBorder="1" applyAlignment="1">
      <alignment horizontal="center"/>
    </xf>
    <xf numFmtId="0" fontId="5" fillId="0" borderId="107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3" borderId="117" xfId="0" applyFont="1" applyFill="1" applyBorder="1" applyAlignment="1">
      <alignment horizontal="right" wrapText="1" readingOrder="2"/>
    </xf>
    <xf numFmtId="0" fontId="31" fillId="0" borderId="0" xfId="0" applyFont="1" applyAlignment="1"/>
    <xf numFmtId="0" fontId="5" fillId="3" borderId="117" xfId="0" applyFont="1" applyFill="1" applyBorder="1" applyAlignment="1">
      <alignment horizontal="center" wrapText="1" readingOrder="2"/>
    </xf>
    <xf numFmtId="0" fontId="5" fillId="3" borderId="101" xfId="0" applyFont="1" applyFill="1" applyBorder="1" applyAlignment="1">
      <alignment horizontal="center" wrapText="1" readingOrder="2"/>
    </xf>
    <xf numFmtId="0" fontId="5" fillId="0" borderId="22" xfId="0" applyFont="1" applyBorder="1" applyAlignment="1">
      <alignment horizontal="center"/>
    </xf>
    <xf numFmtId="0" fontId="5" fillId="0" borderId="104" xfId="0" applyFont="1" applyBorder="1" applyAlignment="1">
      <alignment horizontal="center"/>
    </xf>
    <xf numFmtId="0" fontId="5" fillId="0" borderId="126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0" fillId="0" borderId="104" xfId="0" applyFont="1" applyBorder="1" applyAlignment="1">
      <alignment horizontal="center"/>
    </xf>
    <xf numFmtId="0" fontId="28" fillId="0" borderId="124" xfId="0" applyFont="1" applyBorder="1"/>
    <xf numFmtId="0" fontId="28" fillId="0" borderId="16" xfId="0" applyFont="1" applyBorder="1"/>
    <xf numFmtId="0" fontId="28" fillId="0" borderId="4" xfId="0" applyFont="1" applyBorder="1"/>
    <xf numFmtId="0" fontId="28" fillId="0" borderId="13" xfId="0" applyFont="1" applyBorder="1"/>
    <xf numFmtId="0" fontId="5" fillId="0" borderId="9" xfId="0" applyFont="1" applyBorder="1" applyAlignment="1">
      <alignment horizontal="center"/>
    </xf>
    <xf numFmtId="0" fontId="28" fillId="0" borderId="9" xfId="0" applyFont="1" applyBorder="1"/>
    <xf numFmtId="0" fontId="28" fillId="21" borderId="41" xfId="0" applyFont="1" applyFill="1" applyBorder="1"/>
    <xf numFmtId="0" fontId="5" fillId="21" borderId="41" xfId="0" applyFont="1" applyFill="1" applyBorder="1" applyAlignment="1">
      <alignment horizontal="center"/>
    </xf>
    <xf numFmtId="0" fontId="5" fillId="21" borderId="4" xfId="0" applyFont="1" applyFill="1" applyBorder="1" applyAlignment="1">
      <alignment horizontal="center"/>
    </xf>
    <xf numFmtId="0" fontId="5" fillId="21" borderId="130" xfId="0" applyFont="1" applyFill="1" applyBorder="1" applyAlignment="1">
      <alignment horizontal="center"/>
    </xf>
    <xf numFmtId="0" fontId="28" fillId="21" borderId="4" xfId="0" applyFont="1" applyFill="1" applyBorder="1"/>
    <xf numFmtId="0" fontId="30" fillId="21" borderId="4" xfId="0" applyFont="1" applyFill="1" applyBorder="1" applyAlignment="1">
      <alignment horizontal="center"/>
    </xf>
    <xf numFmtId="0" fontId="5" fillId="21" borderId="131" xfId="0" applyFont="1" applyFill="1" applyBorder="1" applyAlignment="1">
      <alignment horizontal="center"/>
    </xf>
    <xf numFmtId="0" fontId="28" fillId="21" borderId="100" xfId="0" applyFont="1" applyFill="1" applyBorder="1"/>
    <xf numFmtId="0" fontId="5" fillId="21" borderId="99" xfId="0" applyFont="1" applyFill="1" applyBorder="1" applyAlignment="1">
      <alignment horizontal="center"/>
    </xf>
    <xf numFmtId="0" fontId="28" fillId="21" borderId="101" xfId="0" applyFont="1" applyFill="1" applyBorder="1"/>
    <xf numFmtId="0" fontId="28" fillId="21" borderId="111" xfId="0" applyFont="1" applyFill="1" applyBorder="1"/>
    <xf numFmtId="0" fontId="28" fillId="0" borderId="107" xfId="0" applyFont="1" applyBorder="1"/>
    <xf numFmtId="0" fontId="28" fillId="0" borderId="29" xfId="0" applyFont="1" applyBorder="1"/>
    <xf numFmtId="0" fontId="28" fillId="21" borderId="117" xfId="0" applyFont="1" applyFill="1" applyBorder="1"/>
    <xf numFmtId="0" fontId="28" fillId="0" borderId="15" xfId="0" applyFont="1" applyBorder="1"/>
    <xf numFmtId="0" fontId="5" fillId="0" borderId="13" xfId="0" applyFont="1" applyBorder="1" applyAlignment="1">
      <alignment horizontal="center"/>
    </xf>
    <xf numFmtId="0" fontId="28" fillId="0" borderId="28" xfId="0" applyFont="1" applyBorder="1"/>
    <xf numFmtId="0" fontId="28" fillId="0" borderId="126" xfId="0" applyFont="1" applyBorder="1"/>
    <xf numFmtId="0" fontId="28" fillId="0" borderId="49" xfId="0" applyFont="1" applyBorder="1"/>
    <xf numFmtId="0" fontId="28" fillId="0" borderId="50" xfId="0" applyFont="1" applyBorder="1"/>
    <xf numFmtId="0" fontId="28" fillId="0" borderId="1" xfId="0" applyFont="1" applyBorder="1"/>
    <xf numFmtId="0" fontId="28" fillId="0" borderId="27" xfId="0" applyFont="1" applyBorder="1"/>
    <xf numFmtId="0" fontId="4" fillId="13" borderId="6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/>
    </xf>
    <xf numFmtId="0" fontId="3" fillId="19" borderId="142" xfId="0" applyFont="1" applyFill="1" applyBorder="1" applyAlignment="1">
      <alignment horizontal="center"/>
    </xf>
    <xf numFmtId="0" fontId="28" fillId="8" borderId="15" xfId="0" applyFont="1" applyFill="1" applyBorder="1"/>
    <xf numFmtId="0" fontId="19" fillId="0" borderId="15" xfId="0" applyFont="1" applyBorder="1" applyAlignment="1">
      <alignment horizontal="center"/>
    </xf>
    <xf numFmtId="0" fontId="3" fillId="19" borderId="144" xfId="0" applyFont="1" applyFill="1" applyBorder="1" applyAlignment="1">
      <alignment horizontal="center"/>
    </xf>
    <xf numFmtId="0" fontId="28" fillId="8" borderId="4" xfId="0" applyFont="1" applyFill="1" applyBorder="1"/>
    <xf numFmtId="0" fontId="19" fillId="0" borderId="4" xfId="0" applyFont="1" applyBorder="1" applyAlignment="1">
      <alignment horizontal="center"/>
    </xf>
    <xf numFmtId="0" fontId="28" fillId="0" borderId="0" xfId="0" applyFont="1" applyAlignment="1">
      <alignment vertical="center"/>
    </xf>
    <xf numFmtId="0" fontId="28" fillId="0" borderId="91" xfId="0" applyFont="1" applyBorder="1" applyAlignment="1">
      <alignment vertical="center"/>
    </xf>
    <xf numFmtId="0" fontId="29" fillId="8" borderId="0" xfId="0" applyFont="1" applyFill="1" applyAlignment="1">
      <alignment horizontal="center"/>
    </xf>
    <xf numFmtId="0" fontId="5" fillId="13" borderId="99" xfId="0" applyFont="1" applyFill="1" applyBorder="1" applyAlignment="1">
      <alignment horizontal="center" vertical="center"/>
    </xf>
    <xf numFmtId="0" fontId="5" fillId="13" borderId="100" xfId="0" applyFont="1" applyFill="1" applyBorder="1" applyAlignment="1">
      <alignment horizontal="center" vertical="center"/>
    </xf>
    <xf numFmtId="0" fontId="5" fillId="13" borderId="100" xfId="0" applyFont="1" applyFill="1" applyBorder="1" applyAlignment="1">
      <alignment horizontal="center" vertical="center" wrapText="1"/>
    </xf>
    <xf numFmtId="0" fontId="5" fillId="13" borderId="101" xfId="0" applyFont="1" applyFill="1" applyBorder="1" applyAlignment="1">
      <alignment horizontal="center" vertical="center" wrapText="1"/>
    </xf>
    <xf numFmtId="0" fontId="5" fillId="13" borderId="102" xfId="0" applyFont="1" applyFill="1" applyBorder="1" applyAlignment="1">
      <alignment horizontal="center" vertical="center"/>
    </xf>
    <xf numFmtId="0" fontId="5" fillId="13" borderId="102" xfId="0" applyFont="1" applyFill="1" applyBorder="1" applyAlignment="1">
      <alignment horizontal="center" vertical="center" wrapText="1"/>
    </xf>
    <xf numFmtId="0" fontId="5" fillId="13" borderId="146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5" fillId="14" borderId="14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28" fillId="8" borderId="0" xfId="0" applyFont="1" applyFill="1"/>
    <xf numFmtId="0" fontId="7" fillId="8" borderId="0" xfId="0" applyFont="1" applyFill="1"/>
    <xf numFmtId="0" fontId="5" fillId="15" borderId="107" xfId="0" applyFont="1" applyFill="1" applyBorder="1" applyAlignment="1">
      <alignment horizontal="center" vertical="center" wrapText="1" readingOrder="2"/>
    </xf>
    <xf numFmtId="0" fontId="5" fillId="17" borderId="110" xfId="0" applyFont="1" applyFill="1" applyBorder="1" applyAlignment="1">
      <alignment horizontal="center" vertical="center"/>
    </xf>
    <xf numFmtId="0" fontId="5" fillId="17" borderId="148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28" fillId="8" borderId="0" xfId="0" applyFont="1" applyFill="1" applyAlignment="1"/>
    <xf numFmtId="0" fontId="5" fillId="15" borderId="101" xfId="0" applyFont="1" applyFill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19" borderId="107" xfId="0" applyFont="1" applyFill="1" applyBorder="1" applyAlignment="1">
      <alignment horizontal="center" vertical="center" wrapText="1" readingOrder="2"/>
    </xf>
    <xf numFmtId="0" fontId="5" fillId="0" borderId="1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19" borderId="117" xfId="0" applyFont="1" applyFill="1" applyBorder="1" applyAlignment="1">
      <alignment horizontal="center" vertical="center" wrapText="1" readingOrder="2"/>
    </xf>
    <xf numFmtId="0" fontId="5" fillId="5" borderId="4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18" xfId="0" applyFont="1" applyFill="1" applyBorder="1" applyAlignment="1">
      <alignment horizontal="center" vertical="center"/>
    </xf>
    <xf numFmtId="0" fontId="5" fillId="5" borderId="117" xfId="0" applyFont="1" applyFill="1" applyBorder="1" applyAlignment="1">
      <alignment horizontal="center" vertical="center"/>
    </xf>
    <xf numFmtId="0" fontId="5" fillId="5" borderId="119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3" fillId="0" borderId="1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5" fillId="19" borderId="101" xfId="0" applyFont="1" applyFill="1" applyBorder="1" applyAlignment="1">
      <alignment horizontal="center" vertical="center" wrapText="1" readingOrder="2"/>
    </xf>
    <xf numFmtId="0" fontId="5" fillId="23" borderId="99" xfId="0" applyFont="1" applyFill="1" applyBorder="1" applyAlignment="1">
      <alignment horizontal="center" vertical="center"/>
    </xf>
    <xf numFmtId="0" fontId="5" fillId="23" borderId="100" xfId="0" applyFont="1" applyFill="1" applyBorder="1" applyAlignment="1">
      <alignment horizontal="center" vertical="center"/>
    </xf>
    <xf numFmtId="0" fontId="5" fillId="23" borderId="104" xfId="0" applyFont="1" applyFill="1" applyBorder="1" applyAlignment="1">
      <alignment horizontal="center" vertical="center"/>
    </xf>
    <xf numFmtId="0" fontId="5" fillId="23" borderId="122" xfId="0" applyFont="1" applyFill="1" applyBorder="1" applyAlignment="1">
      <alignment horizontal="center" vertical="center"/>
    </xf>
    <xf numFmtId="0" fontId="5" fillId="23" borderId="129" xfId="0" applyFont="1" applyFill="1" applyBorder="1" applyAlignment="1">
      <alignment horizontal="center" vertical="center"/>
    </xf>
    <xf numFmtId="0" fontId="5" fillId="23" borderId="149" xfId="0" applyFont="1" applyFill="1" applyBorder="1" applyAlignment="1">
      <alignment horizontal="center" vertical="center"/>
    </xf>
    <xf numFmtId="0" fontId="5" fillId="23" borderId="149" xfId="0" applyFont="1" applyFill="1" applyBorder="1" applyAlignment="1">
      <alignment horizontal="center" vertical="center"/>
    </xf>
    <xf numFmtId="0" fontId="5" fillId="23" borderId="150" xfId="0" applyFont="1" applyFill="1" applyBorder="1" applyAlignment="1">
      <alignment horizontal="center" vertical="center"/>
    </xf>
    <xf numFmtId="0" fontId="30" fillId="23" borderId="138" xfId="0" applyFont="1" applyFill="1" applyBorder="1" applyAlignment="1">
      <alignment horizontal="center" vertical="center"/>
    </xf>
    <xf numFmtId="0" fontId="5" fillId="24" borderId="16" xfId="0" applyFont="1" applyFill="1" applyBorder="1" applyAlignment="1">
      <alignment horizontal="center" vertical="center"/>
    </xf>
    <xf numFmtId="0" fontId="5" fillId="3" borderId="107" xfId="0" applyFont="1" applyFill="1" applyBorder="1" applyAlignment="1">
      <alignment horizontal="center" vertical="center" wrapText="1" readingOrder="2"/>
    </xf>
    <xf numFmtId="0" fontId="5" fillId="0" borderId="124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5" fillId="3" borderId="117" xfId="0" applyFont="1" applyFill="1" applyBorder="1" applyAlignment="1">
      <alignment horizontal="center" vertical="center" wrapText="1" readingOrder="2"/>
    </xf>
    <xf numFmtId="0" fontId="5" fillId="3" borderId="101" xfId="0" applyFont="1" applyFill="1" applyBorder="1" applyAlignment="1">
      <alignment horizontal="center" vertical="center" wrapText="1" readingOrder="2"/>
    </xf>
    <xf numFmtId="0" fontId="5" fillId="23" borderId="130" xfId="0" applyFont="1" applyFill="1" applyBorder="1" applyAlignment="1">
      <alignment horizontal="center" vertical="center"/>
    </xf>
    <xf numFmtId="0" fontId="5" fillId="23" borderId="41" xfId="0" applyFont="1" applyFill="1" applyBorder="1" applyAlignment="1">
      <alignment horizontal="center" vertical="center"/>
    </xf>
    <xf numFmtId="0" fontId="5" fillId="23" borderId="41" xfId="0" applyFont="1" applyFill="1" applyBorder="1" applyAlignment="1">
      <alignment horizontal="center" vertical="center"/>
    </xf>
    <xf numFmtId="0" fontId="5" fillId="23" borderId="22" xfId="0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5" fillId="23" borderId="29" xfId="0" applyFont="1" applyFill="1" applyBorder="1" applyAlignment="1">
      <alignment horizontal="center" vertical="center"/>
    </xf>
    <xf numFmtId="0" fontId="5" fillId="23" borderId="126" xfId="0" applyFont="1" applyFill="1" applyBorder="1" applyAlignment="1">
      <alignment horizontal="center" vertical="center"/>
    </xf>
    <xf numFmtId="0" fontId="5" fillId="23" borderId="25" xfId="0" applyFont="1" applyFill="1" applyBorder="1" applyAlignment="1">
      <alignment horizontal="center" vertical="center"/>
    </xf>
    <xf numFmtId="0" fontId="28" fillId="0" borderId="124" xfId="0" applyFont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52" xfId="0" applyFont="1" applyBorder="1" applyAlignment="1">
      <alignment horizontal="center" vertical="center"/>
    </xf>
    <xf numFmtId="0" fontId="28" fillId="0" borderId="9" xfId="0" applyFont="1" applyBorder="1" applyAlignment="1">
      <alignment vertical="center"/>
    </xf>
    <xf numFmtId="0" fontId="30" fillId="0" borderId="10" xfId="0" applyFont="1" applyBorder="1" applyAlignment="1">
      <alignment horizontal="center" vertical="center"/>
    </xf>
    <xf numFmtId="0" fontId="5" fillId="23" borderId="153" xfId="0" applyFont="1" applyFill="1" applyBorder="1" applyAlignment="1">
      <alignment horizontal="center" vertical="center"/>
    </xf>
    <xf numFmtId="0" fontId="5" fillId="23" borderId="154" xfId="0" applyFont="1" applyFill="1" applyBorder="1" applyAlignment="1">
      <alignment horizontal="center" vertical="center"/>
    </xf>
    <xf numFmtId="0" fontId="5" fillId="23" borderId="155" xfId="0" applyFont="1" applyFill="1" applyBorder="1" applyAlignment="1">
      <alignment horizontal="center" vertical="center"/>
    </xf>
    <xf numFmtId="0" fontId="5" fillId="23" borderId="110" xfId="0" applyFont="1" applyFill="1" applyBorder="1" applyAlignment="1">
      <alignment horizontal="center" vertical="center"/>
    </xf>
    <xf numFmtId="0" fontId="5" fillId="23" borderId="127" xfId="0" applyFont="1" applyFill="1" applyBorder="1" applyAlignment="1">
      <alignment horizontal="center" vertical="center"/>
    </xf>
    <xf numFmtId="0" fontId="5" fillId="23" borderId="20" xfId="0" applyFont="1" applyFill="1" applyBorder="1" applyAlignment="1">
      <alignment horizontal="center" vertical="center"/>
    </xf>
    <xf numFmtId="0" fontId="30" fillId="23" borderId="156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3" borderId="158" xfId="0" applyFont="1" applyFill="1" applyBorder="1" applyAlignment="1">
      <alignment horizontal="center" vertical="center"/>
    </xf>
    <xf numFmtId="0" fontId="5" fillId="23" borderId="159" xfId="0" applyFont="1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5" fillId="23" borderId="160" xfId="0" applyFont="1" applyFill="1" applyBorder="1" applyAlignment="1">
      <alignment horizontal="center" vertical="center"/>
    </xf>
    <xf numFmtId="0" fontId="5" fillId="23" borderId="161" xfId="0" applyFont="1" applyFill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5" fillId="23" borderId="147" xfId="0" applyFont="1" applyFill="1" applyBorder="1" applyAlignment="1">
      <alignment horizontal="center" vertical="center"/>
    </xf>
    <xf numFmtId="0" fontId="30" fillId="23" borderId="93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vertical="center"/>
    </xf>
    <xf numFmtId="0" fontId="5" fillId="5" borderId="130" xfId="0" applyFont="1" applyFill="1" applyBorder="1" applyAlignment="1">
      <alignment horizontal="center" vertical="center"/>
    </xf>
    <xf numFmtId="0" fontId="28" fillId="0" borderId="29" xfId="0" applyFont="1" applyBorder="1" applyAlignment="1">
      <alignment vertical="center"/>
    </xf>
    <xf numFmtId="0" fontId="5" fillId="23" borderId="162" xfId="0" applyFont="1" applyFill="1" applyBorder="1" applyAlignment="1">
      <alignment horizontal="center" vertical="center"/>
    </xf>
    <xf numFmtId="0" fontId="6" fillId="23" borderId="41" xfId="0" applyFont="1" applyFill="1" applyBorder="1" applyAlignment="1">
      <alignment horizontal="center" vertical="center"/>
    </xf>
    <xf numFmtId="0" fontId="7" fillId="23" borderId="100" xfId="0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8" fillId="0" borderId="126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8" fillId="0" borderId="49" xfId="0" applyFont="1" applyBorder="1" applyAlignment="1">
      <alignment vertical="center"/>
    </xf>
    <xf numFmtId="0" fontId="28" fillId="0" borderId="107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8" fillId="0" borderId="27" xfId="0" applyFont="1" applyBorder="1" applyAlignment="1">
      <alignment vertical="center"/>
    </xf>
    <xf numFmtId="0" fontId="28" fillId="0" borderId="104" xfId="0" applyFont="1" applyBorder="1" applyAlignment="1">
      <alignment vertical="center"/>
    </xf>
    <xf numFmtId="0" fontId="28" fillId="0" borderId="138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28" fillId="0" borderId="16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2" xfId="0" applyFont="1" applyBorder="1" applyAlignment="1">
      <alignment vertical="center"/>
    </xf>
    <xf numFmtId="0" fontId="4" fillId="13" borderId="165" xfId="0" applyFont="1" applyFill="1" applyBorder="1" applyAlignment="1">
      <alignment horizontal="center" vertical="center"/>
    </xf>
    <xf numFmtId="0" fontId="4" fillId="13" borderId="146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3" fillId="19" borderId="16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center" vertical="center"/>
    </xf>
    <xf numFmtId="0" fontId="3" fillId="19" borderId="167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vertical="center" wrapText="1"/>
    </xf>
    <xf numFmtId="0" fontId="8" fillId="8" borderId="0" xfId="0" applyFont="1" applyFill="1"/>
    <xf numFmtId="0" fontId="29" fillId="11" borderId="93" xfId="0" applyFont="1" applyFill="1" applyBorder="1" applyAlignment="1">
      <alignment horizontal="center" vertical="center" readingOrder="2"/>
    </xf>
    <xf numFmtId="0" fontId="5" fillId="13" borderId="112" xfId="0" applyFont="1" applyFill="1" applyBorder="1" applyAlignment="1">
      <alignment horizontal="center" vertical="center"/>
    </xf>
    <xf numFmtId="0" fontId="5" fillId="13" borderId="132" xfId="0" applyFont="1" applyFill="1" applyBorder="1" applyAlignment="1">
      <alignment horizontal="center" vertical="center"/>
    </xf>
    <xf numFmtId="0" fontId="5" fillId="13" borderId="132" xfId="0" applyFont="1" applyFill="1" applyBorder="1" applyAlignment="1">
      <alignment horizontal="center" vertical="center" wrapText="1"/>
    </xf>
    <xf numFmtId="0" fontId="5" fillId="13" borderId="126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 wrapText="1"/>
    </xf>
    <xf numFmtId="0" fontId="5" fillId="13" borderId="121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/>
    </xf>
    <xf numFmtId="0" fontId="5" fillId="3" borderId="84" xfId="0" applyFont="1" applyFill="1" applyBorder="1" applyAlignment="1">
      <alignment horizontal="center" vertical="center"/>
    </xf>
    <xf numFmtId="0" fontId="5" fillId="26" borderId="171" xfId="0" applyFont="1" applyFill="1" applyBorder="1" applyAlignment="1">
      <alignment horizontal="center" vertical="center"/>
    </xf>
    <xf numFmtId="0" fontId="5" fillId="14" borderId="172" xfId="0" applyFont="1" applyFill="1" applyBorder="1" applyAlignment="1">
      <alignment horizontal="center" vertical="center"/>
    </xf>
    <xf numFmtId="0" fontId="5" fillId="17" borderId="148" xfId="0" applyFont="1" applyFill="1" applyBorder="1" applyAlignment="1">
      <alignment horizontal="center" vertical="center"/>
    </xf>
    <xf numFmtId="0" fontId="5" fillId="14" borderId="17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81" xfId="0" applyFont="1" applyFill="1" applyBorder="1" applyAlignment="1">
      <alignment horizontal="center" vertical="center"/>
    </xf>
    <xf numFmtId="0" fontId="5" fillId="3" borderId="86" xfId="0" applyFont="1" applyFill="1" applyBorder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128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77" xfId="0" applyFont="1" applyFill="1" applyBorder="1" applyAlignment="1">
      <alignment horizontal="center" vertical="center"/>
    </xf>
    <xf numFmtId="0" fontId="5" fillId="5" borderId="117" xfId="0" applyFont="1" applyFill="1" applyBorder="1" applyAlignment="1">
      <alignment horizontal="center" vertical="center"/>
    </xf>
    <xf numFmtId="0" fontId="5" fillId="3" borderId="81" xfId="0" applyFont="1" applyFill="1" applyBorder="1" applyAlignment="1">
      <alignment horizontal="center" vertical="center"/>
    </xf>
    <xf numFmtId="0" fontId="5" fillId="26" borderId="171" xfId="0" applyFont="1" applyFill="1" applyBorder="1" applyAlignment="1">
      <alignment horizontal="center" vertical="center"/>
    </xf>
    <xf numFmtId="0" fontId="33" fillId="0" borderId="1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16" fillId="3" borderId="81" xfId="0" applyFont="1" applyFill="1" applyBorder="1" applyAlignment="1">
      <alignment horizontal="center" vertical="center"/>
    </xf>
    <xf numFmtId="0" fontId="16" fillId="3" borderId="81" xfId="0" applyFont="1" applyFill="1" applyBorder="1" applyAlignment="1">
      <alignment horizontal="center" vertical="center"/>
    </xf>
    <xf numFmtId="0" fontId="16" fillId="3" borderId="84" xfId="0" applyFont="1" applyFill="1" applyBorder="1" applyAlignment="1">
      <alignment horizontal="center" vertical="center"/>
    </xf>
    <xf numFmtId="0" fontId="16" fillId="26" borderId="4" xfId="0" applyFont="1" applyFill="1" applyBorder="1" applyAlignment="1">
      <alignment horizontal="center"/>
    </xf>
    <xf numFmtId="0" fontId="16" fillId="26" borderId="4" xfId="0" applyFont="1" applyFill="1" applyBorder="1" applyAlignment="1">
      <alignment horizontal="center"/>
    </xf>
    <xf numFmtId="0" fontId="5" fillId="0" borderId="4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84" xfId="0" applyFont="1" applyFill="1" applyBorder="1" applyAlignment="1">
      <alignment horizontal="center" vertical="center"/>
    </xf>
    <xf numFmtId="0" fontId="5" fillId="26" borderId="15" xfId="0" applyFont="1" applyFill="1" applyBorder="1" applyAlignment="1">
      <alignment horizontal="center"/>
    </xf>
    <xf numFmtId="0" fontId="5" fillId="23" borderId="146" xfId="0" applyFont="1" applyFill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5" fillId="23" borderId="86" xfId="0" applyFont="1" applyFill="1" applyBorder="1" applyAlignment="1">
      <alignment horizontal="center" vertical="center"/>
    </xf>
    <xf numFmtId="0" fontId="5" fillId="23" borderId="80" xfId="0" applyFont="1" applyFill="1" applyBorder="1" applyAlignment="1">
      <alignment horizontal="center" vertical="center"/>
    </xf>
    <xf numFmtId="0" fontId="5" fillId="3" borderId="142" xfId="0" applyFont="1" applyFill="1" applyBorder="1" applyAlignment="1">
      <alignment horizontal="center" wrapText="1"/>
    </xf>
    <xf numFmtId="0" fontId="5" fillId="0" borderId="124" xfId="0" applyFont="1" applyBorder="1" applyAlignment="1">
      <alignment horizontal="center" vertical="center"/>
    </xf>
    <xf numFmtId="0" fontId="5" fillId="3" borderId="81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5" fillId="26" borderId="17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wrapText="1"/>
    </xf>
    <xf numFmtId="0" fontId="5" fillId="3" borderId="107" xfId="0" applyFont="1" applyFill="1" applyBorder="1" applyAlignment="1">
      <alignment horizontal="center" wrapText="1" readingOrder="2"/>
    </xf>
    <xf numFmtId="0" fontId="5" fillId="26" borderId="4" xfId="0" applyFont="1" applyFill="1" applyBorder="1" applyAlignment="1">
      <alignment horizontal="center"/>
    </xf>
    <xf numFmtId="0" fontId="5" fillId="26" borderId="15" xfId="0" applyFont="1" applyFill="1" applyBorder="1" applyAlignment="1">
      <alignment horizontal="center"/>
    </xf>
    <xf numFmtId="0" fontId="5" fillId="3" borderId="166" xfId="0" applyFont="1" applyFill="1" applyBorder="1" applyAlignment="1">
      <alignment horizontal="center" vertical="center" wrapText="1" readingOrder="2"/>
    </xf>
    <xf numFmtId="0" fontId="5" fillId="3" borderId="178" xfId="0" applyFont="1" applyFill="1" applyBorder="1" applyAlignment="1">
      <alignment horizontal="center" vertical="center" wrapText="1" readingOrder="2"/>
    </xf>
    <xf numFmtId="0" fontId="16" fillId="0" borderId="1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6" fillId="3" borderId="81" xfId="0" applyFont="1" applyFill="1" applyBorder="1" applyAlignment="1">
      <alignment horizontal="center" vertical="center"/>
    </xf>
    <xf numFmtId="0" fontId="16" fillId="3" borderId="84" xfId="0" applyFont="1" applyFill="1" applyBorder="1" applyAlignment="1">
      <alignment horizontal="center" vertical="center"/>
    </xf>
    <xf numFmtId="0" fontId="16" fillId="26" borderId="4" xfId="0" applyFont="1" applyFill="1" applyBorder="1" applyAlignment="1">
      <alignment horizontal="center" vertical="center"/>
    </xf>
    <xf numFmtId="0" fontId="16" fillId="26" borderId="15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 vertical="center"/>
    </xf>
    <xf numFmtId="0" fontId="5" fillId="3" borderId="179" xfId="0" applyFont="1" applyFill="1" applyBorder="1" applyAlignment="1">
      <alignment horizontal="center" vertical="center" wrapText="1" readingOrder="2"/>
    </xf>
    <xf numFmtId="0" fontId="5" fillId="23" borderId="16" xfId="0" applyFont="1" applyFill="1" applyBorder="1" applyAlignment="1">
      <alignment horizontal="center" vertical="center"/>
    </xf>
    <xf numFmtId="0" fontId="5" fillId="23" borderId="130" xfId="0" applyFont="1" applyFill="1" applyBorder="1" applyAlignment="1">
      <alignment horizontal="center" vertical="center"/>
    </xf>
    <xf numFmtId="0" fontId="5" fillId="23" borderId="181" xfId="0" applyFont="1" applyFill="1" applyBorder="1" applyAlignment="1">
      <alignment horizontal="center" vertical="center"/>
    </xf>
    <xf numFmtId="0" fontId="5" fillId="26" borderId="171" xfId="0" applyFont="1" applyFill="1" applyBorder="1" applyAlignment="1">
      <alignment horizontal="center" vertical="center"/>
    </xf>
    <xf numFmtId="0" fontId="5" fillId="9" borderId="153" xfId="0" applyFont="1" applyFill="1" applyBorder="1" applyAlignment="1">
      <alignment horizontal="center" vertical="center"/>
    </xf>
    <xf numFmtId="0" fontId="5" fillId="9" borderId="154" xfId="0" applyFont="1" applyFill="1" applyBorder="1" applyAlignment="1">
      <alignment horizontal="center" vertical="center"/>
    </xf>
    <xf numFmtId="0" fontId="5" fillId="9" borderId="155" xfId="0" applyFont="1" applyFill="1" applyBorder="1" applyAlignment="1">
      <alignment horizontal="center" vertical="center"/>
    </xf>
    <xf numFmtId="0" fontId="5" fillId="9" borderId="110" xfId="0" applyFont="1" applyFill="1" applyBorder="1" applyAlignment="1">
      <alignment horizontal="center" vertical="center"/>
    </xf>
    <xf numFmtId="0" fontId="5" fillId="9" borderId="12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30" fillId="9" borderId="156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99" xfId="0" applyFont="1" applyFill="1" applyBorder="1" applyAlignment="1">
      <alignment horizontal="center" vertical="center"/>
    </xf>
    <xf numFmtId="0" fontId="5" fillId="9" borderId="158" xfId="0" applyFont="1" applyFill="1" applyBorder="1" applyAlignment="1">
      <alignment horizontal="center" vertical="center"/>
    </xf>
    <xf numFmtId="0" fontId="5" fillId="9" borderId="159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160" xfId="0" applyFont="1" applyFill="1" applyBorder="1" applyAlignment="1">
      <alignment horizontal="center" vertical="center"/>
    </xf>
    <xf numFmtId="0" fontId="5" fillId="9" borderId="161" xfId="0" applyFont="1" applyFill="1" applyBorder="1" applyAlignment="1">
      <alignment horizontal="center" vertical="center"/>
    </xf>
    <xf numFmtId="0" fontId="5" fillId="9" borderId="92" xfId="0" applyFont="1" applyFill="1" applyBorder="1" applyAlignment="1">
      <alignment horizontal="center" vertical="center"/>
    </xf>
    <xf numFmtId="0" fontId="5" fillId="9" borderId="147" xfId="0" applyFont="1" applyFill="1" applyBorder="1" applyAlignment="1">
      <alignment horizontal="center" vertical="center"/>
    </xf>
    <xf numFmtId="0" fontId="30" fillId="9" borderId="93" xfId="0" applyFont="1" applyFill="1" applyBorder="1" applyAlignment="1">
      <alignment horizontal="center" vertical="center"/>
    </xf>
    <xf numFmtId="0" fontId="5" fillId="9" borderId="81" xfId="0" applyFont="1" applyFill="1" applyBorder="1" applyAlignment="1">
      <alignment horizontal="center" vertical="center"/>
    </xf>
    <xf numFmtId="0" fontId="5" fillId="9" borderId="176" xfId="0" applyFont="1" applyFill="1" applyBorder="1" applyAlignment="1">
      <alignment horizontal="center" vertical="center"/>
    </xf>
    <xf numFmtId="0" fontId="5" fillId="23" borderId="132" xfId="0" applyFont="1" applyFill="1" applyBorder="1" applyAlignment="1">
      <alignment horizontal="center" vertical="center"/>
    </xf>
    <xf numFmtId="0" fontId="5" fillId="23" borderId="100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81" xfId="0" applyFont="1" applyFill="1" applyBorder="1" applyAlignment="1">
      <alignment horizontal="center" vertical="center"/>
    </xf>
    <xf numFmtId="0" fontId="5" fillId="10" borderId="81" xfId="0" applyFont="1" applyFill="1" applyBorder="1" applyAlignment="1">
      <alignment horizontal="center" vertical="center"/>
    </xf>
    <xf numFmtId="0" fontId="5" fillId="10" borderId="84" xfId="0" applyFont="1" applyFill="1" applyBorder="1" applyAlignment="1">
      <alignment horizontal="center" vertical="center"/>
    </xf>
    <xf numFmtId="0" fontId="5" fillId="10" borderId="171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81" xfId="0" applyFont="1" applyFill="1" applyBorder="1" applyAlignment="1">
      <alignment horizontal="center" vertical="center"/>
    </xf>
    <xf numFmtId="0" fontId="5" fillId="8" borderId="81" xfId="0" applyFont="1" applyFill="1" applyBorder="1" applyAlignment="1">
      <alignment horizontal="center" vertical="center"/>
    </xf>
    <xf numFmtId="0" fontId="5" fillId="8" borderId="84" xfId="0" applyFont="1" applyFill="1" applyBorder="1" applyAlignment="1">
      <alignment horizontal="center" vertical="center"/>
    </xf>
    <xf numFmtId="0" fontId="5" fillId="8" borderId="171" xfId="0" applyFont="1" applyFill="1" applyBorder="1" applyAlignment="1">
      <alignment horizontal="center" vertical="center"/>
    </xf>
    <xf numFmtId="0" fontId="28" fillId="0" borderId="10" xfId="0" applyFont="1" applyBorder="1" applyAlignment="1">
      <alignment vertical="center"/>
    </xf>
    <xf numFmtId="0" fontId="28" fillId="0" borderId="171" xfId="0" applyFont="1" applyBorder="1" applyAlignment="1">
      <alignment vertical="center"/>
    </xf>
    <xf numFmtId="0" fontId="5" fillId="0" borderId="171" xfId="0" applyFont="1" applyBorder="1" applyAlignment="1">
      <alignment horizontal="center" vertical="center"/>
    </xf>
    <xf numFmtId="0" fontId="5" fillId="3" borderId="88" xfId="0" applyFont="1" applyFill="1" applyBorder="1" applyAlignment="1">
      <alignment horizontal="center" vertical="center"/>
    </xf>
    <xf numFmtId="0" fontId="28" fillId="0" borderId="23" xfId="0" applyFont="1" applyBorder="1" applyAlignment="1">
      <alignment vertical="center"/>
    </xf>
    <xf numFmtId="0" fontId="4" fillId="13" borderId="146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4" fillId="3" borderId="4" xfId="0" applyFont="1" applyFill="1" applyBorder="1" applyAlignment="1">
      <alignment horizontal="center" wrapText="1"/>
    </xf>
    <xf numFmtId="0" fontId="24" fillId="10" borderId="4" xfId="0" applyFont="1" applyFill="1" applyBorder="1" applyAlignment="1">
      <alignment horizontal="center" wrapText="1"/>
    </xf>
    <xf numFmtId="0" fontId="29" fillId="8" borderId="0" xfId="0" applyFont="1" applyFill="1" applyAlignment="1">
      <alignment horizontal="center" vertical="center" readingOrder="2"/>
    </xf>
    <xf numFmtId="0" fontId="6" fillId="13" borderId="132" xfId="0" applyFont="1" applyFill="1" applyBorder="1" applyAlignment="1">
      <alignment horizontal="center" vertical="center"/>
    </xf>
    <xf numFmtId="0" fontId="6" fillId="13" borderId="13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/>
    </xf>
    <xf numFmtId="0" fontId="6" fillId="27" borderId="3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77" xfId="0" applyFont="1" applyFill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0" borderId="1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5" fillId="26" borderId="16" xfId="0" applyFont="1" applyFill="1" applyBorder="1" applyAlignment="1">
      <alignment horizontal="center"/>
    </xf>
    <xf numFmtId="0" fontId="16" fillId="26" borderId="16" xfId="0" applyFont="1" applyFill="1" applyBorder="1" applyAlignment="1">
      <alignment horizontal="center"/>
    </xf>
    <xf numFmtId="0" fontId="16" fillId="26" borderId="15" xfId="0" applyFont="1" applyFill="1" applyBorder="1" applyAlignment="1">
      <alignment horizontal="center"/>
    </xf>
    <xf numFmtId="0" fontId="30" fillId="8" borderId="4" xfId="0" applyFont="1" applyFill="1" applyBorder="1" applyAlignment="1">
      <alignment horizontal="center"/>
    </xf>
    <xf numFmtId="0" fontId="30" fillId="8" borderId="15" xfId="0" applyFont="1" applyFill="1" applyBorder="1" applyAlignment="1">
      <alignment horizontal="center"/>
    </xf>
    <xf numFmtId="0" fontId="30" fillId="8" borderId="15" xfId="0" applyFont="1" applyFill="1" applyBorder="1" applyAlignment="1">
      <alignment horizontal="center"/>
    </xf>
    <xf numFmtId="0" fontId="5" fillId="23" borderId="81" xfId="0" applyFont="1" applyFill="1" applyBorder="1" applyAlignment="1">
      <alignment horizontal="center" vertical="center"/>
    </xf>
    <xf numFmtId="0" fontId="5" fillId="23" borderId="176" xfId="0" applyFont="1" applyFill="1" applyBorder="1" applyAlignment="1">
      <alignment horizontal="center" vertical="center"/>
    </xf>
    <xf numFmtId="0" fontId="5" fillId="26" borderId="168" xfId="0" applyFont="1" applyFill="1" applyBorder="1" applyAlignment="1">
      <alignment horizontal="center" vertical="center"/>
    </xf>
    <xf numFmtId="0" fontId="5" fillId="9" borderId="92" xfId="0" applyFont="1" applyFill="1" applyBorder="1" applyAlignment="1">
      <alignment horizontal="center" vertical="center"/>
    </xf>
    <xf numFmtId="0" fontId="29" fillId="19" borderId="3" xfId="0" applyFont="1" applyFill="1" applyBorder="1" applyAlignment="1">
      <alignment horizontal="center" vertical="center" readingOrder="2"/>
    </xf>
    <xf numFmtId="0" fontId="29" fillId="28" borderId="0" xfId="0" applyFont="1" applyFill="1" applyAlignment="1">
      <alignment horizontal="center" vertical="center" readingOrder="2"/>
    </xf>
    <xf numFmtId="0" fontId="6" fillId="7" borderId="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26" fillId="19" borderId="33" xfId="0" applyFont="1" applyFill="1" applyBorder="1" applyAlignment="1">
      <alignment horizontal="center" vertical="center"/>
    </xf>
    <xf numFmtId="0" fontId="6" fillId="27" borderId="84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5" fillId="29" borderId="110" xfId="0" applyFont="1" applyFill="1" applyBorder="1" applyAlignment="1">
      <alignment horizontal="center" vertical="center"/>
    </xf>
    <xf numFmtId="0" fontId="5" fillId="29" borderId="148" xfId="0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0" fontId="5" fillId="29" borderId="186" xfId="0" applyFont="1" applyFill="1" applyBorder="1" applyAlignment="1">
      <alignment horizontal="center" vertical="center"/>
    </xf>
    <xf numFmtId="0" fontId="5" fillId="29" borderId="14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88" xfId="0" applyFont="1" applyFill="1" applyBorder="1" applyAlignment="1">
      <alignment horizontal="center" vertical="center"/>
    </xf>
    <xf numFmtId="0" fontId="5" fillId="5" borderId="119" xfId="0" applyFont="1" applyFill="1" applyBorder="1" applyAlignment="1">
      <alignment horizontal="center" vertical="center"/>
    </xf>
    <xf numFmtId="0" fontId="5" fillId="26" borderId="168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88" xfId="0" applyFont="1" applyFill="1" applyBorder="1" applyAlignment="1">
      <alignment horizontal="center" vertical="center"/>
    </xf>
    <xf numFmtId="0" fontId="5" fillId="30" borderId="176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/>
    </xf>
    <xf numFmtId="0" fontId="5" fillId="23" borderId="88" xfId="0" applyFont="1" applyFill="1" applyBorder="1" applyAlignment="1">
      <alignment horizontal="center" vertical="center"/>
    </xf>
    <xf numFmtId="0" fontId="5" fillId="3" borderId="142" xfId="0" applyFont="1" applyFill="1" applyBorder="1" applyAlignment="1">
      <alignment horizontal="center" vertical="center" wrapText="1"/>
    </xf>
    <xf numFmtId="0" fontId="5" fillId="26" borderId="16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3" borderId="8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88" xfId="0" applyFont="1" applyFill="1" applyBorder="1" applyAlignment="1">
      <alignment horizontal="center" vertical="center"/>
    </xf>
    <xf numFmtId="0" fontId="5" fillId="9" borderId="86" xfId="0" applyFont="1" applyFill="1" applyBorder="1" applyAlignment="1">
      <alignment horizontal="center" vertical="center"/>
    </xf>
    <xf numFmtId="0" fontId="5" fillId="31" borderId="176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88" xfId="0" applyFont="1" applyFill="1" applyBorder="1" applyAlignment="1">
      <alignment horizontal="center" vertical="center"/>
    </xf>
    <xf numFmtId="0" fontId="5" fillId="10" borderId="81" xfId="0" applyFont="1" applyFill="1" applyBorder="1" applyAlignment="1">
      <alignment horizontal="center" vertical="center"/>
    </xf>
    <xf numFmtId="0" fontId="5" fillId="10" borderId="84" xfId="0" applyFont="1" applyFill="1" applyBorder="1" applyAlignment="1">
      <alignment horizontal="center" vertical="center"/>
    </xf>
    <xf numFmtId="0" fontId="5" fillId="10" borderId="168" xfId="0" applyFont="1" applyFill="1" applyBorder="1" applyAlignment="1">
      <alignment horizontal="center" vertical="center"/>
    </xf>
    <xf numFmtId="0" fontId="5" fillId="8" borderId="88" xfId="0" applyFont="1" applyFill="1" applyBorder="1" applyAlignment="1">
      <alignment horizontal="center" vertical="center"/>
    </xf>
    <xf numFmtId="0" fontId="5" fillId="8" borderId="168" xfId="0" applyFont="1" applyFill="1" applyBorder="1" applyAlignment="1">
      <alignment horizontal="center" vertical="center"/>
    </xf>
    <xf numFmtId="0" fontId="28" fillId="0" borderId="168" xfId="0" applyFont="1" applyBorder="1" applyAlignment="1">
      <alignment vertical="center"/>
    </xf>
    <xf numFmtId="0" fontId="4" fillId="13" borderId="13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5" fillId="14" borderId="187" xfId="0" applyFont="1" applyFill="1" applyBorder="1" applyAlignment="1">
      <alignment horizontal="center" vertical="center"/>
    </xf>
    <xf numFmtId="0" fontId="3" fillId="28" borderId="167" xfId="0" applyFont="1" applyFill="1" applyBorder="1" applyAlignment="1">
      <alignment horizontal="center" vertical="center"/>
    </xf>
    <xf numFmtId="0" fontId="5" fillId="30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36" fillId="18" borderId="4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 wrapText="1"/>
    </xf>
    <xf numFmtId="0" fontId="37" fillId="19" borderId="33" xfId="0" applyFont="1" applyFill="1" applyBorder="1" applyAlignment="1">
      <alignment horizontal="center" vertical="center"/>
    </xf>
    <xf numFmtId="0" fontId="6" fillId="23" borderId="33" xfId="0" applyFont="1" applyFill="1" applyBorder="1" applyAlignment="1">
      <alignment horizontal="center" vertical="center"/>
    </xf>
    <xf numFmtId="0" fontId="6" fillId="23" borderId="84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5" fillId="19" borderId="148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0" fontId="5" fillId="19" borderId="171" xfId="0" applyFont="1" applyFill="1" applyBorder="1" applyAlignment="1">
      <alignment horizontal="center" vertical="center"/>
    </xf>
    <xf numFmtId="0" fontId="38" fillId="5" borderId="41" xfId="0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center"/>
    </xf>
    <xf numFmtId="0" fontId="5" fillId="8" borderId="128" xfId="0" applyFont="1" applyFill="1" applyBorder="1" applyAlignment="1">
      <alignment horizontal="center" vertical="center"/>
    </xf>
    <xf numFmtId="0" fontId="5" fillId="19" borderId="15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5" fillId="23" borderId="188" xfId="0" applyFont="1" applyFill="1" applyBorder="1" applyAlignment="1">
      <alignment horizontal="center" vertical="center"/>
    </xf>
    <xf numFmtId="0" fontId="5" fillId="3" borderId="185" xfId="0" applyFont="1" applyFill="1" applyBorder="1" applyAlignment="1">
      <alignment horizontal="center" vertical="center"/>
    </xf>
    <xf numFmtId="0" fontId="39" fillId="19" borderId="4" xfId="0" applyFont="1" applyFill="1" applyBorder="1" applyAlignment="1">
      <alignment horizontal="center" vertical="center"/>
    </xf>
    <xf numFmtId="0" fontId="39" fillId="19" borderId="4" xfId="0" applyFont="1" applyFill="1" applyBorder="1" applyAlignment="1">
      <alignment horizontal="center"/>
    </xf>
    <xf numFmtId="0" fontId="39" fillId="19" borderId="4" xfId="0" applyFont="1" applyFill="1" applyBorder="1" applyAlignment="1">
      <alignment horizontal="center"/>
    </xf>
    <xf numFmtId="0" fontId="40" fillId="19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39" fillId="19" borderId="15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 vertical="center"/>
    </xf>
    <xf numFmtId="0" fontId="5" fillId="8" borderId="81" xfId="0" applyFont="1" applyFill="1" applyBorder="1" applyAlignment="1">
      <alignment horizontal="center" vertical="center"/>
    </xf>
    <xf numFmtId="0" fontId="8" fillId="3" borderId="4" xfId="0" applyFont="1" applyFill="1" applyBorder="1" applyAlignment="1"/>
    <xf numFmtId="0" fontId="8" fillId="3" borderId="4" xfId="0" applyFont="1" applyFill="1" applyBorder="1"/>
    <xf numFmtId="0" fontId="8" fillId="33" borderId="4" xfId="0" applyFont="1" applyFill="1" applyBorder="1" applyAlignment="1"/>
    <xf numFmtId="0" fontId="8" fillId="3" borderId="15" xfId="0" applyFont="1" applyFill="1" applyBorder="1" applyAlignment="1"/>
    <xf numFmtId="0" fontId="8" fillId="3" borderId="15" xfId="0" applyFont="1" applyFill="1" applyBorder="1"/>
    <xf numFmtId="0" fontId="8" fillId="33" borderId="15" xfId="0" applyFont="1" applyFill="1" applyBorder="1" applyAlignment="1"/>
    <xf numFmtId="0" fontId="17" fillId="3" borderId="15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 applyAlignment="1"/>
    <xf numFmtId="0" fontId="22" fillId="33" borderId="15" xfId="0" applyFont="1" applyFill="1" applyBorder="1" applyAlignment="1">
      <alignment horizontal="center"/>
    </xf>
    <xf numFmtId="0" fontId="22" fillId="33" borderId="4" xfId="0" applyFont="1" applyFill="1" applyBorder="1" applyAlignment="1">
      <alignment horizontal="center"/>
    </xf>
    <xf numFmtId="0" fontId="6" fillId="34" borderId="4" xfId="0" applyFont="1" applyFill="1" applyBorder="1" applyAlignment="1">
      <alignment horizontal="center" vertical="center"/>
    </xf>
    <xf numFmtId="0" fontId="6" fillId="35" borderId="4" xfId="0" applyFont="1" applyFill="1" applyBorder="1" applyAlignment="1">
      <alignment horizontal="center" vertical="center"/>
    </xf>
    <xf numFmtId="0" fontId="41" fillId="30" borderId="4" xfId="0" applyFont="1" applyFill="1" applyBorder="1" applyAlignment="1">
      <alignment horizontal="center" vertical="center"/>
    </xf>
    <xf numFmtId="0" fontId="6" fillId="36" borderId="4" xfId="0" applyFont="1" applyFill="1" applyBorder="1" applyAlignment="1">
      <alignment horizontal="center" vertical="center"/>
    </xf>
    <xf numFmtId="0" fontId="6" fillId="37" borderId="33" xfId="0" applyFont="1" applyFill="1" applyBorder="1" applyAlignment="1">
      <alignment horizontal="center" vertical="center"/>
    </xf>
    <xf numFmtId="0" fontId="6" fillId="38" borderId="84" xfId="0" applyFont="1" applyFill="1" applyBorder="1" applyAlignment="1">
      <alignment horizontal="center" vertical="center"/>
    </xf>
    <xf numFmtId="0" fontId="6" fillId="37" borderId="4" xfId="0" applyFont="1" applyFill="1" applyBorder="1" applyAlignment="1">
      <alignment horizontal="center" vertical="center"/>
    </xf>
    <xf numFmtId="0" fontId="42" fillId="5" borderId="128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center" vertical="center"/>
    </xf>
    <xf numFmtId="0" fontId="5" fillId="23" borderId="80" xfId="0" applyFont="1" applyFill="1" applyBorder="1" applyAlignment="1">
      <alignment horizontal="center" vertical="center"/>
    </xf>
    <xf numFmtId="0" fontId="5" fillId="23" borderId="86" xfId="0" applyFont="1" applyFill="1" applyBorder="1" applyAlignment="1">
      <alignment horizontal="center" vertical="center"/>
    </xf>
    <xf numFmtId="0" fontId="5" fillId="3" borderId="185" xfId="0" applyFont="1" applyFill="1" applyBorder="1" applyAlignment="1">
      <alignment horizontal="center" vertical="center"/>
    </xf>
    <xf numFmtId="0" fontId="5" fillId="26" borderId="169" xfId="0" applyFont="1" applyFill="1" applyBorder="1" applyAlignment="1">
      <alignment horizontal="center" vertical="center"/>
    </xf>
    <xf numFmtId="0" fontId="5" fillId="26" borderId="16" xfId="0" applyFont="1" applyFill="1" applyBorder="1" applyAlignment="1">
      <alignment horizontal="center"/>
    </xf>
    <xf numFmtId="0" fontId="30" fillId="9" borderId="93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171" xfId="0" applyFont="1" applyFill="1" applyBorder="1" applyAlignment="1">
      <alignment horizontal="center" vertical="center"/>
    </xf>
    <xf numFmtId="0" fontId="5" fillId="10" borderId="168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8" borderId="84" xfId="0" applyFont="1" applyFill="1" applyBorder="1" applyAlignment="1">
      <alignment horizontal="center" vertical="center"/>
    </xf>
    <xf numFmtId="0" fontId="5" fillId="8" borderId="171" xfId="0" applyFont="1" applyFill="1" applyBorder="1" applyAlignment="1">
      <alignment horizontal="center" vertical="center"/>
    </xf>
    <xf numFmtId="0" fontId="5" fillId="8" borderId="168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/>
    <xf numFmtId="0" fontId="8" fillId="3" borderId="15" xfId="0" applyFont="1" applyFill="1" applyBorder="1" applyAlignment="1">
      <alignment horizontal="center"/>
    </xf>
    <xf numFmtId="0" fontId="8" fillId="3" borderId="15" xfId="0" applyFont="1" applyFill="1" applyBorder="1" applyAlignment="1"/>
    <xf numFmtId="0" fontId="17" fillId="3" borderId="15" xfId="0" applyFont="1" applyFill="1" applyBorder="1" applyAlignment="1">
      <alignment horizontal="center"/>
    </xf>
    <xf numFmtId="0" fontId="5" fillId="39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2" borderId="171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/>
    </xf>
    <xf numFmtId="0" fontId="39" fillId="17" borderId="112" xfId="0" applyFont="1" applyFill="1" applyBorder="1" applyAlignment="1">
      <alignment horizontal="center" vertical="center"/>
    </xf>
    <xf numFmtId="0" fontId="39" fillId="17" borderId="132" xfId="0" applyFont="1" applyFill="1" applyBorder="1" applyAlignment="1">
      <alignment horizontal="center" vertical="center"/>
    </xf>
    <xf numFmtId="0" fontId="5" fillId="41" borderId="132" xfId="0" applyFont="1" applyFill="1" applyBorder="1" applyAlignment="1">
      <alignment horizontal="center" vertical="center"/>
    </xf>
    <xf numFmtId="0" fontId="6" fillId="41" borderId="132" xfId="0" applyFont="1" applyFill="1" applyBorder="1" applyAlignment="1">
      <alignment horizontal="center" vertical="center"/>
    </xf>
    <xf numFmtId="0" fontId="6" fillId="41" borderId="132" xfId="0" applyFont="1" applyFill="1" applyBorder="1" applyAlignment="1">
      <alignment horizontal="center" vertical="center" wrapText="1"/>
    </xf>
    <xf numFmtId="0" fontId="5" fillId="41" borderId="126" xfId="0" applyFont="1" applyFill="1" applyBorder="1" applyAlignment="1">
      <alignment horizontal="center" vertical="center" wrapText="1"/>
    </xf>
    <xf numFmtId="0" fontId="5" fillId="41" borderId="23" xfId="0" applyFont="1" applyFill="1" applyBorder="1" applyAlignment="1">
      <alignment horizontal="center" vertical="center"/>
    </xf>
    <xf numFmtId="0" fontId="6" fillId="41" borderId="23" xfId="0" applyFont="1" applyFill="1" applyBorder="1" applyAlignment="1">
      <alignment horizontal="center" vertical="center" wrapText="1"/>
    </xf>
    <xf numFmtId="0" fontId="5" fillId="41" borderId="121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/>
    </xf>
    <xf numFmtId="0" fontId="41" fillId="34" borderId="4" xfId="0" applyFont="1" applyFill="1" applyBorder="1" applyAlignment="1">
      <alignment horizontal="center" vertical="center"/>
    </xf>
    <xf numFmtId="0" fontId="6" fillId="41" borderId="185" xfId="0" applyFont="1" applyFill="1" applyBorder="1" applyAlignment="1">
      <alignment horizontal="center" vertical="center"/>
    </xf>
    <xf numFmtId="0" fontId="6" fillId="41" borderId="33" xfId="0" applyFont="1" applyFill="1" applyBorder="1" applyAlignment="1">
      <alignment horizontal="center" vertical="center"/>
    </xf>
    <xf numFmtId="0" fontId="37" fillId="41" borderId="33" xfId="0" applyFont="1" applyFill="1" applyBorder="1" applyAlignment="1">
      <alignment horizontal="center" vertical="center"/>
    </xf>
    <xf numFmtId="0" fontId="43" fillId="17" borderId="33" xfId="0" applyFont="1" applyFill="1" applyBorder="1" applyAlignment="1">
      <alignment horizontal="center" vertical="center"/>
    </xf>
    <xf numFmtId="0" fontId="43" fillId="17" borderId="84" xfId="0" applyFont="1" applyFill="1" applyBorder="1" applyAlignment="1">
      <alignment horizontal="center" vertical="center"/>
    </xf>
    <xf numFmtId="0" fontId="43" fillId="17" borderId="4" xfId="0" applyFont="1" applyFill="1" applyBorder="1" applyAlignment="1">
      <alignment horizontal="center" vertical="center"/>
    </xf>
    <xf numFmtId="0" fontId="39" fillId="29" borderId="110" xfId="0" applyFont="1" applyFill="1" applyBorder="1" applyAlignment="1">
      <alignment horizontal="center" vertical="center"/>
    </xf>
    <xf numFmtId="0" fontId="30" fillId="8" borderId="148" xfId="0" applyFont="1" applyFill="1" applyBorder="1" applyAlignment="1">
      <alignment horizontal="center" vertical="center"/>
    </xf>
    <xf numFmtId="0" fontId="30" fillId="8" borderId="148" xfId="0" applyFont="1" applyFill="1" applyBorder="1" applyAlignment="1">
      <alignment horizontal="center" vertical="center"/>
    </xf>
    <xf numFmtId="0" fontId="39" fillId="8" borderId="3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/>
    </xf>
    <xf numFmtId="0" fontId="39" fillId="8" borderId="115" xfId="0" applyFont="1" applyFill="1" applyBorder="1" applyAlignment="1">
      <alignment horizontal="center" vertical="center"/>
    </xf>
    <xf numFmtId="0" fontId="39" fillId="8" borderId="16" xfId="0" applyFont="1" applyFill="1" applyBorder="1" applyAlignment="1">
      <alignment horizontal="center" vertical="center"/>
    </xf>
    <xf numFmtId="0" fontId="30" fillId="8" borderId="16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/>
    </xf>
    <xf numFmtId="0" fontId="39" fillId="8" borderId="15" xfId="0" applyFont="1" applyFill="1" applyBorder="1" applyAlignment="1">
      <alignment horizontal="center"/>
    </xf>
    <xf numFmtId="0" fontId="39" fillId="8" borderId="4" xfId="0" applyFont="1" applyFill="1" applyBorder="1" applyAlignment="1">
      <alignment horizontal="center"/>
    </xf>
    <xf numFmtId="0" fontId="44" fillId="8" borderId="4" xfId="0" applyFont="1" applyFill="1" applyBorder="1" applyAlignment="1">
      <alignment horizontal="center"/>
    </xf>
    <xf numFmtId="0" fontId="30" fillId="8" borderId="4" xfId="0" applyFont="1" applyFill="1" applyBorder="1" applyAlignment="1">
      <alignment horizontal="center"/>
    </xf>
    <xf numFmtId="0" fontId="30" fillId="8" borderId="4" xfId="0" applyFont="1" applyFill="1" applyBorder="1" applyAlignment="1">
      <alignment horizontal="center"/>
    </xf>
    <xf numFmtId="0" fontId="30" fillId="8" borderId="4" xfId="0" applyFont="1" applyFill="1" applyBorder="1" applyAlignment="1">
      <alignment horizontal="center"/>
    </xf>
    <xf numFmtId="0" fontId="40" fillId="8" borderId="115" xfId="0" applyFont="1" applyFill="1" applyBorder="1" applyAlignment="1">
      <alignment horizontal="center" vertical="center"/>
    </xf>
    <xf numFmtId="0" fontId="40" fillId="8" borderId="15" xfId="0" applyFont="1" applyFill="1" applyBorder="1" applyAlignment="1">
      <alignment horizontal="center"/>
    </xf>
    <xf numFmtId="0" fontId="16" fillId="5" borderId="41" xfId="0" applyFont="1" applyFill="1" applyBorder="1" applyAlignment="1">
      <alignment horizontal="center" vertical="center"/>
    </xf>
    <xf numFmtId="0" fontId="16" fillId="5" borderId="128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center"/>
    </xf>
    <xf numFmtId="0" fontId="44" fillId="8" borderId="15" xfId="0" applyFont="1" applyFill="1" applyBorder="1" applyAlignment="1">
      <alignment horizontal="center"/>
    </xf>
    <xf numFmtId="0" fontId="30" fillId="8" borderId="15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5" fillId="23" borderId="101" xfId="0" applyFont="1" applyFill="1" applyBorder="1" applyAlignment="1">
      <alignment horizontal="center" vertical="center" wrapText="1" readingOrder="2"/>
    </xf>
    <xf numFmtId="0" fontId="39" fillId="23" borderId="99" xfId="0" applyFont="1" applyFill="1" applyBorder="1" applyAlignment="1">
      <alignment horizontal="center" vertical="center"/>
    </xf>
    <xf numFmtId="0" fontId="39" fillId="23" borderId="25" xfId="0" applyFont="1" applyFill="1" applyBorder="1" applyAlignment="1">
      <alignment horizontal="center"/>
    </xf>
    <xf numFmtId="0" fontId="39" fillId="23" borderId="25" xfId="0" applyFont="1" applyFill="1" applyBorder="1" applyAlignment="1">
      <alignment horizontal="center"/>
    </xf>
    <xf numFmtId="0" fontId="44" fillId="23" borderId="25" xfId="0" applyFont="1" applyFill="1" applyBorder="1" applyAlignment="1">
      <alignment horizontal="center"/>
    </xf>
    <xf numFmtId="0" fontId="30" fillId="23" borderId="25" xfId="0" applyFont="1" applyFill="1" applyBorder="1" applyAlignment="1">
      <alignment horizontal="center"/>
    </xf>
    <xf numFmtId="0" fontId="30" fillId="23" borderId="25" xfId="0" applyFont="1" applyFill="1" applyBorder="1" applyAlignment="1">
      <alignment horizontal="center"/>
    </xf>
    <xf numFmtId="0" fontId="5" fillId="42" borderId="176" xfId="0" applyFont="1" applyFill="1" applyBorder="1" applyAlignment="1">
      <alignment horizontal="center" vertical="center"/>
    </xf>
    <xf numFmtId="0" fontId="39" fillId="8" borderId="115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center"/>
    </xf>
    <xf numFmtId="0" fontId="39" fillId="8" borderId="15" xfId="0" applyFont="1" applyFill="1" applyBorder="1" applyAlignment="1">
      <alignment horizontal="center"/>
    </xf>
    <xf numFmtId="0" fontId="30" fillId="8" borderId="15" xfId="0" applyFont="1" applyFill="1" applyBorder="1" applyAlignment="1">
      <alignment horizontal="center"/>
    </xf>
    <xf numFmtId="0" fontId="39" fillId="8" borderId="121" xfId="0" applyFont="1" applyFill="1" applyBorder="1" applyAlignment="1">
      <alignment horizontal="center" vertical="center"/>
    </xf>
    <xf numFmtId="0" fontId="39" fillId="8" borderId="25" xfId="0" applyFont="1" applyFill="1" applyBorder="1" applyAlignment="1">
      <alignment horizontal="center"/>
    </xf>
    <xf numFmtId="0" fontId="39" fillId="8" borderId="25" xfId="0" applyFont="1" applyFill="1" applyBorder="1" applyAlignment="1">
      <alignment horizontal="center"/>
    </xf>
    <xf numFmtId="0" fontId="39" fillId="8" borderId="25" xfId="0" applyFont="1" applyFill="1" applyBorder="1" applyAlignment="1">
      <alignment horizontal="center"/>
    </xf>
    <xf numFmtId="0" fontId="30" fillId="8" borderId="25" xfId="0" applyFont="1" applyFill="1" applyBorder="1" applyAlignment="1">
      <alignment horizontal="center"/>
    </xf>
    <xf numFmtId="0" fontId="30" fillId="8" borderId="25" xfId="0" applyFont="1" applyFill="1" applyBorder="1" applyAlignment="1">
      <alignment horizontal="center"/>
    </xf>
    <xf numFmtId="0" fontId="39" fillId="8" borderId="15" xfId="0" applyFont="1" applyFill="1" applyBorder="1" applyAlignment="1">
      <alignment horizontal="center"/>
    </xf>
    <xf numFmtId="0" fontId="30" fillId="8" borderId="15" xfId="0" applyFont="1" applyFill="1" applyBorder="1" applyAlignment="1">
      <alignment horizontal="center"/>
    </xf>
    <xf numFmtId="0" fontId="39" fillId="8" borderId="1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44" fillId="8" borderId="1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39" fillId="23" borderId="16" xfId="0" applyFont="1" applyFill="1" applyBorder="1" applyAlignment="1">
      <alignment horizontal="center" vertical="center"/>
    </xf>
    <xf numFmtId="0" fontId="39" fillId="23" borderId="25" xfId="0" applyFont="1" applyFill="1" applyBorder="1" applyAlignment="1">
      <alignment horizontal="center"/>
    </xf>
    <xf numFmtId="0" fontId="44" fillId="23" borderId="25" xfId="0" applyFont="1" applyFill="1" applyBorder="1" applyAlignment="1">
      <alignment horizontal="center"/>
    </xf>
    <xf numFmtId="0" fontId="30" fillId="9" borderId="25" xfId="0" applyFont="1" applyFill="1" applyBorder="1" applyAlignment="1">
      <alignment horizontal="center"/>
    </xf>
    <xf numFmtId="0" fontId="30" fillId="23" borderId="23" xfId="0" applyFont="1" applyFill="1" applyBorder="1" applyAlignment="1">
      <alignment horizontal="center"/>
    </xf>
    <xf numFmtId="0" fontId="39" fillId="19" borderId="15" xfId="0" applyFont="1" applyFill="1" applyBorder="1" applyAlignment="1">
      <alignment horizontal="center"/>
    </xf>
    <xf numFmtId="0" fontId="39" fillId="19" borderId="15" xfId="0" applyFont="1" applyFill="1" applyBorder="1" applyAlignment="1">
      <alignment horizontal="center"/>
    </xf>
    <xf numFmtId="0" fontId="30" fillId="19" borderId="15" xfId="0" applyFont="1" applyFill="1" applyBorder="1" applyAlignment="1">
      <alignment horizontal="center"/>
    </xf>
    <xf numFmtId="0" fontId="30" fillId="19" borderId="15" xfId="0" applyFont="1" applyFill="1" applyBorder="1" applyAlignment="1">
      <alignment horizontal="center"/>
    </xf>
    <xf numFmtId="0" fontId="39" fillId="8" borderId="13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9" fillId="19" borderId="15" xfId="0" applyFont="1" applyFill="1" applyBorder="1" applyAlignment="1">
      <alignment horizontal="center"/>
    </xf>
    <xf numFmtId="0" fontId="39" fillId="19" borderId="15" xfId="0" applyFont="1" applyFill="1" applyBorder="1" applyAlignment="1">
      <alignment horizontal="center"/>
    </xf>
    <xf numFmtId="0" fontId="30" fillId="19" borderId="15" xfId="0" applyFont="1" applyFill="1" applyBorder="1" applyAlignment="1">
      <alignment horizontal="center"/>
    </xf>
    <xf numFmtId="0" fontId="39" fillId="9" borderId="153" xfId="0" applyFont="1" applyFill="1" applyBorder="1" applyAlignment="1">
      <alignment horizontal="center" vertical="center"/>
    </xf>
    <xf numFmtId="0" fontId="39" fillId="9" borderId="15" xfId="0" applyFont="1" applyFill="1" applyBorder="1" applyAlignment="1">
      <alignment horizontal="center"/>
    </xf>
    <xf numFmtId="0" fontId="5" fillId="9" borderId="155" xfId="0" applyFont="1" applyFill="1" applyBorder="1" applyAlignment="1">
      <alignment horizontal="center" vertical="center"/>
    </xf>
    <xf numFmtId="0" fontId="30" fillId="9" borderId="156" xfId="0" applyFont="1" applyFill="1" applyBorder="1" applyAlignment="1">
      <alignment horizontal="center" vertical="center"/>
    </xf>
    <xf numFmtId="0" fontId="39" fillId="9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"/>
    </xf>
    <xf numFmtId="0" fontId="39" fillId="23" borderId="15" xfId="0" applyFont="1" applyFill="1" applyBorder="1" applyAlignment="1">
      <alignment horizontal="center"/>
    </xf>
    <xf numFmtId="0" fontId="30" fillId="9" borderId="15" xfId="0" applyFont="1" applyFill="1" applyBorder="1" applyAlignment="1">
      <alignment horizontal="center"/>
    </xf>
    <xf numFmtId="0" fontId="30" fillId="9" borderId="15" xfId="0" applyFont="1" applyFill="1" applyBorder="1" applyAlignment="1">
      <alignment horizontal="center"/>
    </xf>
    <xf numFmtId="0" fontId="30" fillId="23" borderId="15" xfId="0" applyFont="1" applyFill="1" applyBorder="1" applyAlignment="1">
      <alignment horizontal="center"/>
    </xf>
    <xf numFmtId="0" fontId="30" fillId="9" borderId="15" xfId="0" applyFont="1" applyFill="1" applyBorder="1" applyAlignment="1">
      <alignment horizontal="center"/>
    </xf>
    <xf numFmtId="0" fontId="39" fillId="9" borderId="99" xfId="0" applyFont="1" applyFill="1" applyBorder="1" applyAlignment="1">
      <alignment horizontal="center" vertical="center"/>
    </xf>
    <xf numFmtId="0" fontId="39" fillId="9" borderId="25" xfId="0" applyFont="1" applyFill="1" applyBorder="1" applyAlignment="1">
      <alignment horizontal="center"/>
    </xf>
    <xf numFmtId="0" fontId="44" fillId="9" borderId="15" xfId="0" applyFont="1" applyFill="1" applyBorder="1" applyAlignment="1">
      <alignment horizontal="center"/>
    </xf>
    <xf numFmtId="0" fontId="39" fillId="23" borderId="15" xfId="0" applyFont="1" applyFill="1" applyBorder="1" applyAlignment="1">
      <alignment horizontal="center"/>
    </xf>
    <xf numFmtId="0" fontId="30" fillId="23" borderId="15" xfId="0" applyFont="1" applyFill="1" applyBorder="1" applyAlignment="1">
      <alignment horizontal="center"/>
    </xf>
    <xf numFmtId="0" fontId="28" fillId="5" borderId="41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44" fillId="8" borderId="15" xfId="0" applyFont="1" applyFill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39" fillId="23" borderId="41" xfId="0" applyFont="1" applyFill="1" applyBorder="1" applyAlignment="1">
      <alignment horizontal="center" vertical="center"/>
    </xf>
    <xf numFmtId="0" fontId="39" fillId="23" borderId="189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center"/>
    </xf>
    <xf numFmtId="0" fontId="5" fillId="23" borderId="88" xfId="0" applyFont="1" applyFill="1" applyBorder="1" applyAlignment="1">
      <alignment horizontal="center" vertical="center"/>
    </xf>
    <xf numFmtId="0" fontId="39" fillId="23" borderId="100" xfId="0" applyFont="1" applyFill="1" applyBorder="1" applyAlignment="1">
      <alignment horizontal="center" vertical="center"/>
    </xf>
    <xf numFmtId="0" fontId="44" fillId="9" borderId="25" xfId="0" applyFont="1" applyFill="1" applyBorder="1" applyAlignment="1">
      <alignment horizontal="center"/>
    </xf>
    <xf numFmtId="0" fontId="30" fillId="9" borderId="25" xfId="0" applyFont="1" applyFill="1" applyBorder="1" applyAlignment="1">
      <alignment horizontal="center"/>
    </xf>
    <xf numFmtId="0" fontId="39" fillId="7" borderId="25" xfId="0" applyFont="1" applyFill="1" applyBorder="1" applyAlignment="1">
      <alignment horizontal="center"/>
    </xf>
    <xf numFmtId="0" fontId="39" fillId="19" borderId="15" xfId="0" applyFont="1" applyFill="1" applyBorder="1" applyAlignment="1">
      <alignment horizontal="center"/>
    </xf>
    <xf numFmtId="0" fontId="30" fillId="19" borderId="15" xfId="0" applyFont="1" applyFill="1" applyBorder="1" applyAlignment="1">
      <alignment horizontal="center"/>
    </xf>
    <xf numFmtId="0" fontId="30" fillId="19" borderId="15" xfId="0" applyFont="1" applyFill="1" applyBorder="1" applyAlignment="1">
      <alignment horizontal="center"/>
    </xf>
    <xf numFmtId="0" fontId="39" fillId="19" borderId="16" xfId="0" applyFont="1" applyFill="1" applyBorder="1" applyAlignment="1">
      <alignment horizontal="center" vertical="center"/>
    </xf>
    <xf numFmtId="0" fontId="39" fillId="19" borderId="25" xfId="0" applyFont="1" applyFill="1" applyBorder="1" applyAlignment="1">
      <alignment horizontal="center"/>
    </xf>
    <xf numFmtId="0" fontId="40" fillId="19" borderId="25" xfId="0" applyFont="1" applyFill="1" applyBorder="1" applyAlignment="1">
      <alignment horizontal="center"/>
    </xf>
    <xf numFmtId="0" fontId="39" fillId="7" borderId="25" xfId="0" applyFont="1" applyFill="1" applyBorder="1" applyAlignment="1">
      <alignment horizontal="center"/>
    </xf>
    <xf numFmtId="0" fontId="39" fillId="19" borderId="25" xfId="0" applyFont="1" applyFill="1" applyBorder="1" applyAlignment="1">
      <alignment horizontal="center"/>
    </xf>
    <xf numFmtId="0" fontId="39" fillId="19" borderId="25" xfId="0" applyFont="1" applyFill="1" applyBorder="1" applyAlignment="1">
      <alignment horizontal="center"/>
    </xf>
    <xf numFmtId="0" fontId="30" fillId="19" borderId="25" xfId="0" applyFont="1" applyFill="1" applyBorder="1" applyAlignment="1">
      <alignment horizontal="center"/>
    </xf>
    <xf numFmtId="0" fontId="30" fillId="19" borderId="25" xfId="0" applyFont="1" applyFill="1" applyBorder="1" applyAlignment="1">
      <alignment horizontal="center"/>
    </xf>
    <xf numFmtId="0" fontId="30" fillId="19" borderId="25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28" fillId="0" borderId="49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4" fillId="8" borderId="15" xfId="0" applyFont="1" applyFill="1" applyBorder="1" applyAlignment="1">
      <alignment horizontal="center"/>
    </xf>
    <xf numFmtId="0" fontId="39" fillId="8" borderId="15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28" fillId="8" borderId="4" xfId="0" applyFont="1" applyFill="1" applyBorder="1" applyAlignment="1">
      <alignment horizontal="center" vertical="center"/>
    </xf>
    <xf numFmtId="0" fontId="44" fillId="8" borderId="15" xfId="0" applyFont="1" applyFill="1" applyBorder="1" applyAlignment="1">
      <alignment horizontal="center"/>
    </xf>
    <xf numFmtId="0" fontId="5" fillId="8" borderId="88" xfId="0" applyFont="1" applyFill="1" applyBorder="1" applyAlignment="1">
      <alignment horizontal="center" vertical="center"/>
    </xf>
    <xf numFmtId="0" fontId="30" fillId="30" borderId="15" xfId="0" applyFont="1" applyFill="1" applyBorder="1" applyAlignment="1">
      <alignment horizontal="center"/>
    </xf>
    <xf numFmtId="0" fontId="28" fillId="30" borderId="0" xfId="0" applyFont="1" applyFill="1" applyAlignment="1"/>
    <xf numFmtId="0" fontId="28" fillId="30" borderId="0" xfId="0" applyFont="1" applyFill="1"/>
    <xf numFmtId="0" fontId="7" fillId="30" borderId="0" xfId="0" applyFont="1" applyFill="1"/>
    <xf numFmtId="0" fontId="39" fillId="8" borderId="44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39" fillId="8" borderId="4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/>
    </xf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39" fillId="8" borderId="44" xfId="0" applyFont="1" applyFill="1" applyBorder="1" applyAlignment="1">
      <alignment horizontal="center"/>
    </xf>
    <xf numFmtId="0" fontId="28" fillId="0" borderId="171" xfId="0" applyFont="1" applyBorder="1" applyAlignment="1">
      <alignment horizontal="center" vertical="center"/>
    </xf>
    <xf numFmtId="0" fontId="28" fillId="0" borderId="168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9" fillId="8" borderId="104" xfId="0" applyFont="1" applyFill="1" applyBorder="1" applyAlignment="1">
      <alignment horizontal="center" vertical="center"/>
    </xf>
    <xf numFmtId="0" fontId="39" fillId="8" borderId="25" xfId="0" applyFont="1" applyFill="1" applyBorder="1" applyAlignment="1">
      <alignment horizontal="center"/>
    </xf>
    <xf numFmtId="0" fontId="28" fillId="0" borderId="104" xfId="0" applyFont="1" applyBorder="1" applyAlignment="1">
      <alignment horizontal="center" vertical="center"/>
    </xf>
    <xf numFmtId="0" fontId="28" fillId="0" borderId="138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163" xfId="0" applyFont="1" applyBorder="1" applyAlignment="1">
      <alignment horizontal="center" vertical="center"/>
    </xf>
    <xf numFmtId="0" fontId="28" fillId="0" borderId="126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30" fillId="8" borderId="25" xfId="0" applyFont="1" applyFill="1" applyBorder="1" applyAlignment="1">
      <alignment horizontal="center"/>
    </xf>
    <xf numFmtId="0" fontId="39" fillId="13" borderId="165" xfId="0" applyFont="1" applyFill="1" applyBorder="1" applyAlignment="1">
      <alignment horizontal="center" vertical="center"/>
    </xf>
    <xf numFmtId="0" fontId="39" fillId="43" borderId="46" xfId="0" applyFont="1" applyFill="1" applyBorder="1" applyAlignment="1">
      <alignment horizontal="center"/>
    </xf>
    <xf numFmtId="0" fontId="39" fillId="43" borderId="100" xfId="0" applyFont="1" applyFill="1" applyBorder="1" applyAlignment="1">
      <alignment horizontal="center" vertical="center"/>
    </xf>
    <xf numFmtId="0" fontId="24" fillId="13" borderId="146" xfId="0" applyFont="1" applyFill="1" applyBorder="1" applyAlignment="1">
      <alignment horizontal="center" vertical="center" wrapText="1"/>
    </xf>
    <xf numFmtId="0" fontId="39" fillId="13" borderId="25" xfId="0" applyFont="1" applyFill="1" applyBorder="1" applyAlignment="1">
      <alignment horizontal="center"/>
    </xf>
    <xf numFmtId="0" fontId="39" fillId="13" borderId="15" xfId="0" applyFont="1" applyFill="1" applyBorder="1" applyAlignment="1">
      <alignment horizontal="center"/>
    </xf>
    <xf numFmtId="0" fontId="45" fillId="13" borderId="4" xfId="0" applyFont="1" applyFill="1" applyBorder="1" applyAlignment="1">
      <alignment horizontal="center" vertical="center"/>
    </xf>
    <xf numFmtId="0" fontId="39" fillId="13" borderId="46" xfId="0" applyFont="1" applyFill="1" applyBorder="1" applyAlignment="1">
      <alignment horizontal="center"/>
    </xf>
    <xf numFmtId="0" fontId="39" fillId="43" borderId="16" xfId="0" applyFont="1" applyFill="1" applyBorder="1" applyAlignment="1">
      <alignment horizontal="center"/>
    </xf>
    <xf numFmtId="0" fontId="30" fillId="13" borderId="146" xfId="0" applyFont="1" applyFill="1" applyBorder="1" applyAlignment="1">
      <alignment horizontal="center" vertical="center" wrapText="1"/>
    </xf>
    <xf numFmtId="0" fontId="30" fillId="13" borderId="4" xfId="0" applyFont="1" applyFill="1" applyBorder="1" applyAlignment="1">
      <alignment horizontal="center" vertical="center" wrapText="1"/>
    </xf>
    <xf numFmtId="0" fontId="39" fillId="33" borderId="15" xfId="0" applyFont="1" applyFill="1" applyBorder="1" applyAlignment="1">
      <alignment horizontal="center"/>
    </xf>
    <xf numFmtId="0" fontId="39" fillId="8" borderId="4" xfId="0" applyFont="1" applyFill="1" applyBorder="1" applyAlignment="1">
      <alignment horizontal="center"/>
    </xf>
    <xf numFmtId="0" fontId="30" fillId="8" borderId="171" xfId="0" applyFont="1" applyFill="1" applyBorder="1" applyAlignment="1">
      <alignment horizontal="center" vertical="center"/>
    </xf>
    <xf numFmtId="0" fontId="39" fillId="8" borderId="17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8" fillId="8" borderId="44" xfId="0" applyFont="1" applyFill="1" applyBorder="1" applyAlignment="1">
      <alignment horizontal="center"/>
    </xf>
    <xf numFmtId="0" fontId="17" fillId="8" borderId="15" xfId="0" applyFont="1" applyFill="1" applyBorder="1" applyAlignment="1">
      <alignment horizontal="center"/>
    </xf>
    <xf numFmtId="0" fontId="39" fillId="8" borderId="16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45" fillId="8" borderId="0" xfId="0" applyFont="1" applyFill="1" applyAlignment="1">
      <alignment horizontal="center"/>
    </xf>
    <xf numFmtId="0" fontId="5" fillId="17" borderId="112" xfId="0" applyFont="1" applyFill="1" applyBorder="1" applyAlignment="1">
      <alignment horizontal="center" vertical="center"/>
    </xf>
    <xf numFmtId="0" fontId="5" fillId="44" borderId="132" xfId="0" applyFont="1" applyFill="1" applyBorder="1" applyAlignment="1">
      <alignment horizontal="center" vertical="center"/>
    </xf>
    <xf numFmtId="0" fontId="5" fillId="17" borderId="132" xfId="0" applyFont="1" applyFill="1" applyBorder="1" applyAlignment="1">
      <alignment horizontal="center" vertical="center"/>
    </xf>
    <xf numFmtId="0" fontId="6" fillId="17" borderId="132" xfId="0" applyFont="1" applyFill="1" applyBorder="1" applyAlignment="1">
      <alignment horizontal="center" vertical="center"/>
    </xf>
    <xf numFmtId="0" fontId="6" fillId="17" borderId="132" xfId="0" applyFont="1" applyFill="1" applyBorder="1" applyAlignment="1">
      <alignment horizontal="center" vertical="center" wrapText="1"/>
    </xf>
    <xf numFmtId="0" fontId="5" fillId="17" borderId="126" xfId="0" applyFont="1" applyFill="1" applyBorder="1" applyAlignment="1">
      <alignment horizontal="center" vertical="center" wrapText="1"/>
    </xf>
    <xf numFmtId="0" fontId="5" fillId="17" borderId="23" xfId="0" applyFont="1" applyFill="1" applyBorder="1" applyAlignment="1">
      <alignment horizontal="center" vertical="center"/>
    </xf>
    <xf numFmtId="0" fontId="6" fillId="17" borderId="23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/>
    </xf>
    <xf numFmtId="0" fontId="41" fillId="46" borderId="4" xfId="0" applyFont="1" applyFill="1" applyBorder="1" applyAlignment="1">
      <alignment horizontal="center" vertical="center"/>
    </xf>
    <xf numFmtId="0" fontId="6" fillId="44" borderId="4" xfId="0" applyFont="1" applyFill="1" applyBorder="1" applyAlignment="1">
      <alignment horizontal="center" vertical="center"/>
    </xf>
    <xf numFmtId="0" fontId="6" fillId="17" borderId="185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/>
    </xf>
    <xf numFmtId="0" fontId="6" fillId="43" borderId="33" xfId="0" applyFont="1" applyFill="1" applyBorder="1" applyAlignment="1">
      <alignment horizontal="center" vertical="center"/>
    </xf>
    <xf numFmtId="0" fontId="6" fillId="43" borderId="84" xfId="0" applyFont="1" applyFill="1" applyBorder="1" applyAlignment="1">
      <alignment horizontal="center" vertical="center"/>
    </xf>
    <xf numFmtId="0" fontId="5" fillId="29" borderId="16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right"/>
    </xf>
    <xf numFmtId="0" fontId="22" fillId="3" borderId="4" xfId="0" applyFont="1" applyFill="1" applyBorder="1" applyAlignment="1">
      <alignment horizontal="right"/>
    </xf>
    <xf numFmtId="0" fontId="8" fillId="29" borderId="4" xfId="0" applyFont="1" applyFill="1" applyBorder="1" applyAlignment="1">
      <alignment horizontal="right"/>
    </xf>
    <xf numFmtId="0" fontId="8" fillId="29" borderId="4" xfId="0" applyFont="1" applyFill="1" applyBorder="1" applyAlignment="1">
      <alignment horizontal="right"/>
    </xf>
    <xf numFmtId="0" fontId="8" fillId="10" borderId="4" xfId="0" applyFont="1" applyFill="1" applyBorder="1" applyAlignment="1">
      <alignment horizontal="center"/>
    </xf>
    <xf numFmtId="0" fontId="22" fillId="8" borderId="15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right"/>
    </xf>
    <xf numFmtId="0" fontId="8" fillId="29" borderId="15" xfId="0" applyFont="1" applyFill="1" applyBorder="1" applyAlignment="1">
      <alignment horizontal="right"/>
    </xf>
    <xf numFmtId="0" fontId="8" fillId="29" borderId="15" xfId="0" applyFont="1" applyFill="1" applyBorder="1" applyAlignment="1">
      <alignment horizontal="right"/>
    </xf>
    <xf numFmtId="0" fontId="8" fillId="10" borderId="15" xfId="0" applyFont="1" applyFill="1" applyBorder="1" applyAlignment="1">
      <alignment horizontal="center"/>
    </xf>
    <xf numFmtId="0" fontId="8" fillId="23" borderId="25" xfId="0" applyFont="1" applyFill="1" applyBorder="1" applyAlignment="1">
      <alignment horizontal="right"/>
    </xf>
    <xf numFmtId="0" fontId="4" fillId="23" borderId="25" xfId="0" applyFont="1" applyFill="1" applyBorder="1" applyAlignment="1">
      <alignment horizontal="center"/>
    </xf>
    <xf numFmtId="0" fontId="22" fillId="23" borderId="25" xfId="0" applyFont="1" applyFill="1" applyBorder="1" applyAlignment="1">
      <alignment horizontal="right"/>
    </xf>
    <xf numFmtId="0" fontId="22" fillId="23" borderId="25" xfId="0" applyFont="1" applyFill="1" applyBorder="1" applyAlignment="1">
      <alignment horizontal="right"/>
    </xf>
    <xf numFmtId="0" fontId="8" fillId="31" borderId="25" xfId="0" applyFont="1" applyFill="1" applyBorder="1" applyAlignment="1">
      <alignment horizontal="right"/>
    </xf>
    <xf numFmtId="0" fontId="8" fillId="31" borderId="25" xfId="0" applyFont="1" applyFill="1" applyBorder="1" applyAlignment="1">
      <alignment horizontal="right"/>
    </xf>
    <xf numFmtId="0" fontId="8" fillId="10" borderId="25" xfId="0" applyFont="1" applyFill="1" applyBorder="1" applyAlignment="1">
      <alignment horizontal="center"/>
    </xf>
    <xf numFmtId="0" fontId="8" fillId="8" borderId="15" xfId="0" applyFont="1" applyFill="1" applyBorder="1" applyAlignment="1"/>
    <xf numFmtId="0" fontId="8" fillId="8" borderId="25" xfId="0" applyFont="1" applyFill="1" applyBorder="1" applyAlignment="1"/>
    <xf numFmtId="0" fontId="8" fillId="3" borderId="25" xfId="0" applyFont="1" applyFill="1" applyBorder="1" applyAlignment="1"/>
    <xf numFmtId="0" fontId="8" fillId="3" borderId="25" xfId="0" applyFont="1" applyFill="1" applyBorder="1" applyAlignment="1">
      <alignment horizontal="right"/>
    </xf>
    <xf numFmtId="0" fontId="22" fillId="3" borderId="25" xfId="0" applyFont="1" applyFill="1" applyBorder="1" applyAlignment="1">
      <alignment horizontal="right"/>
    </xf>
    <xf numFmtId="0" fontId="8" fillId="3" borderId="25" xfId="0" applyFont="1" applyFill="1" applyBorder="1"/>
    <xf numFmtId="0" fontId="8" fillId="8" borderId="15" xfId="0" applyFont="1" applyFill="1" applyBorder="1" applyAlignment="1"/>
    <xf numFmtId="0" fontId="8" fillId="8" borderId="15" xfId="0" applyFont="1" applyFill="1" applyBorder="1" applyAlignment="1"/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right"/>
    </xf>
    <xf numFmtId="0" fontId="22" fillId="3" borderId="15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right"/>
    </xf>
    <xf numFmtId="0" fontId="4" fillId="23" borderId="25" xfId="0" applyFont="1" applyFill="1" applyBorder="1" applyAlignment="1">
      <alignment horizontal="right"/>
    </xf>
    <xf numFmtId="0" fontId="8" fillId="23" borderId="25" xfId="0" applyFont="1" applyFill="1" applyBorder="1" applyAlignment="1">
      <alignment horizontal="right"/>
    </xf>
    <xf numFmtId="0" fontId="22" fillId="23" borderId="15" xfId="0" applyFont="1" applyFill="1" applyBorder="1" applyAlignment="1">
      <alignment horizontal="right"/>
    </xf>
    <xf numFmtId="0" fontId="8" fillId="9" borderId="25" xfId="0" applyFont="1" applyFill="1" applyBorder="1" applyAlignment="1">
      <alignment horizontal="right"/>
    </xf>
    <xf numFmtId="0" fontId="8" fillId="9" borderId="25" xfId="0" applyFont="1" applyFill="1" applyBorder="1" applyAlignment="1">
      <alignment horizontal="right"/>
    </xf>
    <xf numFmtId="0" fontId="8" fillId="9" borderId="25" xfId="0" applyFont="1" applyFill="1" applyBorder="1" applyAlignment="1">
      <alignment horizontal="center"/>
    </xf>
    <xf numFmtId="0" fontId="8" fillId="27" borderId="13" xfId="0" applyFont="1" applyFill="1" applyBorder="1" applyAlignment="1"/>
    <xf numFmtId="0" fontId="8" fillId="22" borderId="15" xfId="0" applyFont="1" applyFill="1" applyBorder="1" applyAlignment="1"/>
    <xf numFmtId="0" fontId="8" fillId="19" borderId="15" xfId="0" applyFont="1" applyFill="1" applyBorder="1" applyAlignment="1">
      <alignment horizontal="right"/>
    </xf>
    <xf numFmtId="0" fontId="8" fillId="19" borderId="15" xfId="0" applyFont="1" applyFill="1" applyBorder="1"/>
    <xf numFmtId="0" fontId="8" fillId="19" borderId="15" xfId="0" applyFont="1" applyFill="1" applyBorder="1" applyAlignment="1"/>
    <xf numFmtId="0" fontId="8" fillId="22" borderId="15" xfId="0" applyFont="1" applyFill="1" applyBorder="1" applyAlignment="1"/>
    <xf numFmtId="0" fontId="8" fillId="8" borderId="16" xfId="0" applyFont="1" applyFill="1" applyBorder="1" applyAlignment="1">
      <alignment horizontal="center"/>
    </xf>
    <xf numFmtId="0" fontId="39" fillId="23" borderId="15" xfId="0" applyFont="1" applyFill="1" applyBorder="1" applyAlignment="1">
      <alignment horizontal="center"/>
    </xf>
    <xf numFmtId="0" fontId="22" fillId="9" borderId="15" xfId="0" applyFont="1" applyFill="1" applyBorder="1" applyAlignment="1">
      <alignment horizontal="center"/>
    </xf>
    <xf numFmtId="0" fontId="8" fillId="9" borderId="15" xfId="0" applyFont="1" applyFill="1" applyBorder="1" applyAlignment="1"/>
    <xf numFmtId="0" fontId="8" fillId="9" borderId="15" xfId="0" applyFont="1" applyFill="1" applyBorder="1" applyAlignment="1"/>
    <xf numFmtId="0" fontId="8" fillId="9" borderId="15" xfId="0" applyFont="1" applyFill="1" applyBorder="1" applyAlignment="1">
      <alignment horizontal="right"/>
    </xf>
    <xf numFmtId="0" fontId="8" fillId="9" borderId="15" xfId="0" applyFont="1" applyFill="1" applyBorder="1" applyAlignment="1">
      <alignment horizontal="center"/>
    </xf>
    <xf numFmtId="0" fontId="8" fillId="9" borderId="44" xfId="0" applyFont="1" applyFill="1" applyBorder="1" applyAlignment="1"/>
    <xf numFmtId="0" fontId="22" fillId="9" borderId="15" xfId="0" applyFont="1" applyFill="1" applyBorder="1" applyAlignment="1">
      <alignment horizontal="right"/>
    </xf>
    <xf numFmtId="0" fontId="8" fillId="9" borderId="15" xfId="0" applyFont="1" applyFill="1" applyBorder="1" applyAlignment="1">
      <alignment horizontal="right"/>
    </xf>
    <xf numFmtId="0" fontId="8" fillId="9" borderId="15" xfId="0" applyFont="1" applyFill="1" applyBorder="1" applyAlignment="1">
      <alignment horizontal="center"/>
    </xf>
    <xf numFmtId="0" fontId="8" fillId="3" borderId="15" xfId="0" applyFont="1" applyFill="1" applyBorder="1"/>
    <xf numFmtId="0" fontId="8" fillId="8" borderId="189" xfId="0" applyFont="1" applyFill="1" applyBorder="1" applyAlignment="1">
      <alignment horizontal="right"/>
    </xf>
    <xf numFmtId="0" fontId="22" fillId="31" borderId="15" xfId="0" applyFont="1" applyFill="1" applyBorder="1" applyAlignment="1">
      <alignment horizontal="center"/>
    </xf>
    <xf numFmtId="0" fontId="8" fillId="31" borderId="15" xfId="0" applyFont="1" applyFill="1" applyBorder="1" applyAlignment="1"/>
    <xf numFmtId="0" fontId="8" fillId="23" borderId="15" xfId="0" applyFont="1" applyFill="1" applyBorder="1" applyAlignment="1"/>
    <xf numFmtId="0" fontId="8" fillId="23" borderId="15" xfId="0" applyFont="1" applyFill="1" applyBorder="1" applyAlignment="1">
      <alignment horizontal="right"/>
    </xf>
    <xf numFmtId="0" fontId="8" fillId="23" borderId="15" xfId="0" applyFont="1" applyFill="1" applyBorder="1" applyAlignment="1"/>
    <xf numFmtId="0" fontId="8" fillId="23" borderId="15" xfId="0" applyFont="1" applyFill="1" applyBorder="1"/>
    <xf numFmtId="0" fontId="22" fillId="23" borderId="25" xfId="0" applyFont="1" applyFill="1" applyBorder="1" applyAlignment="1">
      <alignment horizontal="right"/>
    </xf>
    <xf numFmtId="0" fontId="8" fillId="23" borderId="25" xfId="0" applyFont="1" applyFill="1" applyBorder="1" applyAlignment="1"/>
    <xf numFmtId="0" fontId="8" fillId="23" borderId="25" xfId="0" applyFont="1" applyFill="1" applyBorder="1" applyAlignment="1">
      <alignment horizontal="center"/>
    </xf>
    <xf numFmtId="0" fontId="8" fillId="19" borderId="15" xfId="0" applyFont="1" applyFill="1" applyBorder="1" applyAlignment="1">
      <alignment horizontal="right"/>
    </xf>
    <xf numFmtId="0" fontId="8" fillId="19" borderId="15" xfId="0" applyFont="1" applyFill="1" applyBorder="1" applyAlignment="1">
      <alignment horizontal="right"/>
    </xf>
    <xf numFmtId="0" fontId="8" fillId="19" borderId="15" xfId="0" applyFont="1" applyFill="1" applyBorder="1"/>
    <xf numFmtId="0" fontId="8" fillId="8" borderId="25" xfId="0" applyFont="1" applyFill="1" applyBorder="1" applyAlignment="1"/>
    <xf numFmtId="0" fontId="4" fillId="19" borderId="25" xfId="0" applyFont="1" applyFill="1" applyBorder="1" applyAlignment="1">
      <alignment horizontal="center"/>
    </xf>
    <xf numFmtId="0" fontId="8" fillId="19" borderId="25" xfId="0" applyFont="1" applyFill="1" applyBorder="1" applyAlignment="1"/>
    <xf numFmtId="0" fontId="22" fillId="19" borderId="25" xfId="0" applyFont="1" applyFill="1" applyBorder="1" applyAlignment="1">
      <alignment horizontal="right"/>
    </xf>
    <xf numFmtId="0" fontId="8" fillId="19" borderId="25" xfId="0" applyFont="1" applyFill="1" applyBorder="1" applyAlignment="1">
      <alignment horizontal="right"/>
    </xf>
    <xf numFmtId="0" fontId="5" fillId="32" borderId="84" xfId="0" applyFont="1" applyFill="1" applyBorder="1" applyAlignment="1">
      <alignment horizontal="center" vertical="center"/>
    </xf>
    <xf numFmtId="0" fontId="8" fillId="19" borderId="25" xfId="0" applyFont="1" applyFill="1" applyBorder="1"/>
    <xf numFmtId="0" fontId="28" fillId="0" borderId="49" xfId="0" applyFont="1" applyBorder="1" applyAlignment="1">
      <alignment vertical="center"/>
    </xf>
    <xf numFmtId="0" fontId="8" fillId="3" borderId="44" xfId="0" applyFont="1" applyFill="1" applyBorder="1" applyAlignment="1"/>
    <xf numFmtId="0" fontId="8" fillId="3" borderId="15" xfId="0" applyFont="1" applyFill="1" applyBorder="1" applyAlignment="1"/>
    <xf numFmtId="0" fontId="8" fillId="3" borderId="44" xfId="0" applyFont="1" applyFill="1" applyBorder="1" applyAlignment="1"/>
    <xf numFmtId="0" fontId="8" fillId="3" borderId="16" xfId="0" applyFont="1" applyFill="1" applyBorder="1" applyAlignment="1"/>
    <xf numFmtId="0" fontId="4" fillId="8" borderId="15" xfId="0" applyFont="1" applyFill="1" applyBorder="1" applyAlignment="1">
      <alignment horizontal="center"/>
    </xf>
    <xf numFmtId="0" fontId="28" fillId="8" borderId="104" xfId="0" applyFont="1" applyFill="1" applyBorder="1" applyAlignment="1">
      <alignment vertical="center"/>
    </xf>
    <xf numFmtId="0" fontId="8" fillId="26" borderId="25" xfId="0" applyFont="1" applyFill="1" applyBorder="1" applyAlignment="1"/>
    <xf numFmtId="0" fontId="4" fillId="43" borderId="100" xfId="0" applyFont="1" applyFill="1" applyBorder="1" applyAlignment="1">
      <alignment horizontal="center" vertical="center"/>
    </xf>
    <xf numFmtId="0" fontId="4" fillId="43" borderId="15" xfId="0" applyFont="1" applyFill="1" applyBorder="1" applyAlignment="1">
      <alignment horizontal="center"/>
    </xf>
    <xf numFmtId="0" fontId="4" fillId="43" borderId="46" xfId="0" applyFont="1" applyFill="1" applyBorder="1" applyAlignment="1">
      <alignment horizontal="right"/>
    </xf>
    <xf numFmtId="0" fontId="8" fillId="3" borderId="4" xfId="0" applyFont="1" applyFill="1" applyBorder="1" applyAlignment="1"/>
    <xf numFmtId="0" fontId="8" fillId="33" borderId="4" xfId="0" applyFont="1" applyFill="1" applyBorder="1" applyAlignment="1"/>
    <xf numFmtId="0" fontId="8" fillId="33" borderId="15" xfId="0" applyFont="1" applyFill="1" applyBorder="1" applyAlignment="1"/>
    <xf numFmtId="0" fontId="5" fillId="30" borderId="132" xfId="0" applyFont="1" applyFill="1" applyBorder="1" applyAlignment="1">
      <alignment horizontal="center" vertical="center"/>
    </xf>
    <xf numFmtId="0" fontId="6" fillId="30" borderId="132" xfId="0" applyFont="1" applyFill="1" applyBorder="1" applyAlignment="1">
      <alignment horizontal="center" vertical="center"/>
    </xf>
    <xf numFmtId="0" fontId="6" fillId="30" borderId="132" xfId="0" applyFont="1" applyFill="1" applyBorder="1" applyAlignment="1">
      <alignment horizontal="center" vertical="center" wrapText="1"/>
    </xf>
    <xf numFmtId="0" fontId="5" fillId="30" borderId="126" xfId="0" applyFont="1" applyFill="1" applyBorder="1" applyAlignment="1">
      <alignment horizontal="center" vertical="center" wrapText="1"/>
    </xf>
    <xf numFmtId="0" fontId="5" fillId="30" borderId="23" xfId="0" applyFont="1" applyFill="1" applyBorder="1" applyAlignment="1">
      <alignment horizontal="center" vertical="center"/>
    </xf>
    <xf numFmtId="0" fontId="6" fillId="30" borderId="23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horizontal="center" vertical="center"/>
    </xf>
    <xf numFmtId="0" fontId="41" fillId="40" borderId="4" xfId="0" applyFont="1" applyFill="1" applyBorder="1" applyAlignment="1">
      <alignment horizontal="center" vertical="center"/>
    </xf>
    <xf numFmtId="0" fontId="6" fillId="30" borderId="185" xfId="0" applyFont="1" applyFill="1" applyBorder="1" applyAlignment="1">
      <alignment horizontal="center" vertical="center"/>
    </xf>
    <xf numFmtId="0" fontId="6" fillId="30" borderId="33" xfId="0" applyFont="1" applyFill="1" applyBorder="1" applyAlignment="1">
      <alignment horizontal="center" vertical="center"/>
    </xf>
    <xf numFmtId="0" fontId="37" fillId="30" borderId="33" xfId="0" applyFont="1" applyFill="1" applyBorder="1" applyAlignment="1">
      <alignment horizontal="center" vertical="center"/>
    </xf>
    <xf numFmtId="0" fontId="6" fillId="17" borderId="84" xfId="0" applyFont="1" applyFill="1" applyBorder="1" applyAlignment="1">
      <alignment horizontal="center" vertical="center"/>
    </xf>
    <xf numFmtId="0" fontId="39" fillId="8" borderId="148" xfId="0" applyFont="1" applyFill="1" applyBorder="1" applyAlignment="1">
      <alignment horizontal="center" vertical="center"/>
    </xf>
    <xf numFmtId="0" fontId="39" fillId="8" borderId="14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15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right"/>
    </xf>
    <xf numFmtId="0" fontId="30" fillId="8" borderId="10" xfId="0" applyFont="1" applyFill="1" applyBorder="1" applyAlignment="1">
      <alignment horizontal="center"/>
    </xf>
    <xf numFmtId="0" fontId="33" fillId="8" borderId="115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right"/>
    </xf>
    <xf numFmtId="0" fontId="39" fillId="23" borderId="25" xfId="0" applyFont="1" applyFill="1" applyBorder="1" applyAlignment="1">
      <alignment horizontal="right"/>
    </xf>
    <xf numFmtId="0" fontId="30" fillId="23" borderId="25" xfId="0" applyFont="1" applyFill="1" applyBorder="1" applyAlignment="1">
      <alignment horizontal="center"/>
    </xf>
    <xf numFmtId="0" fontId="39" fillId="23" borderId="126" xfId="0" applyFont="1" applyFill="1" applyBorder="1" applyAlignment="1">
      <alignment horizontal="center"/>
    </xf>
    <xf numFmtId="0" fontId="39" fillId="23" borderId="25" xfId="0" applyFont="1" applyFill="1" applyBorder="1" applyAlignment="1">
      <alignment horizontal="center"/>
    </xf>
    <xf numFmtId="0" fontId="5" fillId="8" borderId="115" xfId="0" applyFont="1" applyFill="1" applyBorder="1" applyAlignment="1">
      <alignment horizontal="center" vertical="center"/>
    </xf>
    <xf numFmtId="0" fontId="5" fillId="8" borderId="121" xfId="0" applyFont="1" applyFill="1" applyBorder="1" applyAlignment="1">
      <alignment horizontal="center" vertical="center"/>
    </xf>
    <xf numFmtId="0" fontId="39" fillId="8" borderId="25" xfId="0" applyFont="1" applyFill="1" applyBorder="1" applyAlignment="1">
      <alignment horizontal="center"/>
    </xf>
    <xf numFmtId="0" fontId="5" fillId="8" borderId="15" xfId="0" applyFont="1" applyFill="1" applyBorder="1" applyAlignment="1"/>
    <xf numFmtId="0" fontId="5" fillId="8" borderId="16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right"/>
    </xf>
    <xf numFmtId="0" fontId="39" fillId="23" borderId="25" xfId="0" applyFont="1" applyFill="1" applyBorder="1" applyAlignment="1">
      <alignment horizontal="right"/>
    </xf>
    <xf numFmtId="0" fontId="30" fillId="23" borderId="25" xfId="0" applyFont="1" applyFill="1" applyBorder="1" applyAlignment="1">
      <alignment horizontal="center"/>
    </xf>
    <xf numFmtId="0" fontId="39" fillId="23" borderId="126" xfId="0" applyFont="1" applyFill="1" applyBorder="1" applyAlignment="1">
      <alignment horizontal="center"/>
    </xf>
    <xf numFmtId="0" fontId="39" fillId="23" borderId="25" xfId="0" applyFont="1" applyFill="1" applyBorder="1" applyAlignment="1">
      <alignment horizontal="center"/>
    </xf>
    <xf numFmtId="0" fontId="28" fillId="8" borderId="16" xfId="0" applyFont="1" applyFill="1" applyBorder="1" applyAlignment="1">
      <alignment vertical="center"/>
    </xf>
    <xf numFmtId="0" fontId="28" fillId="8" borderId="13" xfId="0" applyFont="1" applyFill="1" applyBorder="1" applyAlignment="1">
      <alignment vertical="center"/>
    </xf>
    <xf numFmtId="0" fontId="5" fillId="9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right"/>
    </xf>
    <xf numFmtId="0" fontId="5" fillId="9" borderId="15" xfId="0" applyFont="1" applyFill="1" applyBorder="1" applyAlignment="1">
      <alignment horizontal="center"/>
    </xf>
    <xf numFmtId="0" fontId="39" fillId="9" borderId="15" xfId="0" applyFont="1" applyFill="1" applyBorder="1" applyAlignment="1">
      <alignment horizontal="right"/>
    </xf>
    <xf numFmtId="0" fontId="5" fillId="32" borderId="147" xfId="0" applyFont="1" applyFill="1" applyBorder="1" applyAlignment="1">
      <alignment horizontal="center" vertical="center"/>
    </xf>
    <xf numFmtId="0" fontId="30" fillId="9" borderId="25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right"/>
    </xf>
    <xf numFmtId="0" fontId="5" fillId="8" borderId="15" xfId="0" applyFont="1" applyFill="1" applyBorder="1" applyAlignment="1"/>
    <xf numFmtId="0" fontId="5" fillId="8" borderId="15" xfId="0" applyFont="1" applyFill="1" applyBorder="1" applyAlignment="1"/>
    <xf numFmtId="0" fontId="39" fillId="8" borderId="15" xfId="0" applyFont="1" applyFill="1" applyBorder="1" applyAlignment="1">
      <alignment horizontal="right"/>
    </xf>
    <xf numFmtId="0" fontId="39" fillId="8" borderId="15" xfId="0" applyFont="1" applyFill="1" applyBorder="1" applyAlignment="1">
      <alignment horizontal="right"/>
    </xf>
    <xf numFmtId="0" fontId="5" fillId="23" borderId="189" xfId="0" applyFont="1" applyFill="1" applyBorder="1" applyAlignment="1">
      <alignment horizontal="right"/>
    </xf>
    <xf numFmtId="0" fontId="9" fillId="9" borderId="15" xfId="0" applyFont="1" applyFill="1" applyBorder="1" applyAlignment="1">
      <alignment horizontal="center"/>
    </xf>
    <xf numFmtId="0" fontId="30" fillId="9" borderId="15" xfId="0" applyFont="1" applyFill="1" applyBorder="1" applyAlignment="1">
      <alignment horizontal="center"/>
    </xf>
    <xf numFmtId="0" fontId="5" fillId="23" borderId="25" xfId="0" applyFont="1" applyFill="1" applyBorder="1" applyAlignment="1">
      <alignment horizontal="right"/>
    </xf>
    <xf numFmtId="0" fontId="39" fillId="9" borderId="25" xfId="0" applyFont="1" applyFill="1" applyBorder="1" applyAlignment="1">
      <alignment horizontal="center"/>
    </xf>
    <xf numFmtId="0" fontId="39" fillId="9" borderId="25" xfId="0" applyFont="1" applyFill="1" applyBorder="1" applyAlignment="1">
      <alignment horizontal="center"/>
    </xf>
    <xf numFmtId="0" fontId="40" fillId="10" borderId="25" xfId="0" applyFont="1" applyFill="1" applyBorder="1" applyAlignment="1">
      <alignment horizontal="center"/>
    </xf>
    <xf numFmtId="0" fontId="39" fillId="19" borderId="25" xfId="0" applyFont="1" applyFill="1" applyBorder="1" applyAlignment="1">
      <alignment horizontal="center"/>
    </xf>
    <xf numFmtId="0" fontId="30" fillId="8" borderId="49" xfId="0" applyFont="1" applyFill="1" applyBorder="1" applyAlignment="1">
      <alignment horizontal="center"/>
    </xf>
    <xf numFmtId="0" fontId="30" fillId="8" borderId="44" xfId="0" applyFont="1" applyFill="1" applyBorder="1" applyAlignment="1">
      <alignment horizontal="center"/>
    </xf>
    <xf numFmtId="0" fontId="5" fillId="30" borderId="15" xfId="0" applyFont="1" applyFill="1" applyBorder="1" applyAlignment="1">
      <alignment horizontal="center"/>
    </xf>
    <xf numFmtId="0" fontId="30" fillId="30" borderId="15" xfId="0" applyFont="1" applyFill="1" applyBorder="1" applyAlignment="1">
      <alignment horizontal="center"/>
    </xf>
    <xf numFmtId="0" fontId="4" fillId="30" borderId="15" xfId="0" applyFont="1" applyFill="1" applyBorder="1" applyAlignment="1">
      <alignment horizontal="center"/>
    </xf>
    <xf numFmtId="0" fontId="28" fillId="30" borderId="4" xfId="0" applyFont="1" applyFill="1" applyBorder="1" applyAlignment="1">
      <alignment vertical="center"/>
    </xf>
    <xf numFmtId="0" fontId="5" fillId="30" borderId="15" xfId="0" applyFont="1" applyFill="1" applyBorder="1" applyAlignment="1">
      <alignment horizontal="center" vertical="center"/>
    </xf>
    <xf numFmtId="0" fontId="5" fillId="30" borderId="16" xfId="0" applyFont="1" applyFill="1" applyBorder="1" applyAlignment="1">
      <alignment horizontal="center" vertical="center"/>
    </xf>
    <xf numFmtId="0" fontId="30" fillId="30" borderId="15" xfId="0" applyFont="1" applyFill="1" applyBorder="1" applyAlignment="1">
      <alignment horizontal="center"/>
    </xf>
    <xf numFmtId="0" fontId="5" fillId="30" borderId="88" xfId="0" applyFont="1" applyFill="1" applyBorder="1" applyAlignment="1">
      <alignment horizontal="center" vertical="center"/>
    </xf>
    <xf numFmtId="0" fontId="5" fillId="30" borderId="81" xfId="0" applyFont="1" applyFill="1" applyBorder="1" applyAlignment="1">
      <alignment horizontal="center" vertical="center"/>
    </xf>
    <xf numFmtId="0" fontId="5" fillId="30" borderId="84" xfId="0" applyFont="1" applyFill="1" applyBorder="1" applyAlignment="1">
      <alignment horizontal="center" vertical="center"/>
    </xf>
    <xf numFmtId="0" fontId="5" fillId="30" borderId="171" xfId="0" applyFont="1" applyFill="1" applyBorder="1" applyAlignment="1">
      <alignment horizontal="center" vertical="center"/>
    </xf>
    <xf numFmtId="0" fontId="39" fillId="30" borderId="15" xfId="0" applyFont="1" applyFill="1" applyBorder="1" applyAlignment="1">
      <alignment horizontal="center"/>
    </xf>
    <xf numFmtId="0" fontId="39" fillId="30" borderId="15" xfId="0" applyFont="1" applyFill="1" applyBorder="1" applyAlignment="1">
      <alignment horizontal="center"/>
    </xf>
    <xf numFmtId="0" fontId="39" fillId="30" borderId="15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24" fillId="13" borderId="25" xfId="0" applyFont="1" applyFill="1" applyBorder="1" applyAlignment="1"/>
    <xf numFmtId="0" fontId="24" fillId="13" borderId="15" xfId="0" applyFont="1" applyFill="1" applyBorder="1" applyAlignment="1">
      <alignment horizontal="center"/>
    </xf>
    <xf numFmtId="0" fontId="46" fillId="13" borderId="4" xfId="0" applyFont="1" applyFill="1" applyBorder="1" applyAlignment="1">
      <alignment horizontal="center" vertical="center"/>
    </xf>
    <xf numFmtId="0" fontId="24" fillId="13" borderId="46" xfId="0" applyFont="1" applyFill="1" applyBorder="1" applyAlignment="1">
      <alignment horizontal="right"/>
    </xf>
    <xf numFmtId="0" fontId="39" fillId="13" borderId="146" xfId="0" applyFont="1" applyFill="1" applyBorder="1" applyAlignment="1">
      <alignment horizontal="center" vertical="center" wrapText="1"/>
    </xf>
    <xf numFmtId="0" fontId="39" fillId="13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" fillId="0" borderId="12" xfId="0" applyFont="1" applyBorder="1"/>
    <xf numFmtId="0" fontId="2" fillId="0" borderId="15" xfId="0" applyFont="1" applyBorder="1"/>
    <xf numFmtId="0" fontId="5" fillId="0" borderId="18" xfId="0" applyFont="1" applyBorder="1" applyAlignment="1">
      <alignment horizontal="center" vertical="center"/>
    </xf>
    <xf numFmtId="0" fontId="2" fillId="0" borderId="13" xfId="0" applyFont="1" applyBorder="1"/>
    <xf numFmtId="0" fontId="2" fillId="0" borderId="22" xfId="0" applyFont="1" applyBorder="1"/>
    <xf numFmtId="0" fontId="5" fillId="0" borderId="11" xfId="0" applyFont="1" applyBorder="1" applyAlignment="1">
      <alignment horizontal="center" vertical="center"/>
    </xf>
    <xf numFmtId="0" fontId="2" fillId="0" borderId="14" xfId="0" applyFont="1" applyBorder="1"/>
    <xf numFmtId="0" fontId="2" fillId="0" borderId="23" xfId="0" applyFont="1" applyBorder="1"/>
    <xf numFmtId="0" fontId="5" fillId="0" borderId="19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4" xfId="0" applyFont="1" applyBorder="1"/>
    <xf numFmtId="0" fontId="5" fillId="0" borderId="20" xfId="0" applyFont="1" applyBorder="1" applyAlignment="1">
      <alignment horizontal="center" vertical="center" wrapText="1"/>
    </xf>
    <xf numFmtId="0" fontId="2" fillId="0" borderId="25" xfId="0" applyFont="1" applyBorder="1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2" fillId="0" borderId="26" xfId="0" applyFont="1" applyBorder="1"/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16" xfId="0" applyFont="1" applyBorder="1"/>
    <xf numFmtId="0" fontId="1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9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57" xfId="0" applyFont="1" applyBorder="1" applyAlignment="1">
      <alignment vertical="center"/>
    </xf>
    <xf numFmtId="0" fontId="4" fillId="0" borderId="5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" fillId="0" borderId="37" xfId="0" applyFont="1" applyBorder="1"/>
    <xf numFmtId="0" fontId="24" fillId="8" borderId="9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25" fillId="10" borderId="80" xfId="0" applyFont="1" applyFill="1" applyBorder="1" applyAlignment="1">
      <alignment horizontal="center" vertical="center" wrapText="1"/>
    </xf>
    <xf numFmtId="0" fontId="2" fillId="0" borderId="83" xfId="0" applyFont="1" applyBorder="1"/>
    <xf numFmtId="0" fontId="2" fillId="0" borderId="84" xfId="0" applyFont="1" applyBorder="1"/>
    <xf numFmtId="0" fontId="25" fillId="2" borderId="83" xfId="0" applyFont="1" applyFill="1" applyBorder="1" applyAlignment="1">
      <alignment horizontal="center" vertical="center" wrapText="1"/>
    </xf>
    <xf numFmtId="0" fontId="25" fillId="2" borderId="32" xfId="0" applyFont="1" applyFill="1" applyBorder="1" applyAlignment="1">
      <alignment horizontal="center" vertical="center" wrapText="1"/>
    </xf>
    <xf numFmtId="0" fontId="15" fillId="9" borderId="80" xfId="0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24" fillId="8" borderId="9" xfId="0" applyFont="1" applyFill="1" applyBorder="1" applyAlignment="1">
      <alignment vertical="center"/>
    </xf>
    <xf numFmtId="0" fontId="24" fillId="8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8" borderId="39" xfId="0" applyFont="1" applyFill="1" applyBorder="1" applyAlignment="1">
      <alignment horizontal="center" vertical="center"/>
    </xf>
    <xf numFmtId="0" fontId="2" fillId="0" borderId="39" xfId="0" applyFont="1" applyBorder="1"/>
    <xf numFmtId="0" fontId="2" fillId="0" borderId="42" xfId="0" applyFont="1" applyBorder="1"/>
    <xf numFmtId="0" fontId="3" fillId="8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/>
    </xf>
    <xf numFmtId="0" fontId="28" fillId="0" borderId="0" xfId="0" applyFont="1"/>
    <xf numFmtId="0" fontId="2" fillId="0" borderId="91" xfId="0" applyFont="1" applyBorder="1"/>
    <xf numFmtId="0" fontId="29" fillId="11" borderId="92" xfId="0" applyFont="1" applyFill="1" applyBorder="1" applyAlignment="1">
      <alignment horizontal="center" readingOrder="2"/>
    </xf>
    <xf numFmtId="0" fontId="2" fillId="0" borderId="93" xfId="0" applyFont="1" applyBorder="1"/>
    <xf numFmtId="0" fontId="28" fillId="12" borderId="94" xfId="0" applyFont="1" applyFill="1" applyBorder="1" applyAlignment="1">
      <alignment horizontal="center"/>
    </xf>
    <xf numFmtId="0" fontId="2" fillId="0" borderId="95" xfId="0" applyFont="1" applyBorder="1"/>
    <xf numFmtId="0" fontId="2" fillId="0" borderId="96" xfId="0" applyFont="1" applyBorder="1"/>
    <xf numFmtId="0" fontId="28" fillId="8" borderId="97" xfId="0" applyFont="1" applyFill="1" applyBorder="1"/>
    <xf numFmtId="0" fontId="2" fillId="0" borderId="98" xfId="0" applyFont="1" applyBorder="1"/>
    <xf numFmtId="0" fontId="5" fillId="15" borderId="106" xfId="0" applyFont="1" applyFill="1" applyBorder="1" applyAlignment="1">
      <alignment horizontal="center" vertical="center" readingOrder="2"/>
    </xf>
    <xf numFmtId="0" fontId="2" fillId="0" borderId="112" xfId="0" applyFont="1" applyBorder="1"/>
    <xf numFmtId="0" fontId="28" fillId="16" borderId="108" xfId="0" applyFont="1" applyFill="1" applyBorder="1"/>
    <xf numFmtId="0" fontId="2" fillId="0" borderId="109" xfId="0" applyFont="1" applyBorder="1"/>
    <xf numFmtId="0" fontId="2" fillId="0" borderId="113" xfId="0" applyFont="1" applyBorder="1"/>
    <xf numFmtId="0" fontId="5" fillId="19" borderId="114" xfId="0" applyFont="1" applyFill="1" applyBorder="1" applyAlignment="1">
      <alignment horizontal="center" vertical="center" wrapText="1" readingOrder="2"/>
    </xf>
    <xf numFmtId="0" fontId="2" fillId="0" borderId="116" xfId="0" applyFont="1" applyBorder="1"/>
    <xf numFmtId="0" fontId="2" fillId="0" borderId="120" xfId="0" applyFont="1" applyBorder="1"/>
    <xf numFmtId="0" fontId="5" fillId="19" borderId="124" xfId="0" applyFont="1" applyFill="1" applyBorder="1" applyAlignment="1">
      <alignment horizontal="center" vertical="center"/>
    </xf>
    <xf numFmtId="0" fontId="5" fillId="19" borderId="128" xfId="0" applyFont="1" applyFill="1" applyBorder="1" applyAlignment="1">
      <alignment horizontal="center" vertical="center"/>
    </xf>
    <xf numFmtId="0" fontId="5" fillId="21" borderId="128" xfId="0" applyFont="1" applyFill="1" applyBorder="1" applyAlignment="1">
      <alignment horizontal="center" vertical="center"/>
    </xf>
    <xf numFmtId="0" fontId="5" fillId="21" borderId="133" xfId="0" applyFont="1" applyFill="1" applyBorder="1" applyAlignment="1">
      <alignment horizontal="center" vertical="center"/>
    </xf>
    <xf numFmtId="0" fontId="2" fillId="0" borderId="134" xfId="0" applyFont="1" applyBorder="1"/>
    <xf numFmtId="0" fontId="5" fillId="3" borderId="124" xfId="0" applyFont="1" applyFill="1" applyBorder="1" applyAlignment="1">
      <alignment horizontal="center" vertical="center"/>
    </xf>
    <xf numFmtId="0" fontId="5" fillId="3" borderId="129" xfId="0" applyFont="1" applyFill="1" applyBorder="1" applyAlignment="1">
      <alignment horizontal="center" vertical="center"/>
    </xf>
    <xf numFmtId="0" fontId="2" fillId="0" borderId="40" xfId="0" applyFont="1" applyBorder="1"/>
    <xf numFmtId="0" fontId="5" fillId="21" borderId="129" xfId="0" applyFont="1" applyFill="1" applyBorder="1" applyAlignment="1">
      <alignment horizontal="center" vertical="center"/>
    </xf>
    <xf numFmtId="0" fontId="2" fillId="0" borderId="132" xfId="0" applyFont="1" applyBorder="1"/>
    <xf numFmtId="0" fontId="5" fillId="19" borderId="106" xfId="0" applyFont="1" applyFill="1" applyBorder="1" applyAlignment="1">
      <alignment horizontal="center" vertical="center"/>
    </xf>
    <xf numFmtId="0" fontId="5" fillId="19" borderId="127" xfId="0" applyFont="1" applyFill="1" applyBorder="1" applyAlignment="1">
      <alignment horizontal="center" vertical="center"/>
    </xf>
    <xf numFmtId="0" fontId="5" fillId="3" borderId="11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0" fontId="5" fillId="3" borderId="106" xfId="0" applyFont="1" applyFill="1" applyBorder="1" applyAlignment="1">
      <alignment horizontal="center" vertical="center" wrapText="1" readingOrder="2"/>
    </xf>
    <xf numFmtId="0" fontId="2" fillId="0" borderId="125" xfId="0" applyFont="1" applyBorder="1"/>
    <xf numFmtId="0" fontId="5" fillId="19" borderId="129" xfId="0" applyFont="1" applyFill="1" applyBorder="1" applyAlignment="1">
      <alignment horizontal="center" vertical="center"/>
    </xf>
    <xf numFmtId="0" fontId="5" fillId="3" borderId="106" xfId="0" applyFont="1" applyFill="1" applyBorder="1" applyAlignment="1">
      <alignment horizontal="center" vertical="center"/>
    </xf>
    <xf numFmtId="0" fontId="5" fillId="3" borderId="127" xfId="0" applyFont="1" applyFill="1" applyBorder="1" applyAlignment="1">
      <alignment horizontal="center" vertical="center"/>
    </xf>
    <xf numFmtId="0" fontId="5" fillId="3" borderId="128" xfId="0" applyFont="1" applyFill="1" applyBorder="1" applyAlignment="1">
      <alignment horizontal="center" vertical="center"/>
    </xf>
    <xf numFmtId="0" fontId="5" fillId="19" borderId="135" xfId="0" applyFont="1" applyFill="1" applyBorder="1" applyAlignment="1">
      <alignment horizontal="center" vertical="center"/>
    </xf>
    <xf numFmtId="0" fontId="2" fillId="0" borderId="136" xfId="0" applyFont="1" applyBorder="1"/>
    <xf numFmtId="0" fontId="5" fillId="3" borderId="138" xfId="0" applyFont="1" applyFill="1" applyBorder="1" applyAlignment="1">
      <alignment horizontal="center" vertical="center"/>
    </xf>
    <xf numFmtId="0" fontId="2" fillId="0" borderId="139" xfId="0" applyFont="1" applyBorder="1"/>
    <xf numFmtId="0" fontId="2" fillId="0" borderId="140" xfId="0" applyFont="1" applyBorder="1"/>
    <xf numFmtId="0" fontId="7" fillId="0" borderId="0" xfId="0" applyFont="1"/>
    <xf numFmtId="0" fontId="28" fillId="16" borderId="143" xfId="0" applyFont="1" applyFill="1" applyBorder="1"/>
    <xf numFmtId="0" fontId="2" fillId="0" borderId="76" xfId="0" applyFont="1" applyBorder="1"/>
    <xf numFmtId="0" fontId="2" fillId="0" borderId="17" xfId="0" applyFont="1" applyBorder="1"/>
    <xf numFmtId="0" fontId="2" fillId="0" borderId="145" xfId="0" applyFont="1" applyBorder="1"/>
    <xf numFmtId="0" fontId="2" fillId="0" borderId="46" xfId="0" applyFont="1" applyBorder="1"/>
    <xf numFmtId="0" fontId="2" fillId="0" borderId="44" xfId="0" applyFont="1" applyBorder="1"/>
    <xf numFmtId="0" fontId="2" fillId="0" borderId="137" xfId="0" applyFont="1" applyBorder="1"/>
    <xf numFmtId="0" fontId="5" fillId="3" borderId="1" xfId="0" applyFont="1" applyFill="1" applyBorder="1" applyAlignment="1">
      <alignment horizontal="center" vertical="center"/>
    </xf>
    <xf numFmtId="0" fontId="7" fillId="0" borderId="93" xfId="0" applyFont="1" applyBorder="1" applyAlignment="1">
      <alignment vertical="center"/>
    </xf>
    <xf numFmtId="0" fontId="2" fillId="0" borderId="164" xfId="0" applyFont="1" applyBorder="1"/>
    <xf numFmtId="0" fontId="28" fillId="16" borderId="152" xfId="0" applyFont="1" applyFill="1" applyBorder="1" applyAlignment="1">
      <alignment horizontal="center" vertical="center"/>
    </xf>
    <xf numFmtId="0" fontId="2" fillId="0" borderId="152" xfId="0" applyFont="1" applyBorder="1"/>
    <xf numFmtId="0" fontId="2" fillId="0" borderId="115" xfId="0" applyFont="1" applyBorder="1"/>
    <xf numFmtId="0" fontId="5" fillId="3" borderId="10" xfId="0" applyFont="1" applyFill="1" applyBorder="1" applyAlignment="1">
      <alignment horizontal="center" vertical="center"/>
    </xf>
    <xf numFmtId="0" fontId="29" fillId="11" borderId="92" xfId="0" applyFont="1" applyFill="1" applyBorder="1" applyAlignment="1">
      <alignment horizontal="center" vertical="center" readingOrder="2"/>
    </xf>
    <xf numFmtId="0" fontId="29" fillId="8" borderId="0" xfId="0" applyFont="1" applyFill="1" applyAlignment="1">
      <alignment horizontal="center"/>
    </xf>
    <xf numFmtId="0" fontId="28" fillId="8" borderId="98" xfId="0" applyFont="1" applyFill="1" applyBorder="1" applyAlignment="1">
      <alignment vertical="center"/>
    </xf>
    <xf numFmtId="0" fontId="28" fillId="16" borderId="108" xfId="0" applyFont="1" applyFill="1" applyBorder="1" applyAlignment="1">
      <alignment vertical="center"/>
    </xf>
    <xf numFmtId="0" fontId="5" fillId="23" borderId="97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 wrapText="1"/>
    </xf>
    <xf numFmtId="0" fontId="5" fillId="23" borderId="157" xfId="0" applyFont="1" applyFill="1" applyBorder="1" applyAlignment="1">
      <alignment horizontal="center" vertical="center"/>
    </xf>
    <xf numFmtId="0" fontId="2" fillId="0" borderId="151" xfId="0" applyFont="1" applyBorder="1"/>
    <xf numFmtId="0" fontId="5" fillId="23" borderId="11" xfId="0" applyFont="1" applyFill="1" applyBorder="1" applyAlignment="1">
      <alignment horizontal="center" vertical="center"/>
    </xf>
    <xf numFmtId="0" fontId="5" fillId="23" borderId="134" xfId="0" applyFont="1" applyFill="1" applyBorder="1" applyAlignment="1">
      <alignment horizontal="center" vertical="center"/>
    </xf>
    <xf numFmtId="0" fontId="29" fillId="25" borderId="168" xfId="0" applyFont="1" applyFill="1" applyBorder="1" applyAlignment="1">
      <alignment horizontal="center" vertical="center" readingOrder="2"/>
    </xf>
    <xf numFmtId="0" fontId="2" fillId="0" borderId="169" xfId="0" applyFont="1" applyBorder="1"/>
    <xf numFmtId="0" fontId="2" fillId="0" borderId="170" xfId="0" applyFont="1" applyBorder="1"/>
    <xf numFmtId="0" fontId="29" fillId="4" borderId="0" xfId="0" applyFont="1" applyFill="1" applyAlignment="1">
      <alignment horizontal="center" vertical="center" readingOrder="2"/>
    </xf>
    <xf numFmtId="0" fontId="28" fillId="8" borderId="0" xfId="0" applyFont="1" applyFill="1" applyAlignment="1">
      <alignment vertical="center"/>
    </xf>
    <xf numFmtId="0" fontId="5" fillId="3" borderId="11" xfId="0" applyFont="1" applyFill="1" applyBorder="1" applyAlignment="1">
      <alignment horizontal="center" vertical="center" wrapText="1" readingOrder="2"/>
    </xf>
    <xf numFmtId="0" fontId="28" fillId="16" borderId="173" xfId="0" applyFont="1" applyFill="1" applyBorder="1" applyAlignment="1">
      <alignment vertical="center"/>
    </xf>
    <xf numFmtId="0" fontId="2" fillId="0" borderId="174" xfId="0" applyFont="1" applyBorder="1"/>
    <xf numFmtId="0" fontId="2" fillId="0" borderId="175" xfId="0" applyFont="1" applyBorder="1"/>
    <xf numFmtId="0" fontId="2" fillId="0" borderId="121" xfId="0" applyFont="1" applyBorder="1"/>
    <xf numFmtId="0" fontId="2" fillId="0" borderId="180" xfId="0" applyFont="1" applyBorder="1"/>
    <xf numFmtId="0" fontId="2" fillId="0" borderId="163" xfId="0" applyFont="1" applyBorder="1"/>
    <xf numFmtId="0" fontId="5" fillId="19" borderId="16" xfId="0" applyFont="1" applyFill="1" applyBorder="1" applyAlignment="1">
      <alignment horizontal="center" vertical="center"/>
    </xf>
    <xf numFmtId="0" fontId="5" fillId="3" borderId="18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23" borderId="27" xfId="0" applyFont="1" applyFill="1" applyBorder="1" applyAlignment="1">
      <alignment horizontal="center" vertical="center"/>
    </xf>
    <xf numFmtId="0" fontId="2" fillId="0" borderId="126" xfId="0" applyFont="1" applyBorder="1"/>
    <xf numFmtId="0" fontId="5" fillId="19" borderId="151" xfId="0" applyFont="1" applyFill="1" applyBorder="1" applyAlignment="1">
      <alignment horizontal="center" vertical="center"/>
    </xf>
    <xf numFmtId="0" fontId="5" fillId="3" borderId="173" xfId="0" applyFont="1" applyFill="1" applyBorder="1" applyAlignment="1">
      <alignment horizontal="center" vertical="center" wrapText="1" readingOrder="2"/>
    </xf>
    <xf numFmtId="0" fontId="5" fillId="19" borderId="11" xfId="0" applyFont="1" applyFill="1" applyBorder="1" applyAlignment="1">
      <alignment horizontal="center" vertical="center"/>
    </xf>
    <xf numFmtId="0" fontId="5" fillId="19" borderId="182" xfId="0" applyFont="1" applyFill="1" applyBorder="1" applyAlignment="1">
      <alignment horizontal="center" vertical="center"/>
    </xf>
    <xf numFmtId="0" fontId="2" fillId="0" borderId="183" xfId="0" applyFont="1" applyBorder="1"/>
    <xf numFmtId="0" fontId="5" fillId="23" borderId="175" xfId="0" applyFont="1" applyFill="1" applyBorder="1" applyAlignment="1">
      <alignment horizontal="center" vertical="center"/>
    </xf>
    <xf numFmtId="0" fontId="5" fillId="23" borderId="46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 readingOrder="2"/>
    </xf>
    <xf numFmtId="0" fontId="29" fillId="4" borderId="1" xfId="0" applyFont="1" applyFill="1" applyBorder="1" applyAlignment="1">
      <alignment horizontal="center" vertical="center" readingOrder="2"/>
    </xf>
    <xf numFmtId="0" fontId="5" fillId="30" borderId="46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 readingOrder="2"/>
    </xf>
    <xf numFmtId="0" fontId="5" fillId="30" borderId="1" xfId="0" applyFont="1" applyFill="1" applyBorder="1" applyAlignment="1">
      <alignment horizontal="center" vertical="center"/>
    </xf>
    <xf numFmtId="0" fontId="30" fillId="8" borderId="18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rightToLeft="1" workbookViewId="0">
      <selection sqref="A1:J1"/>
    </sheetView>
  </sheetViews>
  <sheetFormatPr defaultColWidth="12.6640625" defaultRowHeight="15" customHeight="1" x14ac:dyDescent="0.25"/>
  <cols>
    <col min="1" max="1" width="6.33203125" customWidth="1"/>
    <col min="2" max="2" width="13.21875" customWidth="1"/>
    <col min="3" max="3" width="15.77734375" customWidth="1"/>
    <col min="4" max="4" width="9.33203125" customWidth="1"/>
    <col min="5" max="5" width="32.6640625" customWidth="1"/>
    <col min="6" max="6" width="17.44140625" customWidth="1"/>
    <col min="7" max="7" width="15.77734375" customWidth="1"/>
    <col min="8" max="8" width="16.6640625" customWidth="1"/>
  </cols>
  <sheetData>
    <row r="1" spans="1:11" ht="41.25" customHeight="1" x14ac:dyDescent="0.5">
      <c r="A1" s="1190" t="s">
        <v>0</v>
      </c>
      <c r="B1" s="1178"/>
      <c r="C1" s="1178"/>
      <c r="D1" s="1178"/>
      <c r="E1" s="1178"/>
      <c r="F1" s="1178"/>
      <c r="G1" s="1178"/>
      <c r="H1" s="1178"/>
      <c r="I1" s="1178"/>
      <c r="J1" s="1179"/>
    </row>
    <row r="2" spans="1:11" ht="41.25" customHeight="1" x14ac:dyDescent="0.5">
      <c r="A2" s="1177" t="s">
        <v>1</v>
      </c>
      <c r="B2" s="1178"/>
      <c r="C2" s="1178"/>
      <c r="D2" s="1178"/>
      <c r="E2" s="1178"/>
      <c r="F2" s="1178"/>
      <c r="G2" s="1178"/>
      <c r="H2" s="1178"/>
      <c r="I2" s="1178"/>
      <c r="J2" s="1179"/>
    </row>
    <row r="3" spans="1:11" ht="32.25" customHeight="1" x14ac:dyDescent="0.25">
      <c r="A3" s="1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s="3" t="s">
        <v>7</v>
      </c>
      <c r="G3" s="4" t="s">
        <v>8</v>
      </c>
      <c r="H3" s="4" t="s">
        <v>9</v>
      </c>
      <c r="I3" s="5" t="s">
        <v>10</v>
      </c>
      <c r="J3" s="1" t="s">
        <v>11</v>
      </c>
      <c r="K3" s="6"/>
    </row>
    <row r="4" spans="1:11" ht="18" customHeight="1" x14ac:dyDescent="0.25">
      <c r="A4" s="1180">
        <v>1</v>
      </c>
      <c r="B4" s="1180" t="s">
        <v>12</v>
      </c>
      <c r="C4" s="1180" t="s">
        <v>13</v>
      </c>
      <c r="D4" s="1180" t="s">
        <v>13</v>
      </c>
      <c r="E4" s="1181" t="s">
        <v>14</v>
      </c>
      <c r="F4" s="1182" t="s">
        <v>15</v>
      </c>
      <c r="G4" s="1191" t="s">
        <v>16</v>
      </c>
      <c r="H4" s="1191" t="s">
        <v>17</v>
      </c>
      <c r="I4" s="8"/>
      <c r="J4" s="9"/>
    </row>
    <row r="5" spans="1:11" ht="12" customHeight="1" x14ac:dyDescent="0.25">
      <c r="A5" s="1164"/>
      <c r="B5" s="1164"/>
      <c r="C5" s="1164"/>
      <c r="D5" s="1164"/>
      <c r="E5" s="1164"/>
      <c r="F5" s="1167"/>
      <c r="G5" s="1170"/>
      <c r="H5" s="1170"/>
      <c r="I5" s="8"/>
      <c r="J5" s="9"/>
    </row>
    <row r="6" spans="1:11" ht="9.75" customHeight="1" x14ac:dyDescent="0.25">
      <c r="A6" s="1165"/>
      <c r="B6" s="1165"/>
      <c r="C6" s="1165"/>
      <c r="D6" s="1165"/>
      <c r="E6" s="1165"/>
      <c r="F6" s="1189"/>
      <c r="G6" s="1170"/>
      <c r="H6" s="1170"/>
      <c r="I6" s="8"/>
      <c r="J6" s="9"/>
    </row>
    <row r="7" spans="1:11" ht="15.75" customHeight="1" x14ac:dyDescent="0.25">
      <c r="A7" s="1180">
        <v>2</v>
      </c>
      <c r="B7" s="1180" t="s">
        <v>12</v>
      </c>
      <c r="C7" s="1180" t="s">
        <v>18</v>
      </c>
      <c r="D7" s="1180" t="s">
        <v>13</v>
      </c>
      <c r="E7" s="1180" t="s">
        <v>19</v>
      </c>
      <c r="F7" s="1182" t="s">
        <v>20</v>
      </c>
      <c r="G7" s="1170"/>
      <c r="H7" s="1170"/>
      <c r="I7" s="8"/>
      <c r="J7" s="9"/>
    </row>
    <row r="8" spans="1:11" ht="15.75" customHeight="1" x14ac:dyDescent="0.25">
      <c r="A8" s="1164"/>
      <c r="B8" s="1164"/>
      <c r="C8" s="1164"/>
      <c r="D8" s="1164"/>
      <c r="E8" s="1164"/>
      <c r="F8" s="1167"/>
      <c r="G8" s="1170"/>
      <c r="H8" s="1170"/>
      <c r="I8" s="8"/>
      <c r="J8" s="9"/>
    </row>
    <row r="9" spans="1:11" ht="15.75" customHeight="1" x14ac:dyDescent="0.25">
      <c r="A9" s="1165"/>
      <c r="B9" s="1165"/>
      <c r="C9" s="1165"/>
      <c r="D9" s="1165"/>
      <c r="E9" s="1165"/>
      <c r="F9" s="1189"/>
      <c r="G9" s="1170"/>
      <c r="H9" s="1170"/>
      <c r="I9" s="8"/>
      <c r="J9" s="9"/>
    </row>
    <row r="10" spans="1:11" ht="15.75" customHeight="1" x14ac:dyDescent="0.25">
      <c r="A10" s="1180">
        <v>3</v>
      </c>
      <c r="B10" s="1180" t="s">
        <v>12</v>
      </c>
      <c r="C10" s="1180" t="s">
        <v>21</v>
      </c>
      <c r="D10" s="1180" t="s">
        <v>13</v>
      </c>
      <c r="E10" s="1181" t="s">
        <v>22</v>
      </c>
      <c r="F10" s="1182" t="s">
        <v>23</v>
      </c>
      <c r="G10" s="1170"/>
      <c r="H10" s="1170"/>
      <c r="I10" s="8"/>
      <c r="J10" s="9"/>
    </row>
    <row r="11" spans="1:11" ht="15.75" customHeight="1" x14ac:dyDescent="0.25">
      <c r="A11" s="1164"/>
      <c r="B11" s="1164"/>
      <c r="C11" s="1164"/>
      <c r="D11" s="1164"/>
      <c r="E11" s="1164"/>
      <c r="F11" s="1167"/>
      <c r="G11" s="1170"/>
      <c r="H11" s="1170"/>
      <c r="I11" s="8"/>
      <c r="J11" s="9"/>
    </row>
    <row r="12" spans="1:11" ht="15.75" customHeight="1" x14ac:dyDescent="0.25">
      <c r="A12" s="1165"/>
      <c r="B12" s="1165"/>
      <c r="C12" s="1164"/>
      <c r="D12" s="1165"/>
      <c r="E12" s="1164"/>
      <c r="F12" s="1189"/>
      <c r="G12" s="1170"/>
      <c r="H12" s="1170"/>
      <c r="I12" s="8"/>
      <c r="J12" s="9"/>
    </row>
    <row r="13" spans="1:11" ht="15.75" customHeight="1" x14ac:dyDescent="0.25">
      <c r="A13" s="1180">
        <v>4</v>
      </c>
      <c r="B13" s="1180" t="s">
        <v>12</v>
      </c>
      <c r="C13" s="1180" t="s">
        <v>21</v>
      </c>
      <c r="D13" s="1180" t="s">
        <v>13</v>
      </c>
      <c r="E13" s="1180" t="s">
        <v>24</v>
      </c>
      <c r="F13" s="1182" t="s">
        <v>20</v>
      </c>
      <c r="G13" s="1170"/>
      <c r="H13" s="1170"/>
      <c r="I13" s="8"/>
      <c r="J13" s="9"/>
    </row>
    <row r="14" spans="1:11" ht="15.75" customHeight="1" x14ac:dyDescent="0.25">
      <c r="A14" s="1164"/>
      <c r="B14" s="1164"/>
      <c r="C14" s="1164"/>
      <c r="D14" s="1164"/>
      <c r="E14" s="1164"/>
      <c r="F14" s="1167"/>
      <c r="G14" s="1170"/>
      <c r="H14" s="1170"/>
      <c r="I14" s="8"/>
      <c r="J14" s="9"/>
    </row>
    <row r="15" spans="1:11" ht="15.75" customHeight="1" x14ac:dyDescent="0.25">
      <c r="A15" s="1165"/>
      <c r="B15" s="1165"/>
      <c r="C15" s="1165"/>
      <c r="D15" s="1165"/>
      <c r="E15" s="1165"/>
      <c r="F15" s="1189"/>
      <c r="G15" s="1170"/>
      <c r="H15" s="1170"/>
      <c r="I15" s="8"/>
      <c r="J15" s="9"/>
    </row>
    <row r="16" spans="1:11" ht="15.75" customHeight="1" x14ac:dyDescent="0.25">
      <c r="A16" s="1180">
        <v>5</v>
      </c>
      <c r="B16" s="1180" t="s">
        <v>12</v>
      </c>
      <c r="C16" s="1180" t="s">
        <v>21</v>
      </c>
      <c r="D16" s="1180" t="s">
        <v>13</v>
      </c>
      <c r="E16" s="1180" t="s">
        <v>25</v>
      </c>
      <c r="F16" s="1182" t="s">
        <v>23</v>
      </c>
      <c r="G16" s="1170"/>
      <c r="H16" s="1170"/>
      <c r="I16" s="8"/>
      <c r="J16" s="9"/>
    </row>
    <row r="17" spans="1:10" ht="15.75" customHeight="1" x14ac:dyDescent="0.25">
      <c r="A17" s="1164"/>
      <c r="B17" s="1164"/>
      <c r="C17" s="1164"/>
      <c r="D17" s="1164"/>
      <c r="E17" s="1164"/>
      <c r="F17" s="1167"/>
      <c r="G17" s="1170"/>
      <c r="H17" s="1170"/>
      <c r="I17" s="8"/>
      <c r="J17" s="9"/>
    </row>
    <row r="18" spans="1:10" ht="15.75" customHeight="1" x14ac:dyDescent="0.25">
      <c r="A18" s="1165"/>
      <c r="B18" s="1165"/>
      <c r="C18" s="1165"/>
      <c r="D18" s="1165"/>
      <c r="E18" s="1165"/>
      <c r="F18" s="1189"/>
      <c r="G18" s="1170"/>
      <c r="H18" s="1170"/>
      <c r="I18" s="8"/>
      <c r="J18" s="9"/>
    </row>
    <row r="19" spans="1:10" ht="15.75" customHeight="1" x14ac:dyDescent="0.25">
      <c r="A19" s="1180">
        <v>6</v>
      </c>
      <c r="B19" s="1180" t="s">
        <v>12</v>
      </c>
      <c r="C19" s="1180" t="s">
        <v>13</v>
      </c>
      <c r="D19" s="1180" t="s">
        <v>13</v>
      </c>
      <c r="E19" s="1181" t="s">
        <v>26</v>
      </c>
      <c r="F19" s="1182" t="s">
        <v>23</v>
      </c>
      <c r="G19" s="1170"/>
      <c r="H19" s="1170"/>
      <c r="I19" s="8"/>
      <c r="J19" s="9"/>
    </row>
    <row r="20" spans="1:10" ht="15.75" customHeight="1" x14ac:dyDescent="0.25">
      <c r="A20" s="1164"/>
      <c r="B20" s="1164"/>
      <c r="C20" s="1164"/>
      <c r="D20" s="1164"/>
      <c r="E20" s="1164"/>
      <c r="F20" s="1167"/>
      <c r="G20" s="1170"/>
      <c r="H20" s="1170"/>
      <c r="I20" s="8"/>
      <c r="J20" s="9"/>
    </row>
    <row r="21" spans="1:10" ht="15.75" customHeight="1" x14ac:dyDescent="0.25">
      <c r="A21" s="1165"/>
      <c r="B21" s="1165"/>
      <c r="C21" s="1165"/>
      <c r="D21" s="1165"/>
      <c r="E21" s="1165"/>
      <c r="F21" s="1189"/>
      <c r="G21" s="1170"/>
      <c r="H21" s="1170"/>
      <c r="I21" s="8"/>
      <c r="J21" s="9"/>
    </row>
    <row r="22" spans="1:10" ht="15.75" customHeight="1" x14ac:dyDescent="0.25">
      <c r="A22" s="1180">
        <v>7</v>
      </c>
      <c r="B22" s="1180" t="s">
        <v>12</v>
      </c>
      <c r="C22" s="1180" t="s">
        <v>13</v>
      </c>
      <c r="D22" s="1180" t="s">
        <v>13</v>
      </c>
      <c r="E22" s="1181" t="s">
        <v>27</v>
      </c>
      <c r="F22" s="1182" t="s">
        <v>28</v>
      </c>
      <c r="G22" s="1170"/>
      <c r="H22" s="1170"/>
      <c r="I22" s="8"/>
      <c r="J22" s="9"/>
    </row>
    <row r="23" spans="1:10" ht="15.75" customHeight="1" x14ac:dyDescent="0.25">
      <c r="A23" s="1164"/>
      <c r="B23" s="1164"/>
      <c r="C23" s="1164"/>
      <c r="D23" s="1164"/>
      <c r="E23" s="1164"/>
      <c r="F23" s="1167"/>
      <c r="G23" s="1170"/>
      <c r="H23" s="1170"/>
      <c r="I23" s="8"/>
      <c r="J23" s="9"/>
    </row>
    <row r="24" spans="1:10" ht="15.75" customHeight="1" x14ac:dyDescent="0.25">
      <c r="A24" s="1164"/>
      <c r="B24" s="1164"/>
      <c r="C24" s="1164"/>
      <c r="D24" s="1164"/>
      <c r="E24" s="1164"/>
      <c r="F24" s="1167"/>
      <c r="G24" s="1170"/>
      <c r="H24" s="1170"/>
      <c r="I24" s="10"/>
      <c r="J24" s="11"/>
    </row>
    <row r="25" spans="1:10" ht="15.75" customHeight="1" x14ac:dyDescent="0.25">
      <c r="A25" s="1188">
        <v>8</v>
      </c>
      <c r="B25" s="1180" t="s">
        <v>12</v>
      </c>
      <c r="C25" s="1180" t="s">
        <v>21</v>
      </c>
      <c r="D25" s="1180" t="s">
        <v>13</v>
      </c>
      <c r="E25" s="1181" t="s">
        <v>29</v>
      </c>
      <c r="F25" s="1182" t="s">
        <v>30</v>
      </c>
      <c r="G25" s="1170"/>
      <c r="H25" s="1170"/>
      <c r="I25" s="12"/>
      <c r="J25" s="13"/>
    </row>
    <row r="26" spans="1:10" ht="15.75" customHeight="1" x14ac:dyDescent="0.25">
      <c r="A26" s="1164"/>
      <c r="B26" s="1164"/>
      <c r="C26" s="1164"/>
      <c r="D26" s="1164"/>
      <c r="E26" s="1164"/>
      <c r="F26" s="1167"/>
      <c r="G26" s="1170"/>
      <c r="H26" s="1170"/>
      <c r="I26" s="12"/>
      <c r="J26" s="13"/>
    </row>
    <row r="27" spans="1:10" ht="15.75" customHeight="1" x14ac:dyDescent="0.25">
      <c r="A27" s="1165"/>
      <c r="B27" s="1164"/>
      <c r="C27" s="1164"/>
      <c r="D27" s="1165"/>
      <c r="E27" s="1164"/>
      <c r="F27" s="1167"/>
      <c r="G27" s="1170"/>
      <c r="H27" s="1170"/>
      <c r="I27" s="12"/>
      <c r="J27" s="13"/>
    </row>
    <row r="28" spans="1:10" ht="15.75" customHeight="1" x14ac:dyDescent="0.25">
      <c r="A28" s="1163">
        <v>9</v>
      </c>
      <c r="B28" s="1180" t="s">
        <v>12</v>
      </c>
      <c r="C28" s="1180" t="s">
        <v>21</v>
      </c>
      <c r="D28" s="1180" t="s">
        <v>13</v>
      </c>
      <c r="E28" s="1181" t="s">
        <v>31</v>
      </c>
      <c r="F28" s="1182" t="s">
        <v>32</v>
      </c>
      <c r="G28" s="1170"/>
      <c r="H28" s="1170"/>
      <c r="I28" s="12"/>
      <c r="J28" s="13"/>
    </row>
    <row r="29" spans="1:10" ht="15.75" customHeight="1" x14ac:dyDescent="0.25">
      <c r="A29" s="1164"/>
      <c r="B29" s="1164"/>
      <c r="C29" s="1164"/>
      <c r="D29" s="1164"/>
      <c r="E29" s="1164"/>
      <c r="F29" s="1167"/>
      <c r="G29" s="1170"/>
      <c r="H29" s="1170"/>
      <c r="I29" s="12"/>
      <c r="J29" s="13"/>
    </row>
    <row r="30" spans="1:10" ht="15.75" customHeight="1" x14ac:dyDescent="0.25">
      <c r="A30" s="1165"/>
      <c r="B30" s="1164"/>
      <c r="C30" s="1164"/>
      <c r="D30" s="1165"/>
      <c r="E30" s="1164"/>
      <c r="F30" s="1167"/>
      <c r="G30" s="1170"/>
      <c r="H30" s="1170"/>
      <c r="I30" s="12"/>
      <c r="J30" s="13"/>
    </row>
    <row r="31" spans="1:10" ht="15.75" customHeight="1" x14ac:dyDescent="0.25">
      <c r="A31" s="1163">
        <v>10</v>
      </c>
      <c r="B31" s="1180" t="s">
        <v>12</v>
      </c>
      <c r="C31" s="1180" t="s">
        <v>21</v>
      </c>
      <c r="D31" s="1180" t="s">
        <v>13</v>
      </c>
      <c r="E31" s="1181" t="s">
        <v>33</v>
      </c>
      <c r="F31" s="1182" t="s">
        <v>32</v>
      </c>
      <c r="G31" s="1170"/>
      <c r="H31" s="1170"/>
      <c r="I31" s="12"/>
      <c r="J31" s="13"/>
    </row>
    <row r="32" spans="1:10" ht="15.75" customHeight="1" x14ac:dyDescent="0.25">
      <c r="A32" s="1164"/>
      <c r="B32" s="1164"/>
      <c r="C32" s="1164"/>
      <c r="D32" s="1164"/>
      <c r="E32" s="1164"/>
      <c r="F32" s="1167"/>
      <c r="G32" s="1170"/>
      <c r="H32" s="1170"/>
      <c r="I32" s="12"/>
      <c r="J32" s="13"/>
    </row>
    <row r="33" spans="1:10" ht="15.75" customHeight="1" x14ac:dyDescent="0.25">
      <c r="A33" s="1165"/>
      <c r="B33" s="1164"/>
      <c r="C33" s="1164"/>
      <c r="D33" s="1165"/>
      <c r="E33" s="1164"/>
      <c r="F33" s="1167"/>
      <c r="G33" s="1170"/>
      <c r="H33" s="1170"/>
      <c r="I33" s="12"/>
      <c r="J33" s="13"/>
    </row>
    <row r="34" spans="1:10" ht="15.75" customHeight="1" x14ac:dyDescent="0.25">
      <c r="A34" s="1163">
        <v>11</v>
      </c>
      <c r="B34" s="1180" t="s">
        <v>12</v>
      </c>
      <c r="C34" s="1180" t="s">
        <v>34</v>
      </c>
      <c r="D34" s="1180" t="s">
        <v>13</v>
      </c>
      <c r="E34" s="1181" t="s">
        <v>35</v>
      </c>
      <c r="F34" s="1182" t="s">
        <v>20</v>
      </c>
      <c r="G34" s="1170"/>
      <c r="H34" s="1170"/>
      <c r="I34" s="12"/>
      <c r="J34" s="13"/>
    </row>
    <row r="35" spans="1:10" ht="15.75" customHeight="1" x14ac:dyDescent="0.25">
      <c r="A35" s="1164"/>
      <c r="B35" s="1164"/>
      <c r="C35" s="1164"/>
      <c r="D35" s="1164"/>
      <c r="E35" s="1164"/>
      <c r="F35" s="1167"/>
      <c r="G35" s="1170"/>
      <c r="H35" s="1170"/>
      <c r="I35" s="12"/>
      <c r="J35" s="13"/>
    </row>
    <row r="36" spans="1:10" ht="15.75" customHeight="1" x14ac:dyDescent="0.25">
      <c r="A36" s="1165"/>
      <c r="B36" s="1164"/>
      <c r="C36" s="1164"/>
      <c r="D36" s="1164"/>
      <c r="E36" s="1164"/>
      <c r="F36" s="1189"/>
      <c r="G36" s="1170"/>
      <c r="H36" s="1170"/>
      <c r="I36" s="12"/>
      <c r="J36" s="13"/>
    </row>
    <row r="37" spans="1:10" ht="15.75" customHeight="1" x14ac:dyDescent="0.25">
      <c r="A37" s="1163">
        <v>12</v>
      </c>
      <c r="B37" s="1180" t="s">
        <v>12</v>
      </c>
      <c r="C37" s="1180" t="s">
        <v>34</v>
      </c>
      <c r="D37" s="1180" t="s">
        <v>13</v>
      </c>
      <c r="E37" s="1181" t="s">
        <v>36</v>
      </c>
      <c r="F37" s="1182" t="s">
        <v>37</v>
      </c>
      <c r="G37" s="1170"/>
      <c r="H37" s="1170"/>
      <c r="I37" s="12"/>
      <c r="J37" s="13"/>
    </row>
    <row r="38" spans="1:10" ht="15.75" customHeight="1" x14ac:dyDescent="0.25">
      <c r="A38" s="1164"/>
      <c r="B38" s="1164"/>
      <c r="C38" s="1164"/>
      <c r="D38" s="1164"/>
      <c r="E38" s="1164"/>
      <c r="F38" s="1167"/>
      <c r="G38" s="1170"/>
      <c r="H38" s="1170"/>
      <c r="I38" s="12"/>
      <c r="J38" s="13"/>
    </row>
    <row r="39" spans="1:10" ht="15.75" customHeight="1" x14ac:dyDescent="0.25">
      <c r="A39" s="1165"/>
      <c r="B39" s="1164"/>
      <c r="C39" s="1165"/>
      <c r="D39" s="1165"/>
      <c r="E39" s="1164"/>
      <c r="F39" s="1167"/>
      <c r="G39" s="1170"/>
      <c r="H39" s="1170"/>
      <c r="I39" s="12"/>
      <c r="J39" s="13"/>
    </row>
    <row r="40" spans="1:10" ht="15.75" customHeight="1" x14ac:dyDescent="0.25">
      <c r="A40" s="1163">
        <v>13</v>
      </c>
      <c r="B40" s="1180" t="s">
        <v>12</v>
      </c>
      <c r="C40" s="1180" t="s">
        <v>34</v>
      </c>
      <c r="D40" s="1180" t="s">
        <v>13</v>
      </c>
      <c r="E40" s="1180" t="s">
        <v>38</v>
      </c>
      <c r="F40" s="1182" t="s">
        <v>39</v>
      </c>
      <c r="G40" s="1170"/>
      <c r="H40" s="1170"/>
      <c r="I40" s="12"/>
      <c r="J40" s="13"/>
    </row>
    <row r="41" spans="1:10" ht="15.75" customHeight="1" x14ac:dyDescent="0.25">
      <c r="A41" s="1164"/>
      <c r="B41" s="1164"/>
      <c r="C41" s="1164"/>
      <c r="D41" s="1164"/>
      <c r="E41" s="1164"/>
      <c r="F41" s="1167"/>
      <c r="G41" s="1170"/>
      <c r="H41" s="1170"/>
      <c r="I41" s="12"/>
      <c r="J41" s="13"/>
    </row>
    <row r="42" spans="1:10" ht="15.75" customHeight="1" x14ac:dyDescent="0.25">
      <c r="A42" s="1165"/>
      <c r="B42" s="1164"/>
      <c r="C42" s="1165"/>
      <c r="D42" s="1165"/>
      <c r="E42" s="1165"/>
      <c r="F42" s="1189"/>
      <c r="G42" s="1170"/>
      <c r="H42" s="1170"/>
      <c r="I42" s="12"/>
      <c r="J42" s="13"/>
    </row>
    <row r="43" spans="1:10" ht="15.75" customHeight="1" x14ac:dyDescent="0.25">
      <c r="A43" s="1163">
        <v>14</v>
      </c>
      <c r="B43" s="1180" t="s">
        <v>12</v>
      </c>
      <c r="C43" s="1180" t="s">
        <v>34</v>
      </c>
      <c r="D43" s="1180" t="s">
        <v>13</v>
      </c>
      <c r="E43" s="1180" t="s">
        <v>40</v>
      </c>
      <c r="F43" s="1182" t="s">
        <v>30</v>
      </c>
      <c r="G43" s="1170"/>
      <c r="H43" s="1170"/>
      <c r="I43" s="12"/>
      <c r="J43" s="13"/>
    </row>
    <row r="44" spans="1:10" ht="15.75" customHeight="1" x14ac:dyDescent="0.25">
      <c r="A44" s="1164"/>
      <c r="B44" s="1164"/>
      <c r="C44" s="1164"/>
      <c r="D44" s="1164"/>
      <c r="E44" s="1164"/>
      <c r="F44" s="1167"/>
      <c r="G44" s="1170"/>
      <c r="H44" s="1170"/>
      <c r="I44" s="12"/>
      <c r="J44" s="13"/>
    </row>
    <row r="45" spans="1:10" ht="15.75" customHeight="1" x14ac:dyDescent="0.25">
      <c r="A45" s="1165"/>
      <c r="B45" s="1164"/>
      <c r="C45" s="1165"/>
      <c r="D45" s="1165"/>
      <c r="E45" s="1165"/>
      <c r="F45" s="1167"/>
      <c r="G45" s="1170"/>
      <c r="H45" s="1170"/>
      <c r="I45" s="12"/>
      <c r="J45" s="13"/>
    </row>
    <row r="46" spans="1:10" ht="15.75" customHeight="1" x14ac:dyDescent="0.25">
      <c r="A46" s="1163">
        <v>15</v>
      </c>
      <c r="B46" s="1166" t="s">
        <v>12</v>
      </c>
      <c r="C46" s="1169" t="s">
        <v>34</v>
      </c>
      <c r="D46" s="1172" t="s">
        <v>13</v>
      </c>
      <c r="E46" s="1175" t="s">
        <v>41</v>
      </c>
      <c r="F46" s="1182" t="s">
        <v>23</v>
      </c>
      <c r="G46" s="1170"/>
      <c r="H46" s="1170"/>
      <c r="I46" s="12"/>
      <c r="J46" s="13"/>
    </row>
    <row r="47" spans="1:10" ht="15.75" customHeight="1" x14ac:dyDescent="0.25">
      <c r="A47" s="1164"/>
      <c r="B47" s="1167"/>
      <c r="C47" s="1170"/>
      <c r="D47" s="1173"/>
      <c r="E47" s="1164"/>
      <c r="F47" s="1167"/>
      <c r="G47" s="1170"/>
      <c r="H47" s="1170"/>
      <c r="I47" s="12"/>
      <c r="J47" s="13"/>
    </row>
    <row r="48" spans="1:10" ht="15.75" customHeight="1" x14ac:dyDescent="0.25">
      <c r="A48" s="1165"/>
      <c r="B48" s="1168"/>
      <c r="C48" s="1171"/>
      <c r="D48" s="1174"/>
      <c r="E48" s="1176"/>
      <c r="F48" s="1189"/>
      <c r="G48" s="1171"/>
      <c r="H48" s="1171"/>
      <c r="I48" s="12"/>
      <c r="J48" s="13"/>
    </row>
    <row r="49" spans="1:10" ht="41.25" customHeight="1" x14ac:dyDescent="0.5">
      <c r="A49" s="1177" t="s">
        <v>42</v>
      </c>
      <c r="B49" s="1178"/>
      <c r="C49" s="1178"/>
      <c r="D49" s="1178"/>
      <c r="E49" s="1178"/>
      <c r="F49" s="1178"/>
      <c r="G49" s="1178"/>
      <c r="H49" s="1178"/>
      <c r="I49" s="1178"/>
      <c r="J49" s="1179"/>
    </row>
    <row r="50" spans="1:10" ht="15.75" customHeight="1" x14ac:dyDescent="0.25">
      <c r="A50" s="1180">
        <v>1</v>
      </c>
      <c r="B50" s="1180" t="s">
        <v>12</v>
      </c>
      <c r="C50" s="1180" t="s">
        <v>43</v>
      </c>
      <c r="D50" s="1180" t="s">
        <v>44</v>
      </c>
      <c r="E50" s="1181" t="s">
        <v>45</v>
      </c>
      <c r="F50" s="1180" t="s">
        <v>46</v>
      </c>
      <c r="G50" s="1185" t="s">
        <v>47</v>
      </c>
      <c r="H50" s="1185" t="s">
        <v>48</v>
      </c>
      <c r="I50" s="8"/>
      <c r="J50" s="9"/>
    </row>
    <row r="51" spans="1:10" ht="15.75" customHeight="1" x14ac:dyDescent="0.25">
      <c r="A51" s="1164"/>
      <c r="B51" s="1164"/>
      <c r="C51" s="1164"/>
      <c r="D51" s="1164"/>
      <c r="E51" s="1164"/>
      <c r="F51" s="1164"/>
      <c r="G51" s="1164"/>
      <c r="H51" s="1164"/>
      <c r="I51" s="8"/>
      <c r="J51" s="9"/>
    </row>
    <row r="52" spans="1:10" ht="15.75" customHeight="1" x14ac:dyDescent="0.25">
      <c r="A52" s="1165"/>
      <c r="B52" s="1165"/>
      <c r="C52" s="1165"/>
      <c r="D52" s="1165"/>
      <c r="E52" s="1165"/>
      <c r="F52" s="1165"/>
      <c r="G52" s="1164"/>
      <c r="H52" s="1164"/>
      <c r="I52" s="8"/>
      <c r="J52" s="9"/>
    </row>
    <row r="53" spans="1:10" ht="15.75" customHeight="1" x14ac:dyDescent="0.25">
      <c r="A53" s="1180">
        <v>2</v>
      </c>
      <c r="B53" s="1180" t="s">
        <v>12</v>
      </c>
      <c r="C53" s="1180" t="s">
        <v>44</v>
      </c>
      <c r="D53" s="1180" t="s">
        <v>44</v>
      </c>
      <c r="E53" s="1180" t="s">
        <v>49</v>
      </c>
      <c r="F53" s="1180" t="s">
        <v>50</v>
      </c>
      <c r="G53" s="1164"/>
      <c r="H53" s="1164"/>
      <c r="I53" s="8"/>
      <c r="J53" s="9"/>
    </row>
    <row r="54" spans="1:10" ht="15.75" customHeight="1" x14ac:dyDescent="0.25">
      <c r="A54" s="1164"/>
      <c r="B54" s="1164"/>
      <c r="C54" s="1164"/>
      <c r="D54" s="1164"/>
      <c r="E54" s="1164"/>
      <c r="F54" s="1164"/>
      <c r="G54" s="1164"/>
      <c r="H54" s="1164"/>
      <c r="I54" s="8"/>
      <c r="J54" s="9"/>
    </row>
    <row r="55" spans="1:10" ht="15.75" customHeight="1" x14ac:dyDescent="0.25">
      <c r="A55" s="1165"/>
      <c r="B55" s="1165"/>
      <c r="C55" s="1165"/>
      <c r="D55" s="1165"/>
      <c r="E55" s="1165"/>
      <c r="F55" s="1165"/>
      <c r="G55" s="1164"/>
      <c r="H55" s="1164"/>
      <c r="I55" s="8"/>
      <c r="J55" s="9"/>
    </row>
    <row r="56" spans="1:10" ht="15.75" customHeight="1" x14ac:dyDescent="0.25">
      <c r="A56" s="1180">
        <v>3</v>
      </c>
      <c r="B56" s="1180" t="s">
        <v>12</v>
      </c>
      <c r="C56" s="1180" t="s">
        <v>44</v>
      </c>
      <c r="D56" s="1180" t="s">
        <v>44</v>
      </c>
      <c r="E56" s="1181" t="s">
        <v>51</v>
      </c>
      <c r="F56" s="1180" t="s">
        <v>52</v>
      </c>
      <c r="G56" s="1164"/>
      <c r="H56" s="1164"/>
      <c r="I56" s="8"/>
      <c r="J56" s="9"/>
    </row>
    <row r="57" spans="1:10" ht="15.75" customHeight="1" x14ac:dyDescent="0.25">
      <c r="A57" s="1164"/>
      <c r="B57" s="1164"/>
      <c r="C57" s="1164"/>
      <c r="D57" s="1164"/>
      <c r="E57" s="1164"/>
      <c r="F57" s="1164"/>
      <c r="G57" s="1164"/>
      <c r="H57" s="1164"/>
      <c r="I57" s="8"/>
      <c r="J57" s="9"/>
    </row>
    <row r="58" spans="1:10" ht="15.75" customHeight="1" x14ac:dyDescent="0.25">
      <c r="A58" s="1165"/>
      <c r="B58" s="1165"/>
      <c r="C58" s="1164"/>
      <c r="D58" s="1165"/>
      <c r="E58" s="1164"/>
      <c r="F58" s="1165"/>
      <c r="G58" s="1164"/>
      <c r="H58" s="1164"/>
      <c r="I58" s="8"/>
      <c r="J58" s="9"/>
    </row>
    <row r="59" spans="1:10" ht="15.75" customHeight="1" x14ac:dyDescent="0.25">
      <c r="A59" s="1180">
        <v>4</v>
      </c>
      <c r="B59" s="1180" t="s">
        <v>12</v>
      </c>
      <c r="C59" s="1180" t="s">
        <v>53</v>
      </c>
      <c r="D59" s="1180" t="s">
        <v>44</v>
      </c>
      <c r="E59" s="1180" t="s">
        <v>54</v>
      </c>
      <c r="F59" s="1180" t="s">
        <v>55</v>
      </c>
      <c r="G59" s="1164"/>
      <c r="H59" s="1164"/>
      <c r="I59" s="8"/>
      <c r="J59" s="9"/>
    </row>
    <row r="60" spans="1:10" ht="15.75" customHeight="1" x14ac:dyDescent="0.25">
      <c r="A60" s="1164"/>
      <c r="B60" s="1164"/>
      <c r="C60" s="1164"/>
      <c r="D60" s="1164"/>
      <c r="E60" s="1164"/>
      <c r="F60" s="1164"/>
      <c r="G60" s="1164"/>
      <c r="H60" s="1164"/>
      <c r="I60" s="8"/>
      <c r="J60" s="9"/>
    </row>
    <row r="61" spans="1:10" ht="15.75" customHeight="1" x14ac:dyDescent="0.25">
      <c r="A61" s="1165"/>
      <c r="B61" s="1165"/>
      <c r="C61" s="1165"/>
      <c r="D61" s="1165"/>
      <c r="E61" s="1165"/>
      <c r="F61" s="1165"/>
      <c r="G61" s="1164"/>
      <c r="H61" s="1164"/>
      <c r="I61" s="8"/>
      <c r="J61" s="9"/>
    </row>
    <row r="62" spans="1:10" ht="15.75" customHeight="1" x14ac:dyDescent="0.25">
      <c r="A62" s="1180">
        <v>5</v>
      </c>
      <c r="B62" s="1180" t="s">
        <v>12</v>
      </c>
      <c r="C62" s="1180" t="s">
        <v>56</v>
      </c>
      <c r="D62" s="1180" t="s">
        <v>44</v>
      </c>
      <c r="E62" s="1180" t="s">
        <v>57</v>
      </c>
      <c r="F62" s="1180" t="s">
        <v>58</v>
      </c>
      <c r="G62" s="1164"/>
      <c r="H62" s="1164"/>
      <c r="I62" s="8"/>
      <c r="J62" s="9"/>
    </row>
    <row r="63" spans="1:10" ht="15.75" customHeight="1" x14ac:dyDescent="0.25">
      <c r="A63" s="1164"/>
      <c r="B63" s="1164"/>
      <c r="C63" s="1164"/>
      <c r="D63" s="1164"/>
      <c r="E63" s="1164"/>
      <c r="F63" s="1164"/>
      <c r="G63" s="1164"/>
      <c r="H63" s="1164"/>
      <c r="I63" s="8"/>
      <c r="J63" s="9"/>
    </row>
    <row r="64" spans="1:10" ht="15.75" customHeight="1" x14ac:dyDescent="0.25">
      <c r="A64" s="1165"/>
      <c r="B64" s="1165"/>
      <c r="C64" s="1165"/>
      <c r="D64" s="1165"/>
      <c r="E64" s="1165"/>
      <c r="F64" s="1165"/>
      <c r="G64" s="1164"/>
      <c r="H64" s="1164"/>
      <c r="I64" s="8"/>
      <c r="J64" s="9"/>
    </row>
    <row r="65" spans="1:10" ht="15.75" customHeight="1" x14ac:dyDescent="0.25">
      <c r="A65" s="1180">
        <v>6</v>
      </c>
      <c r="B65" s="1180" t="s">
        <v>12</v>
      </c>
      <c r="C65" s="1180" t="s">
        <v>59</v>
      </c>
      <c r="D65" s="1180" t="s">
        <v>43</v>
      </c>
      <c r="E65" s="1181" t="s">
        <v>60</v>
      </c>
      <c r="F65" s="1180" t="s">
        <v>61</v>
      </c>
      <c r="G65" s="1164"/>
      <c r="H65" s="1164"/>
      <c r="I65" s="8"/>
      <c r="J65" s="9"/>
    </row>
    <row r="66" spans="1:10" ht="15.75" customHeight="1" x14ac:dyDescent="0.25">
      <c r="A66" s="1164"/>
      <c r="B66" s="1164"/>
      <c r="C66" s="1164"/>
      <c r="D66" s="1164"/>
      <c r="E66" s="1164"/>
      <c r="F66" s="1164"/>
      <c r="G66" s="1164"/>
      <c r="H66" s="1164"/>
      <c r="I66" s="8"/>
      <c r="J66" s="9"/>
    </row>
    <row r="67" spans="1:10" ht="15.75" customHeight="1" x14ac:dyDescent="0.25">
      <c r="A67" s="1165"/>
      <c r="B67" s="1165"/>
      <c r="C67" s="1165"/>
      <c r="D67" s="1165"/>
      <c r="E67" s="1165"/>
      <c r="F67" s="1165"/>
      <c r="G67" s="1165"/>
      <c r="H67" s="1165"/>
      <c r="I67" s="8"/>
      <c r="J67" s="9"/>
    </row>
    <row r="68" spans="1:10" ht="41.25" customHeight="1" x14ac:dyDescent="0.5">
      <c r="A68" s="1177" t="s">
        <v>62</v>
      </c>
      <c r="B68" s="1178"/>
      <c r="C68" s="1178"/>
      <c r="D68" s="1178"/>
      <c r="E68" s="1178"/>
      <c r="F68" s="1178"/>
      <c r="G68" s="1178"/>
      <c r="H68" s="1178"/>
      <c r="I68" s="1178"/>
      <c r="J68" s="1179"/>
    </row>
    <row r="69" spans="1:10" ht="15.75" customHeight="1" x14ac:dyDescent="0.25">
      <c r="A69" s="1180">
        <v>1</v>
      </c>
      <c r="B69" s="1180" t="s">
        <v>63</v>
      </c>
      <c r="C69" s="1183" t="s">
        <v>64</v>
      </c>
      <c r="D69" s="1180" t="s">
        <v>65</v>
      </c>
      <c r="E69" s="1181" t="s">
        <v>66</v>
      </c>
      <c r="F69" s="1182" t="s">
        <v>67</v>
      </c>
      <c r="G69" s="1186" t="s">
        <v>68</v>
      </c>
      <c r="H69" s="1186" t="s">
        <v>69</v>
      </c>
      <c r="I69" s="8"/>
      <c r="J69" s="9"/>
    </row>
    <row r="70" spans="1:10" ht="15.75" customHeight="1" x14ac:dyDescent="0.25">
      <c r="A70" s="1164"/>
      <c r="B70" s="1164"/>
      <c r="C70" s="1164"/>
      <c r="D70" s="1164"/>
      <c r="E70" s="1164"/>
      <c r="F70" s="1167"/>
      <c r="G70" s="1170"/>
      <c r="H70" s="1170"/>
      <c r="I70" s="8"/>
      <c r="J70" s="9"/>
    </row>
    <row r="71" spans="1:10" ht="15.75" customHeight="1" x14ac:dyDescent="0.25">
      <c r="A71" s="1165"/>
      <c r="B71" s="1164"/>
      <c r="C71" s="1184"/>
      <c r="D71" s="1164"/>
      <c r="E71" s="1164"/>
      <c r="F71" s="1167"/>
      <c r="G71" s="1170"/>
      <c r="H71" s="1170"/>
      <c r="I71" s="10"/>
      <c r="J71" s="11"/>
    </row>
    <row r="72" spans="1:10" ht="15.75" customHeight="1" x14ac:dyDescent="0.25">
      <c r="A72" s="1180">
        <v>2</v>
      </c>
      <c r="B72" s="1180" t="s">
        <v>65</v>
      </c>
      <c r="C72" s="1180" t="s">
        <v>70</v>
      </c>
      <c r="D72" s="1180" t="s">
        <v>65</v>
      </c>
      <c r="E72" s="1181" t="s">
        <v>70</v>
      </c>
      <c r="F72" s="1182" t="s">
        <v>71</v>
      </c>
      <c r="G72" s="1170"/>
      <c r="H72" s="1170"/>
      <c r="I72" s="12"/>
      <c r="J72" s="13"/>
    </row>
    <row r="73" spans="1:10" ht="15.75" customHeight="1" x14ac:dyDescent="0.25">
      <c r="A73" s="1164"/>
      <c r="B73" s="1164"/>
      <c r="C73" s="1164"/>
      <c r="D73" s="1164"/>
      <c r="E73" s="1164"/>
      <c r="F73" s="1167"/>
      <c r="G73" s="1170"/>
      <c r="H73" s="1170"/>
      <c r="I73" s="12"/>
      <c r="J73" s="13"/>
    </row>
    <row r="74" spans="1:10" ht="15.75" customHeight="1" x14ac:dyDescent="0.25">
      <c r="A74" s="1165"/>
      <c r="B74" s="1164"/>
      <c r="C74" s="1164"/>
      <c r="D74" s="1165"/>
      <c r="E74" s="1164"/>
      <c r="F74" s="1167"/>
      <c r="G74" s="1170"/>
      <c r="H74" s="1170"/>
      <c r="I74" s="12"/>
      <c r="J74" s="13"/>
    </row>
    <row r="75" spans="1:10" ht="15.75" customHeight="1" x14ac:dyDescent="0.25">
      <c r="A75" s="1180">
        <v>3</v>
      </c>
      <c r="B75" s="1180" t="s">
        <v>63</v>
      </c>
      <c r="C75" s="1180" t="s">
        <v>72</v>
      </c>
      <c r="D75" s="1180" t="s">
        <v>65</v>
      </c>
      <c r="E75" s="1181" t="s">
        <v>73</v>
      </c>
      <c r="F75" s="1182" t="s">
        <v>74</v>
      </c>
      <c r="G75" s="1170"/>
      <c r="H75" s="1170"/>
      <c r="I75" s="12"/>
      <c r="J75" s="13"/>
    </row>
    <row r="76" spans="1:10" ht="15.75" customHeight="1" x14ac:dyDescent="0.25">
      <c r="A76" s="1164"/>
      <c r="B76" s="1164"/>
      <c r="C76" s="1164"/>
      <c r="D76" s="1164"/>
      <c r="E76" s="1164"/>
      <c r="F76" s="1167"/>
      <c r="G76" s="1170"/>
      <c r="H76" s="1170"/>
      <c r="I76" s="12"/>
      <c r="J76" s="13"/>
    </row>
    <row r="77" spans="1:10" ht="15.75" customHeight="1" x14ac:dyDescent="0.25">
      <c r="A77" s="1164"/>
      <c r="B77" s="1164"/>
      <c r="C77" s="1164"/>
      <c r="D77" s="1164"/>
      <c r="E77" s="1164"/>
      <c r="F77" s="1167"/>
      <c r="G77" s="1170"/>
      <c r="H77" s="1170"/>
      <c r="I77" s="12"/>
      <c r="J77" s="13"/>
    </row>
    <row r="78" spans="1:10" ht="15.75" customHeight="1" x14ac:dyDescent="0.25">
      <c r="A78" s="1164"/>
      <c r="B78" s="1164"/>
      <c r="C78" s="1164"/>
      <c r="D78" s="1164"/>
      <c r="E78" s="1164"/>
      <c r="F78" s="1167"/>
      <c r="G78" s="1170"/>
      <c r="H78" s="1170"/>
      <c r="I78" s="12"/>
      <c r="J78" s="13"/>
    </row>
    <row r="79" spans="1:10" ht="15.75" customHeight="1" x14ac:dyDescent="0.25">
      <c r="A79" s="1165"/>
      <c r="B79" s="1164"/>
      <c r="C79" s="1164"/>
      <c r="D79" s="1165"/>
      <c r="E79" s="1164"/>
      <c r="F79" s="1167"/>
      <c r="G79" s="1170"/>
      <c r="H79" s="1170"/>
      <c r="I79" s="12"/>
      <c r="J79" s="13"/>
    </row>
    <row r="80" spans="1:10" ht="15.75" customHeight="1" x14ac:dyDescent="0.25">
      <c r="A80" s="1180">
        <v>4</v>
      </c>
      <c r="B80" s="1180" t="s">
        <v>65</v>
      </c>
      <c r="C80" s="1180" t="s">
        <v>54</v>
      </c>
      <c r="D80" s="1180" t="s">
        <v>54</v>
      </c>
      <c r="E80" s="1181" t="s">
        <v>75</v>
      </c>
      <c r="F80" s="1180" t="s">
        <v>74</v>
      </c>
      <c r="G80" s="1185" t="s">
        <v>76</v>
      </c>
      <c r="H80" s="1185" t="s">
        <v>77</v>
      </c>
      <c r="I80" s="13"/>
      <c r="J80" s="13"/>
    </row>
    <row r="81" spans="1:24" ht="15.75" customHeight="1" x14ac:dyDescent="0.25">
      <c r="A81" s="1164"/>
      <c r="B81" s="1164"/>
      <c r="C81" s="1164"/>
      <c r="D81" s="1164"/>
      <c r="E81" s="1164"/>
      <c r="F81" s="1164"/>
      <c r="G81" s="1164"/>
      <c r="H81" s="1164"/>
      <c r="I81" s="13"/>
      <c r="J81" s="13"/>
    </row>
    <row r="82" spans="1:24" ht="15.75" customHeight="1" x14ac:dyDescent="0.25">
      <c r="A82" s="1165"/>
      <c r="B82" s="1165"/>
      <c r="C82" s="1165"/>
      <c r="D82" s="1165"/>
      <c r="E82" s="1165"/>
      <c r="F82" s="1165"/>
      <c r="G82" s="1165"/>
      <c r="H82" s="1165"/>
      <c r="I82" s="13"/>
      <c r="J82" s="13"/>
    </row>
    <row r="83" spans="1:24" ht="41.25" customHeight="1" x14ac:dyDescent="0.5">
      <c r="A83" s="1177" t="s">
        <v>78</v>
      </c>
      <c r="B83" s="1178"/>
      <c r="C83" s="1178"/>
      <c r="D83" s="1178"/>
      <c r="E83" s="1178"/>
      <c r="F83" s="1178"/>
      <c r="G83" s="1178"/>
      <c r="H83" s="1178"/>
      <c r="I83" s="1178"/>
      <c r="J83" s="1179"/>
    </row>
    <row r="84" spans="1:24" ht="15.75" customHeight="1" x14ac:dyDescent="0.25">
      <c r="A84" s="1193">
        <v>1</v>
      </c>
      <c r="B84" s="1187" t="s">
        <v>79</v>
      </c>
      <c r="C84" s="1187" t="s">
        <v>80</v>
      </c>
      <c r="D84" s="1187" t="s">
        <v>79</v>
      </c>
      <c r="E84" s="1187" t="s">
        <v>81</v>
      </c>
      <c r="F84" s="1194" t="s">
        <v>82</v>
      </c>
      <c r="G84" s="1195" t="s">
        <v>83</v>
      </c>
      <c r="H84" s="1195" t="s">
        <v>84</v>
      </c>
      <c r="I84" s="8"/>
      <c r="J84" s="9"/>
    </row>
    <row r="85" spans="1:24" ht="15.75" customHeight="1" x14ac:dyDescent="0.25">
      <c r="A85" s="1164"/>
      <c r="B85" s="1164"/>
      <c r="C85" s="1164"/>
      <c r="D85" s="1164"/>
      <c r="E85" s="1164"/>
      <c r="F85" s="1167"/>
      <c r="G85" s="1196"/>
      <c r="H85" s="1196"/>
      <c r="I85" s="8"/>
      <c r="J85" s="9"/>
    </row>
    <row r="86" spans="1:24" ht="15.75" customHeight="1" x14ac:dyDescent="0.25">
      <c r="A86" s="1165"/>
      <c r="B86" s="1165"/>
      <c r="C86" s="1184"/>
      <c r="D86" s="1165"/>
      <c r="E86" s="1165"/>
      <c r="F86" s="1167"/>
      <c r="G86" s="1196"/>
      <c r="H86" s="1196"/>
      <c r="I86" s="10"/>
      <c r="J86" s="9"/>
    </row>
    <row r="87" spans="1:24" ht="15.75" customHeight="1" x14ac:dyDescent="0.25">
      <c r="A87" s="1180">
        <v>2</v>
      </c>
      <c r="B87" s="1192" t="s">
        <v>85</v>
      </c>
      <c r="C87" s="1192" t="s">
        <v>86</v>
      </c>
      <c r="D87" s="1192" t="s">
        <v>85</v>
      </c>
      <c r="E87" s="1192" t="s">
        <v>87</v>
      </c>
      <c r="F87" s="1167"/>
      <c r="G87" s="1196"/>
      <c r="H87" s="1196"/>
      <c r="I87" s="12"/>
      <c r="J87" s="13"/>
    </row>
    <row r="88" spans="1:24" ht="15.75" customHeight="1" x14ac:dyDescent="0.25">
      <c r="A88" s="1164"/>
      <c r="B88" s="1164"/>
      <c r="C88" s="1164"/>
      <c r="D88" s="1164"/>
      <c r="E88" s="1164"/>
      <c r="F88" s="1167"/>
      <c r="G88" s="1196"/>
      <c r="H88" s="1196"/>
      <c r="I88" s="12"/>
      <c r="J88" s="13"/>
    </row>
    <row r="89" spans="1:24" ht="15.75" customHeight="1" x14ac:dyDescent="0.25">
      <c r="A89" s="1165"/>
      <c r="B89" s="1165"/>
      <c r="C89" s="1165"/>
      <c r="D89" s="1165"/>
      <c r="E89" s="1165"/>
      <c r="F89" s="1167"/>
      <c r="G89" s="1196"/>
      <c r="H89" s="1196"/>
      <c r="I89" s="12"/>
      <c r="J89" s="13"/>
    </row>
    <row r="90" spans="1:24" ht="15.75" customHeight="1" x14ac:dyDescent="0.25">
      <c r="A90" s="1180">
        <v>3</v>
      </c>
      <c r="B90" s="1187" t="s">
        <v>85</v>
      </c>
      <c r="C90" s="1187" t="s">
        <v>85</v>
      </c>
      <c r="D90" s="1187" t="s">
        <v>85</v>
      </c>
      <c r="E90" s="1187" t="s">
        <v>88</v>
      </c>
      <c r="F90" s="1185" t="s">
        <v>89</v>
      </c>
      <c r="G90" s="1196"/>
      <c r="H90" s="1196"/>
      <c r="I90" s="12"/>
      <c r="J90" s="13"/>
    </row>
    <row r="91" spans="1:24" ht="15.75" customHeight="1" x14ac:dyDescent="0.25">
      <c r="A91" s="1164"/>
      <c r="B91" s="1164"/>
      <c r="C91" s="1164"/>
      <c r="D91" s="1164"/>
      <c r="E91" s="1164"/>
      <c r="F91" s="1164"/>
      <c r="G91" s="1196"/>
      <c r="H91" s="1196"/>
      <c r="I91" s="12"/>
      <c r="J91" s="13"/>
    </row>
    <row r="92" spans="1:24" ht="15.75" customHeight="1" x14ac:dyDescent="0.25">
      <c r="A92" s="1165"/>
      <c r="B92" s="1165"/>
      <c r="C92" s="1165"/>
      <c r="D92" s="1165"/>
      <c r="E92" s="1165"/>
      <c r="F92" s="1165"/>
      <c r="G92" s="1196"/>
      <c r="H92" s="1196"/>
      <c r="I92" s="12"/>
      <c r="J92" s="13"/>
    </row>
    <row r="93" spans="1:24" ht="15.75" customHeight="1" x14ac:dyDescent="0.25">
      <c r="A93" s="1180">
        <v>4</v>
      </c>
      <c r="B93" s="1187" t="s">
        <v>85</v>
      </c>
      <c r="C93" s="1192" t="s">
        <v>85</v>
      </c>
      <c r="D93" s="1192" t="s">
        <v>86</v>
      </c>
      <c r="E93" s="1192" t="s">
        <v>85</v>
      </c>
      <c r="F93" s="1198" t="s">
        <v>90</v>
      </c>
      <c r="G93" s="1196"/>
      <c r="H93" s="1196"/>
      <c r="I93" s="13"/>
      <c r="J93" s="13"/>
    </row>
    <row r="94" spans="1:24" ht="15.75" customHeight="1" x14ac:dyDescent="0.25">
      <c r="A94" s="1164"/>
      <c r="B94" s="1164"/>
      <c r="C94" s="1164"/>
      <c r="D94" s="1164"/>
      <c r="E94" s="1164"/>
      <c r="F94" s="1167"/>
      <c r="G94" s="1196"/>
      <c r="H94" s="1196"/>
      <c r="I94" s="13"/>
      <c r="J94" s="13"/>
    </row>
    <row r="95" spans="1:24" ht="15.75" customHeight="1" x14ac:dyDescent="0.25">
      <c r="A95" s="1165"/>
      <c r="B95" s="1165"/>
      <c r="C95" s="1165"/>
      <c r="D95" s="1165"/>
      <c r="E95" s="1165"/>
      <c r="F95" s="1189"/>
      <c r="G95" s="1197"/>
      <c r="H95" s="1197"/>
      <c r="I95" s="13"/>
      <c r="J95" s="13"/>
    </row>
    <row r="96" spans="1:24" ht="15.75" customHeight="1" x14ac:dyDescent="0.25">
      <c r="A96" s="1180">
        <v>5</v>
      </c>
      <c r="B96" s="1187" t="s">
        <v>85</v>
      </c>
      <c r="C96" s="1187" t="s">
        <v>91</v>
      </c>
      <c r="D96" s="1187" t="s">
        <v>91</v>
      </c>
      <c r="E96" s="1187" t="s">
        <v>92</v>
      </c>
      <c r="F96" s="1199" t="s">
        <v>93</v>
      </c>
      <c r="G96" s="1187" t="s">
        <v>94</v>
      </c>
      <c r="H96" s="1187" t="s">
        <v>95</v>
      </c>
      <c r="I96" s="7"/>
      <c r="J96" s="14"/>
      <c r="K96" s="1200"/>
      <c r="L96" s="1200"/>
      <c r="M96" s="1202"/>
      <c r="N96" s="1200"/>
      <c r="O96" s="1203"/>
      <c r="P96" s="1203"/>
      <c r="Q96" s="1200"/>
      <c r="R96" s="1200"/>
      <c r="S96" s="1200"/>
      <c r="T96" s="1200"/>
      <c r="U96" s="1202"/>
      <c r="V96" s="1200"/>
      <c r="W96" s="1203"/>
      <c r="X96" s="1203"/>
    </row>
    <row r="97" spans="1:24" ht="15.75" customHeight="1" x14ac:dyDescent="0.25">
      <c r="A97" s="1164"/>
      <c r="B97" s="1164"/>
      <c r="C97" s="1164"/>
      <c r="D97" s="1164"/>
      <c r="E97" s="1164"/>
      <c r="F97" s="1164"/>
      <c r="G97" s="1164"/>
      <c r="H97" s="1164"/>
      <c r="I97" s="16"/>
      <c r="J97" s="14"/>
      <c r="K97" s="1201"/>
      <c r="L97" s="1201"/>
      <c r="M97" s="1201"/>
      <c r="N97" s="1201"/>
      <c r="O97" s="1201"/>
      <c r="P97" s="1201"/>
      <c r="Q97" s="1201"/>
      <c r="R97" s="1201"/>
      <c r="S97" s="1201"/>
      <c r="T97" s="1201"/>
      <c r="U97" s="1201"/>
      <c r="V97" s="1201"/>
      <c r="W97" s="1201"/>
      <c r="X97" s="1201"/>
    </row>
    <row r="98" spans="1:24" ht="15.75" customHeight="1" x14ac:dyDescent="0.25">
      <c r="A98" s="1165"/>
      <c r="B98" s="1165"/>
      <c r="C98" s="1165"/>
      <c r="D98" s="1165"/>
      <c r="E98" s="1165"/>
      <c r="F98" s="1165"/>
      <c r="G98" s="1165"/>
      <c r="H98" s="1165"/>
      <c r="I98" s="17"/>
      <c r="J98" s="14"/>
      <c r="K98" s="1201"/>
      <c r="L98" s="1201"/>
      <c r="M98" s="1201"/>
      <c r="N98" s="1201"/>
      <c r="O98" s="1201"/>
      <c r="P98" s="1201"/>
      <c r="Q98" s="1201"/>
      <c r="R98" s="1201"/>
      <c r="S98" s="1201"/>
      <c r="T98" s="1201"/>
      <c r="U98" s="1201"/>
      <c r="V98" s="1201"/>
      <c r="W98" s="1201"/>
      <c r="X98" s="1201"/>
    </row>
    <row r="99" spans="1:24" ht="15.75" customHeight="1" x14ac:dyDescent="0.25"/>
    <row r="100" spans="1:24" ht="15.75" customHeight="1" x14ac:dyDescent="0.25"/>
    <row r="101" spans="1:24" ht="15.75" customHeight="1" x14ac:dyDescent="0.25"/>
    <row r="102" spans="1:24" ht="15.75" customHeight="1" x14ac:dyDescent="0.25"/>
    <row r="103" spans="1:24" ht="15.75" customHeight="1" x14ac:dyDescent="0.25"/>
    <row r="104" spans="1:24" ht="15.75" customHeight="1" x14ac:dyDescent="0.25"/>
    <row r="105" spans="1:24" ht="15.75" customHeight="1" x14ac:dyDescent="0.25"/>
    <row r="106" spans="1:24" ht="15.75" customHeight="1" x14ac:dyDescent="0.25"/>
    <row r="107" spans="1:24" ht="15.75" customHeight="1" x14ac:dyDescent="0.25"/>
    <row r="108" spans="1:24" ht="15.75" customHeight="1" x14ac:dyDescent="0.25"/>
    <row r="109" spans="1:24" ht="15.75" customHeight="1" x14ac:dyDescent="0.25"/>
    <row r="110" spans="1:24" ht="15.75" customHeight="1" x14ac:dyDescent="0.25"/>
    <row r="111" spans="1:24" ht="15.75" customHeight="1" x14ac:dyDescent="0.25"/>
    <row r="112" spans="1:2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0">
    <mergeCell ref="U96:U98"/>
    <mergeCell ref="V96:V98"/>
    <mergeCell ref="W96:W98"/>
    <mergeCell ref="X96:X98"/>
    <mergeCell ref="L96:L98"/>
    <mergeCell ref="M96:M98"/>
    <mergeCell ref="N96:N98"/>
    <mergeCell ref="O96:O98"/>
    <mergeCell ref="P96:P98"/>
    <mergeCell ref="Q96:Q98"/>
    <mergeCell ref="R96:R98"/>
    <mergeCell ref="C96:C98"/>
    <mergeCell ref="D96:D98"/>
    <mergeCell ref="E96:E98"/>
    <mergeCell ref="F96:F98"/>
    <mergeCell ref="G96:G98"/>
    <mergeCell ref="H96:H98"/>
    <mergeCell ref="K96:K98"/>
    <mergeCell ref="S96:S98"/>
    <mergeCell ref="T96:T98"/>
    <mergeCell ref="F84:F89"/>
    <mergeCell ref="G84:G95"/>
    <mergeCell ref="H84:H95"/>
    <mergeCell ref="F90:F92"/>
    <mergeCell ref="F93:F95"/>
    <mergeCell ref="C65:C67"/>
    <mergeCell ref="D65:D67"/>
    <mergeCell ref="C72:C74"/>
    <mergeCell ref="D72:D74"/>
    <mergeCell ref="C75:C79"/>
    <mergeCell ref="D75:D79"/>
    <mergeCell ref="D80:D82"/>
    <mergeCell ref="D93:D95"/>
    <mergeCell ref="E93:E95"/>
    <mergeCell ref="C87:C89"/>
    <mergeCell ref="D87:D89"/>
    <mergeCell ref="E87:E89"/>
    <mergeCell ref="C90:C92"/>
    <mergeCell ref="D90:D92"/>
    <mergeCell ref="E90:E92"/>
    <mergeCell ref="C93:C95"/>
    <mergeCell ref="A93:A95"/>
    <mergeCell ref="B93:B95"/>
    <mergeCell ref="A96:A98"/>
    <mergeCell ref="B96:B98"/>
    <mergeCell ref="A72:A74"/>
    <mergeCell ref="A75:A79"/>
    <mergeCell ref="B75:B79"/>
    <mergeCell ref="A80:A82"/>
    <mergeCell ref="B80:B82"/>
    <mergeCell ref="A84:A86"/>
    <mergeCell ref="B84:B86"/>
    <mergeCell ref="A56:A58"/>
    <mergeCell ref="A59:A61"/>
    <mergeCell ref="A62:A64"/>
    <mergeCell ref="A65:A67"/>
    <mergeCell ref="A69:A71"/>
    <mergeCell ref="A87:A89"/>
    <mergeCell ref="B87:B89"/>
    <mergeCell ref="A90:A92"/>
    <mergeCell ref="B90:B92"/>
    <mergeCell ref="A13:A15"/>
    <mergeCell ref="B13:B15"/>
    <mergeCell ref="C13:C15"/>
    <mergeCell ref="D13:D15"/>
    <mergeCell ref="E13:E15"/>
    <mergeCell ref="A16:A18"/>
    <mergeCell ref="F19:F21"/>
    <mergeCell ref="F22:F24"/>
    <mergeCell ref="F4:F6"/>
    <mergeCell ref="F7:F9"/>
    <mergeCell ref="F10:F12"/>
    <mergeCell ref="F13:F15"/>
    <mergeCell ref="F16:F18"/>
    <mergeCell ref="A1:J1"/>
    <mergeCell ref="A2:J2"/>
    <mergeCell ref="A4:A6"/>
    <mergeCell ref="B4:B6"/>
    <mergeCell ref="C4:C6"/>
    <mergeCell ref="D4:D6"/>
    <mergeCell ref="E4:E6"/>
    <mergeCell ref="C10:C12"/>
    <mergeCell ref="D10:D12"/>
    <mergeCell ref="A7:A9"/>
    <mergeCell ref="B7:B9"/>
    <mergeCell ref="C7:C9"/>
    <mergeCell ref="D7:D9"/>
    <mergeCell ref="E7:E9"/>
    <mergeCell ref="B10:B12"/>
    <mergeCell ref="E10:E12"/>
    <mergeCell ref="A10:A12"/>
    <mergeCell ref="G4:G48"/>
    <mergeCell ref="H4:H48"/>
    <mergeCell ref="F46:F48"/>
    <mergeCell ref="F25:F27"/>
    <mergeCell ref="F28:F30"/>
    <mergeCell ref="B43:B45"/>
    <mergeCell ref="C43:C45"/>
    <mergeCell ref="A37:A39"/>
    <mergeCell ref="A40:A42"/>
    <mergeCell ref="B40:B42"/>
    <mergeCell ref="C40:C42"/>
    <mergeCell ref="D40:D42"/>
    <mergeCell ref="E40:E42"/>
    <mergeCell ref="F40:F42"/>
    <mergeCell ref="F31:F33"/>
    <mergeCell ref="F34:F36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B28:B30"/>
    <mergeCell ref="C28:C30"/>
    <mergeCell ref="A31:A33"/>
    <mergeCell ref="B31:B33"/>
    <mergeCell ref="C31:C33"/>
    <mergeCell ref="D31:D33"/>
    <mergeCell ref="E31:E33"/>
    <mergeCell ref="B16:B18"/>
    <mergeCell ref="C16:C18"/>
    <mergeCell ref="A19:A21"/>
    <mergeCell ref="B19:B21"/>
    <mergeCell ref="C19:C21"/>
    <mergeCell ref="B22:B24"/>
    <mergeCell ref="C22:C24"/>
    <mergeCell ref="D28:D30"/>
    <mergeCell ref="E28:E30"/>
    <mergeCell ref="A22:A24"/>
    <mergeCell ref="A25:A27"/>
    <mergeCell ref="B25:B27"/>
    <mergeCell ref="C25:C27"/>
    <mergeCell ref="D25:D27"/>
    <mergeCell ref="E25:E27"/>
    <mergeCell ref="A28:A30"/>
    <mergeCell ref="C80:C82"/>
    <mergeCell ref="C84:C86"/>
    <mergeCell ref="D84:D86"/>
    <mergeCell ref="E84:E86"/>
    <mergeCell ref="D16:D18"/>
    <mergeCell ref="E16:E18"/>
    <mergeCell ref="D19:D21"/>
    <mergeCell ref="E19:E21"/>
    <mergeCell ref="D22:D24"/>
    <mergeCell ref="E22:E24"/>
    <mergeCell ref="D43:D45"/>
    <mergeCell ref="E43:E45"/>
    <mergeCell ref="C62:C64"/>
    <mergeCell ref="D62:D64"/>
    <mergeCell ref="E75:E79"/>
    <mergeCell ref="E80:E82"/>
    <mergeCell ref="F80:F82"/>
    <mergeCell ref="G80:G82"/>
    <mergeCell ref="H80:H82"/>
    <mergeCell ref="E65:E67"/>
    <mergeCell ref="F65:F67"/>
    <mergeCell ref="G69:G79"/>
    <mergeCell ref="H69:H79"/>
    <mergeCell ref="E72:E74"/>
    <mergeCell ref="F72:F74"/>
    <mergeCell ref="F75:F79"/>
    <mergeCell ref="C56:C58"/>
    <mergeCell ref="D56:D58"/>
    <mergeCell ref="E56:E58"/>
    <mergeCell ref="F56:F58"/>
    <mergeCell ref="A68:J68"/>
    <mergeCell ref="D69:D71"/>
    <mergeCell ref="E69:E71"/>
    <mergeCell ref="F69:F71"/>
    <mergeCell ref="A83:J83"/>
    <mergeCell ref="B56:B58"/>
    <mergeCell ref="B59:B61"/>
    <mergeCell ref="B62:B64"/>
    <mergeCell ref="B65:B67"/>
    <mergeCell ref="B69:B71"/>
    <mergeCell ref="C69:C71"/>
    <mergeCell ref="B72:B74"/>
    <mergeCell ref="C59:C61"/>
    <mergeCell ref="D59:D61"/>
    <mergeCell ref="E59:E61"/>
    <mergeCell ref="F59:F61"/>
    <mergeCell ref="E62:E64"/>
    <mergeCell ref="F62:F64"/>
    <mergeCell ref="G50:G67"/>
    <mergeCell ref="H50:H67"/>
    <mergeCell ref="A43:A45"/>
    <mergeCell ref="A46:A48"/>
    <mergeCell ref="B46:B48"/>
    <mergeCell ref="C46:C48"/>
    <mergeCell ref="D46:D48"/>
    <mergeCell ref="E46:E48"/>
    <mergeCell ref="A49:J49"/>
    <mergeCell ref="B53:B55"/>
    <mergeCell ref="C53:C55"/>
    <mergeCell ref="D53:D55"/>
    <mergeCell ref="E53:E55"/>
    <mergeCell ref="B50:B52"/>
    <mergeCell ref="C50:C52"/>
    <mergeCell ref="D50:D52"/>
    <mergeCell ref="E50:E52"/>
    <mergeCell ref="F50:F52"/>
    <mergeCell ref="F53:F55"/>
    <mergeCell ref="F43:F45"/>
    <mergeCell ref="A50:A52"/>
    <mergeCell ref="A53:A5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D36"/>
  <sheetViews>
    <sheetView rightToLeft="1" topLeftCell="A10" workbookViewId="0">
      <selection activeCell="C36" sqref="C36"/>
    </sheetView>
  </sheetViews>
  <sheetFormatPr defaultColWidth="12.6640625" defaultRowHeight="15" customHeight="1" x14ac:dyDescent="0.25"/>
  <cols>
    <col min="1" max="1" width="8.44140625" customWidth="1"/>
    <col min="2" max="2" width="33.6640625" customWidth="1"/>
    <col min="3" max="3" width="30.6640625" customWidth="1"/>
    <col min="4" max="4" width="31" customWidth="1"/>
  </cols>
  <sheetData>
    <row r="3" spans="1:4" ht="15" customHeight="1" x14ac:dyDescent="0.35">
      <c r="A3" s="18" t="s">
        <v>2</v>
      </c>
      <c r="B3" s="19" t="s">
        <v>96</v>
      </c>
      <c r="C3" s="19" t="s">
        <v>97</v>
      </c>
      <c r="D3" s="19" t="s">
        <v>98</v>
      </c>
    </row>
    <row r="4" spans="1:4" ht="15" customHeight="1" x14ac:dyDescent="0.35">
      <c r="A4" s="20">
        <v>1</v>
      </c>
      <c r="B4" s="21" t="s">
        <v>99</v>
      </c>
      <c r="C4" s="22">
        <f>'تقرير شهر يناير'!G24+'تقرير فبراير 2023'!G24+'تقرير مارس 2023'!G24+'تقرير مجمع مايو 2023'!G24+'تقرير أبريل 2023'!G24+'تقرير مجمع يونيو 2023'!G24+'تقرير مجمع يوليو 2023'!G24</f>
        <v>367</v>
      </c>
      <c r="D4" s="22">
        <f>'تقرير شهر يناير'!G30+'تقرير فبراير 2023'!G30+'تقرير مارس 2023'!G34+'تقرير مجمع مايو 2023'!G34+'تقرير أبريل 2023'!G34+'تقرير مجمع يونيو 2023'!G34+'تقرير مجمع يوليو 2023'!G34</f>
        <v>563</v>
      </c>
    </row>
    <row r="5" spans="1:4" ht="15" customHeight="1" x14ac:dyDescent="0.35">
      <c r="A5" s="20">
        <v>2</v>
      </c>
      <c r="B5" s="21" t="s">
        <v>100</v>
      </c>
      <c r="C5" s="22">
        <f>'تقرير شهر يناير'!H24+'تقرير فبراير 2023'!H24+'تقرير مارس 2023'!H24+'تقرير مجمع مايو 2023'!H24+'تقرير أبريل 2023'!H24+'تقرير مجمع يونيو 2023'!H24+'تقرير مجمع يوليو 2023'!H24</f>
        <v>751</v>
      </c>
      <c r="D5" s="22">
        <f>'تقرير شهر يناير'!H30+'تقرير فبراير 2023'!H30+'تقرير مارس 2023'!H34+'تقرير مجمع مايو 2023'!H34+'تقرير أبريل 2023'!H34+'تقرير مجمع يونيو 2023'!H34+'تقرير مجمع يوليو 2023'!H34</f>
        <v>1032</v>
      </c>
    </row>
    <row r="6" spans="1:4" ht="15" customHeight="1" x14ac:dyDescent="0.35">
      <c r="A6" s="20">
        <v>3</v>
      </c>
      <c r="B6" s="21" t="s">
        <v>101</v>
      </c>
      <c r="C6" s="22">
        <f>'تقرير شهر يناير'!I24+'تقرير فبراير 2023'!I24+'تقرير مارس 2023'!I24+'تقرير مجمع مايو 2023'!I24+'تقرير أبريل 2023'!I24+'تقرير مجمع يونيو 2023'!I24+'تقرير مجمع يوليو 2023'!I24</f>
        <v>722</v>
      </c>
      <c r="D6" s="22">
        <f>'تقرير شهر يناير'!I30+'تقرير فبراير 2023'!I30+'تقرير مارس 2023'!I34+'تقرير مجمع مايو 2023'!I34+'تقرير أبريل 2023'!I34+'تقرير مجمع يونيو 2023'!I34+'تقرير مجمع يوليو 2023'!I34</f>
        <v>713</v>
      </c>
    </row>
    <row r="7" spans="1:4" ht="15" customHeight="1" x14ac:dyDescent="0.35">
      <c r="A7" s="20">
        <v>4</v>
      </c>
      <c r="B7" s="21" t="s">
        <v>18</v>
      </c>
      <c r="C7" s="22">
        <f>'تقرير شهر يناير'!J24+'تقرير فبراير 2023'!J24+'تقرير مارس 2023'!J24+'تقرير أبريل 2023'!J24+'تقرير مجمع مايو 2023'!J24+'تقرير مجمع يونيو 2023'!J24+'تقرير مجمع يوليو 2023'!J24</f>
        <v>516</v>
      </c>
      <c r="D7" s="22"/>
    </row>
    <row r="8" spans="1:4" ht="15" customHeight="1" x14ac:dyDescent="0.35">
      <c r="A8" s="20">
        <v>5</v>
      </c>
      <c r="B8" s="21" t="s">
        <v>102</v>
      </c>
      <c r="C8" s="22">
        <f>'تقرير شهر يناير'!K24+'تقرير فبراير 2023'!K24+'تقرير مارس 2023'!K24+'تقرير أبريل 2023'!K24+'تقرير مجمع مايو 2023'!K24+'تقرير مجمع يونيو 2023'!K24+'تقرير مجمع يوليو 2023'!K24</f>
        <v>324</v>
      </c>
      <c r="D8" s="22">
        <f>'تقرير شهر يناير'!K30+'تقرير فبراير 2023'!K30+'تقرير مارس 2023'!K34+'تقرير أبريل 2023'!K34+'تقرير مجمع مايو 2023'!K34+'تقرير مجمع يونيو 2023'!K34+'تقرير مجمع يوليو 2023'!K34</f>
        <v>584</v>
      </c>
    </row>
    <row r="9" spans="1:4" ht="15" customHeight="1" x14ac:dyDescent="0.35">
      <c r="A9" s="20">
        <v>6</v>
      </c>
      <c r="B9" s="21" t="s">
        <v>103</v>
      </c>
      <c r="C9" s="22">
        <f>'تقرير شهر يناير'!L24+'تقرير فبراير 2023'!L24+'تقرير مارس 2023'!L24+'تقرير أبريل 2023'!L24+'تقرير مجمع مايو 2023'!L24+'تقرير مجمع يونيو 2023'!L24+'تقرير مجمع يوليو 2023'!L24</f>
        <v>659</v>
      </c>
      <c r="D9" s="22">
        <f>'تقرير شهر يناير'!L30+'تقرير فبراير 2023'!L30+'تقرير مارس 2023'!L34+'تقرير أبريل 2023'!L34+'تقرير مجمع مايو 2023'!L34+'تقرير مجمع يونيو 2023'!L34+'تقرير مجمع يوليو 2023'!L34</f>
        <v>643</v>
      </c>
    </row>
    <row r="10" spans="1:4" ht="15" customHeight="1" x14ac:dyDescent="0.35">
      <c r="A10" s="20">
        <v>7</v>
      </c>
      <c r="B10" s="21" t="s">
        <v>104</v>
      </c>
      <c r="C10" s="22">
        <f>'تقرير شهر يناير'!M24+'تقرير فبراير 2023'!M24+'تقرير مارس 2023'!M24+'تقرير أبريل 2023'!M24+'تقرير مجمع مايو 2023'!M24+'تقرير مجمع يونيو 2023'!M24+'تقرير مجمع يوليو 2023'!M24</f>
        <v>794</v>
      </c>
      <c r="D10" s="22">
        <f>'تقرير شهر يناير'!M30+'تقرير فبراير 2023'!M30+'تقرير مارس 2023'!M34+'تقرير أبريل 2023'!M34+'تقرير مجمع مايو 2023'!M34+'تقرير مجمع يونيو 2023'!M34+'تقرير مجمع يوليو 2023'!M34</f>
        <v>874</v>
      </c>
    </row>
    <row r="11" spans="1:4" ht="15" customHeight="1" x14ac:dyDescent="0.35">
      <c r="A11" s="20">
        <v>8</v>
      </c>
      <c r="B11" s="21" t="s">
        <v>105</v>
      </c>
      <c r="C11" s="22">
        <f>'تقرير شهر يناير'!N24+'تقرير فبراير 2023'!N24+'تقرير مارس 2023'!N24+'تقرير أبريل 2023'!N24+'تقرير مجمع مايو 2023'!N24+'تقرير مجمع يونيو 2023'!N24+'تقرير مجمع يوليو 2023'!N24</f>
        <v>835</v>
      </c>
      <c r="D11" s="22">
        <f>'تقرير شهر يناير'!N30+'تقرير فبراير 2023'!N30+'تقرير مارس 2023'!N34+'تقرير أبريل 2023'!N34+'تقرير مجمع مايو 2023'!N34+'تقرير مجمع يونيو 2023'!N34+'تقرير مجمع يوليو 2023'!N34</f>
        <v>1184</v>
      </c>
    </row>
    <row r="12" spans="1:4" ht="15" customHeight="1" x14ac:dyDescent="0.35">
      <c r="A12" s="20">
        <v>9</v>
      </c>
      <c r="B12" s="21" t="s">
        <v>106</v>
      </c>
      <c r="C12" s="22">
        <f>'تقرير شهر يناير'!O24+'تقرير فبراير 2023'!O24+'تقرير مارس 2023'!O24+'تقرير أبريل 2023'!O24+'تقرير مجمع مايو 2023'!O24+'تقرير مجمع يونيو 2023'!O24+'تقرير مجمع يوليو 2023'!O24</f>
        <v>640</v>
      </c>
      <c r="D12" s="22">
        <f>'تقرير شهر يناير'!O30+'تقرير فبراير 2023'!O24+'تقرير مارس 2023'!O34+'تقرير أبريل 2023'!O34+'تقرير مجمع مايو 2023'!O34+'تقرير مجمع يونيو 2023'!O34+'تقرير مجمع يوليو 2023'!O34</f>
        <v>452</v>
      </c>
    </row>
    <row r="13" spans="1:4" ht="15" customHeight="1" x14ac:dyDescent="0.35">
      <c r="A13" s="20">
        <v>10</v>
      </c>
      <c r="B13" s="21" t="s">
        <v>107</v>
      </c>
      <c r="C13" s="22">
        <f>'تقرير شهر يناير'!P24+'تقرير فبراير 2023'!P24+'تقرير مارس 2023'!P24+'تقرير أبريل 2023'!P24+'تقرير مجمع مايو 2023'!P24+'تقرير مجمع يونيو 2023'!P24+'تقرير مجمع يوليو 2023'!P24</f>
        <v>724</v>
      </c>
      <c r="D13" s="22">
        <f>'تقرير شهر يناير'!P30+'تقرير فبراير 2023'!P30+'تقرير مارس 2023'!P34+'تقرير أبريل 2023'!P34+'تقرير مجمع مايو 2023'!P34+'تقرير مجمع يونيو 2023'!P34+'تقرير مجمع يوليو 2023'!P34</f>
        <v>1210</v>
      </c>
    </row>
    <row r="14" spans="1:4" ht="15" customHeight="1" x14ac:dyDescent="0.35">
      <c r="A14" s="20">
        <v>11</v>
      </c>
      <c r="B14" s="21" t="s">
        <v>108</v>
      </c>
      <c r="C14" s="22">
        <f>'تقرير شهر يناير'!Q24+'تقرير فبراير 2023'!Q24+'تقرير مارس 2023'!Q24+'تقرير أبريل 2023'!Q24+'تقرير مجمع مايو 2023'!Q24+'تقرير مجمع يونيو 2023'!Q24+'تقرير مجمع يوليو 2023'!Q24</f>
        <v>440</v>
      </c>
      <c r="D14" s="22">
        <f>'تقرير شهر يناير'!Q30+'تقرير فبراير 2023'!Q30+'تقرير مارس 2023'!Q34+'تقرير أبريل 2023'!Q34+'تقرير مجمع مايو 2023'!Q34+'تقرير مجمع يونيو 2023'!Q34+'تقرير مجمع يوليو 2023'!Q34</f>
        <v>726</v>
      </c>
    </row>
    <row r="15" spans="1:4" ht="15" customHeight="1" x14ac:dyDescent="0.3">
      <c r="A15" s="20">
        <v>12</v>
      </c>
      <c r="B15" s="23" t="s">
        <v>34</v>
      </c>
      <c r="C15" s="24">
        <f>'تقرير شهر يناير'!R24+'تقرير فبراير 2023'!R24+'تقرير مارس 2023'!R24+'تقرير أبريل 2023'!R24+'تقرير مجمع مايو 2023'!R24+'تقرير مجمع يونيو 2023'!R24+'تقرير مجمع يوليو 2023'!R24</f>
        <v>1004</v>
      </c>
      <c r="D15" s="24">
        <f>'تقرير شهر يناير'!R30+'تقرير فبراير 2023'!R30+'تقرير مارس 2023'!R34+'تقرير مجمع مايو 2023'!R34+'تقرير أبريل 2023'!R34+'تقرير مجمع يونيو 2023'!R34+'تقرير مجمع يوليو 2023'!R34</f>
        <v>20</v>
      </c>
    </row>
    <row r="16" spans="1:4" ht="15" customHeight="1" x14ac:dyDescent="0.3">
      <c r="A16" s="20">
        <v>13</v>
      </c>
      <c r="B16" s="23" t="s">
        <v>109</v>
      </c>
      <c r="C16" s="24">
        <f>'تقرير شهر يناير'!S24+'تقرير فبراير 2023'!S24+'تقرير مارس 2023'!S24+'تقرير أبريل 2023'!S24+'تقرير مجمع مايو 2023'!S24+'تقرير مجمع يونيو 2023'!S24+'تقرير مجمع يوليو 2023'!S24</f>
        <v>716</v>
      </c>
      <c r="D16" s="24">
        <f>'تقرير شهر يناير'!S30+'تقرير فبراير 2023'!S30+'تقرير مارس 2023'!S34+'تقرير أبريل 2023'!S34+'تقرير مجمع مايو 2023'!S34+'تقرير مجمع يونيو 2023'!S34+'تقرير مجمع يوليو 2023'!S34</f>
        <v>609</v>
      </c>
    </row>
    <row r="17" spans="1:4" ht="15" customHeight="1" x14ac:dyDescent="0.3">
      <c r="A17" s="20">
        <v>14</v>
      </c>
      <c r="B17" s="23" t="s">
        <v>110</v>
      </c>
      <c r="C17" s="24">
        <f>'تقرير شهر يناير'!T24+'تقرير فبراير 2023'!T24+'تقرير مارس 2023'!T24+'تقرير أبريل 2023'!T24+'تقرير مجمع مايو 2023'!T24+'تقرير مجمع يونيو 2023'!T24+'تقرير مجمع يوليو 2023'!T24</f>
        <v>542</v>
      </c>
      <c r="D17" s="24">
        <f>'تقرير شهر يناير'!T30+'تقرير فبراير 2023'!T30+'تقرير مارس 2023'!T34+'تقرير أبريل 2023'!T34+'تقرير مجمع مايو 2023'!T34+'تقرير مجمع يونيو 2023'!T34+'تقرير مجمع يوليو 2023'!T34</f>
        <v>678</v>
      </c>
    </row>
    <row r="18" spans="1:4" ht="15" customHeight="1" x14ac:dyDescent="0.3">
      <c r="A18" s="20">
        <v>15</v>
      </c>
      <c r="B18" s="23" t="s">
        <v>111</v>
      </c>
      <c r="C18" s="24">
        <f>'تقرير شهر يناير'!U24+'تقرير فبراير 2023'!U24+'تقرير مارس 2023'!U24+'تقرير مجمع مايو 2023'!U24+'تقرير أبريل 2023'!U24+'تقرير مجمع يونيو 2023'!U24+'تقرير مجمع يوليو 2023'!U24</f>
        <v>60</v>
      </c>
      <c r="D18" s="24">
        <f>'تقرير شهر يناير'!U30+'تقرير فبراير 2023'!U30+'تقرير مارس 2023'!U34+'تقرير مجمع مايو 2023'!U34+'تقرير أبريل 2023'!U34+'تقرير مجمع يونيو 2023'!U34+'تقرير مجمع يوليو 2023'!U34</f>
        <v>57</v>
      </c>
    </row>
    <row r="19" spans="1:4" ht="15" customHeight="1" x14ac:dyDescent="0.3">
      <c r="A19" s="20">
        <v>16</v>
      </c>
      <c r="B19" s="23" t="s">
        <v>112</v>
      </c>
      <c r="C19" s="24">
        <f>'تقرير مجمع مايو 2023'!V24+'تقرير مجمع يونيو 2023'!V24+'تقرير مجمع يوليو 2023'!V24</f>
        <v>229</v>
      </c>
      <c r="D19" s="24">
        <f>'تقرير مجمع مايو 2023'!V34+'تقرير مجمع يونيو 2023'!V34+'تقرير مجمع يوليو 2023'!V34</f>
        <v>270</v>
      </c>
    </row>
    <row r="20" spans="1:4" ht="15" customHeight="1" x14ac:dyDescent="0.3">
      <c r="A20" s="20">
        <v>17</v>
      </c>
      <c r="B20" s="23" t="s">
        <v>49</v>
      </c>
      <c r="C20" s="24">
        <f>'تقرير مجمع مايو 2023'!W24+'تقرير مجمع يونيو 2023'!W24+'تقرير مجمع يوليو 2023'!W24</f>
        <v>625</v>
      </c>
      <c r="D20" s="24">
        <f>'تقرير مجمع مايو 2023'!W34+'تقرير مجمع يونيو 2023'!W34+'تقرير مجمع يوليو 2023'!W34</f>
        <v>184</v>
      </c>
    </row>
    <row r="21" spans="1:4" ht="15" customHeight="1" x14ac:dyDescent="0.3">
      <c r="A21" s="20">
        <v>18</v>
      </c>
      <c r="B21" s="23" t="s">
        <v>113</v>
      </c>
      <c r="C21" s="24">
        <f>'تقرير مجمع مايو 2023'!X24+'تقرير مجمع يونيو 2023'!X24+'تقرير مجمع يوليو 2023'!X24</f>
        <v>151</v>
      </c>
      <c r="D21" s="24">
        <f>'تقرير مجمع مايو 2023'!X34+'تقرير مجمع يونيو 2023'!X34+'تقرير مجمع يوليو 2023'!X34</f>
        <v>297</v>
      </c>
    </row>
    <row r="22" spans="1:4" ht="15" customHeight="1" x14ac:dyDescent="0.3">
      <c r="A22" s="20">
        <v>19</v>
      </c>
      <c r="B22" s="23" t="s">
        <v>57</v>
      </c>
      <c r="C22" s="24">
        <f>'تقرير مجمع مايو 2023'!Y24+'تقرير مجمع يونيو 2023'!Y24+'تقرير مجمع يوليو 2023'!Y24</f>
        <v>295</v>
      </c>
      <c r="D22" s="24">
        <f>'تقرير مجمع مايو 2023'!Y34+'تقرير مجمع يونيو 2023'!Y34+'تقرير مجمع يوليو 2023'!Y34</f>
        <v>360</v>
      </c>
    </row>
    <row r="23" spans="1:4" ht="15" customHeight="1" x14ac:dyDescent="0.3">
      <c r="A23" s="20">
        <v>20</v>
      </c>
      <c r="B23" s="23" t="s">
        <v>51</v>
      </c>
      <c r="C23" s="24">
        <f>'تقرير مجمع مايو 2023'!Z24+'تقرير مجمع يونيو 2023'!Z24+'تقرير مجمع يوليو 2023'!Z24</f>
        <v>434</v>
      </c>
      <c r="D23" s="24">
        <f>'تقرير مجمع مايو 2023'!Z34+'تقرير مجمع يونيو 2023'!Z34+'تقرير مجمع يوليو 2023'!Z34</f>
        <v>408</v>
      </c>
    </row>
    <row r="24" spans="1:4" ht="15" customHeight="1" x14ac:dyDescent="0.3">
      <c r="A24" s="20">
        <v>21</v>
      </c>
      <c r="B24" s="23" t="s">
        <v>114</v>
      </c>
      <c r="C24" s="24">
        <f>'تقرير مجمع مايو 2023'!AA24+'تقرير مجمع يونيو 2023'!AA24+'تقرير مجمع يوليو 2023'!AA24</f>
        <v>143</v>
      </c>
      <c r="D24" s="24">
        <f>'تقرير مجمع مايو 2023'!AA34+'تقرير مجمع يونيو 2023'!AA34+'تقرير مجمع يوليو 2023'!AA34</f>
        <v>122</v>
      </c>
    </row>
    <row r="25" spans="1:4" ht="15" customHeight="1" x14ac:dyDescent="0.3">
      <c r="A25" s="20">
        <v>22</v>
      </c>
      <c r="B25" s="23" t="s">
        <v>115</v>
      </c>
      <c r="C25" s="24">
        <f>'تقرير فبراير 2023'!V24+'تقرير مارس 2023'!V24+'تقرير أبريل 2023'!V24+'تقرير مجمع مايو 2023'!AB24+'تقرير مجمع يونيو 2023'!AB24+'تقرير مجمع يوليو 2023'!AB24</f>
        <v>1041</v>
      </c>
      <c r="D25" s="24">
        <f>'تقرير فبراير 2023'!V30+'تقرير مارس 2023'!V34+'تقرير أبريل 2023'!V34+'تقرير مجمع مايو 2023'!AB34+'تقرير مجمع يونيو 2023'!AB34+'تقرير مجمع يوليو 2023'!AB34</f>
        <v>1080</v>
      </c>
    </row>
    <row r="26" spans="1:4" ht="15" customHeight="1" x14ac:dyDescent="0.3">
      <c r="A26" s="20">
        <v>23</v>
      </c>
      <c r="B26" s="23" t="s">
        <v>116</v>
      </c>
      <c r="C26" s="24">
        <f>'تقرير مارس 2023'!W24+'تقرير أبريل 2023'!W24+'تقرير مجمع مايو 2023'!AC24+'تقرير مجمع يونيو 2023'!AC24+'تقرير مجمع يوليو 2023'!AC24</f>
        <v>423</v>
      </c>
      <c r="D26" s="24">
        <f>'تقرير مارس 2023'!W34+'تقرير أبريل 2023'!W34+'تقرير مجمع مايو 2023'!AC34+'تقرير مجمع يونيو 2023'!AC34+'تقرير مجمع يوليو 2023'!AC34</f>
        <v>780</v>
      </c>
    </row>
    <row r="27" spans="1:4" ht="15" customHeight="1" x14ac:dyDescent="0.3">
      <c r="A27" s="20">
        <v>24</v>
      </c>
      <c r="B27" s="23" t="s">
        <v>80</v>
      </c>
      <c r="C27" s="24">
        <f>'تقرير مارس 2023'!X24+'تقرير أبريل 2023'!X24+'تقرير مجمع مايو 2023'!AD24+'تقرير مجمع يونيو 2023'!AD24+'تقرير مجمع يوليو 2023'!AD24</f>
        <v>563</v>
      </c>
      <c r="D27" s="24">
        <f>'تقرير مارس 2023'!X34+'تقرير أبريل 2023'!X34+'تقرير مجمع مايو 2023'!AD34+'تقرير مجمع يونيو 2023'!AD34+'تقرير مجمع يوليو 2023'!AD34</f>
        <v>573</v>
      </c>
    </row>
    <row r="28" spans="1:4" ht="15" customHeight="1" x14ac:dyDescent="0.3">
      <c r="A28" s="20">
        <v>25</v>
      </c>
      <c r="B28" s="23" t="s">
        <v>117</v>
      </c>
      <c r="C28" s="24">
        <f>'تقرير مارس 2023'!Y24+'تقرير أبريل 2023'!Y24+'تقرير مجمع مايو 2023'!AE24+'تقرير مجمع يونيو 2023'!AE24+'تقرير مجمع يوليو 2023'!AE24</f>
        <v>616</v>
      </c>
      <c r="D28" s="24">
        <f>'تقرير مارس 2023'!Y34+'تقرير أبريل 2023'!Y34+'تقرير مجمع مايو 2023'!AE34+'تقرير مجمع يونيو 2023'!AE34+'تقرير مجمع يوليو 2023'!AE34</f>
        <v>734</v>
      </c>
    </row>
    <row r="29" spans="1:4" ht="15" customHeight="1" x14ac:dyDescent="0.3">
      <c r="A29" s="20">
        <v>26</v>
      </c>
      <c r="B29" s="23" t="s">
        <v>118</v>
      </c>
      <c r="C29" s="24">
        <f>'تقرير مارس 2023'!Z24+'تقرير أبريل 2023'!Z24+'تقرير مجمع مايو 2023'!AF24+'تقرير مجمع يونيو 2023'!AF24+'تقرير مجمع يوليو 2023'!AF24</f>
        <v>668</v>
      </c>
      <c r="D29" s="24">
        <f>'تقرير مارس 2023'!Z34+'تقرير أبريل 2023'!Z34+'تقرير مجمع مايو 2023'!AF34+'تقرير مجمع يونيو 2023'!AF34+'تقرير مجمع يوليو 2023'!AF34</f>
        <v>738</v>
      </c>
    </row>
    <row r="30" spans="1:4" ht="17.399999999999999" x14ac:dyDescent="0.3">
      <c r="A30" s="20">
        <v>27</v>
      </c>
      <c r="B30" s="23" t="s">
        <v>119</v>
      </c>
      <c r="C30" s="24">
        <f>'تقرير أبريل 2023'!AA24+'تقرير مجمع مايو 2023'!AG24+'تقرير مجمع يونيو 2023'!AG24+'تقرير مجمع يوليو 2023'!AG24</f>
        <v>585</v>
      </c>
      <c r="D30" s="24">
        <f>'تقرير أبريل 2023'!AA34+'تقرير مجمع مايو 2023'!AG34+'تقرير مجمع يونيو 2023'!AG34+'تقرير مجمع يوليو 2023'!AG34</f>
        <v>335</v>
      </c>
    </row>
    <row r="31" spans="1:4" ht="17.399999999999999" x14ac:dyDescent="0.3">
      <c r="A31" s="20">
        <v>28</v>
      </c>
      <c r="B31" s="23" t="s">
        <v>120</v>
      </c>
      <c r="C31" s="24">
        <f>'تقرير مارس 2023'!AA24+'تقرير أبريل 2023'!AB24+'تقرير مجمع مايو 2023'!AH24+'تقرير مجمع يونيو 2023'!AH24+'تقرير مجمع يوليو 2023'!AH24</f>
        <v>966</v>
      </c>
      <c r="D31" s="24">
        <f>'تقرير مارس 2023'!AA34+'تقرير أبريل 2023'!AB34+'تقرير مجمع مايو 2023'!AH34+'تقرير مجمع يونيو 2023'!AH34+'تقرير مجمع يوليو 2023'!AH34</f>
        <v>590</v>
      </c>
    </row>
    <row r="32" spans="1:4" ht="17.399999999999999" x14ac:dyDescent="0.3">
      <c r="A32" s="25">
        <v>29</v>
      </c>
      <c r="B32" s="23" t="s">
        <v>121</v>
      </c>
      <c r="C32" s="24">
        <f>'تقرير مجمع مايو 2023'!AI24+'تقرير مجمع يونيو 2023'!AI24+'تقرير مجمع يوليو 2023'!AI24</f>
        <v>215</v>
      </c>
      <c r="D32" s="24">
        <f>'تقرير مجمع مايو 2023'!AI34+'تقرير مجمع يونيو 2023'!AI34+'تقرير مجمع يوليو 2023'!AI34</f>
        <v>295</v>
      </c>
    </row>
    <row r="33" spans="1:4" ht="17.399999999999999" x14ac:dyDescent="0.3">
      <c r="A33" s="25">
        <v>30</v>
      </c>
      <c r="B33" s="23" t="s">
        <v>75</v>
      </c>
      <c r="C33" s="24">
        <f>'تقرير مجمع مايو 2023'!AJ24+'تقرير مجمع يونيو 2023'!AJ24+'تقرير مجمع يوليو 2023'!AJ24</f>
        <v>199</v>
      </c>
      <c r="D33" s="24">
        <f>'تقرير مجمع مايو 2023'!AJ34+'تقرير مجمع يونيو 2023'!AJ34+'تقرير مجمع يوليو 2023'!AJ34</f>
        <v>53</v>
      </c>
    </row>
    <row r="34" spans="1:4" ht="17.399999999999999" x14ac:dyDescent="0.3">
      <c r="A34" s="26"/>
      <c r="B34" s="27" t="s">
        <v>122</v>
      </c>
      <c r="C34" s="28">
        <f t="shared" ref="C34:D34" si="0">SUM(C4:C33)</f>
        <v>16247</v>
      </c>
      <c r="D34" s="28">
        <f t="shared" si="0"/>
        <v>16164</v>
      </c>
    </row>
    <row r="35" spans="1:4" ht="17.399999999999999" x14ac:dyDescent="0.3">
      <c r="B35" s="29"/>
    </row>
    <row r="36" spans="1:4" ht="17.399999999999999" x14ac:dyDescent="0.3">
      <c r="B36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0"/>
  <sheetViews>
    <sheetView rightToLeft="1" workbookViewId="0"/>
  </sheetViews>
  <sheetFormatPr defaultColWidth="12.6640625" defaultRowHeight="15" customHeight="1" x14ac:dyDescent="0.25"/>
  <cols>
    <col min="1" max="1" width="16.33203125" customWidth="1"/>
    <col min="2" max="2" width="4.77734375" customWidth="1"/>
    <col min="3" max="3" width="29.6640625" customWidth="1"/>
    <col min="4" max="4" width="17.77734375" customWidth="1"/>
    <col min="7" max="7" width="23.109375" customWidth="1"/>
    <col min="9" max="9" width="22.77734375" customWidth="1"/>
    <col min="13" max="13" width="51.109375" customWidth="1"/>
    <col min="14" max="14" width="40.6640625" customWidth="1"/>
  </cols>
  <sheetData>
    <row r="1" spans="1:15" ht="54.75" customHeight="1" x14ac:dyDescent="0.25">
      <c r="A1" s="1229" t="s">
        <v>123</v>
      </c>
      <c r="B1" s="1178"/>
      <c r="C1" s="1178"/>
      <c r="D1" s="1178"/>
      <c r="E1" s="1178"/>
      <c r="F1" s="1178"/>
      <c r="G1" s="1178"/>
      <c r="H1" s="1178"/>
      <c r="I1" s="1178"/>
      <c r="J1" s="1178"/>
      <c r="K1" s="1178"/>
      <c r="L1" s="1178"/>
      <c r="M1" s="1178"/>
      <c r="N1" s="1179"/>
    </row>
    <row r="2" spans="1:15" ht="57" customHeight="1" x14ac:dyDescent="0.25">
      <c r="A2" s="30" t="s">
        <v>124</v>
      </c>
      <c r="B2" s="31" t="s">
        <v>2</v>
      </c>
      <c r="C2" s="1" t="s">
        <v>125</v>
      </c>
      <c r="D2" s="1" t="s">
        <v>126</v>
      </c>
      <c r="E2" s="1" t="s">
        <v>4</v>
      </c>
      <c r="F2" s="1" t="s">
        <v>127</v>
      </c>
      <c r="G2" s="1" t="s">
        <v>128</v>
      </c>
      <c r="H2" s="1" t="s">
        <v>129</v>
      </c>
      <c r="I2" s="1" t="s">
        <v>130</v>
      </c>
      <c r="J2" s="1" t="s">
        <v>131</v>
      </c>
      <c r="K2" s="1" t="s">
        <v>132</v>
      </c>
      <c r="L2" s="1" t="s">
        <v>133</v>
      </c>
      <c r="M2" s="1" t="s">
        <v>134</v>
      </c>
      <c r="N2" s="1" t="s">
        <v>135</v>
      </c>
    </row>
    <row r="3" spans="1:15" ht="37.5" customHeight="1" x14ac:dyDescent="0.25">
      <c r="A3" s="1215" t="s">
        <v>136</v>
      </c>
      <c r="B3" s="32">
        <v>1</v>
      </c>
      <c r="C3" s="33" t="s">
        <v>137</v>
      </c>
      <c r="D3" s="1230" t="s">
        <v>44</v>
      </c>
      <c r="E3" s="1230" t="s">
        <v>13</v>
      </c>
      <c r="F3" s="1230" t="s">
        <v>99</v>
      </c>
      <c r="G3" s="34" t="s">
        <v>138</v>
      </c>
      <c r="H3" s="35">
        <v>35578</v>
      </c>
      <c r="I3" s="36" t="s">
        <v>139</v>
      </c>
      <c r="J3" s="37" t="s">
        <v>140</v>
      </c>
      <c r="K3" s="38">
        <v>44896</v>
      </c>
      <c r="L3" s="39">
        <v>45474</v>
      </c>
      <c r="M3" s="40"/>
      <c r="N3" s="40"/>
      <c r="O3" s="41"/>
    </row>
    <row r="4" spans="1:15" ht="37.5" customHeight="1" x14ac:dyDescent="0.25">
      <c r="A4" s="1216"/>
      <c r="B4" s="32">
        <v>2</v>
      </c>
      <c r="C4" s="42" t="s">
        <v>141</v>
      </c>
      <c r="D4" s="1164"/>
      <c r="E4" s="1164"/>
      <c r="F4" s="1164"/>
      <c r="G4" s="43" t="s">
        <v>142</v>
      </c>
      <c r="H4" s="44">
        <v>37167</v>
      </c>
      <c r="I4" s="36" t="s">
        <v>143</v>
      </c>
      <c r="J4" s="37" t="s">
        <v>144</v>
      </c>
      <c r="K4" s="38">
        <v>44774</v>
      </c>
      <c r="L4" s="38">
        <v>45474</v>
      </c>
      <c r="M4" s="40"/>
      <c r="N4" s="40"/>
      <c r="O4" s="41"/>
    </row>
    <row r="5" spans="1:15" ht="37.5" customHeight="1" x14ac:dyDescent="0.25">
      <c r="A5" s="1217"/>
      <c r="B5" s="45">
        <v>3</v>
      </c>
      <c r="C5" s="46" t="s">
        <v>145</v>
      </c>
      <c r="D5" s="1184"/>
      <c r="E5" s="1184"/>
      <c r="F5" s="1184"/>
      <c r="G5" s="47"/>
      <c r="H5" s="48"/>
      <c r="I5" s="49"/>
      <c r="J5" s="49"/>
      <c r="K5" s="50"/>
      <c r="L5" s="50">
        <v>45474</v>
      </c>
      <c r="M5" s="48"/>
      <c r="N5" s="48"/>
      <c r="O5" s="41"/>
    </row>
    <row r="6" spans="1:15" ht="37.5" customHeight="1" x14ac:dyDescent="0.25">
      <c r="A6" s="1215" t="s">
        <v>146</v>
      </c>
      <c r="B6" s="51">
        <v>4</v>
      </c>
      <c r="C6" s="52" t="s">
        <v>147</v>
      </c>
      <c r="D6" s="1231" t="s">
        <v>44</v>
      </c>
      <c r="E6" s="1234" t="s">
        <v>21</v>
      </c>
      <c r="F6" s="1234" t="s">
        <v>148</v>
      </c>
      <c r="G6" s="53" t="s">
        <v>149</v>
      </c>
      <c r="H6" s="54" t="s">
        <v>150</v>
      </c>
      <c r="I6" s="55">
        <v>28601272500923</v>
      </c>
      <c r="J6" s="53" t="s">
        <v>151</v>
      </c>
      <c r="K6" s="38">
        <v>44473</v>
      </c>
      <c r="L6" s="38">
        <v>45474</v>
      </c>
      <c r="M6" s="56"/>
      <c r="N6" s="56"/>
      <c r="O6" s="41"/>
    </row>
    <row r="7" spans="1:15" ht="37.5" customHeight="1" x14ac:dyDescent="0.25">
      <c r="A7" s="1216"/>
      <c r="B7" s="57">
        <v>5</v>
      </c>
      <c r="C7" s="42" t="s">
        <v>152</v>
      </c>
      <c r="D7" s="1232"/>
      <c r="E7" s="1164"/>
      <c r="F7" s="1164"/>
      <c r="G7" s="58" t="s">
        <v>153</v>
      </c>
      <c r="H7" s="59" t="s">
        <v>154</v>
      </c>
      <c r="I7" s="60">
        <v>28812072500903</v>
      </c>
      <c r="J7" s="58" t="s">
        <v>151</v>
      </c>
      <c r="K7" s="38">
        <v>44473</v>
      </c>
      <c r="L7" s="38">
        <v>45474</v>
      </c>
      <c r="M7" s="61"/>
      <c r="N7" s="61"/>
      <c r="O7" s="41"/>
    </row>
    <row r="8" spans="1:15" ht="37.5" customHeight="1" x14ac:dyDescent="0.25">
      <c r="A8" s="1217"/>
      <c r="B8" s="62">
        <v>6</v>
      </c>
      <c r="C8" s="63" t="s">
        <v>155</v>
      </c>
      <c r="D8" s="1233"/>
      <c r="E8" s="1184"/>
      <c r="F8" s="1184"/>
      <c r="G8" s="64" t="s">
        <v>156</v>
      </c>
      <c r="H8" s="65" t="s">
        <v>157</v>
      </c>
      <c r="I8" s="49">
        <v>289022525000641</v>
      </c>
      <c r="J8" s="64" t="s">
        <v>144</v>
      </c>
      <c r="K8" s="50">
        <v>44845</v>
      </c>
      <c r="L8" s="50">
        <v>45474</v>
      </c>
      <c r="M8" s="66"/>
      <c r="N8" s="66"/>
      <c r="O8" s="41"/>
    </row>
    <row r="9" spans="1:15" ht="55.5" customHeight="1" x14ac:dyDescent="0.25">
      <c r="A9" s="1215" t="s">
        <v>158</v>
      </c>
      <c r="B9" s="67">
        <v>7</v>
      </c>
      <c r="C9" s="42" t="s">
        <v>159</v>
      </c>
      <c r="D9" s="1234" t="s">
        <v>44</v>
      </c>
      <c r="E9" s="1235" t="s">
        <v>34</v>
      </c>
      <c r="F9" s="1235" t="s">
        <v>110</v>
      </c>
      <c r="G9" s="68" t="s">
        <v>160</v>
      </c>
      <c r="H9" s="69">
        <v>30287</v>
      </c>
      <c r="I9" s="70">
        <v>28212022500549</v>
      </c>
      <c r="J9" s="71" t="s">
        <v>161</v>
      </c>
      <c r="K9" s="38">
        <v>44866</v>
      </c>
      <c r="L9" s="38">
        <v>45474</v>
      </c>
      <c r="M9" s="72" t="s">
        <v>162</v>
      </c>
      <c r="N9" s="42" t="s">
        <v>163</v>
      </c>
      <c r="O9" s="41"/>
    </row>
    <row r="10" spans="1:15" ht="48.75" customHeight="1" x14ac:dyDescent="0.25">
      <c r="A10" s="1216"/>
      <c r="B10" s="32">
        <v>8</v>
      </c>
      <c r="C10" s="73" t="s">
        <v>164</v>
      </c>
      <c r="D10" s="1164"/>
      <c r="E10" s="1164"/>
      <c r="F10" s="1164"/>
      <c r="G10" s="74"/>
      <c r="H10" s="69">
        <v>35156</v>
      </c>
      <c r="I10" s="70">
        <v>29604012505525</v>
      </c>
      <c r="J10" s="71" t="s">
        <v>161</v>
      </c>
      <c r="K10" s="38">
        <v>44866</v>
      </c>
      <c r="L10" s="38">
        <v>45474</v>
      </c>
      <c r="M10" s="72" t="s">
        <v>162</v>
      </c>
      <c r="N10" s="73" t="s">
        <v>163</v>
      </c>
      <c r="O10" s="41"/>
    </row>
    <row r="11" spans="1:15" ht="51" customHeight="1" x14ac:dyDescent="0.25">
      <c r="A11" s="1217"/>
      <c r="B11" s="45">
        <v>9</v>
      </c>
      <c r="C11" s="63" t="s">
        <v>165</v>
      </c>
      <c r="D11" s="1184"/>
      <c r="E11" s="1184"/>
      <c r="F11" s="1184"/>
      <c r="G11" s="75"/>
      <c r="H11" s="76">
        <v>32207</v>
      </c>
      <c r="I11" s="77">
        <v>28803052500461</v>
      </c>
      <c r="J11" s="78" t="s">
        <v>161</v>
      </c>
      <c r="K11" s="50">
        <v>44866</v>
      </c>
      <c r="L11" s="50">
        <v>45474</v>
      </c>
      <c r="M11" s="79" t="s">
        <v>162</v>
      </c>
      <c r="N11" s="63" t="s">
        <v>163</v>
      </c>
      <c r="O11" s="41"/>
    </row>
    <row r="12" spans="1:15" ht="58.5" customHeight="1" x14ac:dyDescent="0.3">
      <c r="A12" s="1215" t="s">
        <v>166</v>
      </c>
      <c r="B12" s="67">
        <v>10</v>
      </c>
      <c r="C12" s="42" t="s">
        <v>167</v>
      </c>
      <c r="D12" s="1234" t="s">
        <v>44</v>
      </c>
      <c r="E12" s="1234" t="s">
        <v>21</v>
      </c>
      <c r="F12" s="1235" t="s">
        <v>168</v>
      </c>
      <c r="G12" s="80" t="s">
        <v>169</v>
      </c>
      <c r="H12" s="81" t="s">
        <v>170</v>
      </c>
      <c r="I12" s="70">
        <v>29112142500908</v>
      </c>
      <c r="J12" s="82" t="s">
        <v>171</v>
      </c>
      <c r="K12" s="38">
        <v>44473</v>
      </c>
      <c r="L12" s="38">
        <v>45474</v>
      </c>
      <c r="M12" s="80" t="s">
        <v>162</v>
      </c>
      <c r="N12" s="83" t="s">
        <v>172</v>
      </c>
      <c r="O12" s="41"/>
    </row>
    <row r="13" spans="1:15" ht="37.5" customHeight="1" x14ac:dyDescent="0.3">
      <c r="A13" s="1216"/>
      <c r="B13" s="32">
        <v>11</v>
      </c>
      <c r="C13" s="73" t="s">
        <v>173</v>
      </c>
      <c r="D13" s="1164"/>
      <c r="E13" s="1164"/>
      <c r="F13" s="1164"/>
      <c r="G13" s="17"/>
      <c r="H13" s="81" t="s">
        <v>174</v>
      </c>
      <c r="I13" s="70">
        <v>28906272500601</v>
      </c>
      <c r="J13" s="84" t="s">
        <v>161</v>
      </c>
      <c r="K13" s="39">
        <v>44572</v>
      </c>
      <c r="L13" s="38">
        <v>45474</v>
      </c>
      <c r="M13" s="85" t="s">
        <v>162</v>
      </c>
      <c r="N13" s="86" t="s">
        <v>172</v>
      </c>
      <c r="O13" s="41"/>
    </row>
    <row r="14" spans="1:15" ht="37.5" customHeight="1" x14ac:dyDescent="0.25">
      <c r="A14" s="1217"/>
      <c r="B14" s="45">
        <v>12</v>
      </c>
      <c r="C14" s="46"/>
      <c r="D14" s="1184"/>
      <c r="E14" s="1184"/>
      <c r="F14" s="1184"/>
      <c r="G14" s="47"/>
      <c r="H14" s="48"/>
      <c r="I14" s="48"/>
      <c r="J14" s="48"/>
      <c r="K14" s="50"/>
      <c r="L14" s="50"/>
      <c r="M14" s="48"/>
      <c r="N14" s="87"/>
      <c r="O14" s="41"/>
    </row>
    <row r="15" spans="1:15" ht="59.25" customHeight="1" x14ac:dyDescent="0.25">
      <c r="A15" s="1215" t="s">
        <v>175</v>
      </c>
      <c r="B15" s="88">
        <v>13</v>
      </c>
      <c r="C15" s="89" t="s">
        <v>176</v>
      </c>
      <c r="D15" s="1234" t="s">
        <v>44</v>
      </c>
      <c r="E15" s="1234" t="s">
        <v>21</v>
      </c>
      <c r="F15" s="1235"/>
      <c r="G15" s="43" t="s">
        <v>177</v>
      </c>
      <c r="H15" s="44">
        <v>30800</v>
      </c>
      <c r="I15" s="70">
        <v>28404282500867</v>
      </c>
      <c r="J15" s="43" t="s">
        <v>178</v>
      </c>
      <c r="K15" s="38">
        <v>44473</v>
      </c>
      <c r="L15" s="38">
        <v>45474</v>
      </c>
      <c r="M15" s="90" t="s">
        <v>179</v>
      </c>
      <c r="N15" s="91"/>
      <c r="O15" s="41"/>
    </row>
    <row r="16" spans="1:15" ht="57" customHeight="1" x14ac:dyDescent="0.25">
      <c r="A16" s="1216"/>
      <c r="B16" s="92">
        <v>14</v>
      </c>
      <c r="C16" s="93" t="s">
        <v>180</v>
      </c>
      <c r="D16" s="1164"/>
      <c r="E16" s="1164"/>
      <c r="F16" s="1164"/>
      <c r="G16" s="34" t="s">
        <v>177</v>
      </c>
      <c r="H16" s="44">
        <v>35898</v>
      </c>
      <c r="I16" s="94">
        <v>29804132501123</v>
      </c>
      <c r="J16" s="34" t="s">
        <v>178</v>
      </c>
      <c r="K16" s="38">
        <v>44473</v>
      </c>
      <c r="L16" s="38">
        <v>45474</v>
      </c>
      <c r="M16" s="95" t="s">
        <v>181</v>
      </c>
      <c r="N16" s="96"/>
      <c r="O16" s="41"/>
    </row>
    <row r="17" spans="1:15" ht="83.25" customHeight="1" x14ac:dyDescent="0.25">
      <c r="A17" s="1217"/>
      <c r="B17" s="97">
        <v>15</v>
      </c>
      <c r="C17" s="98" t="s">
        <v>182</v>
      </c>
      <c r="D17" s="1184"/>
      <c r="E17" s="1184"/>
      <c r="F17" s="1184"/>
      <c r="G17" s="99" t="s">
        <v>177</v>
      </c>
      <c r="H17" s="100">
        <v>35712</v>
      </c>
      <c r="I17" s="101">
        <v>29701092500923</v>
      </c>
      <c r="J17" s="99" t="s">
        <v>144</v>
      </c>
      <c r="K17" s="50">
        <v>44774</v>
      </c>
      <c r="L17" s="102">
        <v>45474</v>
      </c>
      <c r="M17" s="103" t="s">
        <v>181</v>
      </c>
      <c r="N17" s="87"/>
      <c r="O17" s="41"/>
    </row>
    <row r="18" spans="1:15" ht="59.25" customHeight="1" x14ac:dyDescent="0.25">
      <c r="A18" s="1215" t="s">
        <v>183</v>
      </c>
      <c r="B18" s="104">
        <v>16</v>
      </c>
      <c r="C18" s="105" t="s">
        <v>184</v>
      </c>
      <c r="D18" s="1236" t="s">
        <v>44</v>
      </c>
      <c r="E18" s="1236" t="s">
        <v>21</v>
      </c>
      <c r="F18" s="1236" t="s">
        <v>103</v>
      </c>
      <c r="G18" s="106" t="s">
        <v>185</v>
      </c>
      <c r="H18" s="107" t="s">
        <v>186</v>
      </c>
      <c r="I18" s="108">
        <v>28710222500845</v>
      </c>
      <c r="J18" s="106" t="s">
        <v>187</v>
      </c>
      <c r="K18" s="106" t="s">
        <v>188</v>
      </c>
      <c r="L18" s="109">
        <v>45474</v>
      </c>
      <c r="M18" s="110" t="s">
        <v>181</v>
      </c>
      <c r="N18" s="111" t="s">
        <v>189</v>
      </c>
      <c r="O18" s="41"/>
    </row>
    <row r="19" spans="1:15" ht="60" customHeight="1" x14ac:dyDescent="0.25">
      <c r="A19" s="1216"/>
      <c r="B19" s="112">
        <v>17</v>
      </c>
      <c r="C19" s="93" t="s">
        <v>190</v>
      </c>
      <c r="D19" s="1164"/>
      <c r="E19" s="1164"/>
      <c r="F19" s="1164"/>
      <c r="G19" s="113" t="s">
        <v>191</v>
      </c>
      <c r="H19" s="114" t="s">
        <v>192</v>
      </c>
      <c r="I19" s="94">
        <v>29702012504687</v>
      </c>
      <c r="J19" s="113" t="s">
        <v>161</v>
      </c>
      <c r="K19" s="113" t="s">
        <v>188</v>
      </c>
      <c r="L19" s="38">
        <v>45474</v>
      </c>
      <c r="M19" s="95" t="s">
        <v>181</v>
      </c>
      <c r="N19" s="115" t="s">
        <v>189</v>
      </c>
      <c r="O19" s="41"/>
    </row>
    <row r="20" spans="1:15" ht="57.75" customHeight="1" x14ac:dyDescent="0.25">
      <c r="A20" s="1217"/>
      <c r="B20" s="116">
        <v>18</v>
      </c>
      <c r="C20" s="98" t="s">
        <v>193</v>
      </c>
      <c r="D20" s="1184"/>
      <c r="E20" s="1184"/>
      <c r="F20" s="1184"/>
      <c r="G20" s="117" t="s">
        <v>194</v>
      </c>
      <c r="H20" s="118" t="s">
        <v>195</v>
      </c>
      <c r="I20" s="101">
        <v>29605062500946</v>
      </c>
      <c r="J20" s="117" t="s">
        <v>161</v>
      </c>
      <c r="K20" s="117" t="s">
        <v>188</v>
      </c>
      <c r="L20" s="50">
        <v>45474</v>
      </c>
      <c r="M20" s="103" t="s">
        <v>181</v>
      </c>
      <c r="N20" s="119" t="s">
        <v>189</v>
      </c>
      <c r="O20" s="41"/>
    </row>
    <row r="21" spans="1:15" ht="56.25" customHeight="1" x14ac:dyDescent="0.3">
      <c r="A21" s="1215" t="s">
        <v>196</v>
      </c>
      <c r="B21" s="120">
        <v>19</v>
      </c>
      <c r="C21" s="121" t="s">
        <v>197</v>
      </c>
      <c r="D21" s="1236" t="s">
        <v>44</v>
      </c>
      <c r="E21" s="1206" t="s">
        <v>13</v>
      </c>
      <c r="F21" s="1206" t="s">
        <v>198</v>
      </c>
      <c r="G21" s="122" t="s">
        <v>199</v>
      </c>
      <c r="H21" s="123">
        <v>34301</v>
      </c>
      <c r="I21" s="124">
        <v>29311282500749</v>
      </c>
      <c r="J21" s="106" t="s">
        <v>187</v>
      </c>
      <c r="K21" s="125" t="s">
        <v>200</v>
      </c>
      <c r="L21" s="126">
        <v>45474</v>
      </c>
      <c r="M21" s="127" t="s">
        <v>181</v>
      </c>
      <c r="N21" s="128" t="s">
        <v>201</v>
      </c>
      <c r="O21" s="41"/>
    </row>
    <row r="22" spans="1:15" ht="56.25" customHeight="1" x14ac:dyDescent="0.3">
      <c r="A22" s="1216"/>
      <c r="B22" s="129">
        <v>20</v>
      </c>
      <c r="C22" s="73" t="s">
        <v>202</v>
      </c>
      <c r="D22" s="1164"/>
      <c r="E22" s="1164"/>
      <c r="F22" s="1164"/>
      <c r="G22" s="130" t="s">
        <v>199</v>
      </c>
      <c r="H22" s="131">
        <v>33790</v>
      </c>
      <c r="I22" s="132">
        <v>29207052501647</v>
      </c>
      <c r="J22" s="133" t="s">
        <v>187</v>
      </c>
      <c r="K22" s="134" t="s">
        <v>203</v>
      </c>
      <c r="L22" s="38">
        <v>45474</v>
      </c>
      <c r="M22" s="135" t="s">
        <v>181</v>
      </c>
      <c r="N22" s="136" t="s">
        <v>204</v>
      </c>
      <c r="O22" s="41"/>
    </row>
    <row r="23" spans="1:15" ht="37.5" customHeight="1" x14ac:dyDescent="0.3">
      <c r="A23" s="1217"/>
      <c r="B23" s="137">
        <v>21</v>
      </c>
      <c r="C23" s="63" t="s">
        <v>205</v>
      </c>
      <c r="D23" s="1184"/>
      <c r="E23" s="1184"/>
      <c r="F23" s="1184"/>
      <c r="G23" s="138" t="s">
        <v>199</v>
      </c>
      <c r="H23" s="139">
        <v>29845</v>
      </c>
      <c r="I23" s="140">
        <v>28109162501108</v>
      </c>
      <c r="J23" s="117" t="s">
        <v>161</v>
      </c>
      <c r="K23" s="141">
        <v>44958</v>
      </c>
      <c r="L23" s="50">
        <v>45474</v>
      </c>
      <c r="M23" s="142"/>
      <c r="N23" s="143"/>
      <c r="O23" s="41"/>
    </row>
    <row r="24" spans="1:15" ht="40.5" customHeight="1" x14ac:dyDescent="0.3">
      <c r="A24" s="1215" t="s">
        <v>206</v>
      </c>
      <c r="B24" s="120">
        <v>22</v>
      </c>
      <c r="C24" s="105" t="s">
        <v>207</v>
      </c>
      <c r="D24" s="1206" t="s">
        <v>44</v>
      </c>
      <c r="E24" s="1206" t="s">
        <v>18</v>
      </c>
      <c r="F24" s="1206" t="s">
        <v>208</v>
      </c>
      <c r="G24" s="144" t="s">
        <v>209</v>
      </c>
      <c r="H24" s="145">
        <v>33710</v>
      </c>
      <c r="I24" s="146">
        <v>29204162500485</v>
      </c>
      <c r="J24" s="144" t="s">
        <v>161</v>
      </c>
      <c r="K24" s="147">
        <v>44866</v>
      </c>
      <c r="L24" s="126">
        <v>45474</v>
      </c>
      <c r="M24" s="148" t="s">
        <v>162</v>
      </c>
      <c r="N24" s="149"/>
      <c r="O24" s="41"/>
    </row>
    <row r="25" spans="1:15" ht="37.5" customHeight="1" x14ac:dyDescent="0.3">
      <c r="A25" s="1216"/>
      <c r="B25" s="129">
        <v>23</v>
      </c>
      <c r="C25" s="93" t="s">
        <v>210</v>
      </c>
      <c r="D25" s="1164"/>
      <c r="E25" s="1164"/>
      <c r="F25" s="1164"/>
      <c r="G25" s="150" t="s">
        <v>211</v>
      </c>
      <c r="H25" s="151">
        <v>32366</v>
      </c>
      <c r="I25" s="152">
        <v>29604012505525</v>
      </c>
      <c r="J25" s="150" t="s">
        <v>161</v>
      </c>
      <c r="K25" s="153">
        <v>44866</v>
      </c>
      <c r="L25" s="38">
        <v>45474</v>
      </c>
      <c r="M25" s="154" t="s">
        <v>162</v>
      </c>
      <c r="N25" s="155"/>
      <c r="O25" s="41"/>
    </row>
    <row r="26" spans="1:15" ht="37.5" customHeight="1" x14ac:dyDescent="0.3">
      <c r="A26" s="1217"/>
      <c r="B26" s="137">
        <v>24</v>
      </c>
      <c r="C26" s="98" t="s">
        <v>212</v>
      </c>
      <c r="D26" s="1184"/>
      <c r="E26" s="1184"/>
      <c r="F26" s="1184"/>
      <c r="G26" s="156" t="s">
        <v>199</v>
      </c>
      <c r="H26" s="157">
        <v>31970</v>
      </c>
      <c r="I26" s="158">
        <v>28707122500804</v>
      </c>
      <c r="J26" s="159" t="s">
        <v>161</v>
      </c>
      <c r="K26" s="160">
        <v>44866</v>
      </c>
      <c r="L26" s="161">
        <v>45474</v>
      </c>
      <c r="M26" s="162" t="s">
        <v>162</v>
      </c>
      <c r="N26" s="163"/>
      <c r="O26" s="41"/>
    </row>
    <row r="27" spans="1:15" ht="37.5" customHeight="1" x14ac:dyDescent="0.3">
      <c r="A27" s="1215" t="s">
        <v>213</v>
      </c>
      <c r="B27" s="164">
        <v>25</v>
      </c>
      <c r="C27" s="165" t="s">
        <v>214</v>
      </c>
      <c r="D27" s="1205" t="s">
        <v>12</v>
      </c>
      <c r="E27" s="1205" t="s">
        <v>34</v>
      </c>
      <c r="F27" s="1205" t="s">
        <v>215</v>
      </c>
      <c r="G27" s="166" t="s">
        <v>216</v>
      </c>
      <c r="H27" s="167">
        <v>33852</v>
      </c>
      <c r="I27" s="166">
        <v>29209052500325</v>
      </c>
      <c r="J27" s="168" t="s">
        <v>217</v>
      </c>
      <c r="K27" s="169">
        <v>44774</v>
      </c>
      <c r="L27" s="169">
        <v>45474</v>
      </c>
      <c r="M27" s="168" t="s">
        <v>218</v>
      </c>
      <c r="N27" s="170" t="s">
        <v>219</v>
      </c>
      <c r="O27" s="41"/>
    </row>
    <row r="28" spans="1:15" ht="37.5" customHeight="1" x14ac:dyDescent="0.3">
      <c r="A28" s="1216"/>
      <c r="B28" s="171">
        <v>26</v>
      </c>
      <c r="C28" s="172" t="s">
        <v>220</v>
      </c>
      <c r="D28" s="1164"/>
      <c r="E28" s="1164"/>
      <c r="F28" s="1164"/>
      <c r="G28" s="173" t="s">
        <v>156</v>
      </c>
      <c r="H28" s="174">
        <v>34283</v>
      </c>
      <c r="I28" s="175">
        <v>29311102500703</v>
      </c>
      <c r="J28" s="168" t="s">
        <v>217</v>
      </c>
      <c r="K28" s="169">
        <v>44774</v>
      </c>
      <c r="L28" s="169">
        <v>45474</v>
      </c>
      <c r="M28" s="168" t="s">
        <v>221</v>
      </c>
      <c r="N28" s="176" t="s">
        <v>222</v>
      </c>
      <c r="O28" s="41"/>
    </row>
    <row r="29" spans="1:15" ht="37.5" customHeight="1" x14ac:dyDescent="0.3">
      <c r="A29" s="1217"/>
      <c r="B29" s="177">
        <v>27</v>
      </c>
      <c r="C29" s="178" t="s">
        <v>223</v>
      </c>
      <c r="D29" s="1184"/>
      <c r="E29" s="1184"/>
      <c r="F29" s="1184"/>
      <c r="G29" s="179" t="s">
        <v>224</v>
      </c>
      <c r="H29" s="180">
        <v>34661</v>
      </c>
      <c r="I29" s="181">
        <v>29411232501005</v>
      </c>
      <c r="J29" s="182" t="s">
        <v>225</v>
      </c>
      <c r="K29" s="169">
        <v>44774</v>
      </c>
      <c r="L29" s="169">
        <v>45474</v>
      </c>
      <c r="M29" s="168" t="s">
        <v>218</v>
      </c>
      <c r="N29" s="183"/>
      <c r="O29" s="41"/>
    </row>
    <row r="30" spans="1:15" ht="51" customHeight="1" x14ac:dyDescent="0.3">
      <c r="A30" s="1215" t="s">
        <v>226</v>
      </c>
      <c r="B30" s="164">
        <v>28</v>
      </c>
      <c r="C30" s="165" t="s">
        <v>227</v>
      </c>
      <c r="D30" s="1205" t="s">
        <v>44</v>
      </c>
      <c r="E30" s="1205" t="s">
        <v>34</v>
      </c>
      <c r="F30" s="1205" t="s">
        <v>228</v>
      </c>
      <c r="G30" s="184" t="s">
        <v>229</v>
      </c>
      <c r="H30" s="184">
        <v>33270</v>
      </c>
      <c r="I30" s="184">
        <v>29102012500544</v>
      </c>
      <c r="J30" s="173" t="s">
        <v>230</v>
      </c>
      <c r="K30" s="185">
        <v>44774</v>
      </c>
      <c r="L30" s="38">
        <v>45474</v>
      </c>
      <c r="M30" s="173" t="s">
        <v>231</v>
      </c>
      <c r="N30" s="170"/>
      <c r="O30" s="41"/>
    </row>
    <row r="31" spans="1:15" ht="60" customHeight="1" x14ac:dyDescent="0.3">
      <c r="A31" s="1216"/>
      <c r="B31" s="171">
        <v>29</v>
      </c>
      <c r="C31" s="172" t="s">
        <v>232</v>
      </c>
      <c r="D31" s="1164"/>
      <c r="E31" s="1164"/>
      <c r="F31" s="1164"/>
      <c r="G31" s="173" t="s">
        <v>233</v>
      </c>
      <c r="H31" s="173">
        <v>34839</v>
      </c>
      <c r="I31" s="173">
        <v>29505202404247</v>
      </c>
      <c r="J31" s="173" t="s">
        <v>225</v>
      </c>
      <c r="K31" s="169">
        <v>44774</v>
      </c>
      <c r="L31" s="38">
        <v>45474</v>
      </c>
      <c r="M31" s="173" t="s">
        <v>234</v>
      </c>
      <c r="N31" s="176"/>
      <c r="O31" s="41"/>
    </row>
    <row r="32" spans="1:15" ht="56.25" customHeight="1" x14ac:dyDescent="0.3">
      <c r="A32" s="1217"/>
      <c r="B32" s="186">
        <v>30</v>
      </c>
      <c r="C32" s="178" t="s">
        <v>235</v>
      </c>
      <c r="D32" s="1184"/>
      <c r="E32" s="1184"/>
      <c r="F32" s="1184"/>
      <c r="G32" s="179" t="s">
        <v>236</v>
      </c>
      <c r="H32" s="179">
        <v>31736</v>
      </c>
      <c r="I32" s="179">
        <v>28611202500727</v>
      </c>
      <c r="J32" s="179" t="s">
        <v>225</v>
      </c>
      <c r="K32" s="102">
        <v>44774</v>
      </c>
      <c r="L32" s="50">
        <v>45474</v>
      </c>
      <c r="M32" s="179" t="s">
        <v>237</v>
      </c>
      <c r="N32" s="187"/>
      <c r="O32" s="41"/>
    </row>
    <row r="33" spans="1:26" ht="48.75" customHeight="1" x14ac:dyDescent="0.3">
      <c r="A33" s="1215" t="s">
        <v>238</v>
      </c>
      <c r="B33" s="188">
        <v>31</v>
      </c>
      <c r="C33" s="189" t="s">
        <v>239</v>
      </c>
      <c r="D33" s="1204"/>
      <c r="E33" s="1204"/>
      <c r="F33" s="1204"/>
      <c r="G33" s="184" t="s">
        <v>240</v>
      </c>
      <c r="H33" s="184" t="s">
        <v>241</v>
      </c>
      <c r="I33" s="184">
        <v>30011262500248</v>
      </c>
      <c r="J33" s="184" t="s">
        <v>225</v>
      </c>
      <c r="K33" s="184" t="s">
        <v>242</v>
      </c>
      <c r="L33" s="126">
        <v>45474</v>
      </c>
      <c r="M33" s="190" t="s">
        <v>243</v>
      </c>
      <c r="N33" s="191" t="s">
        <v>244</v>
      </c>
      <c r="O33" s="41"/>
    </row>
    <row r="34" spans="1:26" ht="57" customHeight="1" x14ac:dyDescent="0.3">
      <c r="A34" s="1216"/>
      <c r="B34" s="192">
        <v>32</v>
      </c>
      <c r="C34" s="193" t="s">
        <v>245</v>
      </c>
      <c r="D34" s="1164"/>
      <c r="E34" s="1164"/>
      <c r="F34" s="1164"/>
      <c r="G34" s="173" t="s">
        <v>246</v>
      </c>
      <c r="H34" s="173" t="s">
        <v>247</v>
      </c>
      <c r="I34" s="173">
        <v>29611202501328</v>
      </c>
      <c r="J34" s="173" t="s">
        <v>225</v>
      </c>
      <c r="K34" s="173" t="s">
        <v>248</v>
      </c>
      <c r="L34" s="38">
        <v>45474</v>
      </c>
      <c r="M34" s="194" t="s">
        <v>249</v>
      </c>
      <c r="N34" s="176" t="s">
        <v>250</v>
      </c>
    </row>
    <row r="35" spans="1:26" ht="42" customHeight="1" x14ac:dyDescent="0.3">
      <c r="A35" s="1217"/>
      <c r="B35" s="195">
        <v>33</v>
      </c>
      <c r="C35" s="196" t="s">
        <v>251</v>
      </c>
      <c r="D35" s="1184"/>
      <c r="E35" s="1184"/>
      <c r="F35" s="1184"/>
      <c r="G35" s="179" t="s">
        <v>252</v>
      </c>
      <c r="H35" s="197">
        <v>33594</v>
      </c>
      <c r="I35" s="179">
        <v>29112222500861</v>
      </c>
      <c r="J35" s="179" t="s">
        <v>225</v>
      </c>
      <c r="K35" s="198">
        <v>44958</v>
      </c>
      <c r="L35" s="50">
        <v>45474</v>
      </c>
      <c r="M35" s="179" t="s">
        <v>253</v>
      </c>
      <c r="N35" s="187" t="s">
        <v>254</v>
      </c>
    </row>
    <row r="36" spans="1:26" ht="57" customHeight="1" x14ac:dyDescent="0.3">
      <c r="A36" s="1215" t="s">
        <v>255</v>
      </c>
      <c r="B36" s="188">
        <v>34</v>
      </c>
      <c r="C36" s="189" t="s">
        <v>256</v>
      </c>
      <c r="D36" s="1206" t="s">
        <v>44</v>
      </c>
      <c r="E36" s="1206" t="s">
        <v>13</v>
      </c>
      <c r="F36" s="1206" t="s">
        <v>257</v>
      </c>
      <c r="G36" s="199" t="s">
        <v>258</v>
      </c>
      <c r="H36" s="199">
        <v>31087</v>
      </c>
      <c r="I36" s="200" t="s">
        <v>259</v>
      </c>
      <c r="J36" s="199"/>
      <c r="K36" s="199">
        <v>44896</v>
      </c>
      <c r="L36" s="201"/>
      <c r="M36" s="202" t="s">
        <v>179</v>
      </c>
      <c r="N36" s="187" t="s">
        <v>260</v>
      </c>
    </row>
    <row r="37" spans="1:26" ht="63.75" customHeight="1" x14ac:dyDescent="0.3">
      <c r="A37" s="1216"/>
      <c r="B37" s="192">
        <v>35</v>
      </c>
      <c r="C37" s="193" t="s">
        <v>261</v>
      </c>
      <c r="D37" s="1164"/>
      <c r="E37" s="1164"/>
      <c r="F37" s="1164"/>
      <c r="G37" s="203" t="s">
        <v>262</v>
      </c>
      <c r="H37" s="203">
        <v>31234</v>
      </c>
      <c r="I37" s="204" t="s">
        <v>263</v>
      </c>
      <c r="J37" s="203"/>
      <c r="K37" s="203">
        <v>44896</v>
      </c>
      <c r="L37" s="205"/>
      <c r="M37" s="206" t="s">
        <v>179</v>
      </c>
      <c r="N37" s="187" t="s">
        <v>260</v>
      </c>
    </row>
    <row r="38" spans="1:26" ht="54" customHeight="1" x14ac:dyDescent="0.3">
      <c r="A38" s="1217"/>
      <c r="B38" s="195">
        <v>36</v>
      </c>
      <c r="C38" s="196" t="s">
        <v>264</v>
      </c>
      <c r="D38" s="1184"/>
      <c r="E38" s="1184"/>
      <c r="F38" s="1184"/>
      <c r="G38" s="197" t="s">
        <v>262</v>
      </c>
      <c r="H38" s="197">
        <v>32168</v>
      </c>
      <c r="I38" s="207" t="s">
        <v>265</v>
      </c>
      <c r="J38" s="197"/>
      <c r="K38" s="197">
        <v>44896</v>
      </c>
      <c r="L38" s="208"/>
      <c r="M38" s="209" t="s">
        <v>243</v>
      </c>
      <c r="N38" s="187" t="s">
        <v>260</v>
      </c>
    </row>
    <row r="39" spans="1:26" ht="42" customHeight="1" x14ac:dyDescent="0.3">
      <c r="A39" s="1215" t="s">
        <v>266</v>
      </c>
      <c r="B39" s="188">
        <v>37</v>
      </c>
      <c r="C39" s="189" t="s">
        <v>267</v>
      </c>
      <c r="D39" s="1206" t="s">
        <v>44</v>
      </c>
      <c r="E39" s="1206" t="s">
        <v>21</v>
      </c>
      <c r="F39" s="1206" t="s">
        <v>106</v>
      </c>
      <c r="G39" s="210" t="s">
        <v>268</v>
      </c>
      <c r="H39" s="197">
        <v>29503</v>
      </c>
      <c r="I39" s="197">
        <v>28010092500463</v>
      </c>
      <c r="J39" s="210" t="s">
        <v>161</v>
      </c>
      <c r="K39" s="211">
        <v>44866</v>
      </c>
      <c r="L39" s="126">
        <v>45474</v>
      </c>
      <c r="M39" s="103" t="s">
        <v>181</v>
      </c>
      <c r="N39" s="187"/>
    </row>
    <row r="40" spans="1:26" ht="57.75" customHeight="1" x14ac:dyDescent="0.3">
      <c r="A40" s="1216"/>
      <c r="B40" s="192">
        <v>38</v>
      </c>
      <c r="C40" s="193" t="s">
        <v>269</v>
      </c>
      <c r="D40" s="1164"/>
      <c r="E40" s="1164"/>
      <c r="F40" s="1164"/>
      <c r="G40" s="212" t="s">
        <v>262</v>
      </c>
      <c r="H40" s="197">
        <v>35973</v>
      </c>
      <c r="I40" s="197">
        <v>29806272500685</v>
      </c>
      <c r="J40" s="212" t="s">
        <v>161</v>
      </c>
      <c r="K40" s="213">
        <v>44866</v>
      </c>
      <c r="L40" s="38">
        <v>45474</v>
      </c>
      <c r="M40" s="103" t="s">
        <v>181</v>
      </c>
      <c r="N40" s="187"/>
    </row>
    <row r="41" spans="1:26" ht="48" customHeight="1" x14ac:dyDescent="0.3">
      <c r="A41" s="1217"/>
      <c r="B41" s="195">
        <v>39</v>
      </c>
      <c r="C41" s="196" t="s">
        <v>270</v>
      </c>
      <c r="D41" s="1184"/>
      <c r="E41" s="1184"/>
      <c r="F41" s="1184"/>
      <c r="G41" s="214" t="s">
        <v>262</v>
      </c>
      <c r="H41" s="197">
        <v>36229</v>
      </c>
      <c r="I41" s="197">
        <v>29903102500449</v>
      </c>
      <c r="J41" s="214" t="s">
        <v>161</v>
      </c>
      <c r="K41" s="215">
        <v>44866</v>
      </c>
      <c r="L41" s="50">
        <v>45474</v>
      </c>
      <c r="M41" s="103" t="s">
        <v>181</v>
      </c>
      <c r="N41" s="187"/>
    </row>
    <row r="42" spans="1:26" ht="50.25" customHeight="1" x14ac:dyDescent="0.3">
      <c r="A42" s="1215" t="s">
        <v>271</v>
      </c>
      <c r="B42" s="188">
        <v>40</v>
      </c>
      <c r="C42" s="189" t="s">
        <v>272</v>
      </c>
      <c r="D42" s="1206" t="s">
        <v>44</v>
      </c>
      <c r="E42" s="1206" t="s">
        <v>13</v>
      </c>
      <c r="F42" s="1206" t="s">
        <v>273</v>
      </c>
      <c r="G42" s="199" t="s">
        <v>274</v>
      </c>
      <c r="H42" s="199">
        <v>33861</v>
      </c>
      <c r="I42" s="199">
        <v>29209142500464</v>
      </c>
      <c r="J42" s="199"/>
      <c r="K42" s="199"/>
      <c r="L42" s="126">
        <v>45474</v>
      </c>
      <c r="M42" s="103" t="s">
        <v>181</v>
      </c>
      <c r="N42" s="187"/>
    </row>
    <row r="43" spans="1:26" ht="47.25" customHeight="1" x14ac:dyDescent="0.3">
      <c r="A43" s="1216"/>
      <c r="B43" s="192">
        <v>41</v>
      </c>
      <c r="C43" s="193" t="s">
        <v>275</v>
      </c>
      <c r="D43" s="1164"/>
      <c r="E43" s="1164"/>
      <c r="F43" s="1164"/>
      <c r="G43" s="203" t="s">
        <v>276</v>
      </c>
      <c r="H43" s="203">
        <v>32985</v>
      </c>
      <c r="I43" s="203">
        <v>29004222500341</v>
      </c>
      <c r="J43" s="203"/>
      <c r="K43" s="169">
        <v>44774</v>
      </c>
      <c r="L43" s="38">
        <v>45474</v>
      </c>
      <c r="M43" s="103" t="s">
        <v>181</v>
      </c>
      <c r="N43" s="187"/>
    </row>
    <row r="44" spans="1:26" ht="48" customHeight="1" x14ac:dyDescent="0.3">
      <c r="A44" s="1217"/>
      <c r="B44" s="195">
        <v>42</v>
      </c>
      <c r="C44" s="196" t="s">
        <v>277</v>
      </c>
      <c r="D44" s="1184"/>
      <c r="E44" s="1184"/>
      <c r="F44" s="1184"/>
      <c r="G44" s="197" t="s">
        <v>278</v>
      </c>
      <c r="H44" s="197" t="s">
        <v>279</v>
      </c>
      <c r="I44" s="197">
        <v>28505232500701</v>
      </c>
      <c r="J44" s="197"/>
      <c r="K44" s="102">
        <v>44774</v>
      </c>
      <c r="L44" s="50">
        <v>45474</v>
      </c>
      <c r="M44" s="197" t="s">
        <v>181</v>
      </c>
      <c r="N44" s="187"/>
    </row>
    <row r="45" spans="1:26" ht="15.75" customHeight="1" x14ac:dyDescent="0.3">
      <c r="A45" s="1215" t="s">
        <v>280</v>
      </c>
      <c r="B45" s="188">
        <v>43</v>
      </c>
      <c r="C45" s="121"/>
      <c r="D45" s="1206" t="s">
        <v>44</v>
      </c>
      <c r="E45" s="1205" t="s">
        <v>34</v>
      </c>
      <c r="F45" s="1205" t="s">
        <v>111</v>
      </c>
      <c r="G45" s="216"/>
      <c r="H45" s="216"/>
      <c r="I45" s="216"/>
      <c r="J45" s="216"/>
      <c r="K45" s="217"/>
      <c r="L45" s="109">
        <v>45474</v>
      </c>
      <c r="M45" s="216"/>
      <c r="N45" s="218"/>
    </row>
    <row r="46" spans="1:26" ht="15.75" customHeight="1" x14ac:dyDescent="0.3">
      <c r="A46" s="1216"/>
      <c r="B46" s="192">
        <v>44</v>
      </c>
      <c r="C46" s="73"/>
      <c r="D46" s="1164"/>
      <c r="E46" s="1164"/>
      <c r="F46" s="1164"/>
      <c r="G46" s="168"/>
      <c r="H46" s="168"/>
      <c r="I46" s="168"/>
      <c r="J46" s="168"/>
      <c r="K46" s="219"/>
      <c r="L46" s="169">
        <v>45474</v>
      </c>
      <c r="M46" s="168"/>
      <c r="N46" s="218"/>
    </row>
    <row r="47" spans="1:26" ht="15.75" customHeight="1" x14ac:dyDescent="0.3">
      <c r="A47" s="1217"/>
      <c r="B47" s="220">
        <v>45</v>
      </c>
      <c r="C47" s="63"/>
      <c r="D47" s="1184"/>
      <c r="E47" s="1184"/>
      <c r="F47" s="1184"/>
      <c r="G47" s="221"/>
      <c r="H47" s="221"/>
      <c r="I47" s="221"/>
      <c r="J47" s="221"/>
      <c r="K47" s="222"/>
      <c r="L47" s="222"/>
      <c r="M47" s="221"/>
      <c r="N47" s="218"/>
    </row>
    <row r="48" spans="1:26" ht="33" customHeight="1" x14ac:dyDescent="0.4">
      <c r="A48" s="1223" t="s">
        <v>281</v>
      </c>
      <c r="B48" s="223">
        <v>46</v>
      </c>
      <c r="C48" s="224" t="s">
        <v>282</v>
      </c>
      <c r="D48" s="1207" t="s">
        <v>43</v>
      </c>
      <c r="E48" s="1205" t="s">
        <v>12</v>
      </c>
      <c r="F48" s="1208" t="s">
        <v>45</v>
      </c>
      <c r="G48" s="226" t="s">
        <v>138</v>
      </c>
      <c r="H48" s="226">
        <v>35443</v>
      </c>
      <c r="I48" s="226">
        <v>2970113250348</v>
      </c>
      <c r="J48" s="227">
        <v>45063</v>
      </c>
      <c r="K48" s="227"/>
      <c r="L48" s="227"/>
      <c r="M48" s="228" t="s">
        <v>283</v>
      </c>
      <c r="N48" s="218" t="s">
        <v>284</v>
      </c>
      <c r="O48" s="1209"/>
      <c r="P48" s="1209"/>
      <c r="Q48" s="1209"/>
      <c r="R48" s="1209"/>
      <c r="S48" s="1209"/>
      <c r="T48" s="1209"/>
      <c r="U48" s="1209"/>
      <c r="V48" s="1209"/>
      <c r="W48" s="1209"/>
      <c r="X48" s="1209"/>
      <c r="Y48" s="1209"/>
      <c r="Z48" s="1209"/>
    </row>
    <row r="49" spans="1:26" ht="30.75" customHeight="1" x14ac:dyDescent="0.4">
      <c r="A49" s="1219"/>
      <c r="B49" s="223">
        <v>47</v>
      </c>
      <c r="C49" s="229" t="s">
        <v>285</v>
      </c>
      <c r="D49" s="1167"/>
      <c r="E49" s="1164"/>
      <c r="F49" s="1167"/>
      <c r="G49" s="226" t="s">
        <v>286</v>
      </c>
      <c r="H49" s="226">
        <v>32736</v>
      </c>
      <c r="I49" s="226">
        <v>28908161802261</v>
      </c>
      <c r="J49" s="230" t="s">
        <v>287</v>
      </c>
      <c r="K49" s="230"/>
      <c r="L49" s="230"/>
      <c r="M49" s="228" t="s">
        <v>283</v>
      </c>
      <c r="N49" s="218" t="s">
        <v>288</v>
      </c>
      <c r="O49" s="1201"/>
      <c r="P49" s="1201"/>
      <c r="Q49" s="1201"/>
      <c r="R49" s="1201"/>
      <c r="S49" s="1201"/>
      <c r="T49" s="1201"/>
      <c r="U49" s="1201"/>
      <c r="V49" s="1201"/>
      <c r="W49" s="1201"/>
      <c r="X49" s="1201"/>
      <c r="Y49" s="1201"/>
      <c r="Z49" s="1201"/>
    </row>
    <row r="50" spans="1:26" ht="33" customHeight="1" x14ac:dyDescent="0.4">
      <c r="A50" s="1220"/>
      <c r="B50" s="223">
        <v>48</v>
      </c>
      <c r="C50" s="231" t="s">
        <v>289</v>
      </c>
      <c r="D50" s="1167"/>
      <c r="E50" s="1184"/>
      <c r="F50" s="1167"/>
      <c r="G50" s="226" t="s">
        <v>290</v>
      </c>
      <c r="H50" s="226">
        <v>37163</v>
      </c>
      <c r="I50" s="226">
        <v>30109292503225</v>
      </c>
      <c r="J50" s="227">
        <v>37819</v>
      </c>
      <c r="K50" s="227"/>
      <c r="L50" s="227"/>
      <c r="M50" s="228" t="s">
        <v>291</v>
      </c>
      <c r="N50" s="218" t="s">
        <v>292</v>
      </c>
      <c r="O50" s="1201"/>
      <c r="P50" s="1201"/>
      <c r="Q50" s="1201"/>
      <c r="R50" s="1201"/>
      <c r="S50" s="1201"/>
      <c r="T50" s="1201"/>
      <c r="U50" s="1201"/>
      <c r="V50" s="1201"/>
      <c r="W50" s="1201"/>
      <c r="X50" s="1201"/>
      <c r="Y50" s="1201"/>
      <c r="Z50" s="1201"/>
    </row>
    <row r="51" spans="1:26" ht="27" customHeight="1" x14ac:dyDescent="0.35">
      <c r="A51" s="1224" t="s">
        <v>293</v>
      </c>
      <c r="B51" s="232">
        <v>49</v>
      </c>
      <c r="C51" s="233" t="s">
        <v>294</v>
      </c>
      <c r="D51" s="1210" t="s">
        <v>12</v>
      </c>
      <c r="E51" s="1210" t="s">
        <v>12</v>
      </c>
      <c r="F51" s="1211" t="s">
        <v>49</v>
      </c>
      <c r="G51" s="226" t="s">
        <v>295</v>
      </c>
      <c r="H51" s="226">
        <v>33689</v>
      </c>
      <c r="I51" s="234">
        <v>29203262501105</v>
      </c>
      <c r="J51" s="235">
        <v>44743</v>
      </c>
      <c r="K51" s="235"/>
      <c r="L51" s="236"/>
      <c r="M51" s="228" t="s">
        <v>296</v>
      </c>
      <c r="N51" s="218" t="s">
        <v>297</v>
      </c>
      <c r="O51" s="1209"/>
      <c r="P51" s="1209"/>
      <c r="Q51" s="1209"/>
      <c r="R51" s="1209"/>
      <c r="S51" s="1209"/>
      <c r="T51" s="1209"/>
      <c r="U51" s="1209"/>
      <c r="V51" s="1209"/>
      <c r="W51" s="1209"/>
      <c r="X51" s="1209"/>
      <c r="Y51" s="1209"/>
      <c r="Z51" s="1209"/>
    </row>
    <row r="52" spans="1:26" ht="25.5" customHeight="1" x14ac:dyDescent="0.35">
      <c r="A52" s="1216"/>
      <c r="B52" s="232">
        <v>50</v>
      </c>
      <c r="C52" s="237" t="s">
        <v>298</v>
      </c>
      <c r="D52" s="1164"/>
      <c r="E52" s="1164"/>
      <c r="F52" s="1167"/>
      <c r="G52" s="226" t="s">
        <v>299</v>
      </c>
      <c r="H52" s="226">
        <v>34011</v>
      </c>
      <c r="I52" s="234">
        <v>29302112500648</v>
      </c>
      <c r="J52" s="235">
        <v>44743</v>
      </c>
      <c r="K52" s="235"/>
      <c r="L52" s="236"/>
      <c r="M52" s="228"/>
      <c r="N52" s="218" t="s">
        <v>300</v>
      </c>
      <c r="O52" s="1201"/>
      <c r="P52" s="1201"/>
      <c r="Q52" s="1201"/>
      <c r="R52" s="1201"/>
      <c r="S52" s="1201"/>
      <c r="T52" s="1201"/>
      <c r="U52" s="1201"/>
      <c r="V52" s="1201"/>
      <c r="W52" s="1201"/>
      <c r="X52" s="1201"/>
      <c r="Y52" s="1201"/>
      <c r="Z52" s="1201"/>
    </row>
    <row r="53" spans="1:26" ht="27" customHeight="1" x14ac:dyDescent="0.35">
      <c r="A53" s="1217"/>
      <c r="B53" s="238">
        <v>51</v>
      </c>
      <c r="C53" s="239" t="s">
        <v>301</v>
      </c>
      <c r="D53" s="1184"/>
      <c r="E53" s="1184"/>
      <c r="F53" s="1212"/>
      <c r="G53" s="240" t="s">
        <v>302</v>
      </c>
      <c r="H53" s="241">
        <v>35136</v>
      </c>
      <c r="I53" s="242">
        <v>29603122501766</v>
      </c>
      <c r="J53" s="243">
        <v>45182</v>
      </c>
      <c r="K53" s="235"/>
      <c r="L53" s="236"/>
      <c r="M53" s="228" t="s">
        <v>303</v>
      </c>
      <c r="N53" s="218" t="s">
        <v>304</v>
      </c>
      <c r="O53" s="1201"/>
      <c r="P53" s="1201"/>
      <c r="Q53" s="1201"/>
      <c r="R53" s="1201"/>
      <c r="S53" s="1201"/>
      <c r="T53" s="1201"/>
      <c r="U53" s="1201"/>
      <c r="V53" s="1201"/>
      <c r="W53" s="1201"/>
      <c r="X53" s="1201"/>
      <c r="Y53" s="1201"/>
      <c r="Z53" s="1201"/>
    </row>
    <row r="54" spans="1:26" ht="39.75" customHeight="1" x14ac:dyDescent="0.35">
      <c r="A54" s="1237" t="s">
        <v>305</v>
      </c>
      <c r="B54" s="244">
        <v>52</v>
      </c>
      <c r="C54" s="245" t="s">
        <v>306</v>
      </c>
      <c r="D54" s="1213" t="s">
        <v>307</v>
      </c>
      <c r="E54" s="1214" t="s">
        <v>114</v>
      </c>
      <c r="F54" s="1214" t="s">
        <v>114</v>
      </c>
      <c r="G54" s="226" t="s">
        <v>308</v>
      </c>
      <c r="H54" s="226">
        <v>32117</v>
      </c>
      <c r="I54" s="246">
        <v>28712062502628</v>
      </c>
      <c r="J54" s="247">
        <v>45139</v>
      </c>
      <c r="K54" s="247"/>
      <c r="L54" s="248"/>
      <c r="M54" s="228" t="s">
        <v>309</v>
      </c>
      <c r="N54" s="218" t="s">
        <v>310</v>
      </c>
      <c r="O54" s="1209"/>
      <c r="P54" s="1209"/>
      <c r="Q54" s="1209"/>
      <c r="R54" s="1209"/>
      <c r="S54" s="1209"/>
      <c r="T54" s="1209"/>
      <c r="U54" s="1209"/>
      <c r="V54" s="1209"/>
      <c r="W54" s="1209"/>
      <c r="X54" s="1209"/>
      <c r="Y54" s="1209"/>
      <c r="Z54" s="1209"/>
    </row>
    <row r="55" spans="1:26" ht="36" customHeight="1" x14ac:dyDescent="0.35">
      <c r="A55" s="1216"/>
      <c r="B55" s="232">
        <v>53</v>
      </c>
      <c r="C55" s="249" t="s">
        <v>311</v>
      </c>
      <c r="D55" s="1164"/>
      <c r="E55" s="1167"/>
      <c r="F55" s="1167"/>
      <c r="G55" s="226" t="s">
        <v>312</v>
      </c>
      <c r="H55" s="226">
        <v>34710</v>
      </c>
      <c r="I55" s="246">
        <v>29501112500748</v>
      </c>
      <c r="J55" s="247">
        <v>45139</v>
      </c>
      <c r="K55" s="247"/>
      <c r="L55" s="248"/>
      <c r="M55" s="228" t="s">
        <v>313</v>
      </c>
      <c r="N55" s="218"/>
      <c r="O55" s="1201"/>
      <c r="P55" s="1201"/>
      <c r="Q55" s="1201"/>
      <c r="R55" s="1201"/>
      <c r="S55" s="1201"/>
      <c r="T55" s="1201"/>
      <c r="U55" s="1201"/>
      <c r="V55" s="1201"/>
      <c r="W55" s="1201"/>
      <c r="X55" s="1201"/>
      <c r="Y55" s="1201"/>
      <c r="Z55" s="1201"/>
    </row>
    <row r="56" spans="1:26" ht="30.75" customHeight="1" x14ac:dyDescent="0.35">
      <c r="A56" s="1216"/>
      <c r="B56" s="232">
        <v>54</v>
      </c>
      <c r="C56" s="249" t="s">
        <v>314</v>
      </c>
      <c r="D56" s="1164"/>
      <c r="E56" s="1167"/>
      <c r="F56" s="1167"/>
      <c r="G56" s="226" t="s">
        <v>315</v>
      </c>
      <c r="H56" s="226">
        <v>35502</v>
      </c>
      <c r="I56" s="246">
        <v>29703132501921</v>
      </c>
      <c r="J56" s="247">
        <v>45139</v>
      </c>
      <c r="K56" s="247"/>
      <c r="L56" s="248"/>
      <c r="M56" s="228" t="s">
        <v>316</v>
      </c>
      <c r="N56" s="218"/>
      <c r="O56" s="1201"/>
      <c r="P56" s="1201"/>
      <c r="Q56" s="1201"/>
      <c r="R56" s="1201"/>
      <c r="S56" s="1201"/>
      <c r="T56" s="1201"/>
      <c r="U56" s="1201"/>
      <c r="V56" s="1201"/>
      <c r="W56" s="1201"/>
      <c r="X56" s="1201"/>
      <c r="Y56" s="1201"/>
      <c r="Z56" s="1201"/>
    </row>
    <row r="57" spans="1:26" ht="41.25" customHeight="1" x14ac:dyDescent="0.35">
      <c r="A57" s="1217"/>
      <c r="B57" s="250">
        <v>55</v>
      </c>
      <c r="C57" s="251" t="s">
        <v>317</v>
      </c>
      <c r="D57" s="1165"/>
      <c r="E57" s="1189"/>
      <c r="F57" s="1189"/>
      <c r="G57" s="226" t="s">
        <v>318</v>
      </c>
      <c r="H57" s="226">
        <v>27565</v>
      </c>
      <c r="I57" s="246">
        <v>27506202401867</v>
      </c>
      <c r="J57" s="252">
        <v>44829</v>
      </c>
      <c r="K57" s="252"/>
      <c r="L57" s="248"/>
      <c r="M57" s="228" t="s">
        <v>162</v>
      </c>
      <c r="N57" s="218" t="s">
        <v>172</v>
      </c>
      <c r="O57" s="1209"/>
      <c r="P57" s="1209"/>
      <c r="Q57" s="1209"/>
      <c r="R57" s="1209"/>
      <c r="S57" s="1209"/>
      <c r="T57" s="1209"/>
      <c r="U57" s="1209"/>
      <c r="V57" s="1209"/>
      <c r="W57" s="1209"/>
      <c r="X57" s="1209"/>
      <c r="Y57" s="1209"/>
      <c r="Z57" s="1209"/>
    </row>
    <row r="58" spans="1:26" ht="24.75" customHeight="1" x14ac:dyDescent="0.35">
      <c r="A58" s="1223" t="s">
        <v>319</v>
      </c>
      <c r="B58" s="250">
        <v>56</v>
      </c>
      <c r="C58" s="253" t="s">
        <v>320</v>
      </c>
      <c r="D58" s="1213"/>
      <c r="E58" s="1228" t="s">
        <v>12</v>
      </c>
      <c r="F58" s="1238" t="s">
        <v>321</v>
      </c>
      <c r="G58" s="226" t="s">
        <v>322</v>
      </c>
      <c r="H58" s="226">
        <v>33871</v>
      </c>
      <c r="I58" s="254">
        <v>29209242501263</v>
      </c>
      <c r="J58" s="255">
        <v>44829</v>
      </c>
      <c r="K58" s="255"/>
      <c r="L58" s="256"/>
      <c r="M58" s="228" t="s">
        <v>323</v>
      </c>
      <c r="N58" s="218" t="s">
        <v>324</v>
      </c>
      <c r="O58" s="1201"/>
      <c r="P58" s="1201"/>
      <c r="Q58" s="1201"/>
      <c r="R58" s="1201"/>
      <c r="S58" s="1201"/>
      <c r="T58" s="1201"/>
      <c r="U58" s="1201"/>
      <c r="V58" s="1201"/>
      <c r="W58" s="1201"/>
      <c r="X58" s="1201"/>
      <c r="Y58" s="1201"/>
      <c r="Z58" s="1201"/>
    </row>
    <row r="59" spans="1:26" ht="27" customHeight="1" x14ac:dyDescent="0.35">
      <c r="A59" s="1219"/>
      <c r="B59" s="250">
        <v>57</v>
      </c>
      <c r="C59" s="257" t="s">
        <v>325</v>
      </c>
      <c r="D59" s="1164"/>
      <c r="E59" s="1164"/>
      <c r="F59" s="1167"/>
      <c r="G59" s="226" t="s">
        <v>156</v>
      </c>
      <c r="H59" s="226">
        <v>33649</v>
      </c>
      <c r="I59" s="254">
        <v>29202152502908</v>
      </c>
      <c r="J59" s="255">
        <v>44829</v>
      </c>
      <c r="K59" s="255"/>
      <c r="L59" s="256"/>
      <c r="M59" s="228" t="s">
        <v>323</v>
      </c>
      <c r="N59" s="218" t="s">
        <v>324</v>
      </c>
      <c r="O59" s="1201"/>
      <c r="P59" s="1201"/>
      <c r="Q59" s="1201"/>
      <c r="R59" s="1201"/>
      <c r="S59" s="1201"/>
      <c r="T59" s="1201"/>
      <c r="U59" s="1201"/>
      <c r="V59" s="1201"/>
      <c r="W59" s="1201"/>
      <c r="X59" s="1201"/>
      <c r="Y59" s="1201"/>
      <c r="Z59" s="1201"/>
    </row>
    <row r="60" spans="1:26" ht="36" customHeight="1" x14ac:dyDescent="0.35">
      <c r="A60" s="1220"/>
      <c r="B60" s="250">
        <v>58</v>
      </c>
      <c r="C60" s="258" t="s">
        <v>326</v>
      </c>
      <c r="D60" s="1165"/>
      <c r="E60" s="1184"/>
      <c r="F60" s="1212"/>
      <c r="G60" s="226" t="s">
        <v>327</v>
      </c>
      <c r="H60" s="226">
        <v>30164</v>
      </c>
      <c r="I60" s="259">
        <v>28208012502601</v>
      </c>
      <c r="J60" s="255">
        <v>44829</v>
      </c>
      <c r="K60" s="255"/>
      <c r="L60" s="256"/>
      <c r="M60" s="228" t="s">
        <v>328</v>
      </c>
      <c r="N60" s="218" t="s">
        <v>324</v>
      </c>
      <c r="O60" s="1209"/>
      <c r="P60" s="1209"/>
      <c r="Q60" s="1209"/>
      <c r="R60" s="1209"/>
      <c r="S60" s="1209"/>
      <c r="T60" s="1209"/>
      <c r="U60" s="1209"/>
      <c r="V60" s="1209"/>
      <c r="W60" s="1209"/>
      <c r="X60" s="1209"/>
      <c r="Y60" s="1209"/>
      <c r="Z60" s="1209"/>
    </row>
    <row r="61" spans="1:26" ht="24" customHeight="1" x14ac:dyDescent="0.4">
      <c r="A61" s="1237" t="s">
        <v>329</v>
      </c>
      <c r="B61" s="238">
        <v>59</v>
      </c>
      <c r="C61" s="260" t="s">
        <v>330</v>
      </c>
      <c r="D61" s="1213"/>
      <c r="E61" s="225" t="s">
        <v>53</v>
      </c>
      <c r="F61" s="225" t="s">
        <v>331</v>
      </c>
      <c r="G61" s="226" t="s">
        <v>332</v>
      </c>
      <c r="H61" s="226" t="s">
        <v>333</v>
      </c>
      <c r="I61" s="259">
        <v>30001172502009</v>
      </c>
      <c r="J61" s="255">
        <v>44932</v>
      </c>
      <c r="K61" s="261"/>
      <c r="L61" s="262"/>
      <c r="M61" s="228" t="s">
        <v>303</v>
      </c>
      <c r="N61" s="218" t="s">
        <v>334</v>
      </c>
      <c r="O61" s="1201"/>
      <c r="P61" s="1201"/>
      <c r="Q61" s="1201"/>
      <c r="R61" s="1201"/>
      <c r="S61" s="1201"/>
      <c r="T61" s="1201"/>
      <c r="U61" s="1201"/>
      <c r="V61" s="1201"/>
      <c r="W61" s="1201"/>
      <c r="X61" s="1201"/>
      <c r="Y61" s="1201"/>
      <c r="Z61" s="1201"/>
    </row>
    <row r="62" spans="1:26" ht="30" customHeight="1" x14ac:dyDescent="0.4">
      <c r="A62" s="1216"/>
      <c r="B62" s="238">
        <v>60</v>
      </c>
      <c r="C62" s="260" t="s">
        <v>335</v>
      </c>
      <c r="D62" s="1164"/>
      <c r="E62" s="225"/>
      <c r="F62" s="225"/>
      <c r="G62" s="226" t="s">
        <v>336</v>
      </c>
      <c r="H62" s="226" t="s">
        <v>337</v>
      </c>
      <c r="I62" s="259">
        <v>29208192500183</v>
      </c>
      <c r="J62" s="255">
        <v>44932</v>
      </c>
      <c r="K62" s="261"/>
      <c r="L62" s="262"/>
      <c r="M62" s="228" t="s">
        <v>303</v>
      </c>
      <c r="N62" s="218" t="s">
        <v>334</v>
      </c>
      <c r="O62" s="1201"/>
      <c r="P62" s="1201"/>
      <c r="Q62" s="1201"/>
      <c r="R62" s="1201"/>
      <c r="S62" s="1201"/>
      <c r="T62" s="1201"/>
      <c r="U62" s="1201"/>
      <c r="V62" s="1201"/>
      <c r="W62" s="1201"/>
      <c r="X62" s="1201"/>
      <c r="Y62" s="1201"/>
      <c r="Z62" s="1201"/>
    </row>
    <row r="63" spans="1:26" ht="30" customHeight="1" x14ac:dyDescent="0.4">
      <c r="A63" s="1217"/>
      <c r="B63" s="263"/>
      <c r="C63" s="264" t="s">
        <v>338</v>
      </c>
      <c r="D63" s="1165"/>
      <c r="E63" s="265"/>
      <c r="F63" s="265"/>
      <c r="G63" s="240" t="s">
        <v>339</v>
      </c>
      <c r="H63" s="266" t="s">
        <v>340</v>
      </c>
      <c r="I63" s="267">
        <v>28804302502126</v>
      </c>
      <c r="J63" s="268">
        <v>45158</v>
      </c>
      <c r="K63" s="261"/>
      <c r="L63" s="262"/>
      <c r="M63" s="228" t="s">
        <v>303</v>
      </c>
      <c r="N63" s="187" t="s">
        <v>189</v>
      </c>
      <c r="O63" s="1201"/>
      <c r="P63" s="1201"/>
      <c r="Q63" s="1201"/>
      <c r="R63" s="1201"/>
      <c r="S63" s="1201"/>
      <c r="T63" s="1201"/>
      <c r="U63" s="1201"/>
      <c r="V63" s="1201"/>
      <c r="W63" s="1201"/>
      <c r="X63" s="1201"/>
      <c r="Y63" s="1201"/>
      <c r="Z63" s="1201"/>
    </row>
    <row r="64" spans="1:26" ht="31.5" customHeight="1" x14ac:dyDescent="0.35">
      <c r="A64" s="1237" t="s">
        <v>341</v>
      </c>
      <c r="B64" s="244">
        <v>62</v>
      </c>
      <c r="C64" s="257" t="s">
        <v>342</v>
      </c>
      <c r="D64" s="1213"/>
      <c r="E64" s="1228" t="s">
        <v>56</v>
      </c>
      <c r="F64" s="1238" t="s">
        <v>341</v>
      </c>
      <c r="G64" s="226" t="s">
        <v>343</v>
      </c>
      <c r="H64" s="226">
        <v>35768</v>
      </c>
      <c r="I64" s="254">
        <v>29712042501866</v>
      </c>
      <c r="J64" s="255">
        <v>45060</v>
      </c>
      <c r="K64" s="255"/>
      <c r="L64" s="256"/>
      <c r="M64" s="228" t="s">
        <v>296</v>
      </c>
      <c r="N64" s="187" t="s">
        <v>189</v>
      </c>
      <c r="O64" s="269"/>
      <c r="P64" s="269"/>
      <c r="Q64" s="269"/>
      <c r="R64" s="269"/>
      <c r="S64" s="269"/>
    </row>
    <row r="65" spans="1:19" ht="27" customHeight="1" x14ac:dyDescent="0.35">
      <c r="A65" s="1216"/>
      <c r="B65" s="232">
        <v>63</v>
      </c>
      <c r="C65" s="257" t="s">
        <v>344</v>
      </c>
      <c r="D65" s="1164"/>
      <c r="E65" s="1164"/>
      <c r="F65" s="1167"/>
      <c r="G65" s="226" t="s">
        <v>345</v>
      </c>
      <c r="H65" s="226">
        <v>36285</v>
      </c>
      <c r="I65" s="254">
        <v>29905052503665</v>
      </c>
      <c r="J65" s="255">
        <v>45060</v>
      </c>
      <c r="K65" s="255"/>
      <c r="L65" s="256"/>
      <c r="M65" s="228" t="s">
        <v>296</v>
      </c>
      <c r="N65" s="187" t="s">
        <v>201</v>
      </c>
      <c r="O65" s="269"/>
      <c r="P65" s="269"/>
      <c r="Q65" s="269"/>
      <c r="R65" s="269"/>
      <c r="S65" s="269"/>
    </row>
    <row r="66" spans="1:19" ht="27.75" customHeight="1" x14ac:dyDescent="0.3">
      <c r="A66" s="1217"/>
      <c r="B66" s="232">
        <v>64</v>
      </c>
      <c r="C66" s="270" t="s">
        <v>346</v>
      </c>
      <c r="D66" s="1165"/>
      <c r="E66" s="1184"/>
      <c r="F66" s="1212"/>
      <c r="G66" s="240" t="s">
        <v>156</v>
      </c>
      <c r="H66" s="241">
        <v>31837</v>
      </c>
      <c r="I66" s="271">
        <v>28703012506143</v>
      </c>
      <c r="J66" s="272">
        <v>45139</v>
      </c>
      <c r="K66" s="273"/>
      <c r="L66" s="274"/>
      <c r="M66" s="228" t="s">
        <v>296</v>
      </c>
      <c r="N66" s="187" t="s">
        <v>189</v>
      </c>
      <c r="O66" s="269"/>
      <c r="P66" s="269"/>
      <c r="Q66" s="269"/>
      <c r="R66" s="269"/>
      <c r="S66" s="269"/>
    </row>
    <row r="67" spans="1:19" ht="30.75" customHeight="1" x14ac:dyDescent="0.35">
      <c r="A67" s="1218" t="s">
        <v>347</v>
      </c>
      <c r="B67" s="275"/>
      <c r="C67" s="233" t="s">
        <v>348</v>
      </c>
      <c r="D67" s="1210" t="s">
        <v>349</v>
      </c>
      <c r="E67" s="1210" t="s">
        <v>64</v>
      </c>
      <c r="F67" s="1210" t="s">
        <v>119</v>
      </c>
      <c r="G67" s="226" t="s">
        <v>350</v>
      </c>
      <c r="H67" s="226">
        <v>33459</v>
      </c>
      <c r="I67" s="254">
        <v>29108092200321</v>
      </c>
      <c r="J67" s="255">
        <v>44743</v>
      </c>
      <c r="K67" s="273"/>
      <c r="L67" s="273"/>
      <c r="M67" s="187" t="s">
        <v>351</v>
      </c>
      <c r="N67" s="187" t="s">
        <v>352</v>
      </c>
      <c r="O67" s="269"/>
      <c r="P67" s="269"/>
      <c r="Q67" s="269"/>
      <c r="R67" s="269"/>
      <c r="S67" s="269"/>
    </row>
    <row r="68" spans="1:19" ht="25.5" customHeight="1" x14ac:dyDescent="0.35">
      <c r="A68" s="1219"/>
      <c r="B68" s="276"/>
      <c r="C68" s="237" t="s">
        <v>353</v>
      </c>
      <c r="D68" s="1164"/>
      <c r="E68" s="1164"/>
      <c r="F68" s="1164"/>
      <c r="G68" s="226" t="s">
        <v>354</v>
      </c>
      <c r="H68" s="226">
        <v>35158</v>
      </c>
      <c r="I68" s="254">
        <v>209604032201062</v>
      </c>
      <c r="J68" s="255">
        <v>44743</v>
      </c>
      <c r="K68" s="273"/>
      <c r="L68" s="273"/>
      <c r="M68" s="187" t="s">
        <v>351</v>
      </c>
      <c r="N68" s="187" t="s">
        <v>352</v>
      </c>
      <c r="O68" s="269"/>
      <c r="P68" s="269"/>
      <c r="Q68" s="269"/>
      <c r="R68" s="269"/>
      <c r="S68" s="269"/>
    </row>
    <row r="69" spans="1:19" ht="24" customHeight="1" x14ac:dyDescent="0.35">
      <c r="A69" s="1220"/>
      <c r="B69" s="276"/>
      <c r="C69" s="237" t="s">
        <v>355</v>
      </c>
      <c r="D69" s="1165"/>
      <c r="E69" s="1184"/>
      <c r="F69" s="1184"/>
      <c r="G69" s="226" t="s">
        <v>350</v>
      </c>
      <c r="H69" s="226">
        <v>35994</v>
      </c>
      <c r="I69" s="254">
        <v>29807182200921</v>
      </c>
      <c r="J69" s="255">
        <v>44743</v>
      </c>
      <c r="K69" s="273"/>
      <c r="L69" s="273"/>
      <c r="M69" s="187" t="s">
        <v>351</v>
      </c>
      <c r="N69" s="187" t="s">
        <v>352</v>
      </c>
      <c r="O69" s="269"/>
      <c r="P69" s="269"/>
      <c r="Q69" s="269"/>
      <c r="R69" s="269"/>
      <c r="S69" s="269"/>
    </row>
    <row r="70" spans="1:19" ht="22.5" customHeight="1" x14ac:dyDescent="0.35">
      <c r="A70" s="1218" t="s">
        <v>356</v>
      </c>
      <c r="B70" s="276"/>
      <c r="C70" s="233" t="s">
        <v>357</v>
      </c>
      <c r="D70" s="1210" t="s">
        <v>349</v>
      </c>
      <c r="E70" s="1210"/>
      <c r="F70" s="1210" t="s">
        <v>120</v>
      </c>
      <c r="G70" s="226" t="s">
        <v>358</v>
      </c>
      <c r="H70" s="226">
        <v>28836</v>
      </c>
      <c r="I70" s="254">
        <v>27812122200945</v>
      </c>
      <c r="J70" s="255">
        <v>43466</v>
      </c>
      <c r="K70" s="273"/>
      <c r="L70" s="273"/>
      <c r="M70" s="187" t="s">
        <v>359</v>
      </c>
      <c r="N70" s="187" t="s">
        <v>260</v>
      </c>
      <c r="O70" s="269"/>
      <c r="P70" s="269"/>
      <c r="Q70" s="269"/>
      <c r="R70" s="269"/>
      <c r="S70" s="269"/>
    </row>
    <row r="71" spans="1:19" ht="22.5" customHeight="1" x14ac:dyDescent="0.35">
      <c r="A71" s="1219"/>
      <c r="B71" s="276"/>
      <c r="C71" s="237" t="s">
        <v>360</v>
      </c>
      <c r="D71" s="1164"/>
      <c r="E71" s="1164"/>
      <c r="F71" s="1164"/>
      <c r="G71" s="226" t="s">
        <v>361</v>
      </c>
      <c r="H71" s="226">
        <v>36201</v>
      </c>
      <c r="I71" s="254">
        <v>29902102202425</v>
      </c>
      <c r="J71" s="255">
        <v>43831</v>
      </c>
      <c r="K71" s="273"/>
      <c r="L71" s="273"/>
      <c r="M71" s="187" t="s">
        <v>359</v>
      </c>
      <c r="N71" s="187" t="s">
        <v>260</v>
      </c>
      <c r="O71" s="269"/>
      <c r="P71" s="269"/>
      <c r="Q71" s="269"/>
      <c r="R71" s="269"/>
      <c r="S71" s="269"/>
    </row>
    <row r="72" spans="1:19" ht="26.25" customHeight="1" x14ac:dyDescent="0.35">
      <c r="A72" s="1220"/>
      <c r="C72" s="237" t="s">
        <v>362</v>
      </c>
      <c r="D72" s="1165"/>
      <c r="E72" s="1184"/>
      <c r="F72" s="1184"/>
      <c r="G72" s="226" t="s">
        <v>354</v>
      </c>
      <c r="H72" s="226">
        <v>32396</v>
      </c>
      <c r="I72" s="254">
        <v>28809102202049</v>
      </c>
      <c r="J72" s="255">
        <v>43831</v>
      </c>
      <c r="K72" s="273"/>
      <c r="L72" s="273"/>
      <c r="M72" s="187" t="s">
        <v>359</v>
      </c>
      <c r="N72" s="187" t="s">
        <v>260</v>
      </c>
    </row>
    <row r="73" spans="1:19" ht="24.75" customHeight="1" x14ac:dyDescent="0.35">
      <c r="A73" s="1218" t="s">
        <v>363</v>
      </c>
      <c r="B73" s="276"/>
      <c r="C73" s="233" t="s">
        <v>364</v>
      </c>
      <c r="D73" s="1210" t="s">
        <v>349</v>
      </c>
      <c r="E73" s="1227"/>
      <c r="F73" s="1228" t="s">
        <v>72</v>
      </c>
      <c r="G73" s="226" t="s">
        <v>365</v>
      </c>
      <c r="H73" s="226">
        <v>34387</v>
      </c>
      <c r="I73" s="254">
        <v>29402222200547</v>
      </c>
      <c r="J73" s="255">
        <v>44562</v>
      </c>
      <c r="K73" s="273"/>
      <c r="L73" s="273"/>
      <c r="M73" s="187" t="s">
        <v>366</v>
      </c>
      <c r="N73" s="187" t="s">
        <v>260</v>
      </c>
    </row>
    <row r="74" spans="1:19" ht="27.75" customHeight="1" x14ac:dyDescent="0.35">
      <c r="A74" s="1219"/>
      <c r="B74" s="276"/>
      <c r="C74" s="237" t="s">
        <v>367</v>
      </c>
      <c r="D74" s="1164"/>
      <c r="E74" s="1164"/>
      <c r="F74" s="1164"/>
      <c r="G74" s="226" t="s">
        <v>368</v>
      </c>
      <c r="H74" s="226">
        <v>36088</v>
      </c>
      <c r="I74" s="254">
        <v>29810202200568</v>
      </c>
      <c r="J74" s="255">
        <v>44562</v>
      </c>
      <c r="K74" s="273"/>
      <c r="L74" s="273"/>
      <c r="M74" s="187" t="s">
        <v>369</v>
      </c>
      <c r="N74" s="187" t="s">
        <v>260</v>
      </c>
    </row>
    <row r="75" spans="1:19" ht="28.5" customHeight="1" x14ac:dyDescent="0.35">
      <c r="A75" s="1220"/>
      <c r="B75" s="276"/>
      <c r="C75" s="277" t="s">
        <v>370</v>
      </c>
      <c r="D75" s="1165"/>
      <c r="E75" s="1184"/>
      <c r="F75" s="1184"/>
      <c r="G75" s="278" t="s">
        <v>368</v>
      </c>
      <c r="H75" s="226">
        <v>36008</v>
      </c>
      <c r="I75" s="254">
        <v>29808012202861</v>
      </c>
      <c r="J75" s="255">
        <v>44896</v>
      </c>
      <c r="K75" s="273"/>
      <c r="L75" s="273"/>
      <c r="M75" s="187" t="s">
        <v>371</v>
      </c>
      <c r="N75" s="187" t="s">
        <v>260</v>
      </c>
    </row>
    <row r="76" spans="1:19" ht="107.25" customHeight="1" x14ac:dyDescent="0.35">
      <c r="A76" s="279" t="s">
        <v>372</v>
      </c>
      <c r="B76" s="280"/>
      <c r="C76" s="281" t="s">
        <v>373</v>
      </c>
      <c r="D76" s="282" t="s">
        <v>63</v>
      </c>
      <c r="E76" s="283"/>
      <c r="F76" s="284" t="s">
        <v>75</v>
      </c>
      <c r="G76" s="278" t="s">
        <v>374</v>
      </c>
      <c r="H76" s="278">
        <v>34229</v>
      </c>
      <c r="I76" s="285">
        <v>29309172200362</v>
      </c>
      <c r="J76" s="286">
        <v>45017</v>
      </c>
      <c r="K76" s="273"/>
      <c r="L76" s="273"/>
      <c r="M76" s="187" t="s">
        <v>375</v>
      </c>
      <c r="N76" s="287" t="s">
        <v>376</v>
      </c>
    </row>
    <row r="77" spans="1:19" ht="30" customHeight="1" x14ac:dyDescent="0.35">
      <c r="A77" s="1221" t="s">
        <v>377</v>
      </c>
      <c r="B77" s="276"/>
      <c r="C77" s="288" t="s">
        <v>378</v>
      </c>
      <c r="D77" s="1225" t="s">
        <v>79</v>
      </c>
      <c r="E77" s="1226" t="s">
        <v>91</v>
      </c>
      <c r="F77" s="1226" t="s">
        <v>379</v>
      </c>
      <c r="G77" s="278" t="s">
        <v>380</v>
      </c>
      <c r="H77" s="278">
        <v>36251</v>
      </c>
      <c r="I77" s="254">
        <v>29904012607224</v>
      </c>
      <c r="J77" s="286">
        <v>44857</v>
      </c>
      <c r="K77" s="274"/>
      <c r="L77" s="274"/>
      <c r="M77" s="289"/>
      <c r="N77" s="290"/>
    </row>
    <row r="78" spans="1:19" ht="25.5" customHeight="1" x14ac:dyDescent="0.35">
      <c r="A78" s="1219"/>
      <c r="C78" s="291" t="s">
        <v>381</v>
      </c>
      <c r="D78" s="1164"/>
      <c r="E78" s="1167"/>
      <c r="F78" s="1167"/>
      <c r="G78" s="278" t="s">
        <v>262</v>
      </c>
      <c r="H78" s="278">
        <v>33322</v>
      </c>
      <c r="I78" s="254">
        <v>29103252603088</v>
      </c>
      <c r="J78" s="286">
        <v>44857</v>
      </c>
      <c r="K78" s="274"/>
      <c r="L78" s="274"/>
      <c r="M78" s="289"/>
      <c r="N78" s="292"/>
    </row>
    <row r="79" spans="1:19" ht="28.5" customHeight="1" x14ac:dyDescent="0.35">
      <c r="A79" s="1219"/>
      <c r="C79" s="293" t="s">
        <v>382</v>
      </c>
      <c r="D79" s="1165"/>
      <c r="E79" s="1189"/>
      <c r="F79" s="1189"/>
      <c r="G79" s="278" t="s">
        <v>383</v>
      </c>
      <c r="H79" s="278">
        <v>35448</v>
      </c>
      <c r="I79" s="254">
        <v>29701182601427</v>
      </c>
      <c r="J79" s="286">
        <v>44866</v>
      </c>
      <c r="K79" s="294"/>
      <c r="L79" s="294"/>
      <c r="M79" s="295"/>
      <c r="N79" s="295"/>
    </row>
    <row r="80" spans="1:19" ht="32.25" customHeight="1" x14ac:dyDescent="0.35">
      <c r="A80" s="1222" t="s">
        <v>384</v>
      </c>
      <c r="C80" s="297" t="s">
        <v>385</v>
      </c>
      <c r="D80" s="1225" t="s">
        <v>79</v>
      </c>
      <c r="E80" s="1226" t="s">
        <v>80</v>
      </c>
      <c r="F80" s="1226" t="s">
        <v>386</v>
      </c>
      <c r="G80" s="278" t="s">
        <v>345</v>
      </c>
      <c r="H80" s="278">
        <v>33833</v>
      </c>
      <c r="I80" s="254">
        <v>29208172600424</v>
      </c>
      <c r="J80" s="286">
        <v>44829</v>
      </c>
      <c r="K80" s="294"/>
      <c r="L80" s="294"/>
      <c r="M80" s="294"/>
      <c r="N80" s="294"/>
    </row>
    <row r="81" spans="1:14" ht="26.25" customHeight="1" x14ac:dyDescent="0.35">
      <c r="A81" s="1216"/>
      <c r="C81" s="293" t="s">
        <v>387</v>
      </c>
      <c r="D81" s="1164"/>
      <c r="E81" s="1167"/>
      <c r="F81" s="1167"/>
      <c r="G81" s="278" t="s">
        <v>388</v>
      </c>
      <c r="H81" s="278">
        <v>32721</v>
      </c>
      <c r="I81" s="254">
        <v>28908012606581</v>
      </c>
      <c r="J81" s="286">
        <v>44829</v>
      </c>
      <c r="K81" s="294"/>
      <c r="L81" s="294"/>
      <c r="M81" s="294"/>
      <c r="N81" s="294"/>
    </row>
    <row r="82" spans="1:14" ht="24.75" customHeight="1" x14ac:dyDescent="0.3">
      <c r="A82" s="1216"/>
      <c r="C82" s="298" t="s">
        <v>389</v>
      </c>
      <c r="D82" s="1165"/>
      <c r="E82" s="1189"/>
      <c r="F82" s="1189"/>
      <c r="G82" s="299" t="s">
        <v>388</v>
      </c>
      <c r="H82" s="299">
        <v>33055</v>
      </c>
      <c r="I82" s="298">
        <v>29901076204142</v>
      </c>
      <c r="J82" s="300">
        <v>44829</v>
      </c>
      <c r="K82" s="294"/>
      <c r="L82" s="294"/>
      <c r="M82" s="294"/>
      <c r="N82" s="294"/>
    </row>
    <row r="83" spans="1:14" ht="28.5" customHeight="1" x14ac:dyDescent="0.35">
      <c r="A83" s="1216"/>
      <c r="C83" s="293" t="s">
        <v>390</v>
      </c>
      <c r="D83" s="297" t="s">
        <v>85</v>
      </c>
      <c r="E83" s="301" t="s">
        <v>391</v>
      </c>
      <c r="F83" s="301" t="s">
        <v>391</v>
      </c>
      <c r="G83" s="278" t="s">
        <v>392</v>
      </c>
      <c r="H83" s="278">
        <v>34889</v>
      </c>
      <c r="I83" s="254">
        <v>29507092600501</v>
      </c>
      <c r="J83" s="286">
        <v>45036</v>
      </c>
      <c r="K83" s="294"/>
      <c r="L83" s="294"/>
      <c r="M83" s="294"/>
      <c r="N83" s="294"/>
    </row>
    <row r="84" spans="1:14" ht="15.75" customHeight="1" x14ac:dyDescent="0.35">
      <c r="A84" s="296"/>
      <c r="D84" s="302"/>
      <c r="I84" s="254"/>
      <c r="M84" s="303"/>
      <c r="N84" s="304"/>
    </row>
    <row r="85" spans="1:14" ht="15.75" customHeight="1" x14ac:dyDescent="0.35">
      <c r="A85" s="296"/>
      <c r="I85" s="254"/>
      <c r="M85" s="303"/>
      <c r="N85" s="304"/>
    </row>
    <row r="86" spans="1:14" ht="15.75" customHeight="1" x14ac:dyDescent="0.35">
      <c r="A86" s="1222"/>
      <c r="I86" s="254"/>
      <c r="M86" s="303"/>
      <c r="N86" s="304"/>
    </row>
    <row r="87" spans="1:14" ht="15.75" customHeight="1" x14ac:dyDescent="0.35">
      <c r="A87" s="1216"/>
      <c r="I87" s="254"/>
    </row>
    <row r="88" spans="1:14" ht="15.75" customHeight="1" x14ac:dyDescent="0.25">
      <c r="A88" s="1216"/>
    </row>
    <row r="89" spans="1:14" ht="15.75" customHeight="1" x14ac:dyDescent="0.25">
      <c r="A89" s="1222"/>
    </row>
    <row r="90" spans="1:14" ht="15.75" customHeight="1" x14ac:dyDescent="0.25">
      <c r="A90" s="1216"/>
    </row>
    <row r="91" spans="1:14" ht="15.75" customHeight="1" x14ac:dyDescent="0.25">
      <c r="A91" s="1216"/>
    </row>
    <row r="92" spans="1:14" ht="15.75" customHeight="1" x14ac:dyDescent="0.25"/>
    <row r="93" spans="1:14" ht="15.75" customHeight="1" x14ac:dyDescent="0.25"/>
    <row r="94" spans="1:14" ht="15.75" customHeight="1" x14ac:dyDescent="0.25"/>
    <row r="95" spans="1:14" ht="15.75" customHeight="1" x14ac:dyDescent="0.25"/>
    <row r="96" spans="1:1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65">
    <mergeCell ref="D64:D66"/>
    <mergeCell ref="E64:E66"/>
    <mergeCell ref="F64:F66"/>
    <mergeCell ref="E67:E69"/>
    <mergeCell ref="F67:F69"/>
    <mergeCell ref="O54:O56"/>
    <mergeCell ref="O57:O59"/>
    <mergeCell ref="O60:O63"/>
    <mergeCell ref="A54:A57"/>
    <mergeCell ref="A58:A60"/>
    <mergeCell ref="D58:D60"/>
    <mergeCell ref="E58:E60"/>
    <mergeCell ref="F58:F60"/>
    <mergeCell ref="D61:D63"/>
    <mergeCell ref="A61:A63"/>
    <mergeCell ref="E18:E20"/>
    <mergeCell ref="F18:F20"/>
    <mergeCell ref="D18:D20"/>
    <mergeCell ref="D21:D23"/>
    <mergeCell ref="E21:E23"/>
    <mergeCell ref="F21:F23"/>
    <mergeCell ref="D24:D26"/>
    <mergeCell ref="E24:E26"/>
    <mergeCell ref="F24:F26"/>
    <mergeCell ref="A9:A11"/>
    <mergeCell ref="D9:D11"/>
    <mergeCell ref="E9:E11"/>
    <mergeCell ref="F9:F11"/>
    <mergeCell ref="F12:F14"/>
    <mergeCell ref="D12:D14"/>
    <mergeCell ref="E12:E14"/>
    <mergeCell ref="D15:D17"/>
    <mergeCell ref="E15:E17"/>
    <mergeCell ref="F15:F17"/>
    <mergeCell ref="A1:N1"/>
    <mergeCell ref="A3:A5"/>
    <mergeCell ref="D3:D5"/>
    <mergeCell ref="E3:E5"/>
    <mergeCell ref="F3:F5"/>
    <mergeCell ref="A6:A8"/>
    <mergeCell ref="D6:D8"/>
    <mergeCell ref="E6:E8"/>
    <mergeCell ref="F6:F8"/>
    <mergeCell ref="D77:D79"/>
    <mergeCell ref="E77:E79"/>
    <mergeCell ref="F77:F79"/>
    <mergeCell ref="D80:D82"/>
    <mergeCell ref="E80:E82"/>
    <mergeCell ref="F80:F82"/>
    <mergeCell ref="D67:D69"/>
    <mergeCell ref="D70:D72"/>
    <mergeCell ref="E70:E72"/>
    <mergeCell ref="F70:F72"/>
    <mergeCell ref="D73:D75"/>
    <mergeCell ref="E73:E75"/>
    <mergeCell ref="F73:F75"/>
    <mergeCell ref="A73:A75"/>
    <mergeCell ref="A77:A79"/>
    <mergeCell ref="A80:A83"/>
    <mergeCell ref="A86:A88"/>
    <mergeCell ref="A89:A91"/>
    <mergeCell ref="A33:A35"/>
    <mergeCell ref="A36:A38"/>
    <mergeCell ref="A39:A41"/>
    <mergeCell ref="A42:A44"/>
    <mergeCell ref="A45:A47"/>
    <mergeCell ref="A48:A50"/>
    <mergeCell ref="A51:A53"/>
    <mergeCell ref="A64:A66"/>
    <mergeCell ref="A12:A14"/>
    <mergeCell ref="A15:A17"/>
    <mergeCell ref="A18:A20"/>
    <mergeCell ref="A21:A23"/>
    <mergeCell ref="A24:A26"/>
    <mergeCell ref="A27:A29"/>
    <mergeCell ref="A30:A32"/>
    <mergeCell ref="A67:A69"/>
    <mergeCell ref="A70:A72"/>
    <mergeCell ref="V54:V56"/>
    <mergeCell ref="W60:W63"/>
    <mergeCell ref="X60:X63"/>
    <mergeCell ref="Y60:Y63"/>
    <mergeCell ref="Z60:Z63"/>
    <mergeCell ref="P60:P63"/>
    <mergeCell ref="Q60:Q63"/>
    <mergeCell ref="R60:R63"/>
    <mergeCell ref="S60:S63"/>
    <mergeCell ref="T60:T63"/>
    <mergeCell ref="U60:U63"/>
    <mergeCell ref="V60:V63"/>
    <mergeCell ref="W51:W53"/>
    <mergeCell ref="X51:X53"/>
    <mergeCell ref="Y51:Y53"/>
    <mergeCell ref="Z51:Z53"/>
    <mergeCell ref="P51:P53"/>
    <mergeCell ref="Q51:Q53"/>
    <mergeCell ref="R51:R53"/>
    <mergeCell ref="S51:S53"/>
    <mergeCell ref="T51:T53"/>
    <mergeCell ref="U51:U53"/>
    <mergeCell ref="V51:V53"/>
    <mergeCell ref="W48:W50"/>
    <mergeCell ref="X48:X50"/>
    <mergeCell ref="Y48:Y50"/>
    <mergeCell ref="Z48:Z50"/>
    <mergeCell ref="P48:P50"/>
    <mergeCell ref="Q48:Q50"/>
    <mergeCell ref="R48:R50"/>
    <mergeCell ref="S48:S50"/>
    <mergeCell ref="T48:T50"/>
    <mergeCell ref="U48:U50"/>
    <mergeCell ref="V48:V50"/>
    <mergeCell ref="D54:D57"/>
    <mergeCell ref="E54:E57"/>
    <mergeCell ref="F54:F57"/>
    <mergeCell ref="W57:W59"/>
    <mergeCell ref="X57:X59"/>
    <mergeCell ref="Y57:Y59"/>
    <mergeCell ref="Z57:Z59"/>
    <mergeCell ref="P57:P59"/>
    <mergeCell ref="Q57:Q59"/>
    <mergeCell ref="R57:R59"/>
    <mergeCell ref="S57:S59"/>
    <mergeCell ref="T57:T59"/>
    <mergeCell ref="U57:U59"/>
    <mergeCell ref="V57:V59"/>
    <mergeCell ref="W54:W56"/>
    <mergeCell ref="X54:X56"/>
    <mergeCell ref="Y54:Y56"/>
    <mergeCell ref="Z54:Z56"/>
    <mergeCell ref="P54:P56"/>
    <mergeCell ref="Q54:Q56"/>
    <mergeCell ref="R54:R56"/>
    <mergeCell ref="S54:S56"/>
    <mergeCell ref="T54:T56"/>
    <mergeCell ref="U54:U56"/>
    <mergeCell ref="D45:D47"/>
    <mergeCell ref="E45:E47"/>
    <mergeCell ref="F45:F47"/>
    <mergeCell ref="D48:D50"/>
    <mergeCell ref="E48:E50"/>
    <mergeCell ref="F48:F50"/>
    <mergeCell ref="O48:O50"/>
    <mergeCell ref="D51:D53"/>
    <mergeCell ref="E51:E53"/>
    <mergeCell ref="F51:F53"/>
    <mergeCell ref="O51:O53"/>
    <mergeCell ref="E42:E44"/>
    <mergeCell ref="F42:F44"/>
    <mergeCell ref="D36:D38"/>
    <mergeCell ref="E36:E38"/>
    <mergeCell ref="F36:F38"/>
    <mergeCell ref="D39:D41"/>
    <mergeCell ref="E39:E41"/>
    <mergeCell ref="F39:F41"/>
    <mergeCell ref="D42:D44"/>
    <mergeCell ref="E33:E35"/>
    <mergeCell ref="F33:F35"/>
    <mergeCell ref="D27:D29"/>
    <mergeCell ref="E27:E29"/>
    <mergeCell ref="F27:F29"/>
    <mergeCell ref="D30:D32"/>
    <mergeCell ref="E30:E32"/>
    <mergeCell ref="F30:F32"/>
    <mergeCell ref="D33:D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x14ac:dyDescent="0.25"/>
  <cols>
    <col min="1" max="1" width="25.33203125" customWidth="1"/>
    <col min="2" max="2" width="41.33203125" customWidth="1"/>
    <col min="3" max="4" width="9.88671875" customWidth="1"/>
    <col min="5" max="5" width="10.33203125" customWidth="1"/>
    <col min="6" max="6" width="11" customWidth="1"/>
    <col min="7" max="7" width="7" customWidth="1"/>
    <col min="8" max="8" width="8.6640625" customWidth="1"/>
    <col min="9" max="9" width="7.6640625" customWidth="1"/>
    <col min="10" max="10" width="9.109375" customWidth="1"/>
    <col min="11" max="11" width="8.109375" customWidth="1"/>
    <col min="12" max="12" width="7.33203125" customWidth="1"/>
    <col min="13" max="13" width="6.109375" customWidth="1"/>
    <col min="14" max="14" width="5.33203125" customWidth="1"/>
    <col min="15" max="15" width="6.109375" customWidth="1"/>
    <col min="16" max="16" width="5.88671875" customWidth="1"/>
    <col min="17" max="17" width="6.77734375" customWidth="1"/>
    <col min="18" max="18" width="7.77734375" customWidth="1"/>
    <col min="19" max="19" width="8.88671875" customWidth="1"/>
    <col min="20" max="20" width="7.77734375" customWidth="1"/>
    <col min="21" max="21" width="9.109375" customWidth="1"/>
  </cols>
  <sheetData>
    <row r="1" spans="1:28" ht="30" customHeight="1" x14ac:dyDescent="0.4">
      <c r="A1" s="1239"/>
      <c r="B1" s="1240"/>
      <c r="C1" s="1241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3" t="s">
        <v>394</v>
      </c>
      <c r="X1" s="1244"/>
      <c r="Y1" s="1244"/>
      <c r="Z1" s="1244"/>
      <c r="AA1" s="1244"/>
      <c r="AB1" s="1245"/>
    </row>
    <row r="2" spans="1:28" ht="36.75" customHeight="1" x14ac:dyDescent="0.25">
      <c r="A2" s="1201"/>
      <c r="B2" s="1240"/>
      <c r="C2" s="1246"/>
      <c r="D2" s="1247"/>
      <c r="E2" s="1247"/>
      <c r="F2" s="1247"/>
      <c r="G2" s="306" t="s">
        <v>99</v>
      </c>
      <c r="H2" s="307" t="s">
        <v>100</v>
      </c>
      <c r="I2" s="307" t="s">
        <v>198</v>
      </c>
      <c r="J2" s="307" t="s">
        <v>21</v>
      </c>
      <c r="K2" s="307" t="s">
        <v>102</v>
      </c>
      <c r="L2" s="308" t="s">
        <v>395</v>
      </c>
      <c r="M2" s="307" t="s">
        <v>396</v>
      </c>
      <c r="N2" s="307" t="s">
        <v>105</v>
      </c>
      <c r="O2" s="307" t="s">
        <v>106</v>
      </c>
      <c r="P2" s="307" t="s">
        <v>107</v>
      </c>
      <c r="Q2" s="309" t="s">
        <v>215</v>
      </c>
      <c r="R2" s="310" t="s">
        <v>34</v>
      </c>
      <c r="S2" s="311" t="s">
        <v>397</v>
      </c>
      <c r="T2" s="310" t="s">
        <v>110</v>
      </c>
      <c r="U2" s="311" t="s">
        <v>111</v>
      </c>
      <c r="V2" s="312" t="s">
        <v>398</v>
      </c>
      <c r="W2" s="313" t="s">
        <v>399</v>
      </c>
      <c r="X2" s="314" t="s">
        <v>341</v>
      </c>
      <c r="Y2" s="314" t="s">
        <v>400</v>
      </c>
      <c r="Z2" s="314" t="s">
        <v>49</v>
      </c>
      <c r="AA2" s="315" t="s">
        <v>45</v>
      </c>
      <c r="AB2" s="316" t="s">
        <v>321</v>
      </c>
    </row>
    <row r="3" spans="1:28" ht="22.5" customHeight="1" x14ac:dyDescent="0.3">
      <c r="A3" s="1248" t="s">
        <v>401</v>
      </c>
      <c r="B3" s="317" t="s">
        <v>402</v>
      </c>
      <c r="C3" s="1250"/>
      <c r="D3" s="1251"/>
      <c r="E3" s="1251"/>
      <c r="F3" s="1251"/>
      <c r="G3" s="318">
        <v>120</v>
      </c>
      <c r="H3" s="318">
        <v>120</v>
      </c>
      <c r="I3" s="318">
        <v>120</v>
      </c>
      <c r="J3" s="318">
        <v>120</v>
      </c>
      <c r="K3" s="318">
        <v>120</v>
      </c>
      <c r="L3" s="318">
        <v>120</v>
      </c>
      <c r="M3" s="318">
        <v>120</v>
      </c>
      <c r="N3" s="318">
        <v>120</v>
      </c>
      <c r="O3" s="318">
        <v>120</v>
      </c>
      <c r="P3" s="318">
        <v>120</v>
      </c>
      <c r="Q3" s="318">
        <v>120</v>
      </c>
      <c r="R3" s="318">
        <v>120</v>
      </c>
      <c r="S3" s="318">
        <v>120</v>
      </c>
      <c r="T3" s="318">
        <v>120</v>
      </c>
      <c r="U3" s="318">
        <v>120</v>
      </c>
      <c r="V3" s="319">
        <f t="shared" ref="V3:V40" si="0">SUM(U3+T3+S3+R3+Q3+P3+O3+N3+M3+L3+K3+J3+I3+H3+G3)</f>
        <v>1800</v>
      </c>
      <c r="W3" s="305"/>
      <c r="X3" s="305"/>
      <c r="Y3" s="305"/>
      <c r="Z3" s="305"/>
    </row>
    <row r="4" spans="1:28" ht="22.5" customHeight="1" x14ac:dyDescent="0.3">
      <c r="A4" s="1249"/>
      <c r="B4" s="320" t="s">
        <v>403</v>
      </c>
      <c r="C4" s="1252"/>
      <c r="D4" s="1201"/>
      <c r="E4" s="1201"/>
      <c r="F4" s="1201"/>
      <c r="G4" s="288">
        <v>80</v>
      </c>
      <c r="H4" s="288">
        <v>120</v>
      </c>
      <c r="I4" s="288">
        <v>81</v>
      </c>
      <c r="J4" s="288">
        <v>80</v>
      </c>
      <c r="K4" s="288">
        <v>80</v>
      </c>
      <c r="L4" s="288">
        <v>15</v>
      </c>
      <c r="M4" s="288">
        <v>120</v>
      </c>
      <c r="N4" s="288">
        <v>90</v>
      </c>
      <c r="O4" s="288">
        <v>120</v>
      </c>
      <c r="P4" s="288">
        <v>120</v>
      </c>
      <c r="Q4" s="288">
        <v>120</v>
      </c>
      <c r="R4" s="288">
        <v>120</v>
      </c>
      <c r="S4" s="288">
        <v>120</v>
      </c>
      <c r="T4" s="288">
        <v>120</v>
      </c>
      <c r="U4" s="321">
        <v>0</v>
      </c>
      <c r="V4" s="322">
        <f t="shared" si="0"/>
        <v>1386</v>
      </c>
      <c r="W4" s="305"/>
      <c r="X4" s="305"/>
      <c r="Y4" s="305"/>
      <c r="Z4" s="305"/>
    </row>
    <row r="5" spans="1:28" ht="21.75" customHeight="1" x14ac:dyDescent="0.3">
      <c r="A5" s="1253" t="s">
        <v>404</v>
      </c>
      <c r="B5" s="323" t="s">
        <v>405</v>
      </c>
      <c r="C5" s="1252"/>
      <c r="D5" s="1201"/>
      <c r="E5" s="1201"/>
      <c r="F5" s="1201"/>
      <c r="G5" s="324">
        <v>20</v>
      </c>
      <c r="H5" s="325">
        <v>30</v>
      </c>
      <c r="I5" s="325">
        <v>20</v>
      </c>
      <c r="J5" s="325">
        <v>20</v>
      </c>
      <c r="K5" s="325">
        <v>0</v>
      </c>
      <c r="L5" s="325">
        <v>30</v>
      </c>
      <c r="M5" s="325">
        <v>30</v>
      </c>
      <c r="N5" s="291">
        <v>30</v>
      </c>
      <c r="O5" s="326">
        <v>30</v>
      </c>
      <c r="P5" s="291">
        <v>30</v>
      </c>
      <c r="Q5" s="325">
        <v>30</v>
      </c>
      <c r="R5" s="327">
        <v>60</v>
      </c>
      <c r="S5" s="327">
        <v>30</v>
      </c>
      <c r="T5" s="291">
        <v>30</v>
      </c>
      <c r="U5" s="321">
        <v>0</v>
      </c>
      <c r="V5" s="322">
        <f t="shared" si="0"/>
        <v>390</v>
      </c>
      <c r="W5" s="305"/>
      <c r="X5" s="305"/>
      <c r="Y5" s="305"/>
      <c r="Z5" s="305"/>
    </row>
    <row r="6" spans="1:28" ht="24.75" customHeight="1" x14ac:dyDescent="0.3">
      <c r="A6" s="1254"/>
      <c r="B6" s="328" t="s">
        <v>406</v>
      </c>
      <c r="C6" s="1252"/>
      <c r="D6" s="1201"/>
      <c r="E6" s="1201"/>
      <c r="F6" s="1201"/>
      <c r="G6" s="324">
        <v>20</v>
      </c>
      <c r="H6" s="329">
        <v>21</v>
      </c>
      <c r="I6" s="329">
        <v>21</v>
      </c>
      <c r="J6" s="330">
        <v>6</v>
      </c>
      <c r="K6" s="329">
        <v>0</v>
      </c>
      <c r="L6" s="329">
        <v>11</v>
      </c>
      <c r="M6" s="329">
        <v>16</v>
      </c>
      <c r="N6" s="331">
        <v>10</v>
      </c>
      <c r="O6" s="332">
        <v>9</v>
      </c>
      <c r="P6" s="331">
        <v>14</v>
      </c>
      <c r="Q6" s="329">
        <v>11</v>
      </c>
      <c r="R6" s="333">
        <v>7</v>
      </c>
      <c r="S6" s="333">
        <v>15</v>
      </c>
      <c r="T6" s="334">
        <v>30</v>
      </c>
      <c r="U6" s="335">
        <v>0</v>
      </c>
      <c r="V6" s="322">
        <f t="shared" si="0"/>
        <v>191</v>
      </c>
      <c r="W6" s="305"/>
      <c r="X6" s="305"/>
      <c r="Y6" s="305"/>
      <c r="Z6" s="305"/>
    </row>
    <row r="7" spans="1:28" ht="22.5" customHeight="1" x14ac:dyDescent="0.3">
      <c r="A7" s="1254"/>
      <c r="B7" s="328" t="s">
        <v>407</v>
      </c>
      <c r="C7" s="1252"/>
      <c r="D7" s="1201"/>
      <c r="E7" s="1201"/>
      <c r="F7" s="1201"/>
      <c r="G7" s="324">
        <v>0</v>
      </c>
      <c r="H7" s="325">
        <v>0</v>
      </c>
      <c r="I7" s="325">
        <v>0</v>
      </c>
      <c r="J7" s="336">
        <v>3</v>
      </c>
      <c r="K7" s="325">
        <v>0</v>
      </c>
      <c r="L7" s="325">
        <v>0</v>
      </c>
      <c r="M7" s="325">
        <v>0</v>
      </c>
      <c r="N7" s="288">
        <v>0</v>
      </c>
      <c r="O7" s="326">
        <v>0</v>
      </c>
      <c r="P7" s="288">
        <v>0</v>
      </c>
      <c r="Q7" s="325">
        <v>0</v>
      </c>
      <c r="R7" s="327">
        <v>0</v>
      </c>
      <c r="S7" s="327">
        <v>0</v>
      </c>
      <c r="T7" s="291">
        <v>0</v>
      </c>
      <c r="U7" s="321">
        <v>0</v>
      </c>
      <c r="V7" s="322">
        <f t="shared" si="0"/>
        <v>3</v>
      </c>
      <c r="W7" s="305"/>
      <c r="X7" s="305"/>
      <c r="Y7" s="305"/>
      <c r="Z7" s="305"/>
    </row>
    <row r="8" spans="1:28" ht="26.25" customHeight="1" x14ac:dyDescent="0.3">
      <c r="A8" s="1254"/>
      <c r="B8" s="328" t="s">
        <v>408</v>
      </c>
      <c r="C8" s="1252"/>
      <c r="D8" s="1201"/>
      <c r="E8" s="1201"/>
      <c r="F8" s="1201"/>
      <c r="G8" s="324">
        <v>11</v>
      </c>
      <c r="H8" s="325"/>
      <c r="I8" s="325">
        <v>9</v>
      </c>
      <c r="J8" s="325">
        <v>6</v>
      </c>
      <c r="K8" s="325">
        <v>0</v>
      </c>
      <c r="L8" s="325">
        <v>7</v>
      </c>
      <c r="M8" s="325">
        <v>12</v>
      </c>
      <c r="N8" s="288">
        <v>22</v>
      </c>
      <c r="O8" s="326">
        <v>6</v>
      </c>
      <c r="P8" s="288">
        <v>20</v>
      </c>
      <c r="Q8" s="325">
        <v>2</v>
      </c>
      <c r="R8" s="327">
        <v>3</v>
      </c>
      <c r="S8" s="327">
        <v>12</v>
      </c>
      <c r="T8" s="291">
        <v>21</v>
      </c>
      <c r="U8" s="321">
        <v>0</v>
      </c>
      <c r="V8" s="319">
        <f t="shared" si="0"/>
        <v>131</v>
      </c>
      <c r="W8" s="305"/>
      <c r="X8" s="305"/>
      <c r="Y8" s="305"/>
      <c r="Z8" s="305"/>
    </row>
    <row r="9" spans="1:28" ht="21" customHeight="1" x14ac:dyDescent="0.3">
      <c r="A9" s="1254"/>
      <c r="B9" s="328" t="s">
        <v>409</v>
      </c>
      <c r="C9" s="1252"/>
      <c r="D9" s="1201"/>
      <c r="E9" s="1201"/>
      <c r="F9" s="1201"/>
      <c r="G9" s="324">
        <v>9</v>
      </c>
      <c r="H9" s="325"/>
      <c r="I9" s="325">
        <v>11</v>
      </c>
      <c r="J9" s="325">
        <v>2</v>
      </c>
      <c r="K9" s="325">
        <v>0</v>
      </c>
      <c r="L9" s="325">
        <v>4</v>
      </c>
      <c r="M9" s="325">
        <v>4</v>
      </c>
      <c r="N9" s="288">
        <v>8</v>
      </c>
      <c r="O9" s="326">
        <v>3</v>
      </c>
      <c r="P9" s="288">
        <v>10</v>
      </c>
      <c r="Q9" s="325">
        <v>9</v>
      </c>
      <c r="R9" s="327">
        <v>4</v>
      </c>
      <c r="S9" s="327">
        <v>3</v>
      </c>
      <c r="T9" s="291">
        <v>16</v>
      </c>
      <c r="U9" s="321">
        <v>0</v>
      </c>
      <c r="V9" s="319">
        <f t="shared" si="0"/>
        <v>83</v>
      </c>
      <c r="W9" s="305"/>
      <c r="X9" s="305"/>
      <c r="Y9" s="305"/>
      <c r="Z9" s="305"/>
    </row>
    <row r="10" spans="1:28" ht="37.5" customHeight="1" x14ac:dyDescent="0.3">
      <c r="A10" s="1255"/>
      <c r="B10" s="337" t="s">
        <v>410</v>
      </c>
      <c r="C10" s="1252"/>
      <c r="D10" s="1201"/>
      <c r="E10" s="1201"/>
      <c r="F10" s="1201"/>
      <c r="G10" s="338">
        <v>20</v>
      </c>
      <c r="H10" s="339">
        <v>21</v>
      </c>
      <c r="I10" s="340">
        <v>21</v>
      </c>
      <c r="J10" s="340">
        <v>8</v>
      </c>
      <c r="K10" s="340">
        <v>0</v>
      </c>
      <c r="L10" s="340"/>
      <c r="M10" s="340">
        <v>16</v>
      </c>
      <c r="N10" s="341">
        <v>30</v>
      </c>
      <c r="O10" s="342">
        <v>9</v>
      </c>
      <c r="P10" s="341">
        <v>30</v>
      </c>
      <c r="Q10" s="340">
        <v>11</v>
      </c>
      <c r="R10" s="343">
        <v>7</v>
      </c>
      <c r="S10" s="343">
        <v>15</v>
      </c>
      <c r="T10" s="344">
        <v>30</v>
      </c>
      <c r="U10" s="345">
        <v>0</v>
      </c>
      <c r="V10" s="346">
        <f t="shared" si="0"/>
        <v>218</v>
      </c>
      <c r="W10" s="305"/>
      <c r="X10" s="305"/>
      <c r="Y10" s="305"/>
      <c r="Z10" s="305"/>
    </row>
    <row r="11" spans="1:28" ht="25.5" customHeight="1" x14ac:dyDescent="0.3">
      <c r="A11" s="1272" t="s">
        <v>411</v>
      </c>
      <c r="B11" s="347" t="s">
        <v>405</v>
      </c>
      <c r="C11" s="1252"/>
      <c r="D11" s="1201"/>
      <c r="E11" s="1201"/>
      <c r="F11" s="1201"/>
      <c r="G11" s="324">
        <v>90</v>
      </c>
      <c r="H11" s="348">
        <v>90</v>
      </c>
      <c r="I11" s="348">
        <v>90</v>
      </c>
      <c r="J11" s="348">
        <v>60</v>
      </c>
      <c r="K11" s="325">
        <v>0</v>
      </c>
      <c r="L11" s="348">
        <v>90</v>
      </c>
      <c r="M11" s="348">
        <v>90</v>
      </c>
      <c r="N11" s="324">
        <v>90</v>
      </c>
      <c r="O11" s="348">
        <v>90</v>
      </c>
      <c r="P11" s="288">
        <v>90</v>
      </c>
      <c r="Q11" s="348">
        <v>90</v>
      </c>
      <c r="R11" s="349">
        <v>0</v>
      </c>
      <c r="S11" s="349">
        <v>90</v>
      </c>
      <c r="T11" s="291">
        <v>90</v>
      </c>
      <c r="U11" s="350">
        <v>0</v>
      </c>
      <c r="V11" s="319">
        <f t="shared" si="0"/>
        <v>1050</v>
      </c>
      <c r="W11" s="305"/>
      <c r="X11" s="305"/>
      <c r="Y11" s="305"/>
      <c r="Z11" s="305"/>
    </row>
    <row r="12" spans="1:28" ht="21.75" customHeight="1" x14ac:dyDescent="0.3">
      <c r="A12" s="1273"/>
      <c r="B12" s="351" t="s">
        <v>412</v>
      </c>
      <c r="C12" s="1252"/>
      <c r="D12" s="1201"/>
      <c r="E12" s="1201"/>
      <c r="F12" s="1201"/>
      <c r="G12" s="324">
        <v>60</v>
      </c>
      <c r="H12" s="325">
        <v>0</v>
      </c>
      <c r="I12" s="325">
        <v>63</v>
      </c>
      <c r="J12" s="325">
        <v>0</v>
      </c>
      <c r="K12" s="325">
        <v>0</v>
      </c>
      <c r="L12" s="325">
        <v>0</v>
      </c>
      <c r="M12" s="325">
        <v>30</v>
      </c>
      <c r="N12" s="324">
        <v>60</v>
      </c>
      <c r="O12" s="325">
        <v>0</v>
      </c>
      <c r="P12" s="288">
        <v>90</v>
      </c>
      <c r="Q12" s="325">
        <v>5</v>
      </c>
      <c r="R12" s="349">
        <v>0</v>
      </c>
      <c r="S12" s="327">
        <v>15</v>
      </c>
      <c r="T12" s="291">
        <v>92</v>
      </c>
      <c r="U12" s="321">
        <v>0</v>
      </c>
      <c r="V12" s="319">
        <f t="shared" si="0"/>
        <v>415</v>
      </c>
      <c r="W12" s="352">
        <v>415</v>
      </c>
      <c r="X12" s="305"/>
      <c r="Y12" s="305"/>
      <c r="Z12" s="305"/>
    </row>
    <row r="13" spans="1:28" ht="23.25" customHeight="1" x14ac:dyDescent="0.3">
      <c r="A13" s="1273"/>
      <c r="B13" s="353" t="s">
        <v>407</v>
      </c>
      <c r="C13" s="1252"/>
      <c r="D13" s="1201"/>
      <c r="E13" s="1201"/>
      <c r="F13" s="1201"/>
      <c r="G13" s="324">
        <v>0</v>
      </c>
      <c r="H13" s="325">
        <v>0</v>
      </c>
      <c r="I13" s="325">
        <v>0</v>
      </c>
      <c r="J13" s="325">
        <v>0</v>
      </c>
      <c r="K13" s="325">
        <v>0</v>
      </c>
      <c r="L13" s="325">
        <v>0</v>
      </c>
      <c r="M13" s="325">
        <v>0</v>
      </c>
      <c r="N13" s="324">
        <v>0</v>
      </c>
      <c r="O13" s="325">
        <v>0</v>
      </c>
      <c r="P13" s="288">
        <v>0</v>
      </c>
      <c r="Q13" s="325">
        <v>0</v>
      </c>
      <c r="R13" s="349">
        <v>0</v>
      </c>
      <c r="S13" s="288">
        <v>0</v>
      </c>
      <c r="T13" s="288">
        <v>0</v>
      </c>
      <c r="U13" s="321">
        <v>0</v>
      </c>
      <c r="V13" s="319">
        <f t="shared" si="0"/>
        <v>0</v>
      </c>
      <c r="W13" s="352">
        <v>0</v>
      </c>
      <c r="X13" s="305"/>
      <c r="Y13" s="305"/>
      <c r="Z13" s="305"/>
    </row>
    <row r="14" spans="1:28" ht="23.25" customHeight="1" x14ac:dyDescent="0.3">
      <c r="A14" s="1273"/>
      <c r="B14" s="353" t="s">
        <v>408</v>
      </c>
      <c r="C14" s="1252"/>
      <c r="D14" s="1201"/>
      <c r="E14" s="1201"/>
      <c r="F14" s="1201"/>
      <c r="G14" s="324">
        <v>8</v>
      </c>
      <c r="H14" s="325"/>
      <c r="I14" s="325">
        <v>20</v>
      </c>
      <c r="J14" s="325">
        <v>0</v>
      </c>
      <c r="K14" s="325">
        <v>0</v>
      </c>
      <c r="L14" s="325">
        <v>0</v>
      </c>
      <c r="M14" s="325">
        <v>6</v>
      </c>
      <c r="N14" s="324">
        <v>11</v>
      </c>
      <c r="O14" s="325">
        <v>0</v>
      </c>
      <c r="P14" s="288">
        <v>8</v>
      </c>
      <c r="Q14" s="325">
        <v>4</v>
      </c>
      <c r="R14" s="349">
        <v>0</v>
      </c>
      <c r="S14" s="327">
        <v>3</v>
      </c>
      <c r="T14" s="291">
        <v>22</v>
      </c>
      <c r="U14" s="321">
        <v>0</v>
      </c>
      <c r="V14" s="319">
        <f t="shared" si="0"/>
        <v>82</v>
      </c>
      <c r="W14" s="305"/>
      <c r="X14" s="305"/>
      <c r="Y14" s="305"/>
      <c r="Z14" s="305"/>
    </row>
    <row r="15" spans="1:28" ht="21" customHeight="1" x14ac:dyDescent="0.3">
      <c r="A15" s="1273"/>
      <c r="B15" s="353" t="s">
        <v>409</v>
      </c>
      <c r="C15" s="1252"/>
      <c r="D15" s="1201"/>
      <c r="E15" s="1201"/>
      <c r="F15" s="1201"/>
      <c r="G15" s="324">
        <v>8</v>
      </c>
      <c r="H15" s="325"/>
      <c r="I15" s="325">
        <v>14</v>
      </c>
      <c r="J15" s="325">
        <v>0</v>
      </c>
      <c r="K15" s="325">
        <v>0</v>
      </c>
      <c r="L15" s="325">
        <v>0</v>
      </c>
      <c r="M15" s="325">
        <v>4</v>
      </c>
      <c r="N15" s="324">
        <v>8</v>
      </c>
      <c r="O15" s="325">
        <v>0</v>
      </c>
      <c r="P15" s="288">
        <v>7</v>
      </c>
      <c r="Q15" s="325">
        <v>0</v>
      </c>
      <c r="R15" s="349">
        <v>0</v>
      </c>
      <c r="S15" s="327">
        <v>4</v>
      </c>
      <c r="T15" s="291">
        <v>16</v>
      </c>
      <c r="U15" s="321">
        <v>0</v>
      </c>
      <c r="V15" s="319">
        <f t="shared" si="0"/>
        <v>61</v>
      </c>
      <c r="W15" s="305"/>
      <c r="X15" s="305"/>
      <c r="Y15" s="305"/>
      <c r="Z15" s="305"/>
    </row>
    <row r="16" spans="1:28" ht="24.75" customHeight="1" x14ac:dyDescent="0.3">
      <c r="A16" s="1273"/>
      <c r="B16" s="353" t="s">
        <v>413</v>
      </c>
      <c r="C16" s="1252"/>
      <c r="D16" s="1201"/>
      <c r="E16" s="1201"/>
      <c r="F16" s="1201"/>
      <c r="G16" s="324">
        <v>23</v>
      </c>
      <c r="H16" s="325"/>
      <c r="I16" s="325">
        <v>15</v>
      </c>
      <c r="J16" s="325">
        <v>0</v>
      </c>
      <c r="K16" s="325">
        <v>0</v>
      </c>
      <c r="L16" s="325">
        <v>0</v>
      </c>
      <c r="M16" s="325">
        <v>35</v>
      </c>
      <c r="N16" s="324">
        <v>21</v>
      </c>
      <c r="O16" s="325">
        <v>0</v>
      </c>
      <c r="P16" s="288">
        <v>35</v>
      </c>
      <c r="Q16" s="325">
        <v>0</v>
      </c>
      <c r="R16" s="349">
        <v>0</v>
      </c>
      <c r="S16" s="327">
        <v>5</v>
      </c>
      <c r="T16" s="291">
        <v>19</v>
      </c>
      <c r="U16" s="321">
        <v>0</v>
      </c>
      <c r="V16" s="319">
        <f t="shared" si="0"/>
        <v>153</v>
      </c>
      <c r="W16" s="305"/>
      <c r="X16" s="305"/>
      <c r="Y16" s="305"/>
      <c r="Z16" s="305"/>
    </row>
    <row r="17" spans="1:26" ht="22.5" customHeight="1" x14ac:dyDescent="0.3">
      <c r="A17" s="1273"/>
      <c r="B17" s="353" t="s">
        <v>414</v>
      </c>
      <c r="C17" s="1252"/>
      <c r="D17" s="1201"/>
      <c r="E17" s="1201"/>
      <c r="F17" s="1201"/>
      <c r="G17" s="324">
        <v>21</v>
      </c>
      <c r="H17" s="325"/>
      <c r="I17" s="325">
        <v>12</v>
      </c>
      <c r="J17" s="325">
        <v>0</v>
      </c>
      <c r="K17" s="325">
        <v>0</v>
      </c>
      <c r="L17" s="325">
        <v>0</v>
      </c>
      <c r="M17" s="325">
        <v>45</v>
      </c>
      <c r="N17" s="324">
        <v>21</v>
      </c>
      <c r="O17" s="325">
        <v>0</v>
      </c>
      <c r="P17" s="288">
        <v>40</v>
      </c>
      <c r="Q17" s="325">
        <v>1</v>
      </c>
      <c r="R17" s="349">
        <v>0</v>
      </c>
      <c r="S17" s="327">
        <v>3</v>
      </c>
      <c r="T17" s="291">
        <v>35</v>
      </c>
      <c r="U17" s="321">
        <v>0</v>
      </c>
      <c r="V17" s="319">
        <f t="shared" si="0"/>
        <v>178</v>
      </c>
      <c r="W17" s="305"/>
      <c r="X17" s="305"/>
      <c r="Y17" s="305"/>
      <c r="Z17" s="305"/>
    </row>
    <row r="18" spans="1:26" ht="26.25" customHeight="1" x14ac:dyDescent="0.3">
      <c r="A18" s="1249"/>
      <c r="B18" s="354" t="s">
        <v>415</v>
      </c>
      <c r="C18" s="1252"/>
      <c r="D18" s="1201"/>
      <c r="E18" s="1201"/>
      <c r="F18" s="1201"/>
      <c r="G18" s="324">
        <v>60</v>
      </c>
      <c r="H18" s="355"/>
      <c r="I18" s="355">
        <v>63</v>
      </c>
      <c r="J18" s="325">
        <v>0</v>
      </c>
      <c r="K18" s="325">
        <v>0</v>
      </c>
      <c r="L18" s="325">
        <v>0</v>
      </c>
      <c r="M18" s="355">
        <v>90</v>
      </c>
      <c r="N18" s="324">
        <v>60</v>
      </c>
      <c r="O18" s="355">
        <v>0</v>
      </c>
      <c r="P18" s="356">
        <v>90</v>
      </c>
      <c r="Q18" s="355">
        <v>5</v>
      </c>
      <c r="R18" s="349">
        <v>0</v>
      </c>
      <c r="S18" s="357">
        <v>15</v>
      </c>
      <c r="T18" s="358">
        <v>92</v>
      </c>
      <c r="U18" s="359">
        <v>0</v>
      </c>
      <c r="V18" s="319">
        <f t="shared" si="0"/>
        <v>475</v>
      </c>
      <c r="W18" s="305"/>
      <c r="X18" s="305"/>
      <c r="Y18" s="305"/>
      <c r="Z18" s="305"/>
    </row>
    <row r="19" spans="1:26" ht="23.25" customHeight="1" x14ac:dyDescent="0.3">
      <c r="A19" s="1266" t="s">
        <v>416</v>
      </c>
      <c r="B19" s="1267" t="s">
        <v>417</v>
      </c>
      <c r="C19" s="1256" t="s">
        <v>418</v>
      </c>
      <c r="D19" s="1244"/>
      <c r="E19" s="1244"/>
      <c r="F19" s="1244"/>
      <c r="G19" s="360"/>
      <c r="H19" s="348"/>
      <c r="I19" s="348"/>
      <c r="J19" s="348"/>
      <c r="K19" s="325">
        <v>0</v>
      </c>
      <c r="L19" s="360"/>
      <c r="M19" s="348"/>
      <c r="N19" s="360"/>
      <c r="O19" s="360"/>
      <c r="P19" s="324"/>
      <c r="Q19" s="348"/>
      <c r="R19" s="360"/>
      <c r="S19" s="291"/>
      <c r="T19" s="291"/>
      <c r="U19" s="350">
        <v>0</v>
      </c>
      <c r="V19" s="319">
        <f t="shared" si="0"/>
        <v>0</v>
      </c>
      <c r="W19" s="305"/>
      <c r="X19" s="305"/>
      <c r="Y19" s="305"/>
      <c r="Z19" s="305"/>
    </row>
    <row r="20" spans="1:26" ht="15.75" customHeight="1" x14ac:dyDescent="0.3">
      <c r="A20" s="1273"/>
      <c r="B20" s="1263"/>
      <c r="C20" s="1257" t="s">
        <v>419</v>
      </c>
      <c r="D20" s="1247"/>
      <c r="E20" s="1247"/>
      <c r="F20" s="1247"/>
      <c r="G20" s="361"/>
      <c r="H20" s="325"/>
      <c r="I20" s="325"/>
      <c r="J20" s="325"/>
      <c r="K20" s="325">
        <v>0</v>
      </c>
      <c r="L20" s="361"/>
      <c r="M20" s="325"/>
      <c r="N20" s="361"/>
      <c r="O20" s="361"/>
      <c r="P20" s="324"/>
      <c r="Q20" s="325"/>
      <c r="R20" s="361"/>
      <c r="S20" s="288"/>
      <c r="T20" s="362"/>
      <c r="U20" s="321">
        <v>0</v>
      </c>
      <c r="V20" s="319">
        <f t="shared" si="0"/>
        <v>0</v>
      </c>
      <c r="W20" s="305"/>
      <c r="X20" s="305"/>
      <c r="Y20" s="305"/>
      <c r="Z20" s="305"/>
    </row>
    <row r="21" spans="1:26" ht="15.75" customHeight="1" x14ac:dyDescent="0.3">
      <c r="A21" s="1273"/>
      <c r="B21" s="1274" t="s">
        <v>420</v>
      </c>
      <c r="C21" s="1257" t="s">
        <v>418</v>
      </c>
      <c r="D21" s="1247"/>
      <c r="E21" s="1247"/>
      <c r="F21" s="1247"/>
      <c r="G21" s="361"/>
      <c r="H21" s="325"/>
      <c r="I21" s="325"/>
      <c r="J21" s="325"/>
      <c r="K21" s="325">
        <v>0</v>
      </c>
      <c r="L21" s="361"/>
      <c r="M21" s="325"/>
      <c r="N21" s="361"/>
      <c r="O21" s="361"/>
      <c r="P21" s="324"/>
      <c r="Q21" s="325"/>
      <c r="R21" s="361"/>
      <c r="S21" s="288"/>
      <c r="T21" s="362"/>
      <c r="U21" s="321">
        <v>0</v>
      </c>
      <c r="V21" s="319">
        <f t="shared" si="0"/>
        <v>0</v>
      </c>
      <c r="W21" s="305"/>
      <c r="X21" s="305"/>
      <c r="Y21" s="305"/>
      <c r="Z21" s="305"/>
    </row>
    <row r="22" spans="1:26" ht="15.75" customHeight="1" x14ac:dyDescent="0.3">
      <c r="A22" s="1273"/>
      <c r="B22" s="1263"/>
      <c r="C22" s="1257" t="s">
        <v>419</v>
      </c>
      <c r="D22" s="1247"/>
      <c r="E22" s="1247"/>
      <c r="F22" s="1247"/>
      <c r="G22" s="361"/>
      <c r="H22" s="325"/>
      <c r="I22" s="325"/>
      <c r="J22" s="325"/>
      <c r="K22" s="325">
        <v>0</v>
      </c>
      <c r="L22" s="361"/>
      <c r="M22" s="325"/>
      <c r="N22" s="361"/>
      <c r="O22" s="361"/>
      <c r="P22" s="324"/>
      <c r="Q22" s="325"/>
      <c r="R22" s="363"/>
      <c r="S22" s="364"/>
      <c r="T22" s="365"/>
      <c r="U22" s="321">
        <v>0</v>
      </c>
      <c r="V22" s="319">
        <f t="shared" si="0"/>
        <v>0</v>
      </c>
      <c r="W22" s="305"/>
      <c r="X22" s="305"/>
      <c r="Y22" s="305"/>
      <c r="Z22" s="305"/>
    </row>
    <row r="23" spans="1:26" ht="15.75" customHeight="1" x14ac:dyDescent="0.3">
      <c r="A23" s="1273"/>
      <c r="B23" s="1264" t="s">
        <v>421</v>
      </c>
      <c r="C23" s="1258" t="s">
        <v>418</v>
      </c>
      <c r="D23" s="1247"/>
      <c r="E23" s="1247"/>
      <c r="F23" s="1247"/>
      <c r="G23" s="366"/>
      <c r="H23" s="367"/>
      <c r="I23" s="367">
        <v>90</v>
      </c>
      <c r="J23" s="368">
        <v>90</v>
      </c>
      <c r="K23" s="367">
        <v>0</v>
      </c>
      <c r="L23" s="366"/>
      <c r="M23" s="367"/>
      <c r="N23" s="366"/>
      <c r="O23" s="366"/>
      <c r="P23" s="369">
        <v>140</v>
      </c>
      <c r="Q23" s="367"/>
      <c r="R23" s="370"/>
      <c r="S23" s="368">
        <v>140</v>
      </c>
      <c r="T23" s="370"/>
      <c r="U23" s="371">
        <v>0</v>
      </c>
      <c r="V23" s="372">
        <f t="shared" si="0"/>
        <v>460</v>
      </c>
      <c r="W23" s="305"/>
      <c r="X23" s="305"/>
      <c r="Y23" s="305"/>
      <c r="Z23" s="305"/>
    </row>
    <row r="24" spans="1:26" ht="15.75" customHeight="1" x14ac:dyDescent="0.3">
      <c r="A24" s="1249"/>
      <c r="B24" s="1265"/>
      <c r="C24" s="1259" t="s">
        <v>419</v>
      </c>
      <c r="D24" s="1260"/>
      <c r="E24" s="1260"/>
      <c r="F24" s="1260"/>
      <c r="G24" s="373"/>
      <c r="H24" s="340"/>
      <c r="I24" s="340">
        <v>98</v>
      </c>
      <c r="J24" s="344">
        <v>40</v>
      </c>
      <c r="K24" s="367">
        <v>0</v>
      </c>
      <c r="L24" s="373"/>
      <c r="M24" s="340"/>
      <c r="N24" s="373"/>
      <c r="O24" s="373"/>
      <c r="P24" s="374">
        <v>75</v>
      </c>
      <c r="Q24" s="340"/>
      <c r="R24" s="375"/>
      <c r="S24" s="346">
        <v>80</v>
      </c>
      <c r="T24" s="376"/>
      <c r="U24" s="371">
        <v>0</v>
      </c>
      <c r="V24" s="346">
        <f t="shared" si="0"/>
        <v>293</v>
      </c>
      <c r="W24" s="305">
        <f>SUM(G24:U24)</f>
        <v>293</v>
      </c>
      <c r="X24" s="305"/>
      <c r="Y24" s="305"/>
      <c r="Z24" s="305"/>
    </row>
    <row r="25" spans="1:26" ht="15.75" customHeight="1" x14ac:dyDescent="0.3">
      <c r="A25" s="1275" t="s">
        <v>422</v>
      </c>
      <c r="B25" s="1276" t="s">
        <v>417</v>
      </c>
      <c r="C25" s="1261" t="s">
        <v>418</v>
      </c>
      <c r="D25" s="1244"/>
      <c r="E25" s="1244"/>
      <c r="F25" s="1244"/>
      <c r="G25" s="360"/>
      <c r="H25" s="348"/>
      <c r="I25" s="360"/>
      <c r="J25" s="360"/>
      <c r="K25" s="360"/>
      <c r="L25" s="360"/>
      <c r="M25" s="348"/>
      <c r="N25" s="360"/>
      <c r="O25" s="360"/>
      <c r="P25" s="324"/>
      <c r="Q25" s="348"/>
      <c r="R25" s="377"/>
      <c r="S25" s="378"/>
      <c r="T25" s="378"/>
      <c r="U25" s="321">
        <v>0</v>
      </c>
      <c r="V25" s="319">
        <f t="shared" si="0"/>
        <v>0</v>
      </c>
      <c r="W25" s="305"/>
      <c r="X25" s="305"/>
      <c r="Y25" s="305"/>
      <c r="Z25" s="305"/>
    </row>
    <row r="26" spans="1:26" ht="15.75" customHeight="1" x14ac:dyDescent="0.3">
      <c r="A26" s="1273"/>
      <c r="B26" s="1263"/>
      <c r="C26" s="1277" t="s">
        <v>419</v>
      </c>
      <c r="D26" s="1247"/>
      <c r="E26" s="1247"/>
      <c r="F26" s="1247"/>
      <c r="G26" s="361"/>
      <c r="H26" s="325"/>
      <c r="I26" s="361"/>
      <c r="J26" s="361"/>
      <c r="K26" s="361"/>
      <c r="L26" s="361"/>
      <c r="M26" s="325"/>
      <c r="N26" s="361"/>
      <c r="O26" s="361"/>
      <c r="P26" s="324"/>
      <c r="Q26" s="325"/>
      <c r="R26" s="378"/>
      <c r="S26" s="378"/>
      <c r="T26" s="378"/>
      <c r="U26" s="321">
        <v>0</v>
      </c>
      <c r="V26" s="319">
        <f t="shared" si="0"/>
        <v>0</v>
      </c>
      <c r="W26" s="305"/>
      <c r="X26" s="305"/>
      <c r="Y26" s="305"/>
      <c r="Z26" s="305"/>
    </row>
    <row r="27" spans="1:26" ht="15.75" customHeight="1" x14ac:dyDescent="0.3">
      <c r="A27" s="1273"/>
      <c r="B27" s="1262" t="s">
        <v>420</v>
      </c>
      <c r="C27" s="1277" t="s">
        <v>418</v>
      </c>
      <c r="D27" s="1247"/>
      <c r="E27" s="1247"/>
      <c r="F27" s="1247"/>
      <c r="G27" s="361"/>
      <c r="H27" s="325"/>
      <c r="I27" s="361"/>
      <c r="J27" s="361"/>
      <c r="K27" s="361"/>
      <c r="L27" s="361"/>
      <c r="M27" s="325"/>
      <c r="N27" s="361"/>
      <c r="O27" s="361"/>
      <c r="P27" s="324"/>
      <c r="Q27" s="325"/>
      <c r="R27" s="378"/>
      <c r="S27" s="378"/>
      <c r="T27" s="378"/>
      <c r="U27" s="321">
        <v>0</v>
      </c>
      <c r="V27" s="319">
        <f t="shared" si="0"/>
        <v>0</v>
      </c>
      <c r="W27" s="305"/>
      <c r="X27" s="305"/>
      <c r="Y27" s="305"/>
      <c r="Z27" s="305"/>
    </row>
    <row r="28" spans="1:26" ht="15.75" customHeight="1" x14ac:dyDescent="0.3">
      <c r="A28" s="1273"/>
      <c r="B28" s="1263"/>
      <c r="C28" s="1277" t="s">
        <v>419</v>
      </c>
      <c r="D28" s="1247"/>
      <c r="E28" s="1247"/>
      <c r="F28" s="1247"/>
      <c r="G28" s="361"/>
      <c r="H28" s="325"/>
      <c r="I28" s="361"/>
      <c r="J28" s="361"/>
      <c r="K28" s="361"/>
      <c r="L28" s="361"/>
      <c r="M28" s="325"/>
      <c r="N28" s="361"/>
      <c r="O28" s="361"/>
      <c r="P28" s="324"/>
      <c r="Q28" s="325"/>
      <c r="R28" s="361"/>
      <c r="S28" s="362"/>
      <c r="T28" s="362"/>
      <c r="U28" s="321">
        <v>0</v>
      </c>
      <c r="V28" s="319">
        <f t="shared" si="0"/>
        <v>0</v>
      </c>
      <c r="W28" s="305"/>
      <c r="X28" s="305"/>
      <c r="Y28" s="305"/>
      <c r="Z28" s="305"/>
    </row>
    <row r="29" spans="1:26" ht="15.75" customHeight="1" x14ac:dyDescent="0.3">
      <c r="A29" s="1273"/>
      <c r="B29" s="1264" t="s">
        <v>423</v>
      </c>
      <c r="C29" s="1258" t="s">
        <v>418</v>
      </c>
      <c r="D29" s="1247"/>
      <c r="E29" s="1247"/>
      <c r="F29" s="1247"/>
      <c r="G29" s="366"/>
      <c r="H29" s="367">
        <v>100</v>
      </c>
      <c r="I29" s="366"/>
      <c r="J29" s="366"/>
      <c r="K29" s="366"/>
      <c r="L29" s="366"/>
      <c r="M29" s="367"/>
      <c r="N29" s="340">
        <v>150</v>
      </c>
      <c r="O29" s="366"/>
      <c r="P29" s="369">
        <v>150</v>
      </c>
      <c r="Q29" s="367"/>
      <c r="R29" s="379"/>
      <c r="S29" s="379"/>
      <c r="T29" s="379"/>
      <c r="U29" s="371">
        <v>0</v>
      </c>
      <c r="V29" s="346">
        <f t="shared" si="0"/>
        <v>400</v>
      </c>
      <c r="W29" s="305"/>
      <c r="X29" s="305"/>
      <c r="Y29" s="305"/>
      <c r="Z29" s="305"/>
    </row>
    <row r="30" spans="1:26" ht="15.75" customHeight="1" x14ac:dyDescent="0.3">
      <c r="A30" s="1249"/>
      <c r="B30" s="1265"/>
      <c r="C30" s="1259" t="s">
        <v>419</v>
      </c>
      <c r="D30" s="1260"/>
      <c r="E30" s="1260"/>
      <c r="F30" s="1260"/>
      <c r="G30" s="373"/>
      <c r="H30" s="340">
        <v>98</v>
      </c>
      <c r="I30" s="373"/>
      <c r="J30" s="373"/>
      <c r="K30" s="373"/>
      <c r="L30" s="373"/>
      <c r="M30" s="340"/>
      <c r="N30" s="340">
        <v>154</v>
      </c>
      <c r="O30" s="373"/>
      <c r="P30" s="369">
        <v>167</v>
      </c>
      <c r="Q30" s="340"/>
      <c r="R30" s="375"/>
      <c r="S30" s="375"/>
      <c r="T30" s="375"/>
      <c r="U30" s="345">
        <v>0</v>
      </c>
      <c r="V30" s="346">
        <f t="shared" si="0"/>
        <v>419</v>
      </c>
      <c r="W30" s="305">
        <f>SUM(G30:U30)</f>
        <v>419</v>
      </c>
      <c r="X30" s="305"/>
      <c r="Y30" s="305"/>
      <c r="Z30" s="305"/>
    </row>
    <row r="31" spans="1:26" ht="26.25" customHeight="1" x14ac:dyDescent="0.3">
      <c r="A31" s="1266" t="s">
        <v>424</v>
      </c>
      <c r="B31" s="1267" t="s">
        <v>425</v>
      </c>
      <c r="C31" s="1256" t="s">
        <v>418</v>
      </c>
      <c r="D31" s="1244"/>
      <c r="E31" s="1244"/>
      <c r="F31" s="1244"/>
      <c r="G31" s="360"/>
      <c r="H31" s="360"/>
      <c r="I31" s="360"/>
      <c r="J31" s="360"/>
      <c r="K31" s="360"/>
      <c r="L31" s="360"/>
      <c r="M31" s="348"/>
      <c r="N31" s="360"/>
      <c r="O31" s="360"/>
      <c r="P31" s="360"/>
      <c r="Q31" s="348"/>
      <c r="R31" s="360"/>
      <c r="S31" s="380"/>
      <c r="T31" s="380"/>
      <c r="U31" s="380"/>
      <c r="V31" s="319">
        <f t="shared" si="0"/>
        <v>0</v>
      </c>
      <c r="W31" s="305"/>
      <c r="X31" s="305"/>
      <c r="Y31" s="305"/>
      <c r="Z31" s="305"/>
    </row>
    <row r="32" spans="1:26" ht="27.75" customHeight="1" x14ac:dyDescent="0.3">
      <c r="A32" s="1249"/>
      <c r="B32" s="1265"/>
      <c r="C32" s="1278" t="s">
        <v>419</v>
      </c>
      <c r="D32" s="1279"/>
      <c r="E32" s="1279"/>
      <c r="F32" s="1279"/>
      <c r="G32" s="363"/>
      <c r="H32" s="363"/>
      <c r="I32" s="363"/>
      <c r="J32" s="363"/>
      <c r="K32" s="363"/>
      <c r="L32" s="363"/>
      <c r="M32" s="381"/>
      <c r="N32" s="363"/>
      <c r="O32" s="363"/>
      <c r="P32" s="363"/>
      <c r="Q32" s="381"/>
      <c r="R32" s="382"/>
      <c r="S32" s="383"/>
      <c r="T32" s="383"/>
      <c r="U32" s="383"/>
      <c r="V32" s="319">
        <f t="shared" si="0"/>
        <v>0</v>
      </c>
      <c r="W32" s="305"/>
      <c r="X32" s="305"/>
      <c r="Y32" s="305"/>
      <c r="Z32" s="305"/>
    </row>
    <row r="33" spans="1:26" ht="15.75" customHeight="1" x14ac:dyDescent="0.3">
      <c r="A33" s="1268" t="s">
        <v>426</v>
      </c>
      <c r="B33" s="1269" t="s">
        <v>427</v>
      </c>
      <c r="C33" s="1261" t="s">
        <v>418</v>
      </c>
      <c r="D33" s="1244"/>
      <c r="E33" s="1244"/>
      <c r="F33" s="1290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77"/>
      <c r="S33" s="378"/>
      <c r="T33" s="378"/>
      <c r="U33" s="378"/>
      <c r="V33" s="319">
        <f t="shared" si="0"/>
        <v>0</v>
      </c>
      <c r="W33" s="305"/>
      <c r="X33" s="305"/>
      <c r="Y33" s="305"/>
      <c r="Z33" s="305"/>
    </row>
    <row r="34" spans="1:26" ht="15.75" customHeight="1" x14ac:dyDescent="0.3">
      <c r="A34" s="1254"/>
      <c r="B34" s="1165"/>
      <c r="C34" s="1291" t="s">
        <v>419</v>
      </c>
      <c r="D34" s="1178"/>
      <c r="E34" s="1178"/>
      <c r="F34" s="1179"/>
      <c r="G34" s="362"/>
      <c r="H34" s="362"/>
      <c r="I34" s="362"/>
      <c r="J34" s="362"/>
      <c r="K34" s="362"/>
      <c r="L34" s="362"/>
      <c r="M34" s="362"/>
      <c r="N34" s="362"/>
      <c r="O34" s="362"/>
      <c r="P34" s="362"/>
      <c r="Q34" s="362"/>
      <c r="R34" s="385"/>
      <c r="S34" s="378"/>
      <c r="T34" s="378"/>
      <c r="U34" s="378"/>
      <c r="V34" s="319">
        <f t="shared" si="0"/>
        <v>0</v>
      </c>
      <c r="W34" s="305"/>
      <c r="X34" s="305"/>
      <c r="Y34" s="305"/>
      <c r="Z34" s="305"/>
    </row>
    <row r="35" spans="1:26" ht="15.75" customHeight="1" x14ac:dyDescent="0.3">
      <c r="A35" s="1254"/>
      <c r="B35" s="1270" t="s">
        <v>428</v>
      </c>
      <c r="C35" s="1291" t="s">
        <v>418</v>
      </c>
      <c r="D35" s="1178"/>
      <c r="E35" s="1178"/>
      <c r="F35" s="1179"/>
      <c r="G35" s="362"/>
      <c r="H35" s="362"/>
      <c r="I35" s="362"/>
      <c r="J35" s="362"/>
      <c r="K35" s="362"/>
      <c r="L35" s="362"/>
      <c r="M35" s="362"/>
      <c r="N35" s="362"/>
      <c r="O35" s="362"/>
      <c r="P35" s="362"/>
      <c r="Q35" s="362"/>
      <c r="R35" s="385"/>
      <c r="S35" s="378"/>
      <c r="T35" s="378"/>
      <c r="U35" s="378"/>
      <c r="V35" s="319">
        <f t="shared" si="0"/>
        <v>0</v>
      </c>
      <c r="W35" s="305"/>
      <c r="X35" s="305"/>
      <c r="Y35" s="305"/>
      <c r="Z35" s="305"/>
    </row>
    <row r="36" spans="1:26" ht="15.75" customHeight="1" x14ac:dyDescent="0.3">
      <c r="A36" s="1254"/>
      <c r="B36" s="1165"/>
      <c r="C36" s="1291" t="s">
        <v>419</v>
      </c>
      <c r="D36" s="1178"/>
      <c r="E36" s="1178"/>
      <c r="F36" s="1179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86"/>
      <c r="S36" s="362"/>
      <c r="T36" s="362"/>
      <c r="U36" s="362"/>
      <c r="V36" s="319">
        <f t="shared" si="0"/>
        <v>0</v>
      </c>
      <c r="W36" s="305"/>
      <c r="X36" s="305"/>
      <c r="Y36" s="305"/>
      <c r="Z36" s="305"/>
    </row>
    <row r="37" spans="1:26" ht="15.75" customHeight="1" x14ac:dyDescent="0.3">
      <c r="A37" s="1254"/>
      <c r="B37" s="1270" t="s">
        <v>429</v>
      </c>
      <c r="C37" s="1291" t="s">
        <v>418</v>
      </c>
      <c r="D37" s="1178"/>
      <c r="E37" s="1178"/>
      <c r="F37" s="1179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86"/>
      <c r="S37" s="362"/>
      <c r="T37" s="362"/>
      <c r="U37" s="362"/>
      <c r="V37" s="319">
        <f t="shared" si="0"/>
        <v>0</v>
      </c>
      <c r="W37" s="305"/>
      <c r="X37" s="305"/>
      <c r="Y37" s="305"/>
      <c r="Z37" s="305"/>
    </row>
    <row r="38" spans="1:26" ht="15.75" customHeight="1" x14ac:dyDescent="0.3">
      <c r="A38" s="1254"/>
      <c r="B38" s="1165"/>
      <c r="C38" s="1291" t="s">
        <v>419</v>
      </c>
      <c r="D38" s="1178"/>
      <c r="E38" s="1178"/>
      <c r="F38" s="1179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86"/>
      <c r="S38" s="362"/>
      <c r="T38" s="362"/>
      <c r="U38" s="362"/>
      <c r="V38" s="319">
        <f t="shared" si="0"/>
        <v>0</v>
      </c>
      <c r="W38" s="305"/>
      <c r="X38" s="305"/>
      <c r="Y38" s="305"/>
      <c r="Z38" s="305"/>
    </row>
    <row r="39" spans="1:26" ht="15.75" customHeight="1" x14ac:dyDescent="0.3">
      <c r="A39" s="1254"/>
      <c r="B39" s="1270" t="s">
        <v>430</v>
      </c>
      <c r="C39" s="1291" t="s">
        <v>418</v>
      </c>
      <c r="D39" s="1178"/>
      <c r="E39" s="1178"/>
      <c r="F39" s="1179"/>
      <c r="G39" s="362"/>
      <c r="H39" s="362"/>
      <c r="I39" s="362"/>
      <c r="J39" s="362"/>
      <c r="K39" s="362"/>
      <c r="L39" s="362"/>
      <c r="M39" s="362"/>
      <c r="N39" s="362"/>
      <c r="O39" s="362"/>
      <c r="P39" s="362"/>
      <c r="Q39" s="362"/>
      <c r="R39" s="385"/>
      <c r="S39" s="378"/>
      <c r="T39" s="378"/>
      <c r="U39" s="378"/>
      <c r="V39" s="319">
        <f t="shared" si="0"/>
        <v>0</v>
      </c>
      <c r="W39" s="305"/>
      <c r="X39" s="305"/>
      <c r="Y39" s="305"/>
      <c r="Z39" s="305"/>
    </row>
    <row r="40" spans="1:26" ht="15.75" customHeight="1" x14ac:dyDescent="0.3">
      <c r="A40" s="1255"/>
      <c r="B40" s="1176"/>
      <c r="C40" s="1280" t="s">
        <v>419</v>
      </c>
      <c r="D40" s="1281"/>
      <c r="E40" s="1281"/>
      <c r="F40" s="1282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87"/>
      <c r="S40" s="382"/>
      <c r="T40" s="382"/>
      <c r="U40" s="382"/>
      <c r="V40" s="319">
        <f t="shared" si="0"/>
        <v>0</v>
      </c>
      <c r="W40" s="305"/>
      <c r="X40" s="305"/>
      <c r="Y40" s="305"/>
      <c r="Z40" s="305"/>
    </row>
    <row r="41" spans="1:26" ht="31.5" customHeight="1" x14ac:dyDescent="0.3">
      <c r="C41" s="1283"/>
      <c r="D41" s="1201"/>
      <c r="E41" s="1201"/>
      <c r="F41" s="1201"/>
      <c r="G41" s="388" t="s">
        <v>99</v>
      </c>
      <c r="H41" s="388" t="s">
        <v>100</v>
      </c>
      <c r="I41" s="388" t="s">
        <v>198</v>
      </c>
      <c r="J41" s="388" t="s">
        <v>21</v>
      </c>
      <c r="K41" s="388" t="s">
        <v>102</v>
      </c>
      <c r="L41" s="389" t="s">
        <v>395</v>
      </c>
      <c r="M41" s="388" t="s">
        <v>396</v>
      </c>
      <c r="N41" s="388" t="s">
        <v>105</v>
      </c>
      <c r="O41" s="388" t="s">
        <v>106</v>
      </c>
      <c r="P41" s="388" t="s">
        <v>107</v>
      </c>
      <c r="Q41" s="389" t="s">
        <v>215</v>
      </c>
      <c r="R41" s="388" t="s">
        <v>34</v>
      </c>
      <c r="S41" s="389" t="s">
        <v>397</v>
      </c>
      <c r="T41" s="388" t="s">
        <v>110</v>
      </c>
      <c r="U41" s="389" t="s">
        <v>111</v>
      </c>
      <c r="V41" s="390"/>
      <c r="W41" s="305"/>
      <c r="X41" s="305"/>
      <c r="Y41" s="305"/>
      <c r="Z41" s="305"/>
    </row>
    <row r="42" spans="1:26" ht="15.75" customHeight="1" x14ac:dyDescent="0.35">
      <c r="A42" s="1271" t="s">
        <v>431</v>
      </c>
      <c r="B42" s="391" t="s">
        <v>432</v>
      </c>
      <c r="C42" s="1284"/>
      <c r="D42" s="1285"/>
      <c r="E42" s="1285"/>
      <c r="F42" s="1286"/>
      <c r="G42" s="392"/>
      <c r="H42" s="392"/>
      <c r="I42" s="392"/>
      <c r="J42" s="392"/>
      <c r="K42" s="392"/>
      <c r="L42" s="392"/>
      <c r="M42" s="392"/>
      <c r="N42" s="392"/>
      <c r="O42" s="392"/>
      <c r="P42" s="392"/>
      <c r="Q42" s="392"/>
      <c r="R42" s="393"/>
      <c r="S42" s="378"/>
      <c r="T42" s="378"/>
      <c r="U42" s="378"/>
      <c r="V42" s="319">
        <f t="shared" ref="V42:V60" si="1">SUM(U42+T42+S42+R42+Q42+P42+O42+N42+M42+L42+K42+J42+I42+H42+G42)</f>
        <v>0</v>
      </c>
      <c r="W42" s="305"/>
      <c r="X42" s="305"/>
      <c r="Y42" s="305"/>
      <c r="Z42" s="305"/>
    </row>
    <row r="43" spans="1:26" ht="15.75" customHeight="1" x14ac:dyDescent="0.35">
      <c r="A43" s="1164"/>
      <c r="B43" s="394" t="s">
        <v>433</v>
      </c>
      <c r="C43" s="1252"/>
      <c r="D43" s="1201"/>
      <c r="E43" s="1201"/>
      <c r="F43" s="1173"/>
      <c r="G43" s="395"/>
      <c r="H43" s="395"/>
      <c r="I43" s="395"/>
      <c r="J43" s="395"/>
      <c r="K43" s="395"/>
      <c r="L43" s="395"/>
      <c r="M43" s="395"/>
      <c r="N43" s="395"/>
      <c r="O43" s="395"/>
      <c r="P43" s="395"/>
      <c r="Q43" s="395"/>
      <c r="R43" s="396"/>
      <c r="S43" s="378"/>
      <c r="T43" s="378"/>
      <c r="U43" s="378"/>
      <c r="V43" s="319">
        <f t="shared" si="1"/>
        <v>0</v>
      </c>
      <c r="W43" s="305"/>
      <c r="X43" s="305"/>
      <c r="Y43" s="305"/>
      <c r="Z43" s="305"/>
    </row>
    <row r="44" spans="1:26" ht="15.75" customHeight="1" x14ac:dyDescent="0.35">
      <c r="A44" s="1164"/>
      <c r="B44" s="394" t="s">
        <v>434</v>
      </c>
      <c r="C44" s="1252"/>
      <c r="D44" s="1201"/>
      <c r="E44" s="1201"/>
      <c r="F44" s="1173"/>
      <c r="G44" s="395"/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6"/>
      <c r="S44" s="378"/>
      <c r="T44" s="378"/>
      <c r="U44" s="378"/>
      <c r="V44" s="319">
        <f t="shared" si="1"/>
        <v>0</v>
      </c>
      <c r="W44" s="305"/>
      <c r="X44" s="305"/>
      <c r="Y44" s="305"/>
      <c r="Z44" s="305"/>
    </row>
    <row r="45" spans="1:26" ht="15.75" customHeight="1" x14ac:dyDescent="0.35">
      <c r="A45" s="1164"/>
      <c r="B45" s="394" t="s">
        <v>435</v>
      </c>
      <c r="C45" s="1252"/>
      <c r="D45" s="1201"/>
      <c r="E45" s="1201"/>
      <c r="F45" s="1173"/>
      <c r="G45" s="395"/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6"/>
      <c r="S45" s="378"/>
      <c r="T45" s="378"/>
      <c r="U45" s="378"/>
      <c r="V45" s="319">
        <f t="shared" si="1"/>
        <v>0</v>
      </c>
      <c r="W45" s="305"/>
      <c r="X45" s="305"/>
      <c r="Y45" s="305"/>
      <c r="Z45" s="305"/>
    </row>
    <row r="46" spans="1:26" ht="15.75" customHeight="1" x14ac:dyDescent="0.35">
      <c r="A46" s="1164"/>
      <c r="B46" s="394" t="s">
        <v>436</v>
      </c>
      <c r="C46" s="1252"/>
      <c r="D46" s="1201"/>
      <c r="E46" s="1201"/>
      <c r="F46" s="1173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6"/>
      <c r="S46" s="383"/>
      <c r="T46" s="383"/>
      <c r="U46" s="383"/>
      <c r="V46" s="319">
        <f t="shared" si="1"/>
        <v>0</v>
      </c>
      <c r="W46" s="305"/>
      <c r="X46" s="305"/>
      <c r="Y46" s="305"/>
      <c r="Z46" s="305"/>
    </row>
    <row r="47" spans="1:26" ht="15.75" customHeight="1" x14ac:dyDescent="0.35">
      <c r="A47" s="1164"/>
      <c r="B47" s="394" t="s">
        <v>437</v>
      </c>
      <c r="C47" s="1252"/>
      <c r="D47" s="1201"/>
      <c r="E47" s="1201"/>
      <c r="F47" s="1173"/>
      <c r="G47" s="395"/>
      <c r="H47" s="395"/>
      <c r="I47" s="395"/>
      <c r="J47" s="395"/>
      <c r="K47" s="395"/>
      <c r="L47" s="395"/>
      <c r="M47" s="395"/>
      <c r="N47" s="395"/>
      <c r="O47" s="395"/>
      <c r="P47" s="395"/>
      <c r="Q47" s="395"/>
      <c r="R47" s="396"/>
      <c r="S47" s="377"/>
      <c r="T47" s="377"/>
      <c r="U47" s="377"/>
      <c r="V47" s="319">
        <f t="shared" si="1"/>
        <v>0</v>
      </c>
      <c r="W47" s="305"/>
      <c r="X47" s="305"/>
      <c r="Y47" s="305"/>
      <c r="Z47" s="305"/>
    </row>
    <row r="48" spans="1:26" ht="15.75" customHeight="1" x14ac:dyDescent="0.35">
      <c r="A48" s="1164"/>
      <c r="B48" s="394" t="s">
        <v>438</v>
      </c>
      <c r="C48" s="1252"/>
      <c r="D48" s="1201"/>
      <c r="E48" s="1201"/>
      <c r="F48" s="1173"/>
      <c r="G48" s="395"/>
      <c r="H48" s="395"/>
      <c r="I48" s="395"/>
      <c r="J48" s="395"/>
      <c r="K48" s="395"/>
      <c r="L48" s="395"/>
      <c r="M48" s="395"/>
      <c r="N48" s="395"/>
      <c r="O48" s="395"/>
      <c r="P48" s="395"/>
      <c r="Q48" s="395"/>
      <c r="R48" s="396"/>
      <c r="S48" s="378"/>
      <c r="T48" s="378"/>
      <c r="U48" s="378"/>
      <c r="V48" s="319">
        <f t="shared" si="1"/>
        <v>0</v>
      </c>
      <c r="W48" s="305"/>
      <c r="X48" s="305"/>
      <c r="Y48" s="305"/>
      <c r="Z48" s="305"/>
    </row>
    <row r="49" spans="1:26" ht="15.75" customHeight="1" x14ac:dyDescent="0.35">
      <c r="A49" s="1164"/>
      <c r="B49" s="394" t="s">
        <v>439</v>
      </c>
      <c r="C49" s="1252"/>
      <c r="D49" s="1201"/>
      <c r="E49" s="1201"/>
      <c r="F49" s="1173"/>
      <c r="G49" s="395"/>
      <c r="H49" s="395"/>
      <c r="I49" s="395"/>
      <c r="J49" s="395"/>
      <c r="K49" s="395"/>
      <c r="L49" s="395"/>
      <c r="M49" s="395"/>
      <c r="N49" s="395"/>
      <c r="O49" s="395"/>
      <c r="P49" s="395"/>
      <c r="Q49" s="395"/>
      <c r="R49" s="396"/>
      <c r="S49" s="383"/>
      <c r="T49" s="383"/>
      <c r="U49" s="383"/>
      <c r="V49" s="319">
        <f t="shared" si="1"/>
        <v>0</v>
      </c>
      <c r="W49" s="305"/>
      <c r="X49" s="305"/>
      <c r="Y49" s="305"/>
      <c r="Z49" s="305"/>
    </row>
    <row r="50" spans="1:26" ht="15.75" customHeight="1" x14ac:dyDescent="0.35">
      <c r="A50" s="1164"/>
      <c r="B50" s="394" t="s">
        <v>440</v>
      </c>
      <c r="C50" s="1252"/>
      <c r="D50" s="1201"/>
      <c r="E50" s="1201"/>
      <c r="F50" s="1173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6"/>
      <c r="S50" s="377"/>
      <c r="T50" s="377"/>
      <c r="U50" s="377"/>
      <c r="V50" s="319">
        <f t="shared" si="1"/>
        <v>0</v>
      </c>
      <c r="W50" s="305"/>
      <c r="X50" s="305"/>
      <c r="Y50" s="305"/>
      <c r="Z50" s="305"/>
    </row>
    <row r="51" spans="1:26" ht="15.75" customHeight="1" x14ac:dyDescent="0.35">
      <c r="A51" s="1164"/>
      <c r="B51" s="394" t="s">
        <v>441</v>
      </c>
      <c r="C51" s="1252"/>
      <c r="D51" s="1201"/>
      <c r="E51" s="1201"/>
      <c r="F51" s="1173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6"/>
      <c r="S51" s="378"/>
      <c r="T51" s="378"/>
      <c r="U51" s="378"/>
      <c r="V51" s="319">
        <f t="shared" si="1"/>
        <v>0</v>
      </c>
      <c r="W51" s="305"/>
      <c r="X51" s="305"/>
      <c r="Y51" s="305"/>
      <c r="Z51" s="305"/>
    </row>
    <row r="52" spans="1:26" ht="15.75" customHeight="1" x14ac:dyDescent="0.35">
      <c r="A52" s="1164"/>
      <c r="B52" s="394" t="s">
        <v>442</v>
      </c>
      <c r="C52" s="1252"/>
      <c r="D52" s="1201"/>
      <c r="E52" s="1201"/>
      <c r="F52" s="1173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6"/>
      <c r="S52" s="378"/>
      <c r="T52" s="378"/>
      <c r="U52" s="378"/>
      <c r="V52" s="319">
        <f t="shared" si="1"/>
        <v>0</v>
      </c>
      <c r="W52" s="305"/>
      <c r="X52" s="305"/>
      <c r="Y52" s="305"/>
      <c r="Z52" s="305"/>
    </row>
    <row r="53" spans="1:26" ht="15.75" customHeight="1" x14ac:dyDescent="0.35">
      <c r="A53" s="1164"/>
      <c r="B53" s="394" t="s">
        <v>443</v>
      </c>
      <c r="C53" s="1252"/>
      <c r="D53" s="1201"/>
      <c r="E53" s="1201"/>
      <c r="F53" s="1173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6"/>
      <c r="S53" s="378"/>
      <c r="T53" s="378"/>
      <c r="U53" s="378"/>
      <c r="V53" s="319">
        <f t="shared" si="1"/>
        <v>0</v>
      </c>
      <c r="W53" s="305"/>
      <c r="X53" s="305"/>
      <c r="Y53" s="305"/>
      <c r="Z53" s="305"/>
    </row>
    <row r="54" spans="1:26" ht="15.75" customHeight="1" x14ac:dyDescent="0.35">
      <c r="A54" s="1164"/>
      <c r="B54" s="394" t="s">
        <v>444</v>
      </c>
      <c r="C54" s="1252"/>
      <c r="D54" s="1201"/>
      <c r="E54" s="1201"/>
      <c r="F54" s="1173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6"/>
      <c r="S54" s="378"/>
      <c r="T54" s="378"/>
      <c r="U54" s="378"/>
      <c r="V54" s="319">
        <f t="shared" si="1"/>
        <v>0</v>
      </c>
      <c r="W54" s="305"/>
      <c r="X54" s="305"/>
      <c r="Y54" s="305"/>
      <c r="Z54" s="305"/>
    </row>
    <row r="55" spans="1:26" ht="15.75" customHeight="1" x14ac:dyDescent="0.35">
      <c r="A55" s="1164"/>
      <c r="B55" s="394" t="s">
        <v>445</v>
      </c>
      <c r="C55" s="1252"/>
      <c r="D55" s="1201"/>
      <c r="E55" s="1201"/>
      <c r="F55" s="1173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6"/>
      <c r="S55" s="383"/>
      <c r="T55" s="383"/>
      <c r="U55" s="383"/>
      <c r="V55" s="319">
        <f t="shared" si="1"/>
        <v>0</v>
      </c>
      <c r="W55" s="305"/>
      <c r="X55" s="305"/>
      <c r="Y55" s="305"/>
      <c r="Z55" s="305"/>
    </row>
    <row r="56" spans="1:26" ht="15.75" customHeight="1" x14ac:dyDescent="0.35">
      <c r="A56" s="1164"/>
      <c r="B56" s="394" t="s">
        <v>446</v>
      </c>
      <c r="C56" s="1252"/>
      <c r="D56" s="1201"/>
      <c r="E56" s="1201"/>
      <c r="F56" s="1173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6"/>
      <c r="S56" s="377"/>
      <c r="T56" s="377"/>
      <c r="U56" s="377"/>
      <c r="V56" s="319">
        <f t="shared" si="1"/>
        <v>0</v>
      </c>
      <c r="W56" s="305"/>
      <c r="X56" s="305"/>
      <c r="Y56" s="305"/>
      <c r="Z56" s="305"/>
    </row>
    <row r="57" spans="1:26" ht="15.75" customHeight="1" x14ac:dyDescent="0.35">
      <c r="A57" s="1164"/>
      <c r="B57" s="394" t="s">
        <v>447</v>
      </c>
      <c r="C57" s="1252"/>
      <c r="D57" s="1201"/>
      <c r="E57" s="1201"/>
      <c r="F57" s="1173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6"/>
      <c r="S57" s="378"/>
      <c r="T57" s="378"/>
      <c r="U57" s="378"/>
      <c r="V57" s="319">
        <f t="shared" si="1"/>
        <v>0</v>
      </c>
      <c r="W57" s="305"/>
      <c r="X57" s="305"/>
      <c r="Y57" s="305"/>
      <c r="Z57" s="305"/>
    </row>
    <row r="58" spans="1:26" ht="15.75" customHeight="1" x14ac:dyDescent="0.35">
      <c r="A58" s="1164"/>
      <c r="B58" s="394" t="s">
        <v>448</v>
      </c>
      <c r="C58" s="1252"/>
      <c r="D58" s="1201"/>
      <c r="E58" s="1201"/>
      <c r="F58" s="1173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6"/>
      <c r="S58" s="383"/>
      <c r="T58" s="383"/>
      <c r="U58" s="383"/>
      <c r="V58" s="319">
        <f t="shared" si="1"/>
        <v>0</v>
      </c>
      <c r="W58" s="305"/>
      <c r="X58" s="305"/>
      <c r="Y58" s="305"/>
      <c r="Z58" s="305"/>
    </row>
    <row r="59" spans="1:26" ht="15.75" customHeight="1" x14ac:dyDescent="0.35">
      <c r="A59" s="1164"/>
      <c r="B59" s="394" t="s">
        <v>449</v>
      </c>
      <c r="C59" s="1252"/>
      <c r="D59" s="1201"/>
      <c r="E59" s="1201"/>
      <c r="F59" s="1173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6"/>
      <c r="S59" s="377"/>
      <c r="T59" s="377"/>
      <c r="U59" s="377"/>
      <c r="V59" s="319">
        <f t="shared" si="1"/>
        <v>0</v>
      </c>
      <c r="W59" s="305"/>
      <c r="X59" s="305"/>
      <c r="Y59" s="305"/>
      <c r="Z59" s="305"/>
    </row>
    <row r="60" spans="1:26" ht="15.75" customHeight="1" x14ac:dyDescent="0.35">
      <c r="A60" s="1165"/>
      <c r="B60" s="394" t="s">
        <v>450</v>
      </c>
      <c r="C60" s="1287"/>
      <c r="D60" s="1288"/>
      <c r="E60" s="1288"/>
      <c r="F60" s="1289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6"/>
      <c r="S60" s="362"/>
      <c r="T60" s="362"/>
      <c r="U60" s="362"/>
      <c r="V60" s="319">
        <f t="shared" si="1"/>
        <v>0</v>
      </c>
      <c r="W60" s="305"/>
      <c r="X60" s="305"/>
      <c r="Y60" s="305"/>
      <c r="Z60" s="305"/>
    </row>
    <row r="61" spans="1:26" ht="15.75" customHeight="1" x14ac:dyDescent="0.25">
      <c r="A61" s="305"/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</row>
    <row r="62" spans="1:26" ht="15.75" customHeight="1" x14ac:dyDescent="0.25">
      <c r="A62" s="305"/>
      <c r="B62" s="305"/>
      <c r="C62" s="305"/>
      <c r="D62" s="305"/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</row>
    <row r="63" spans="1:26" ht="15.75" customHeight="1" x14ac:dyDescent="0.25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</row>
    <row r="64" spans="1:26" ht="15.75" customHeight="1" x14ac:dyDescent="0.25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305"/>
      <c r="Y64" s="305"/>
      <c r="Z64" s="305"/>
    </row>
    <row r="65" spans="1:26" ht="15.75" customHeight="1" x14ac:dyDescent="0.25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</row>
    <row r="66" spans="1:26" ht="15.75" customHeight="1" x14ac:dyDescent="0.25">
      <c r="A66" s="305"/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  <c r="N66" s="305"/>
      <c r="O66" s="305"/>
      <c r="P66" s="305"/>
      <c r="Q66" s="305"/>
      <c r="R66" s="305"/>
      <c r="S66" s="305"/>
      <c r="T66" s="305"/>
      <c r="U66" s="305"/>
      <c r="V66" s="305"/>
      <c r="W66" s="305"/>
      <c r="X66" s="305"/>
      <c r="Y66" s="305"/>
      <c r="Z66" s="305"/>
    </row>
    <row r="67" spans="1:26" ht="15.75" customHeight="1" x14ac:dyDescent="0.25">
      <c r="A67" s="305"/>
      <c r="B67" s="305"/>
      <c r="C67" s="305"/>
      <c r="D67" s="305"/>
      <c r="E67" s="305"/>
      <c r="F67" s="305"/>
      <c r="G67" s="305"/>
      <c r="H67" s="305"/>
      <c r="I67" s="305"/>
      <c r="J67" s="305"/>
      <c r="K67" s="305"/>
      <c r="L67" s="305"/>
      <c r="M67" s="305"/>
      <c r="N67" s="305"/>
      <c r="O67" s="305"/>
      <c r="P67" s="305"/>
      <c r="Q67" s="305"/>
      <c r="R67" s="305"/>
      <c r="S67" s="305"/>
      <c r="T67" s="305"/>
      <c r="U67" s="305"/>
      <c r="V67" s="305"/>
      <c r="W67" s="305"/>
      <c r="X67" s="305"/>
      <c r="Y67" s="305"/>
      <c r="Z67" s="305"/>
    </row>
    <row r="68" spans="1:26" ht="15.75" customHeight="1" x14ac:dyDescent="0.25">
      <c r="A68" s="305"/>
      <c r="B68" s="305"/>
      <c r="C68" s="305"/>
      <c r="D68" s="305"/>
      <c r="E68" s="305"/>
      <c r="F68" s="305"/>
      <c r="G68" s="305"/>
      <c r="H68" s="305"/>
      <c r="I68" s="305"/>
      <c r="J68" s="305"/>
      <c r="K68" s="305"/>
      <c r="L68" s="305"/>
      <c r="M68" s="305"/>
      <c r="N68" s="305"/>
      <c r="O68" s="305"/>
      <c r="P68" s="305"/>
      <c r="Q68" s="305"/>
      <c r="R68" s="305"/>
      <c r="S68" s="305"/>
      <c r="T68" s="305"/>
      <c r="U68" s="305"/>
      <c r="V68" s="305"/>
      <c r="W68" s="305"/>
      <c r="X68" s="305"/>
      <c r="Y68" s="305"/>
      <c r="Z68" s="305"/>
    </row>
    <row r="69" spans="1:26" ht="15.75" customHeight="1" x14ac:dyDescent="0.25">
      <c r="A69" s="305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</row>
    <row r="70" spans="1:26" ht="15.75" customHeight="1" x14ac:dyDescent="0.25">
      <c r="A70" s="305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5"/>
      <c r="Q70" s="305"/>
      <c r="R70" s="305"/>
      <c r="S70" s="305"/>
      <c r="T70" s="305"/>
      <c r="U70" s="305"/>
      <c r="V70" s="305"/>
      <c r="W70" s="305"/>
      <c r="X70" s="305"/>
      <c r="Y70" s="305"/>
      <c r="Z70" s="305"/>
    </row>
    <row r="71" spans="1:26" ht="15.75" customHeight="1" x14ac:dyDescent="0.25">
      <c r="A71" s="305"/>
      <c r="B71" s="305"/>
      <c r="C71" s="305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</row>
    <row r="72" spans="1:26" ht="15.75" customHeight="1" x14ac:dyDescent="0.25">
      <c r="A72" s="305"/>
      <c r="B72" s="305"/>
      <c r="C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05"/>
      <c r="O72" s="305"/>
      <c r="P72" s="305"/>
      <c r="Q72" s="305"/>
      <c r="R72" s="305"/>
      <c r="S72" s="305"/>
      <c r="T72" s="305"/>
      <c r="U72" s="305"/>
      <c r="V72" s="305"/>
      <c r="W72" s="305"/>
      <c r="X72" s="305"/>
      <c r="Y72" s="305"/>
      <c r="Z72" s="305"/>
    </row>
    <row r="73" spans="1:26" ht="15.75" customHeight="1" x14ac:dyDescent="0.25">
      <c r="A73" s="305"/>
      <c r="B73" s="305"/>
      <c r="C73" s="305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305"/>
      <c r="O73" s="305"/>
      <c r="P73" s="305"/>
      <c r="Q73" s="305"/>
      <c r="R73" s="305"/>
      <c r="S73" s="305"/>
      <c r="T73" s="305"/>
      <c r="U73" s="305"/>
      <c r="V73" s="305"/>
      <c r="W73" s="305"/>
      <c r="X73" s="305"/>
      <c r="Y73" s="305"/>
      <c r="Z73" s="305"/>
    </row>
    <row r="74" spans="1:26" ht="15.75" customHeight="1" x14ac:dyDescent="0.25">
      <c r="A74" s="305"/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</row>
    <row r="75" spans="1:26" ht="15.75" customHeight="1" x14ac:dyDescent="0.25">
      <c r="A75" s="305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</row>
    <row r="76" spans="1:26" ht="15.75" customHeight="1" x14ac:dyDescent="0.25">
      <c r="A76" s="305"/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5"/>
      <c r="O76" s="305"/>
      <c r="P76" s="305"/>
      <c r="Q76" s="305"/>
      <c r="R76" s="305"/>
      <c r="S76" s="305"/>
      <c r="T76" s="305"/>
      <c r="U76" s="305"/>
      <c r="V76" s="305"/>
      <c r="W76" s="305"/>
      <c r="X76" s="305"/>
      <c r="Y76" s="305"/>
      <c r="Z76" s="305"/>
    </row>
    <row r="77" spans="1:26" ht="15.75" customHeight="1" x14ac:dyDescent="0.25">
      <c r="A77" s="305"/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</row>
    <row r="78" spans="1:26" ht="15.75" customHeight="1" x14ac:dyDescent="0.25">
      <c r="A78" s="305"/>
      <c r="B78" s="305"/>
      <c r="C78" s="305"/>
      <c r="D78" s="305"/>
      <c r="E78" s="305"/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5"/>
      <c r="Y78" s="305"/>
      <c r="Z78" s="305"/>
    </row>
    <row r="79" spans="1:26" ht="15.75" customHeight="1" x14ac:dyDescent="0.25">
      <c r="A79" s="305"/>
      <c r="B79" s="305"/>
      <c r="C79" s="305"/>
      <c r="D79" s="305"/>
      <c r="E79" s="305"/>
      <c r="F79" s="305"/>
      <c r="G79" s="305"/>
      <c r="H79" s="305"/>
      <c r="I79" s="305"/>
      <c r="J79" s="305"/>
      <c r="K79" s="305"/>
      <c r="L79" s="305"/>
      <c r="M79" s="305"/>
      <c r="N79" s="305"/>
      <c r="O79" s="305"/>
      <c r="P79" s="305"/>
      <c r="Q79" s="305"/>
      <c r="R79" s="305"/>
      <c r="S79" s="305"/>
      <c r="T79" s="305"/>
      <c r="U79" s="305"/>
      <c r="V79" s="305"/>
      <c r="W79" s="305"/>
      <c r="X79" s="305"/>
      <c r="Y79" s="305"/>
      <c r="Z79" s="305"/>
    </row>
    <row r="80" spans="1:26" ht="15.75" customHeight="1" x14ac:dyDescent="0.25">
      <c r="A80" s="305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  <c r="O80" s="305"/>
      <c r="P80" s="305"/>
      <c r="Q80" s="305"/>
      <c r="R80" s="305"/>
      <c r="S80" s="305"/>
      <c r="T80" s="305"/>
      <c r="U80" s="305"/>
      <c r="V80" s="305"/>
      <c r="W80" s="305"/>
      <c r="X80" s="305"/>
      <c r="Y80" s="305"/>
      <c r="Z80" s="305"/>
    </row>
    <row r="81" spans="1:26" ht="15.75" customHeight="1" x14ac:dyDescent="0.25">
      <c r="A81" s="305"/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</row>
    <row r="82" spans="1:26" ht="15.75" customHeight="1" x14ac:dyDescent="0.25">
      <c r="A82" s="305"/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</row>
    <row r="83" spans="1:26" ht="15.75" customHeight="1" x14ac:dyDescent="0.25">
      <c r="A83" s="305"/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5"/>
      <c r="W83" s="305"/>
      <c r="X83" s="305"/>
      <c r="Y83" s="305"/>
      <c r="Z83" s="305"/>
    </row>
    <row r="84" spans="1:26" ht="15.75" customHeight="1" x14ac:dyDescent="0.25">
      <c r="A84" s="305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5"/>
      <c r="Q84" s="305"/>
      <c r="R84" s="305"/>
      <c r="S84" s="305"/>
      <c r="T84" s="305"/>
      <c r="U84" s="305"/>
      <c r="V84" s="305"/>
      <c r="W84" s="305"/>
      <c r="X84" s="305"/>
      <c r="Y84" s="305"/>
      <c r="Z84" s="305"/>
    </row>
    <row r="85" spans="1:26" ht="15.75" customHeight="1" x14ac:dyDescent="0.25">
      <c r="A85" s="305"/>
      <c r="B85" s="305"/>
      <c r="C85" s="305"/>
      <c r="D85" s="305"/>
      <c r="E85" s="305"/>
      <c r="F85" s="305"/>
      <c r="G85" s="305"/>
      <c r="H85" s="305"/>
      <c r="I85" s="305"/>
      <c r="J85" s="305"/>
      <c r="K85" s="305"/>
      <c r="L85" s="305"/>
      <c r="M85" s="305"/>
      <c r="N85" s="305"/>
      <c r="O85" s="305"/>
      <c r="P85" s="305"/>
      <c r="Q85" s="305"/>
      <c r="R85" s="305"/>
      <c r="S85" s="305"/>
      <c r="T85" s="305"/>
      <c r="U85" s="305"/>
      <c r="V85" s="305"/>
      <c r="W85" s="305"/>
      <c r="X85" s="305"/>
      <c r="Y85" s="305"/>
      <c r="Z85" s="305"/>
    </row>
    <row r="86" spans="1:26" ht="15.75" customHeight="1" x14ac:dyDescent="0.25">
      <c r="A86" s="305"/>
      <c r="B86" s="305"/>
      <c r="C86" s="305"/>
      <c r="D86" s="305"/>
      <c r="E86" s="305"/>
      <c r="F86" s="305"/>
      <c r="G86" s="305"/>
      <c r="H86" s="305"/>
      <c r="I86" s="305"/>
      <c r="J86" s="305"/>
      <c r="K86" s="305"/>
      <c r="L86" s="305"/>
      <c r="M86" s="305"/>
      <c r="N86" s="305"/>
      <c r="O86" s="305"/>
      <c r="P86" s="305"/>
      <c r="Q86" s="305"/>
      <c r="R86" s="305"/>
      <c r="S86" s="305"/>
      <c r="T86" s="305"/>
      <c r="U86" s="305"/>
      <c r="V86" s="305"/>
      <c r="W86" s="305"/>
      <c r="X86" s="305"/>
      <c r="Y86" s="305"/>
      <c r="Z86" s="305"/>
    </row>
    <row r="87" spans="1:26" ht="15.75" customHeight="1" x14ac:dyDescent="0.25">
      <c r="A87" s="305"/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</row>
    <row r="88" spans="1:26" ht="15.75" customHeight="1" x14ac:dyDescent="0.25">
      <c r="A88" s="305"/>
      <c r="B88" s="305"/>
      <c r="C88" s="305"/>
      <c r="D88" s="305"/>
      <c r="E88" s="305"/>
      <c r="F88" s="305"/>
      <c r="G88" s="305"/>
      <c r="H88" s="305"/>
      <c r="I88" s="305"/>
      <c r="J88" s="305"/>
      <c r="K88" s="305"/>
      <c r="L88" s="305"/>
      <c r="M88" s="305"/>
      <c r="N88" s="305"/>
      <c r="O88" s="305"/>
      <c r="P88" s="305"/>
      <c r="Q88" s="305"/>
      <c r="R88" s="305"/>
      <c r="S88" s="305"/>
      <c r="T88" s="305"/>
      <c r="U88" s="305"/>
      <c r="V88" s="305"/>
      <c r="W88" s="305"/>
      <c r="X88" s="305"/>
      <c r="Y88" s="305"/>
      <c r="Z88" s="305"/>
    </row>
    <row r="89" spans="1:26" ht="15.75" customHeight="1" x14ac:dyDescent="0.25">
      <c r="A89" s="305"/>
      <c r="B89" s="305"/>
      <c r="C89" s="305"/>
      <c r="D89" s="305"/>
      <c r="E89" s="305"/>
      <c r="F89" s="305"/>
      <c r="G89" s="305"/>
      <c r="H89" s="305"/>
      <c r="I89" s="305"/>
      <c r="J89" s="305"/>
      <c r="K89" s="305"/>
      <c r="L89" s="305"/>
      <c r="M89" s="305"/>
      <c r="N89" s="305"/>
      <c r="O89" s="305"/>
      <c r="P89" s="305"/>
      <c r="Q89" s="305"/>
      <c r="R89" s="305"/>
      <c r="S89" s="305"/>
      <c r="T89" s="305"/>
      <c r="U89" s="305"/>
      <c r="V89" s="305"/>
      <c r="W89" s="305"/>
      <c r="X89" s="305"/>
      <c r="Y89" s="305"/>
      <c r="Z89" s="305"/>
    </row>
    <row r="90" spans="1:26" ht="15.75" customHeight="1" x14ac:dyDescent="0.25">
      <c r="A90" s="305"/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  <c r="T90" s="305"/>
      <c r="U90" s="305"/>
      <c r="V90" s="305"/>
      <c r="W90" s="305"/>
      <c r="X90" s="305"/>
      <c r="Y90" s="305"/>
      <c r="Z90" s="305"/>
    </row>
    <row r="91" spans="1:26" ht="15.75" customHeight="1" x14ac:dyDescent="0.25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  <c r="O91" s="305"/>
      <c r="P91" s="305"/>
      <c r="Q91" s="305"/>
      <c r="R91" s="305"/>
      <c r="S91" s="305"/>
      <c r="T91" s="305"/>
      <c r="U91" s="305"/>
      <c r="V91" s="305"/>
      <c r="W91" s="305"/>
      <c r="X91" s="305"/>
      <c r="Y91" s="305"/>
      <c r="Z91" s="305"/>
    </row>
    <row r="92" spans="1:26" ht="15.75" customHeight="1" x14ac:dyDescent="0.25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</row>
    <row r="93" spans="1:26" ht="15.75" customHeight="1" x14ac:dyDescent="0.25">
      <c r="A93" s="305"/>
      <c r="B93" s="305"/>
      <c r="C93" s="305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</row>
    <row r="94" spans="1:26" ht="15.75" customHeight="1" x14ac:dyDescent="0.25">
      <c r="A94" s="305"/>
      <c r="B94" s="305"/>
      <c r="C94" s="305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305"/>
      <c r="O94" s="305"/>
      <c r="P94" s="305"/>
      <c r="Q94" s="305"/>
      <c r="R94" s="305"/>
      <c r="S94" s="305"/>
      <c r="T94" s="305"/>
      <c r="U94" s="305"/>
      <c r="V94" s="305"/>
      <c r="W94" s="305"/>
      <c r="X94" s="305"/>
      <c r="Y94" s="305"/>
      <c r="Z94" s="305"/>
    </row>
    <row r="95" spans="1:26" ht="15.75" customHeight="1" x14ac:dyDescent="0.25">
      <c r="A95" s="305"/>
      <c r="B95" s="305"/>
      <c r="C95" s="305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5"/>
      <c r="W95" s="305"/>
      <c r="X95" s="305"/>
      <c r="Y95" s="305"/>
      <c r="Z95" s="305"/>
    </row>
    <row r="96" spans="1:26" ht="15.75" customHeight="1" x14ac:dyDescent="0.25">
      <c r="A96" s="305"/>
      <c r="B96" s="305"/>
      <c r="C96" s="305"/>
      <c r="D96" s="305"/>
      <c r="E96" s="305"/>
      <c r="F96" s="305"/>
      <c r="G96" s="305"/>
      <c r="H96" s="305"/>
      <c r="I96" s="305"/>
      <c r="J96" s="305"/>
      <c r="K96" s="305"/>
      <c r="L96" s="305"/>
      <c r="M96" s="305"/>
      <c r="N96" s="305"/>
      <c r="O96" s="305"/>
      <c r="P96" s="305"/>
      <c r="Q96" s="305"/>
      <c r="R96" s="305"/>
      <c r="S96" s="305"/>
      <c r="T96" s="305"/>
      <c r="U96" s="305"/>
      <c r="V96" s="305"/>
      <c r="W96" s="305"/>
      <c r="X96" s="305"/>
      <c r="Y96" s="305"/>
      <c r="Z96" s="305"/>
    </row>
    <row r="97" spans="1:26" ht="15.75" customHeight="1" x14ac:dyDescent="0.25">
      <c r="A97" s="305"/>
      <c r="B97" s="305"/>
      <c r="C97" s="305"/>
      <c r="D97" s="305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05"/>
      <c r="P97" s="305"/>
      <c r="Q97" s="305"/>
      <c r="R97" s="305"/>
      <c r="S97" s="305"/>
      <c r="T97" s="305"/>
      <c r="U97" s="305"/>
      <c r="V97" s="305"/>
      <c r="W97" s="305"/>
      <c r="X97" s="305"/>
      <c r="Y97" s="305"/>
      <c r="Z97" s="305"/>
    </row>
    <row r="98" spans="1:26" ht="15.75" customHeight="1" x14ac:dyDescent="0.25">
      <c r="A98" s="305"/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</row>
    <row r="99" spans="1:26" ht="15.75" customHeight="1" x14ac:dyDescent="0.25">
      <c r="A99" s="305"/>
      <c r="B99" s="305"/>
      <c r="C99" s="305"/>
      <c r="D99" s="305"/>
      <c r="E99" s="305"/>
      <c r="F99" s="305"/>
      <c r="G99" s="305"/>
      <c r="H99" s="305"/>
      <c r="I99" s="305"/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5"/>
      <c r="U99" s="305"/>
      <c r="V99" s="305"/>
      <c r="W99" s="305"/>
      <c r="X99" s="305"/>
      <c r="Y99" s="305"/>
      <c r="Z99" s="305"/>
    </row>
    <row r="100" spans="1:26" ht="15.75" customHeight="1" x14ac:dyDescent="0.25">
      <c r="A100" s="305"/>
      <c r="B100" s="305"/>
      <c r="C100" s="305"/>
      <c r="D100" s="305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5"/>
      <c r="U100" s="305"/>
      <c r="V100" s="305"/>
      <c r="W100" s="305"/>
      <c r="X100" s="305"/>
      <c r="Y100" s="305"/>
      <c r="Z100" s="305"/>
    </row>
    <row r="101" spans="1:26" ht="15.75" customHeight="1" x14ac:dyDescent="0.25">
      <c r="A101" s="305"/>
      <c r="B101" s="305"/>
      <c r="C101" s="305"/>
      <c r="D101" s="305"/>
      <c r="E101" s="305"/>
      <c r="F101" s="305"/>
      <c r="G101" s="305"/>
      <c r="H101" s="305"/>
      <c r="I101" s="305"/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5"/>
      <c r="U101" s="305"/>
      <c r="V101" s="305"/>
      <c r="W101" s="305"/>
      <c r="X101" s="305"/>
      <c r="Y101" s="305"/>
      <c r="Z101" s="305"/>
    </row>
    <row r="102" spans="1:26" ht="15.75" customHeight="1" x14ac:dyDescent="0.25">
      <c r="A102" s="305"/>
      <c r="B102" s="305"/>
      <c r="C102" s="305"/>
      <c r="D102" s="305"/>
      <c r="E102" s="305"/>
      <c r="F102" s="305"/>
      <c r="G102" s="305"/>
      <c r="H102" s="305"/>
      <c r="I102" s="305"/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5"/>
      <c r="U102" s="305"/>
      <c r="V102" s="305"/>
      <c r="W102" s="305"/>
      <c r="X102" s="305"/>
      <c r="Y102" s="305"/>
      <c r="Z102" s="305"/>
    </row>
    <row r="103" spans="1:26" ht="15.75" customHeight="1" x14ac:dyDescent="0.25">
      <c r="A103" s="305"/>
      <c r="B103" s="305"/>
      <c r="C103" s="305"/>
      <c r="D103" s="305"/>
      <c r="E103" s="305"/>
      <c r="F103" s="305"/>
      <c r="G103" s="305"/>
      <c r="H103" s="305"/>
      <c r="I103" s="305"/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5"/>
      <c r="U103" s="305"/>
      <c r="V103" s="305"/>
      <c r="W103" s="305"/>
      <c r="X103" s="305"/>
      <c r="Y103" s="305"/>
      <c r="Z103" s="305"/>
    </row>
    <row r="104" spans="1:26" ht="15.75" customHeight="1" x14ac:dyDescent="0.25">
      <c r="A104" s="305"/>
      <c r="B104" s="305"/>
      <c r="C104" s="305"/>
      <c r="D104" s="305"/>
      <c r="E104" s="305"/>
      <c r="F104" s="305"/>
      <c r="G104" s="305"/>
      <c r="H104" s="305"/>
      <c r="I104" s="305"/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5"/>
      <c r="U104" s="305"/>
      <c r="V104" s="305"/>
      <c r="W104" s="305"/>
      <c r="X104" s="305"/>
      <c r="Y104" s="305"/>
      <c r="Z104" s="305"/>
    </row>
    <row r="105" spans="1:26" ht="15.75" customHeight="1" x14ac:dyDescent="0.25">
      <c r="A105" s="305"/>
      <c r="B105" s="305"/>
      <c r="C105" s="305"/>
      <c r="D105" s="305"/>
      <c r="E105" s="305"/>
      <c r="F105" s="305"/>
      <c r="G105" s="305"/>
      <c r="H105" s="305"/>
      <c r="I105" s="305"/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5"/>
      <c r="U105" s="305"/>
      <c r="V105" s="305"/>
      <c r="W105" s="305"/>
      <c r="X105" s="305"/>
      <c r="Y105" s="305"/>
      <c r="Z105" s="305"/>
    </row>
    <row r="106" spans="1:26" ht="15.75" customHeight="1" x14ac:dyDescent="0.25">
      <c r="A106" s="305"/>
      <c r="B106" s="305"/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</row>
    <row r="107" spans="1:26" ht="15.75" customHeight="1" x14ac:dyDescent="0.25">
      <c r="A107" s="305"/>
      <c r="B107" s="305"/>
      <c r="C107" s="305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5"/>
      <c r="U107" s="305"/>
      <c r="V107" s="305"/>
      <c r="W107" s="305"/>
      <c r="X107" s="305"/>
      <c r="Y107" s="305"/>
      <c r="Z107" s="305"/>
    </row>
    <row r="108" spans="1:26" ht="15.75" customHeight="1" x14ac:dyDescent="0.25">
      <c r="A108" s="305"/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</row>
    <row r="109" spans="1:26" ht="15.75" customHeight="1" x14ac:dyDescent="0.25">
      <c r="A109" s="305"/>
      <c r="B109" s="305"/>
      <c r="C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5"/>
      <c r="U109" s="305"/>
      <c r="V109" s="305"/>
      <c r="W109" s="305"/>
      <c r="X109" s="305"/>
      <c r="Y109" s="305"/>
      <c r="Z109" s="305"/>
    </row>
    <row r="110" spans="1:26" ht="15.75" customHeight="1" x14ac:dyDescent="0.25">
      <c r="A110" s="305"/>
      <c r="B110" s="305"/>
      <c r="C110" s="305"/>
      <c r="D110" s="305"/>
      <c r="E110" s="305"/>
      <c r="F110" s="305"/>
      <c r="G110" s="305"/>
      <c r="H110" s="305"/>
      <c r="I110" s="305"/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5"/>
      <c r="U110" s="305"/>
      <c r="V110" s="305"/>
      <c r="W110" s="305"/>
      <c r="X110" s="305"/>
      <c r="Y110" s="305"/>
      <c r="Z110" s="305"/>
    </row>
    <row r="111" spans="1:26" ht="15.75" customHeight="1" x14ac:dyDescent="0.25">
      <c r="A111" s="305"/>
      <c r="B111" s="305"/>
      <c r="C111" s="305"/>
      <c r="D111" s="305"/>
      <c r="E111" s="305"/>
      <c r="F111" s="305"/>
      <c r="G111" s="305"/>
      <c r="H111" s="305"/>
      <c r="I111" s="305"/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5"/>
      <c r="U111" s="305"/>
      <c r="V111" s="305"/>
      <c r="W111" s="305"/>
      <c r="X111" s="305"/>
      <c r="Y111" s="305"/>
      <c r="Z111" s="305"/>
    </row>
    <row r="112" spans="1:26" ht="15.75" customHeight="1" x14ac:dyDescent="0.25">
      <c r="A112" s="305"/>
      <c r="B112" s="305"/>
      <c r="C112" s="305"/>
      <c r="D112" s="305"/>
      <c r="E112" s="305"/>
      <c r="F112" s="305"/>
      <c r="G112" s="305"/>
      <c r="H112" s="305"/>
      <c r="I112" s="305"/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5"/>
      <c r="U112" s="305"/>
      <c r="V112" s="305"/>
      <c r="W112" s="305"/>
      <c r="X112" s="305"/>
      <c r="Y112" s="305"/>
      <c r="Z112" s="305"/>
    </row>
    <row r="113" spans="1:26" ht="15.75" customHeight="1" x14ac:dyDescent="0.25">
      <c r="A113" s="305"/>
      <c r="B113" s="305"/>
      <c r="C113" s="305"/>
      <c r="D113" s="305"/>
      <c r="E113" s="305"/>
      <c r="F113" s="305"/>
      <c r="G113" s="305"/>
      <c r="H113" s="305"/>
      <c r="I113" s="305"/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5"/>
      <c r="W113" s="305"/>
      <c r="X113" s="305"/>
      <c r="Y113" s="305"/>
      <c r="Z113" s="305"/>
    </row>
    <row r="114" spans="1:26" ht="15.75" customHeight="1" x14ac:dyDescent="0.25">
      <c r="A114" s="305"/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</row>
    <row r="115" spans="1:26" ht="15.75" customHeight="1" x14ac:dyDescent="0.25">
      <c r="A115" s="305"/>
      <c r="B115" s="305"/>
      <c r="C115" s="305"/>
      <c r="D115" s="305"/>
      <c r="E115" s="305"/>
      <c r="F115" s="305"/>
      <c r="G115" s="305"/>
      <c r="H115" s="305"/>
      <c r="I115" s="305"/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5"/>
      <c r="U115" s="305"/>
      <c r="V115" s="305"/>
      <c r="W115" s="305"/>
      <c r="X115" s="305"/>
      <c r="Y115" s="305"/>
      <c r="Z115" s="305"/>
    </row>
    <row r="116" spans="1:26" ht="15.75" customHeight="1" x14ac:dyDescent="0.25">
      <c r="A116" s="305"/>
      <c r="B116" s="305"/>
      <c r="C116" s="305"/>
      <c r="D116" s="305"/>
      <c r="E116" s="305"/>
      <c r="F116" s="305"/>
      <c r="G116" s="305"/>
      <c r="H116" s="305"/>
      <c r="I116" s="305"/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5"/>
      <c r="U116" s="305"/>
      <c r="V116" s="305"/>
      <c r="W116" s="305"/>
      <c r="X116" s="305"/>
      <c r="Y116" s="305"/>
      <c r="Z116" s="305"/>
    </row>
    <row r="117" spans="1:26" ht="15.75" customHeight="1" x14ac:dyDescent="0.25">
      <c r="A117" s="305"/>
      <c r="B117" s="305"/>
      <c r="C117" s="305"/>
      <c r="D117" s="305"/>
      <c r="E117" s="305"/>
      <c r="F117" s="305"/>
      <c r="G117" s="305"/>
      <c r="H117" s="305"/>
      <c r="I117" s="305"/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5"/>
      <c r="U117" s="305"/>
      <c r="V117" s="305"/>
      <c r="W117" s="305"/>
      <c r="X117" s="305"/>
      <c r="Y117" s="305"/>
      <c r="Z117" s="305"/>
    </row>
    <row r="118" spans="1:26" ht="15.75" customHeight="1" x14ac:dyDescent="0.25">
      <c r="A118" s="305"/>
      <c r="B118" s="305"/>
      <c r="C118" s="305"/>
      <c r="D118" s="305"/>
      <c r="E118" s="305"/>
      <c r="F118" s="305"/>
      <c r="G118" s="305"/>
      <c r="H118" s="305"/>
      <c r="I118" s="305"/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5"/>
      <c r="U118" s="305"/>
      <c r="V118" s="305"/>
      <c r="W118" s="305"/>
      <c r="X118" s="305"/>
      <c r="Y118" s="305"/>
      <c r="Z118" s="305"/>
    </row>
    <row r="119" spans="1:26" ht="15.75" customHeight="1" x14ac:dyDescent="0.25">
      <c r="A119" s="305"/>
      <c r="B119" s="305"/>
      <c r="C119" s="305"/>
      <c r="D119" s="305"/>
      <c r="E119" s="305"/>
      <c r="F119" s="305"/>
      <c r="G119" s="305"/>
      <c r="H119" s="305"/>
      <c r="I119" s="305"/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5"/>
      <c r="U119" s="305"/>
      <c r="V119" s="305"/>
      <c r="W119" s="305"/>
      <c r="X119" s="305"/>
      <c r="Y119" s="305"/>
      <c r="Z119" s="305"/>
    </row>
    <row r="120" spans="1:26" ht="15.75" customHeight="1" x14ac:dyDescent="0.25">
      <c r="A120" s="305"/>
      <c r="B120" s="305"/>
      <c r="C120" s="305"/>
      <c r="D120" s="305"/>
      <c r="E120" s="305"/>
      <c r="F120" s="305"/>
      <c r="G120" s="305"/>
      <c r="H120" s="305"/>
      <c r="I120" s="305"/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5"/>
      <c r="U120" s="305"/>
      <c r="V120" s="305"/>
      <c r="W120" s="305"/>
      <c r="X120" s="305"/>
      <c r="Y120" s="305"/>
      <c r="Z120" s="305"/>
    </row>
    <row r="121" spans="1:26" ht="15.75" customHeight="1" x14ac:dyDescent="0.25">
      <c r="A121" s="305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5"/>
      <c r="U121" s="305"/>
      <c r="V121" s="305"/>
      <c r="W121" s="305"/>
      <c r="X121" s="305"/>
      <c r="Y121" s="305"/>
      <c r="Z121" s="305"/>
    </row>
    <row r="122" spans="1:26" ht="15.75" customHeight="1" x14ac:dyDescent="0.25">
      <c r="A122" s="305"/>
      <c r="B122" s="305"/>
      <c r="C122" s="305"/>
      <c r="D122" s="305"/>
      <c r="E122" s="305"/>
      <c r="F122" s="305"/>
      <c r="G122" s="305"/>
      <c r="H122" s="305"/>
      <c r="I122" s="305"/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5"/>
      <c r="U122" s="305"/>
      <c r="V122" s="305"/>
      <c r="W122" s="305"/>
      <c r="X122" s="305"/>
      <c r="Y122" s="305"/>
      <c r="Z122" s="305"/>
    </row>
    <row r="123" spans="1:26" ht="15.75" customHeight="1" x14ac:dyDescent="0.25">
      <c r="A123" s="305"/>
      <c r="B123" s="305"/>
      <c r="C123" s="305"/>
      <c r="D123" s="305"/>
      <c r="E123" s="305"/>
      <c r="F123" s="305"/>
      <c r="G123" s="305"/>
      <c r="H123" s="305"/>
      <c r="I123" s="305"/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5"/>
      <c r="U123" s="305"/>
      <c r="V123" s="305"/>
      <c r="W123" s="305"/>
      <c r="X123" s="305"/>
      <c r="Y123" s="305"/>
      <c r="Z123" s="305"/>
    </row>
    <row r="124" spans="1:26" ht="15.75" customHeight="1" x14ac:dyDescent="0.25">
      <c r="A124" s="305"/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</row>
    <row r="125" spans="1:26" ht="15.75" customHeight="1" x14ac:dyDescent="0.25">
      <c r="A125" s="305"/>
      <c r="B125" s="305"/>
      <c r="C125" s="305"/>
      <c r="D125" s="305"/>
      <c r="E125" s="305"/>
      <c r="F125" s="305"/>
      <c r="G125" s="305"/>
      <c r="H125" s="305"/>
      <c r="I125" s="305"/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5"/>
      <c r="U125" s="305"/>
      <c r="V125" s="305"/>
      <c r="W125" s="305"/>
      <c r="X125" s="305"/>
      <c r="Y125" s="305"/>
      <c r="Z125" s="305"/>
    </row>
    <row r="126" spans="1:26" ht="15.75" customHeight="1" x14ac:dyDescent="0.25">
      <c r="A126" s="305"/>
      <c r="B126" s="305"/>
      <c r="C126" s="305"/>
      <c r="D126" s="305"/>
      <c r="E126" s="305"/>
      <c r="F126" s="305"/>
      <c r="G126" s="305"/>
      <c r="H126" s="305"/>
      <c r="I126" s="305"/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5"/>
      <c r="U126" s="305"/>
      <c r="V126" s="305"/>
      <c r="W126" s="305"/>
      <c r="X126" s="305"/>
      <c r="Y126" s="305"/>
      <c r="Z126" s="305"/>
    </row>
    <row r="127" spans="1:26" ht="15.75" customHeight="1" x14ac:dyDescent="0.25">
      <c r="A127" s="305"/>
      <c r="B127" s="305"/>
      <c r="C127" s="305"/>
      <c r="D127" s="305"/>
      <c r="E127" s="305"/>
      <c r="F127" s="305"/>
      <c r="G127" s="305"/>
      <c r="H127" s="305"/>
      <c r="I127" s="305"/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5"/>
      <c r="U127" s="305"/>
      <c r="V127" s="305"/>
      <c r="W127" s="305"/>
      <c r="X127" s="305"/>
      <c r="Y127" s="305"/>
      <c r="Z127" s="305"/>
    </row>
    <row r="128" spans="1:26" ht="15.75" customHeight="1" x14ac:dyDescent="0.25">
      <c r="A128" s="305"/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</row>
    <row r="129" spans="1:26" ht="15.75" customHeight="1" x14ac:dyDescent="0.25">
      <c r="A129" s="305"/>
      <c r="B129" s="305"/>
      <c r="C129" s="305"/>
      <c r="D129" s="305"/>
      <c r="E129" s="305"/>
      <c r="F129" s="305"/>
      <c r="G129" s="305"/>
      <c r="H129" s="305"/>
      <c r="I129" s="305"/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</row>
    <row r="130" spans="1:26" ht="15.75" customHeight="1" x14ac:dyDescent="0.25">
      <c r="A130" s="305"/>
      <c r="B130" s="305"/>
      <c r="C130" s="305"/>
      <c r="D130" s="305"/>
      <c r="E130" s="305"/>
      <c r="F130" s="305"/>
      <c r="G130" s="305"/>
      <c r="H130" s="305"/>
      <c r="I130" s="305"/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5"/>
      <c r="U130" s="305"/>
      <c r="V130" s="305"/>
      <c r="W130" s="305"/>
      <c r="X130" s="305"/>
      <c r="Y130" s="305"/>
      <c r="Z130" s="305"/>
    </row>
    <row r="131" spans="1:26" ht="15.75" customHeight="1" x14ac:dyDescent="0.25">
      <c r="A131" s="305"/>
      <c r="B131" s="305"/>
      <c r="C131" s="305"/>
      <c r="D131" s="305"/>
      <c r="E131" s="305"/>
      <c r="F131" s="305"/>
      <c r="G131" s="305"/>
      <c r="H131" s="305"/>
      <c r="I131" s="305"/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5"/>
      <c r="U131" s="305"/>
      <c r="V131" s="305"/>
      <c r="W131" s="305"/>
      <c r="X131" s="305"/>
      <c r="Y131" s="305"/>
      <c r="Z131" s="305"/>
    </row>
    <row r="132" spans="1:26" ht="15.75" customHeight="1" x14ac:dyDescent="0.25">
      <c r="A132" s="305"/>
      <c r="B132" s="305"/>
      <c r="C132" s="305"/>
      <c r="D132" s="305"/>
      <c r="E132" s="305"/>
      <c r="F132" s="305"/>
      <c r="G132" s="305"/>
      <c r="H132" s="305"/>
      <c r="I132" s="305"/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5"/>
      <c r="U132" s="305"/>
      <c r="V132" s="305"/>
      <c r="W132" s="305"/>
      <c r="X132" s="305"/>
      <c r="Y132" s="305"/>
      <c r="Z132" s="305"/>
    </row>
    <row r="133" spans="1:26" ht="15.75" customHeight="1" x14ac:dyDescent="0.25">
      <c r="A133" s="305"/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</row>
    <row r="134" spans="1:26" ht="15.75" customHeight="1" x14ac:dyDescent="0.25">
      <c r="A134" s="305"/>
      <c r="B134" s="305"/>
      <c r="C134" s="305"/>
      <c r="D134" s="305"/>
      <c r="E134" s="305"/>
      <c r="F134" s="305"/>
      <c r="G134" s="305"/>
      <c r="H134" s="305"/>
      <c r="I134" s="305"/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5"/>
      <c r="U134" s="305"/>
      <c r="V134" s="305"/>
      <c r="W134" s="305"/>
      <c r="X134" s="305"/>
      <c r="Y134" s="305"/>
      <c r="Z134" s="305"/>
    </row>
    <row r="135" spans="1:26" ht="15.75" customHeight="1" x14ac:dyDescent="0.25">
      <c r="A135" s="305"/>
      <c r="B135" s="305"/>
      <c r="C135" s="305"/>
      <c r="D135" s="305"/>
      <c r="E135" s="305"/>
      <c r="F135" s="305"/>
      <c r="G135" s="305"/>
      <c r="H135" s="305"/>
      <c r="I135" s="305"/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5"/>
      <c r="U135" s="305"/>
      <c r="V135" s="305"/>
      <c r="W135" s="305"/>
      <c r="X135" s="305"/>
      <c r="Y135" s="305"/>
      <c r="Z135" s="305"/>
    </row>
    <row r="136" spans="1:26" ht="15.75" customHeight="1" x14ac:dyDescent="0.25">
      <c r="A136" s="305"/>
      <c r="B136" s="305"/>
      <c r="C136" s="305"/>
      <c r="D136" s="305"/>
      <c r="E136" s="305"/>
      <c r="F136" s="305"/>
      <c r="G136" s="305"/>
      <c r="H136" s="305"/>
      <c r="I136" s="305"/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5"/>
      <c r="U136" s="305"/>
      <c r="V136" s="305"/>
      <c r="W136" s="305"/>
      <c r="X136" s="305"/>
      <c r="Y136" s="305"/>
      <c r="Z136" s="305"/>
    </row>
    <row r="137" spans="1:26" ht="15.75" customHeight="1" x14ac:dyDescent="0.25">
      <c r="A137" s="305"/>
      <c r="B137" s="305"/>
      <c r="C137" s="305"/>
      <c r="D137" s="305"/>
      <c r="E137" s="305"/>
      <c r="F137" s="305"/>
      <c r="G137" s="305"/>
      <c r="H137" s="305"/>
      <c r="I137" s="305"/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5"/>
      <c r="U137" s="305"/>
      <c r="V137" s="305"/>
      <c r="W137" s="305"/>
      <c r="X137" s="305"/>
      <c r="Y137" s="305"/>
      <c r="Z137" s="305"/>
    </row>
    <row r="138" spans="1:26" ht="15.75" customHeight="1" x14ac:dyDescent="0.25">
      <c r="A138" s="305"/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</row>
    <row r="139" spans="1:26" ht="15.75" customHeight="1" x14ac:dyDescent="0.25">
      <c r="A139" s="305"/>
      <c r="B139" s="305"/>
      <c r="C139" s="305"/>
      <c r="D139" s="305"/>
      <c r="E139" s="305"/>
      <c r="F139" s="305"/>
      <c r="G139" s="305"/>
      <c r="H139" s="305"/>
      <c r="I139" s="305"/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5"/>
      <c r="U139" s="305"/>
      <c r="V139" s="305"/>
      <c r="W139" s="305"/>
      <c r="X139" s="305"/>
      <c r="Y139" s="305"/>
      <c r="Z139" s="305"/>
    </row>
    <row r="140" spans="1:26" ht="15.75" customHeight="1" x14ac:dyDescent="0.25">
      <c r="A140" s="305"/>
      <c r="B140" s="305"/>
      <c r="C140" s="305"/>
      <c r="D140" s="305"/>
      <c r="E140" s="305"/>
      <c r="F140" s="305"/>
      <c r="G140" s="305"/>
      <c r="H140" s="305"/>
      <c r="I140" s="305"/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5"/>
      <c r="U140" s="305"/>
      <c r="V140" s="305"/>
      <c r="W140" s="305"/>
      <c r="X140" s="305"/>
      <c r="Y140" s="305"/>
      <c r="Z140" s="305"/>
    </row>
    <row r="141" spans="1:26" ht="15.75" customHeight="1" x14ac:dyDescent="0.25">
      <c r="A141" s="305"/>
      <c r="B141" s="305"/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</row>
    <row r="142" spans="1:26" ht="15.75" customHeight="1" x14ac:dyDescent="0.25">
      <c r="A142" s="305"/>
      <c r="B142" s="305"/>
      <c r="C142" s="305"/>
      <c r="D142" s="305"/>
      <c r="E142" s="305"/>
      <c r="F142" s="305"/>
      <c r="G142" s="305"/>
      <c r="H142" s="305"/>
      <c r="I142" s="305"/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5"/>
      <c r="U142" s="305"/>
      <c r="V142" s="305"/>
      <c r="W142" s="305"/>
      <c r="X142" s="305"/>
      <c r="Y142" s="305"/>
      <c r="Z142" s="305"/>
    </row>
    <row r="143" spans="1:26" ht="15.75" customHeight="1" x14ac:dyDescent="0.25">
      <c r="A143" s="305"/>
      <c r="B143" s="305"/>
      <c r="C143" s="305"/>
      <c r="D143" s="305"/>
      <c r="E143" s="305"/>
      <c r="F143" s="305"/>
      <c r="G143" s="305"/>
      <c r="H143" s="305"/>
      <c r="I143" s="305"/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5"/>
      <c r="U143" s="305"/>
      <c r="V143" s="305"/>
      <c r="W143" s="305"/>
      <c r="X143" s="305"/>
      <c r="Y143" s="305"/>
      <c r="Z143" s="305"/>
    </row>
    <row r="144" spans="1:26" ht="15.75" customHeight="1" x14ac:dyDescent="0.25">
      <c r="A144" s="305"/>
      <c r="B144" s="305"/>
      <c r="C144" s="305"/>
      <c r="D144" s="305"/>
      <c r="E144" s="305"/>
      <c r="F144" s="305"/>
      <c r="G144" s="305"/>
      <c r="H144" s="305"/>
      <c r="I144" s="305"/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5"/>
      <c r="U144" s="305"/>
      <c r="V144" s="305"/>
      <c r="W144" s="305"/>
      <c r="X144" s="305"/>
      <c r="Y144" s="305"/>
      <c r="Z144" s="305"/>
    </row>
    <row r="145" spans="1:26" ht="15.75" customHeight="1" x14ac:dyDescent="0.25">
      <c r="A145" s="305"/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</row>
    <row r="146" spans="1:26" ht="15.75" customHeight="1" x14ac:dyDescent="0.25">
      <c r="A146" s="305"/>
      <c r="B146" s="305"/>
      <c r="C146" s="305"/>
      <c r="D146" s="305"/>
      <c r="E146" s="305"/>
      <c r="F146" s="305"/>
      <c r="G146" s="305"/>
      <c r="H146" s="305"/>
      <c r="I146" s="305"/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5"/>
      <c r="U146" s="305"/>
      <c r="V146" s="305"/>
      <c r="W146" s="305"/>
      <c r="X146" s="305"/>
      <c r="Y146" s="305"/>
      <c r="Z146" s="305"/>
    </row>
    <row r="147" spans="1:26" ht="15.75" customHeight="1" x14ac:dyDescent="0.25">
      <c r="A147" s="305"/>
      <c r="B147" s="305"/>
      <c r="C147" s="305"/>
      <c r="D147" s="305"/>
      <c r="E147" s="305"/>
      <c r="F147" s="305"/>
      <c r="G147" s="305"/>
      <c r="H147" s="305"/>
      <c r="I147" s="305"/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5"/>
      <c r="U147" s="305"/>
      <c r="V147" s="305"/>
      <c r="W147" s="305"/>
      <c r="X147" s="305"/>
      <c r="Y147" s="305"/>
      <c r="Z147" s="305"/>
    </row>
    <row r="148" spans="1:26" ht="15.75" customHeight="1" x14ac:dyDescent="0.25">
      <c r="A148" s="305"/>
      <c r="B148" s="305"/>
      <c r="C148" s="305"/>
      <c r="D148" s="305"/>
      <c r="E148" s="305"/>
      <c r="F148" s="305"/>
      <c r="G148" s="305"/>
      <c r="H148" s="305"/>
      <c r="I148" s="305"/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5"/>
      <c r="U148" s="305"/>
      <c r="V148" s="305"/>
      <c r="W148" s="305"/>
      <c r="X148" s="305"/>
      <c r="Y148" s="305"/>
      <c r="Z148" s="305"/>
    </row>
    <row r="149" spans="1:26" ht="15.75" customHeight="1" x14ac:dyDescent="0.25">
      <c r="A149" s="305"/>
      <c r="B149" s="305"/>
      <c r="C149" s="305"/>
      <c r="D149" s="305"/>
      <c r="E149" s="305"/>
      <c r="F149" s="305"/>
      <c r="G149" s="305"/>
      <c r="H149" s="305"/>
      <c r="I149" s="305"/>
      <c r="J149" s="305"/>
      <c r="K149" s="305"/>
      <c r="L149" s="305"/>
      <c r="M149" s="305"/>
      <c r="N149" s="305"/>
      <c r="O149" s="305"/>
      <c r="P149" s="305"/>
      <c r="Q149" s="305"/>
      <c r="R149" s="305"/>
      <c r="S149" s="305"/>
      <c r="T149" s="305"/>
      <c r="U149" s="305"/>
      <c r="V149" s="305"/>
      <c r="W149" s="305"/>
      <c r="X149" s="305"/>
      <c r="Y149" s="305"/>
      <c r="Z149" s="305"/>
    </row>
    <row r="150" spans="1:26" ht="15.75" customHeight="1" x14ac:dyDescent="0.25">
      <c r="A150" s="305"/>
      <c r="B150" s="305"/>
      <c r="C150" s="305"/>
      <c r="D150" s="305"/>
      <c r="E150" s="305"/>
      <c r="F150" s="305"/>
      <c r="G150" s="305"/>
      <c r="H150" s="305"/>
      <c r="I150" s="305"/>
      <c r="J150" s="305"/>
      <c r="K150" s="305"/>
      <c r="L150" s="305"/>
      <c r="M150" s="305"/>
      <c r="N150" s="305"/>
      <c r="O150" s="305"/>
      <c r="P150" s="305"/>
      <c r="Q150" s="305"/>
      <c r="R150" s="305"/>
      <c r="S150" s="305"/>
      <c r="T150" s="305"/>
      <c r="U150" s="305"/>
      <c r="V150" s="305"/>
      <c r="W150" s="305"/>
      <c r="X150" s="305"/>
      <c r="Y150" s="305"/>
      <c r="Z150" s="305"/>
    </row>
    <row r="151" spans="1:26" ht="15.75" customHeight="1" x14ac:dyDescent="0.25">
      <c r="A151" s="305"/>
      <c r="B151" s="305"/>
      <c r="C151" s="305"/>
      <c r="D151" s="305"/>
      <c r="E151" s="305"/>
      <c r="F151" s="305"/>
      <c r="G151" s="305"/>
      <c r="H151" s="305"/>
      <c r="I151" s="305"/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5"/>
      <c r="U151" s="305"/>
      <c r="V151" s="305"/>
      <c r="W151" s="305"/>
      <c r="X151" s="305"/>
      <c r="Y151" s="305"/>
      <c r="Z151" s="305"/>
    </row>
    <row r="152" spans="1:26" ht="15.75" customHeight="1" x14ac:dyDescent="0.25">
      <c r="A152" s="305"/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</row>
    <row r="153" spans="1:26" ht="15.75" customHeight="1" x14ac:dyDescent="0.25">
      <c r="A153" s="305"/>
      <c r="B153" s="305"/>
      <c r="C153" s="305"/>
      <c r="D153" s="305"/>
      <c r="E153" s="305"/>
      <c r="F153" s="305"/>
      <c r="G153" s="305"/>
      <c r="H153" s="305"/>
      <c r="I153" s="305"/>
      <c r="J153" s="305"/>
      <c r="K153" s="305"/>
      <c r="L153" s="305"/>
      <c r="M153" s="305"/>
      <c r="N153" s="305"/>
      <c r="O153" s="305"/>
      <c r="P153" s="305"/>
      <c r="Q153" s="305"/>
      <c r="R153" s="305"/>
      <c r="S153" s="305"/>
      <c r="T153" s="305"/>
      <c r="U153" s="305"/>
      <c r="V153" s="305"/>
      <c r="W153" s="305"/>
      <c r="X153" s="305"/>
      <c r="Y153" s="305"/>
      <c r="Z153" s="305"/>
    </row>
    <row r="154" spans="1:26" ht="15.75" customHeight="1" x14ac:dyDescent="0.25">
      <c r="A154" s="305"/>
      <c r="B154" s="305"/>
      <c r="C154" s="305"/>
      <c r="D154" s="305"/>
      <c r="E154" s="305"/>
      <c r="F154" s="305"/>
      <c r="G154" s="305"/>
      <c r="H154" s="305"/>
      <c r="I154" s="305"/>
      <c r="J154" s="305"/>
      <c r="K154" s="305"/>
      <c r="L154" s="305"/>
      <c r="M154" s="305"/>
      <c r="N154" s="305"/>
      <c r="O154" s="305"/>
      <c r="P154" s="305"/>
      <c r="Q154" s="305"/>
      <c r="R154" s="305"/>
      <c r="S154" s="305"/>
      <c r="T154" s="305"/>
      <c r="U154" s="305"/>
      <c r="V154" s="305"/>
      <c r="W154" s="305"/>
      <c r="X154" s="305"/>
      <c r="Y154" s="305"/>
      <c r="Z154" s="305"/>
    </row>
    <row r="155" spans="1:26" ht="15.75" customHeight="1" x14ac:dyDescent="0.25">
      <c r="A155" s="305"/>
      <c r="B155" s="305"/>
      <c r="C155" s="305"/>
      <c r="D155" s="305"/>
      <c r="E155" s="305"/>
      <c r="F155" s="305"/>
      <c r="G155" s="305"/>
      <c r="H155" s="305"/>
      <c r="I155" s="305"/>
      <c r="J155" s="305"/>
      <c r="K155" s="305"/>
      <c r="L155" s="305"/>
      <c r="M155" s="305"/>
      <c r="N155" s="305"/>
      <c r="O155" s="305"/>
      <c r="P155" s="305"/>
      <c r="Q155" s="305"/>
      <c r="R155" s="305"/>
      <c r="S155" s="305"/>
      <c r="T155" s="305"/>
      <c r="U155" s="305"/>
      <c r="V155" s="305"/>
      <c r="W155" s="305"/>
      <c r="X155" s="305"/>
      <c r="Y155" s="305"/>
      <c r="Z155" s="305"/>
    </row>
    <row r="156" spans="1:26" ht="15.75" customHeight="1" x14ac:dyDescent="0.25">
      <c r="A156" s="305"/>
      <c r="B156" s="305"/>
      <c r="C156" s="305"/>
      <c r="D156" s="305"/>
      <c r="E156" s="305"/>
      <c r="F156" s="305"/>
      <c r="G156" s="305"/>
      <c r="H156" s="305"/>
      <c r="I156" s="305"/>
      <c r="J156" s="305"/>
      <c r="K156" s="305"/>
      <c r="L156" s="305"/>
      <c r="M156" s="305"/>
      <c r="N156" s="305"/>
      <c r="O156" s="305"/>
      <c r="P156" s="305"/>
      <c r="Q156" s="305"/>
      <c r="R156" s="305"/>
      <c r="S156" s="305"/>
      <c r="T156" s="305"/>
      <c r="U156" s="305"/>
      <c r="V156" s="305"/>
      <c r="W156" s="305"/>
      <c r="X156" s="305"/>
      <c r="Y156" s="305"/>
      <c r="Z156" s="305"/>
    </row>
    <row r="157" spans="1:26" ht="15.75" customHeight="1" x14ac:dyDescent="0.25">
      <c r="A157" s="305"/>
      <c r="B157" s="305"/>
      <c r="C157" s="305"/>
      <c r="D157" s="305"/>
      <c r="E157" s="305"/>
      <c r="F157" s="305"/>
      <c r="G157" s="305"/>
      <c r="H157" s="305"/>
      <c r="I157" s="305"/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5"/>
      <c r="U157" s="305"/>
      <c r="V157" s="305"/>
      <c r="W157" s="305"/>
      <c r="X157" s="305"/>
      <c r="Y157" s="305"/>
      <c r="Z157" s="305"/>
    </row>
    <row r="158" spans="1:26" ht="15.75" customHeight="1" x14ac:dyDescent="0.25">
      <c r="A158" s="305"/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</row>
    <row r="159" spans="1:26" ht="15.75" customHeight="1" x14ac:dyDescent="0.25">
      <c r="A159" s="305"/>
      <c r="B159" s="305"/>
      <c r="C159" s="305"/>
      <c r="D159" s="305"/>
      <c r="E159" s="305"/>
      <c r="F159" s="305"/>
      <c r="G159" s="305"/>
      <c r="H159" s="305"/>
      <c r="I159" s="305"/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5"/>
      <c r="U159" s="305"/>
      <c r="V159" s="305"/>
      <c r="W159" s="305"/>
      <c r="X159" s="305"/>
      <c r="Y159" s="305"/>
      <c r="Z159" s="305"/>
    </row>
    <row r="160" spans="1:26" ht="15.75" customHeight="1" x14ac:dyDescent="0.25">
      <c r="A160" s="305"/>
      <c r="B160" s="305"/>
      <c r="C160" s="305"/>
      <c r="D160" s="305"/>
      <c r="E160" s="305"/>
      <c r="F160" s="305"/>
      <c r="G160" s="305"/>
      <c r="H160" s="305"/>
      <c r="I160" s="305"/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5"/>
      <c r="U160" s="305"/>
      <c r="V160" s="305"/>
      <c r="W160" s="305"/>
      <c r="X160" s="305"/>
      <c r="Y160" s="305"/>
      <c r="Z160" s="305"/>
    </row>
    <row r="161" spans="1:26" ht="15.75" customHeight="1" x14ac:dyDescent="0.25">
      <c r="A161" s="305"/>
      <c r="B161" s="305"/>
      <c r="C161" s="305"/>
      <c r="D161" s="305"/>
      <c r="E161" s="305"/>
      <c r="F161" s="305"/>
      <c r="G161" s="305"/>
      <c r="H161" s="305"/>
      <c r="I161" s="305"/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5"/>
      <c r="U161" s="305"/>
      <c r="V161" s="305"/>
      <c r="W161" s="305"/>
      <c r="X161" s="305"/>
      <c r="Y161" s="305"/>
      <c r="Z161" s="305"/>
    </row>
    <row r="162" spans="1:26" ht="15.75" customHeight="1" x14ac:dyDescent="0.25">
      <c r="A162" s="305"/>
      <c r="B162" s="305"/>
      <c r="C162" s="305"/>
      <c r="D162" s="305"/>
      <c r="E162" s="305"/>
      <c r="F162" s="305"/>
      <c r="G162" s="305"/>
      <c r="H162" s="305"/>
      <c r="I162" s="305"/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5"/>
      <c r="U162" s="305"/>
      <c r="V162" s="305"/>
      <c r="W162" s="305"/>
      <c r="X162" s="305"/>
      <c r="Y162" s="305"/>
      <c r="Z162" s="305"/>
    </row>
    <row r="163" spans="1:26" ht="15.75" customHeight="1" x14ac:dyDescent="0.25">
      <c r="A163" s="305"/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</row>
    <row r="164" spans="1:26" ht="15.75" customHeight="1" x14ac:dyDescent="0.25">
      <c r="A164" s="305"/>
      <c r="B164" s="305"/>
      <c r="C164" s="305"/>
      <c r="D164" s="305"/>
      <c r="E164" s="305"/>
      <c r="F164" s="305"/>
      <c r="G164" s="305"/>
      <c r="H164" s="305"/>
      <c r="I164" s="305"/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5"/>
      <c r="U164" s="305"/>
      <c r="V164" s="305"/>
      <c r="W164" s="305"/>
      <c r="X164" s="305"/>
      <c r="Y164" s="305"/>
      <c r="Z164" s="305"/>
    </row>
    <row r="165" spans="1:26" ht="15.75" customHeight="1" x14ac:dyDescent="0.25">
      <c r="A165" s="305"/>
      <c r="B165" s="305"/>
      <c r="C165" s="305"/>
      <c r="D165" s="305"/>
      <c r="E165" s="305"/>
      <c r="F165" s="305"/>
      <c r="G165" s="305"/>
      <c r="H165" s="305"/>
      <c r="I165" s="305"/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</row>
    <row r="166" spans="1:26" ht="15.75" customHeight="1" x14ac:dyDescent="0.25">
      <c r="A166" s="305"/>
      <c r="B166" s="305"/>
      <c r="C166" s="305"/>
      <c r="D166" s="305"/>
      <c r="E166" s="305"/>
      <c r="F166" s="305"/>
      <c r="G166" s="305"/>
      <c r="H166" s="305"/>
      <c r="I166" s="305"/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5"/>
      <c r="U166" s="305"/>
      <c r="V166" s="305"/>
      <c r="W166" s="305"/>
      <c r="X166" s="305"/>
      <c r="Y166" s="305"/>
      <c r="Z166" s="305"/>
    </row>
    <row r="167" spans="1:26" ht="15.75" customHeight="1" x14ac:dyDescent="0.25">
      <c r="A167" s="305"/>
      <c r="B167" s="305"/>
      <c r="C167" s="305"/>
      <c r="D167" s="305"/>
      <c r="E167" s="305"/>
      <c r="F167" s="305"/>
      <c r="G167" s="305"/>
      <c r="H167" s="305"/>
      <c r="I167" s="305"/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</row>
    <row r="168" spans="1:26" ht="15.75" customHeight="1" x14ac:dyDescent="0.25">
      <c r="A168" s="305"/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</row>
    <row r="169" spans="1:26" ht="15.75" customHeight="1" x14ac:dyDescent="0.25">
      <c r="A169" s="305"/>
      <c r="B169" s="305"/>
      <c r="C169" s="305"/>
      <c r="D169" s="305"/>
      <c r="E169" s="305"/>
      <c r="F169" s="305"/>
      <c r="G169" s="305"/>
      <c r="H169" s="305"/>
      <c r="I169" s="305"/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5"/>
      <c r="U169" s="305"/>
      <c r="V169" s="305"/>
      <c r="W169" s="305"/>
      <c r="X169" s="305"/>
      <c r="Y169" s="305"/>
      <c r="Z169" s="305"/>
    </row>
    <row r="170" spans="1:26" ht="15.75" customHeight="1" x14ac:dyDescent="0.25">
      <c r="A170" s="305"/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</row>
    <row r="171" spans="1:26" ht="15.75" customHeight="1" x14ac:dyDescent="0.25">
      <c r="A171" s="305"/>
      <c r="B171" s="305"/>
      <c r="C171" s="305"/>
      <c r="D171" s="305"/>
      <c r="E171" s="305"/>
      <c r="F171" s="305"/>
      <c r="G171" s="305"/>
      <c r="H171" s="305"/>
      <c r="I171" s="305"/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5"/>
      <c r="U171" s="305"/>
      <c r="V171" s="305"/>
      <c r="W171" s="305"/>
      <c r="X171" s="305"/>
      <c r="Y171" s="305"/>
      <c r="Z171" s="305"/>
    </row>
    <row r="172" spans="1:26" ht="15.75" customHeight="1" x14ac:dyDescent="0.25">
      <c r="A172" s="305"/>
      <c r="B172" s="305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5"/>
      <c r="V172" s="305"/>
      <c r="W172" s="305"/>
      <c r="X172" s="305"/>
      <c r="Y172" s="305"/>
      <c r="Z172" s="305"/>
    </row>
    <row r="173" spans="1:26" ht="15.75" customHeight="1" x14ac:dyDescent="0.25">
      <c r="A173" s="305"/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</row>
    <row r="174" spans="1:26" ht="15.75" customHeight="1" x14ac:dyDescent="0.25">
      <c r="A174" s="305"/>
      <c r="B174" s="305"/>
      <c r="C174" s="305"/>
      <c r="D174" s="305"/>
      <c r="E174" s="305"/>
      <c r="F174" s="305"/>
      <c r="G174" s="305"/>
      <c r="H174" s="305"/>
      <c r="I174" s="305"/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5"/>
      <c r="U174" s="305"/>
      <c r="V174" s="305"/>
      <c r="W174" s="305"/>
      <c r="X174" s="305"/>
      <c r="Y174" s="305"/>
      <c r="Z174" s="305"/>
    </row>
    <row r="175" spans="1:26" ht="15.75" customHeight="1" x14ac:dyDescent="0.25">
      <c r="A175" s="305"/>
      <c r="B175" s="305"/>
      <c r="C175" s="305"/>
      <c r="D175" s="305"/>
      <c r="E175" s="305"/>
      <c r="F175" s="305"/>
      <c r="G175" s="305"/>
      <c r="H175" s="305"/>
      <c r="I175" s="305"/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5"/>
      <c r="U175" s="305"/>
      <c r="V175" s="305"/>
      <c r="W175" s="305"/>
      <c r="X175" s="305"/>
      <c r="Y175" s="305"/>
      <c r="Z175" s="305"/>
    </row>
    <row r="176" spans="1:26" ht="15.75" customHeight="1" x14ac:dyDescent="0.25">
      <c r="A176" s="305"/>
      <c r="B176" s="305"/>
      <c r="C176" s="305"/>
      <c r="D176" s="305"/>
      <c r="E176" s="305"/>
      <c r="F176" s="305"/>
      <c r="G176" s="305"/>
      <c r="H176" s="305"/>
      <c r="I176" s="305"/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5"/>
      <c r="U176" s="305"/>
      <c r="V176" s="305"/>
      <c r="W176" s="305"/>
      <c r="X176" s="305"/>
      <c r="Y176" s="305"/>
      <c r="Z176" s="305"/>
    </row>
    <row r="177" spans="1:26" ht="15.75" customHeight="1" x14ac:dyDescent="0.25">
      <c r="A177" s="305"/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</row>
    <row r="178" spans="1:26" ht="15.75" customHeight="1" x14ac:dyDescent="0.25">
      <c r="A178" s="305"/>
      <c r="B178" s="305"/>
      <c r="C178" s="305"/>
      <c r="D178" s="305"/>
      <c r="E178" s="305"/>
      <c r="F178" s="305"/>
      <c r="G178" s="305"/>
      <c r="H178" s="305"/>
      <c r="I178" s="305"/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5"/>
      <c r="U178" s="305"/>
      <c r="V178" s="305"/>
      <c r="W178" s="305"/>
      <c r="X178" s="305"/>
      <c r="Y178" s="305"/>
      <c r="Z178" s="305"/>
    </row>
    <row r="179" spans="1:26" ht="15.75" customHeight="1" x14ac:dyDescent="0.25">
      <c r="A179" s="305"/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</row>
    <row r="180" spans="1:26" ht="15.75" customHeight="1" x14ac:dyDescent="0.25">
      <c r="A180" s="305"/>
      <c r="B180" s="305"/>
      <c r="C180" s="305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305"/>
      <c r="W180" s="305"/>
      <c r="X180" s="305"/>
      <c r="Y180" s="305"/>
      <c r="Z180" s="305"/>
    </row>
    <row r="181" spans="1:26" ht="15.75" customHeight="1" x14ac:dyDescent="0.25">
      <c r="A181" s="305"/>
      <c r="B181" s="305"/>
      <c r="C181" s="305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5"/>
      <c r="U181" s="305"/>
      <c r="V181" s="305"/>
      <c r="W181" s="305"/>
      <c r="X181" s="305"/>
      <c r="Y181" s="305"/>
      <c r="Z181" s="305"/>
    </row>
    <row r="182" spans="1:26" ht="15.75" customHeight="1" x14ac:dyDescent="0.25">
      <c r="A182" s="305"/>
      <c r="B182" s="305"/>
      <c r="C182" s="305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5"/>
      <c r="U182" s="305"/>
      <c r="V182" s="305"/>
      <c r="W182" s="305"/>
      <c r="X182" s="305"/>
      <c r="Y182" s="305"/>
      <c r="Z182" s="305"/>
    </row>
    <row r="183" spans="1:26" ht="15.75" customHeight="1" x14ac:dyDescent="0.25">
      <c r="A183" s="305"/>
      <c r="B183" s="305"/>
      <c r="C183" s="305"/>
      <c r="D183" s="305"/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5"/>
      <c r="U183" s="305"/>
      <c r="V183" s="305"/>
      <c r="W183" s="305"/>
      <c r="X183" s="305"/>
      <c r="Y183" s="305"/>
      <c r="Z183" s="305"/>
    </row>
    <row r="184" spans="1:26" ht="15.75" customHeight="1" x14ac:dyDescent="0.25">
      <c r="A184" s="305"/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</row>
    <row r="185" spans="1:26" ht="15.75" customHeight="1" x14ac:dyDescent="0.25">
      <c r="A185" s="305"/>
      <c r="B185" s="305"/>
      <c r="C185" s="305"/>
      <c r="D185" s="305"/>
      <c r="E185" s="305"/>
      <c r="F185" s="305"/>
      <c r="G185" s="305"/>
      <c r="H185" s="305"/>
      <c r="I185" s="305"/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5"/>
      <c r="U185" s="305"/>
      <c r="V185" s="305"/>
      <c r="W185" s="305"/>
      <c r="X185" s="305"/>
      <c r="Y185" s="305"/>
      <c r="Z185" s="305"/>
    </row>
    <row r="186" spans="1:26" ht="15.75" customHeight="1" x14ac:dyDescent="0.25">
      <c r="A186" s="305"/>
      <c r="B186" s="305"/>
      <c r="C186" s="305"/>
      <c r="D186" s="305"/>
      <c r="E186" s="305"/>
      <c r="F186" s="305"/>
      <c r="G186" s="305"/>
      <c r="H186" s="305"/>
      <c r="I186" s="305"/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5"/>
      <c r="U186" s="305"/>
      <c r="V186" s="305"/>
      <c r="W186" s="305"/>
      <c r="X186" s="305"/>
      <c r="Y186" s="305"/>
      <c r="Z186" s="305"/>
    </row>
    <row r="187" spans="1:26" ht="15.75" customHeight="1" x14ac:dyDescent="0.25">
      <c r="A187" s="305"/>
      <c r="B187" s="305"/>
      <c r="C187" s="305"/>
      <c r="D187" s="305"/>
      <c r="E187" s="305"/>
      <c r="F187" s="305"/>
      <c r="G187" s="305"/>
      <c r="H187" s="305"/>
      <c r="I187" s="305"/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5"/>
      <c r="U187" s="305"/>
      <c r="V187" s="305"/>
      <c r="W187" s="305"/>
      <c r="X187" s="305"/>
      <c r="Y187" s="305"/>
      <c r="Z187" s="305"/>
    </row>
    <row r="188" spans="1:26" ht="15.75" customHeight="1" x14ac:dyDescent="0.25">
      <c r="A188" s="305"/>
      <c r="B188" s="305"/>
      <c r="C188" s="305"/>
      <c r="D188" s="305"/>
      <c r="E188" s="305"/>
      <c r="F188" s="305"/>
      <c r="G188" s="305"/>
      <c r="H188" s="305"/>
      <c r="I188" s="305"/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5"/>
      <c r="U188" s="305"/>
      <c r="V188" s="305"/>
      <c r="W188" s="305"/>
      <c r="X188" s="305"/>
      <c r="Y188" s="305"/>
      <c r="Z188" s="305"/>
    </row>
    <row r="189" spans="1:26" ht="15.75" customHeight="1" x14ac:dyDescent="0.25">
      <c r="A189" s="305"/>
      <c r="B189" s="305"/>
      <c r="C189" s="305"/>
      <c r="D189" s="305"/>
      <c r="E189" s="305"/>
      <c r="F189" s="305"/>
      <c r="G189" s="305"/>
      <c r="H189" s="305"/>
      <c r="I189" s="305"/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5"/>
      <c r="U189" s="305"/>
      <c r="V189" s="305"/>
      <c r="W189" s="305"/>
      <c r="X189" s="305"/>
      <c r="Y189" s="305"/>
      <c r="Z189" s="305"/>
    </row>
    <row r="190" spans="1:26" ht="15.75" customHeight="1" x14ac:dyDescent="0.25">
      <c r="A190" s="305"/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</row>
    <row r="191" spans="1:26" ht="15.75" customHeight="1" x14ac:dyDescent="0.25">
      <c r="A191" s="305"/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</row>
    <row r="192" spans="1:26" ht="15.75" customHeight="1" x14ac:dyDescent="0.25">
      <c r="A192" s="305"/>
      <c r="B192" s="305"/>
      <c r="C192" s="305"/>
      <c r="D192" s="305"/>
      <c r="E192" s="305"/>
      <c r="F192" s="305"/>
      <c r="G192" s="305"/>
      <c r="H192" s="305"/>
      <c r="I192" s="305"/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5"/>
      <c r="U192" s="305"/>
      <c r="V192" s="305"/>
      <c r="W192" s="305"/>
      <c r="X192" s="305"/>
      <c r="Y192" s="305"/>
      <c r="Z192" s="305"/>
    </row>
    <row r="193" spans="1:26" ht="15.75" customHeight="1" x14ac:dyDescent="0.25">
      <c r="A193" s="305"/>
      <c r="B193" s="305"/>
      <c r="C193" s="305"/>
      <c r="D193" s="305"/>
      <c r="E193" s="305"/>
      <c r="F193" s="305"/>
      <c r="G193" s="305"/>
      <c r="H193" s="305"/>
      <c r="I193" s="305"/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5"/>
      <c r="U193" s="305"/>
      <c r="V193" s="305"/>
      <c r="W193" s="305"/>
      <c r="X193" s="305"/>
      <c r="Y193" s="305"/>
      <c r="Z193" s="305"/>
    </row>
    <row r="194" spans="1:26" ht="15.75" customHeight="1" x14ac:dyDescent="0.25">
      <c r="A194" s="305"/>
      <c r="B194" s="305"/>
      <c r="C194" s="305"/>
      <c r="D194" s="305"/>
      <c r="E194" s="305"/>
      <c r="F194" s="305"/>
      <c r="G194" s="305"/>
      <c r="H194" s="305"/>
      <c r="I194" s="305"/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5"/>
      <c r="U194" s="305"/>
      <c r="V194" s="305"/>
      <c r="W194" s="305"/>
      <c r="X194" s="305"/>
      <c r="Y194" s="305"/>
      <c r="Z194" s="305"/>
    </row>
    <row r="195" spans="1:26" ht="15.75" customHeight="1" x14ac:dyDescent="0.25">
      <c r="A195" s="305"/>
      <c r="B195" s="305"/>
      <c r="C195" s="305"/>
      <c r="D195" s="305"/>
      <c r="E195" s="305"/>
      <c r="F195" s="305"/>
      <c r="G195" s="305"/>
      <c r="H195" s="305"/>
      <c r="I195" s="305"/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5"/>
      <c r="U195" s="305"/>
      <c r="V195" s="305"/>
      <c r="W195" s="305"/>
      <c r="X195" s="305"/>
      <c r="Y195" s="305"/>
      <c r="Z195" s="305"/>
    </row>
    <row r="196" spans="1:26" ht="15.75" customHeight="1" x14ac:dyDescent="0.25">
      <c r="A196" s="305"/>
      <c r="B196" s="305"/>
      <c r="C196" s="305"/>
      <c r="D196" s="305"/>
      <c r="E196" s="305"/>
      <c r="F196" s="305"/>
      <c r="G196" s="305"/>
      <c r="H196" s="305"/>
      <c r="I196" s="305"/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5"/>
      <c r="U196" s="305"/>
      <c r="V196" s="305"/>
      <c r="W196" s="305"/>
      <c r="X196" s="305"/>
      <c r="Y196" s="305"/>
      <c r="Z196" s="305"/>
    </row>
    <row r="197" spans="1:26" ht="15.75" customHeight="1" x14ac:dyDescent="0.25">
      <c r="A197" s="305"/>
      <c r="B197" s="305"/>
      <c r="C197" s="305"/>
      <c r="D197" s="305"/>
      <c r="E197" s="305"/>
      <c r="F197" s="305"/>
      <c r="G197" s="305"/>
      <c r="H197" s="305"/>
      <c r="I197" s="305"/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5"/>
      <c r="U197" s="305"/>
      <c r="V197" s="305"/>
      <c r="W197" s="305"/>
      <c r="X197" s="305"/>
      <c r="Y197" s="305"/>
      <c r="Z197" s="305"/>
    </row>
    <row r="198" spans="1:26" ht="15.75" customHeight="1" x14ac:dyDescent="0.25">
      <c r="A198" s="305"/>
      <c r="B198" s="305"/>
      <c r="C198" s="305"/>
      <c r="D198" s="305"/>
      <c r="E198" s="305"/>
      <c r="F198" s="305"/>
      <c r="G198" s="305"/>
      <c r="H198" s="305"/>
      <c r="I198" s="305"/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5"/>
      <c r="U198" s="305"/>
      <c r="V198" s="305"/>
      <c r="W198" s="305"/>
      <c r="X198" s="305"/>
      <c r="Y198" s="305"/>
      <c r="Z198" s="305"/>
    </row>
    <row r="199" spans="1:26" ht="15.75" customHeight="1" x14ac:dyDescent="0.25">
      <c r="A199" s="305"/>
      <c r="B199" s="305"/>
      <c r="C199" s="305"/>
      <c r="D199" s="305"/>
      <c r="E199" s="305"/>
      <c r="F199" s="305"/>
      <c r="G199" s="305"/>
      <c r="H199" s="305"/>
      <c r="I199" s="305"/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5"/>
      <c r="U199" s="305"/>
      <c r="V199" s="305"/>
      <c r="W199" s="305"/>
      <c r="X199" s="305"/>
      <c r="Y199" s="305"/>
      <c r="Z199" s="305"/>
    </row>
    <row r="200" spans="1:26" ht="15.75" customHeight="1" x14ac:dyDescent="0.25">
      <c r="A200" s="305"/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</row>
    <row r="201" spans="1:26" ht="15.75" customHeight="1" x14ac:dyDescent="0.25">
      <c r="A201" s="305"/>
      <c r="B201" s="305"/>
      <c r="C201" s="305"/>
      <c r="D201" s="305"/>
      <c r="E201" s="305"/>
      <c r="F201" s="305"/>
      <c r="G201" s="305"/>
      <c r="H201" s="305"/>
      <c r="I201" s="305"/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5"/>
      <c r="U201" s="305"/>
      <c r="V201" s="305"/>
      <c r="W201" s="305"/>
      <c r="X201" s="305"/>
      <c r="Y201" s="305"/>
      <c r="Z201" s="305"/>
    </row>
    <row r="202" spans="1:26" ht="15.75" customHeight="1" x14ac:dyDescent="0.25">
      <c r="A202" s="305"/>
      <c r="B202" s="305"/>
      <c r="C202" s="305"/>
      <c r="D202" s="305"/>
      <c r="E202" s="305"/>
      <c r="F202" s="305"/>
      <c r="G202" s="305"/>
      <c r="H202" s="305"/>
      <c r="I202" s="305"/>
      <c r="J202" s="305"/>
      <c r="K202" s="305"/>
      <c r="L202" s="305"/>
      <c r="M202" s="305"/>
      <c r="N202" s="305"/>
      <c r="O202" s="305"/>
      <c r="P202" s="305"/>
      <c r="Q202" s="305"/>
      <c r="R202" s="305"/>
      <c r="S202" s="305"/>
      <c r="T202" s="305"/>
      <c r="U202" s="305"/>
      <c r="V202" s="305"/>
      <c r="W202" s="305"/>
      <c r="X202" s="305"/>
      <c r="Y202" s="305"/>
      <c r="Z202" s="305"/>
    </row>
    <row r="203" spans="1:26" ht="15.75" customHeight="1" x14ac:dyDescent="0.25">
      <c r="A203" s="305"/>
      <c r="B203" s="305"/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305"/>
      <c r="Q203" s="305"/>
      <c r="R203" s="305"/>
      <c r="S203" s="305"/>
      <c r="T203" s="305"/>
      <c r="U203" s="305"/>
      <c r="V203" s="305"/>
      <c r="W203" s="305"/>
      <c r="X203" s="305"/>
      <c r="Y203" s="305"/>
      <c r="Z203" s="305"/>
    </row>
    <row r="204" spans="1:26" ht="15.75" customHeight="1" x14ac:dyDescent="0.25">
      <c r="A204" s="305"/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</row>
    <row r="205" spans="1:26" ht="15.75" customHeight="1" x14ac:dyDescent="0.25">
      <c r="A205" s="305"/>
      <c r="B205" s="305"/>
      <c r="C205" s="305"/>
      <c r="D205" s="305"/>
      <c r="E205" s="305"/>
      <c r="F205" s="305"/>
      <c r="G205" s="305"/>
      <c r="H205" s="305"/>
      <c r="I205" s="305"/>
      <c r="J205" s="305"/>
      <c r="K205" s="305"/>
      <c r="L205" s="305"/>
      <c r="M205" s="305"/>
      <c r="N205" s="305"/>
      <c r="O205" s="305"/>
      <c r="P205" s="305"/>
      <c r="Q205" s="305"/>
      <c r="R205" s="305"/>
      <c r="S205" s="305"/>
      <c r="T205" s="305"/>
      <c r="U205" s="305"/>
      <c r="V205" s="305"/>
      <c r="W205" s="305"/>
      <c r="X205" s="305"/>
      <c r="Y205" s="305"/>
      <c r="Z205" s="305"/>
    </row>
    <row r="206" spans="1:26" ht="15.75" customHeight="1" x14ac:dyDescent="0.25">
      <c r="A206" s="305"/>
      <c r="B206" s="305"/>
      <c r="C206" s="305"/>
      <c r="D206" s="305"/>
      <c r="E206" s="305"/>
      <c r="F206" s="305"/>
      <c r="G206" s="305"/>
      <c r="H206" s="305"/>
      <c r="I206" s="305"/>
      <c r="J206" s="305"/>
      <c r="K206" s="305"/>
      <c r="L206" s="305"/>
      <c r="M206" s="305"/>
      <c r="N206" s="305"/>
      <c r="O206" s="305"/>
      <c r="P206" s="305"/>
      <c r="Q206" s="305"/>
      <c r="R206" s="305"/>
      <c r="S206" s="305"/>
      <c r="T206" s="305"/>
      <c r="U206" s="305"/>
      <c r="V206" s="305"/>
      <c r="W206" s="305"/>
      <c r="X206" s="305"/>
      <c r="Y206" s="305"/>
      <c r="Z206" s="305"/>
    </row>
    <row r="207" spans="1:26" ht="15.75" customHeight="1" x14ac:dyDescent="0.25">
      <c r="A207" s="305"/>
      <c r="B207" s="305"/>
      <c r="C207" s="305"/>
      <c r="D207" s="305"/>
      <c r="E207" s="305"/>
      <c r="F207" s="305"/>
      <c r="G207" s="305"/>
      <c r="H207" s="305"/>
      <c r="I207" s="305"/>
      <c r="J207" s="305"/>
      <c r="K207" s="305"/>
      <c r="L207" s="305"/>
      <c r="M207" s="305"/>
      <c r="N207" s="305"/>
      <c r="O207" s="305"/>
      <c r="P207" s="305"/>
      <c r="Q207" s="305"/>
      <c r="R207" s="305"/>
      <c r="S207" s="305"/>
      <c r="T207" s="305"/>
      <c r="U207" s="305"/>
      <c r="V207" s="305"/>
      <c r="W207" s="305"/>
      <c r="X207" s="305"/>
      <c r="Y207" s="305"/>
      <c r="Z207" s="305"/>
    </row>
    <row r="208" spans="1:26" ht="15.75" customHeight="1" x14ac:dyDescent="0.25">
      <c r="A208" s="305"/>
      <c r="B208" s="305"/>
      <c r="C208" s="305"/>
      <c r="D208" s="305"/>
      <c r="E208" s="305"/>
      <c r="F208" s="305"/>
      <c r="G208" s="305"/>
      <c r="H208" s="305"/>
      <c r="I208" s="305"/>
      <c r="J208" s="305"/>
      <c r="K208" s="305"/>
      <c r="L208" s="305"/>
      <c r="M208" s="305"/>
      <c r="N208" s="305"/>
      <c r="O208" s="305"/>
      <c r="P208" s="305"/>
      <c r="Q208" s="305"/>
      <c r="R208" s="305"/>
      <c r="S208" s="305"/>
      <c r="T208" s="305"/>
      <c r="U208" s="305"/>
      <c r="V208" s="305"/>
      <c r="W208" s="305"/>
      <c r="X208" s="305"/>
      <c r="Y208" s="305"/>
      <c r="Z208" s="305"/>
    </row>
    <row r="209" spans="1:26" ht="15.75" customHeight="1" x14ac:dyDescent="0.25">
      <c r="A209" s="305"/>
      <c r="B209" s="305"/>
      <c r="C209" s="305"/>
      <c r="D209" s="305"/>
      <c r="E209" s="305"/>
      <c r="F209" s="305"/>
      <c r="G209" s="305"/>
      <c r="H209" s="305"/>
      <c r="I209" s="305"/>
      <c r="J209" s="305"/>
      <c r="K209" s="305"/>
      <c r="L209" s="305"/>
      <c r="M209" s="305"/>
      <c r="N209" s="305"/>
      <c r="O209" s="305"/>
      <c r="P209" s="305"/>
      <c r="Q209" s="305"/>
      <c r="R209" s="305"/>
      <c r="S209" s="305"/>
      <c r="T209" s="305"/>
      <c r="U209" s="305"/>
      <c r="V209" s="305"/>
      <c r="W209" s="305"/>
      <c r="X209" s="305"/>
      <c r="Y209" s="305"/>
      <c r="Z209" s="305"/>
    </row>
    <row r="210" spans="1:26" ht="15.75" customHeight="1" x14ac:dyDescent="0.25">
      <c r="A210" s="305"/>
      <c r="B210" s="305"/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305"/>
      <c r="Q210" s="305"/>
      <c r="R210" s="305"/>
      <c r="S210" s="305"/>
      <c r="T210" s="305"/>
      <c r="U210" s="305"/>
      <c r="V210" s="305"/>
      <c r="W210" s="305"/>
      <c r="X210" s="305"/>
      <c r="Y210" s="305"/>
      <c r="Z210" s="305"/>
    </row>
    <row r="211" spans="1:26" ht="15.75" customHeight="1" x14ac:dyDescent="0.25">
      <c r="A211" s="305"/>
      <c r="B211" s="305"/>
      <c r="C211" s="305"/>
      <c r="D211" s="305"/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</row>
    <row r="212" spans="1:26" ht="15.75" customHeight="1" x14ac:dyDescent="0.25">
      <c r="A212" s="305"/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</row>
    <row r="213" spans="1:26" ht="15.75" customHeight="1" x14ac:dyDescent="0.25">
      <c r="A213" s="305"/>
      <c r="B213" s="305"/>
      <c r="C213" s="305"/>
      <c r="D213" s="305"/>
      <c r="E213" s="305"/>
      <c r="F213" s="305"/>
      <c r="G213" s="305"/>
      <c r="H213" s="305"/>
      <c r="I213" s="305"/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5"/>
      <c r="U213" s="305"/>
      <c r="V213" s="305"/>
      <c r="W213" s="305"/>
      <c r="X213" s="305"/>
      <c r="Y213" s="305"/>
      <c r="Z213" s="305"/>
    </row>
    <row r="214" spans="1:26" ht="15.75" customHeight="1" x14ac:dyDescent="0.25">
      <c r="A214" s="305"/>
      <c r="B214" s="305"/>
      <c r="C214" s="305"/>
      <c r="D214" s="305"/>
      <c r="E214" s="305"/>
      <c r="F214" s="305"/>
      <c r="G214" s="305"/>
      <c r="H214" s="305"/>
      <c r="I214" s="305"/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5"/>
      <c r="U214" s="305"/>
      <c r="V214" s="305"/>
      <c r="W214" s="305"/>
      <c r="X214" s="305"/>
      <c r="Y214" s="305"/>
      <c r="Z214" s="305"/>
    </row>
    <row r="215" spans="1:26" ht="15.75" customHeight="1" x14ac:dyDescent="0.25">
      <c r="A215" s="305"/>
      <c r="B215" s="305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</row>
    <row r="216" spans="1:26" ht="15.75" customHeight="1" x14ac:dyDescent="0.25">
      <c r="A216" s="305"/>
      <c r="B216" s="305"/>
      <c r="C216" s="305"/>
      <c r="D216" s="305"/>
      <c r="E216" s="305"/>
      <c r="F216" s="305"/>
      <c r="G216" s="305"/>
      <c r="H216" s="305"/>
      <c r="I216" s="305"/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5"/>
      <c r="U216" s="305"/>
      <c r="V216" s="305"/>
      <c r="W216" s="305"/>
      <c r="X216" s="305"/>
      <c r="Y216" s="305"/>
      <c r="Z216" s="305"/>
    </row>
    <row r="217" spans="1:26" ht="15.75" customHeight="1" x14ac:dyDescent="0.25">
      <c r="A217" s="305"/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</row>
    <row r="218" spans="1:26" ht="15.75" customHeight="1" x14ac:dyDescent="0.25">
      <c r="A218" s="305"/>
      <c r="B218" s="305"/>
      <c r="C218" s="305"/>
      <c r="D218" s="305"/>
      <c r="E218" s="305"/>
      <c r="F218" s="305"/>
      <c r="G218" s="305"/>
      <c r="H218" s="305"/>
      <c r="I218" s="305"/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5"/>
      <c r="U218" s="305"/>
      <c r="V218" s="305"/>
      <c r="W218" s="305"/>
      <c r="X218" s="305"/>
      <c r="Y218" s="305"/>
      <c r="Z218" s="305"/>
    </row>
    <row r="219" spans="1:26" ht="15.75" customHeight="1" x14ac:dyDescent="0.25">
      <c r="A219" s="305"/>
      <c r="B219" s="305"/>
      <c r="C219" s="305"/>
      <c r="D219" s="305"/>
      <c r="E219" s="305"/>
      <c r="F219" s="305"/>
      <c r="G219" s="305"/>
      <c r="H219" s="305"/>
      <c r="I219" s="305"/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5"/>
      <c r="U219" s="305"/>
      <c r="V219" s="305"/>
      <c r="W219" s="305"/>
      <c r="X219" s="305"/>
      <c r="Y219" s="305"/>
      <c r="Z219" s="305"/>
    </row>
    <row r="220" spans="1:26" ht="15.75" customHeight="1" x14ac:dyDescent="0.25">
      <c r="A220" s="305"/>
      <c r="B220" s="305"/>
      <c r="C220" s="305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5"/>
      <c r="U220" s="305"/>
      <c r="V220" s="305"/>
      <c r="W220" s="305"/>
      <c r="X220" s="305"/>
      <c r="Y220" s="305"/>
      <c r="Z220" s="305"/>
    </row>
    <row r="221" spans="1:26" ht="15.75" customHeight="1" x14ac:dyDescent="0.25">
      <c r="A221" s="305"/>
      <c r="B221" s="305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</row>
    <row r="222" spans="1:26" ht="15.75" customHeight="1" x14ac:dyDescent="0.25">
      <c r="A222" s="305"/>
      <c r="B222" s="305"/>
      <c r="C222" s="305"/>
      <c r="D222" s="305"/>
      <c r="E222" s="305"/>
      <c r="F222" s="305"/>
      <c r="G222" s="305"/>
      <c r="H222" s="305"/>
      <c r="I222" s="305"/>
      <c r="J222" s="305"/>
      <c r="K222" s="305"/>
      <c r="L222" s="305"/>
      <c r="M222" s="305"/>
      <c r="N222" s="305"/>
      <c r="O222" s="305"/>
      <c r="P222" s="305"/>
      <c r="Q222" s="305"/>
      <c r="R222" s="305"/>
      <c r="S222" s="305"/>
      <c r="T222" s="305"/>
      <c r="U222" s="305"/>
      <c r="V222" s="305"/>
      <c r="W222" s="305"/>
      <c r="X222" s="305"/>
      <c r="Y222" s="305"/>
      <c r="Z222" s="305"/>
    </row>
    <row r="223" spans="1:26" ht="15.75" customHeight="1" x14ac:dyDescent="0.25">
      <c r="A223" s="305"/>
      <c r="B223" s="305"/>
      <c r="C223" s="305"/>
      <c r="D223" s="305"/>
      <c r="E223" s="305"/>
      <c r="F223" s="305"/>
      <c r="G223" s="305"/>
      <c r="H223" s="305"/>
      <c r="I223" s="305"/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5"/>
      <c r="U223" s="305"/>
      <c r="V223" s="305"/>
      <c r="W223" s="305"/>
      <c r="X223" s="305"/>
      <c r="Y223" s="305"/>
      <c r="Z223" s="305"/>
    </row>
    <row r="224" spans="1:26" ht="15.75" customHeight="1" x14ac:dyDescent="0.25">
      <c r="A224" s="305"/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</row>
    <row r="225" spans="1:26" ht="15.75" customHeight="1" x14ac:dyDescent="0.25">
      <c r="A225" s="305"/>
      <c r="B225" s="305"/>
      <c r="C225" s="305"/>
      <c r="D225" s="305"/>
      <c r="E225" s="305"/>
      <c r="F225" s="305"/>
      <c r="G225" s="305"/>
      <c r="H225" s="305"/>
      <c r="I225" s="305"/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5"/>
      <c r="U225" s="305"/>
      <c r="V225" s="305"/>
      <c r="W225" s="305"/>
      <c r="X225" s="305"/>
      <c r="Y225" s="305"/>
      <c r="Z225" s="305"/>
    </row>
    <row r="226" spans="1:26" ht="15.75" customHeight="1" x14ac:dyDescent="0.25">
      <c r="A226" s="305"/>
      <c r="B226" s="305"/>
      <c r="C226" s="305"/>
      <c r="D226" s="305"/>
      <c r="E226" s="305"/>
      <c r="F226" s="305"/>
      <c r="G226" s="305"/>
      <c r="H226" s="305"/>
      <c r="I226" s="305"/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5"/>
      <c r="U226" s="305"/>
      <c r="V226" s="305"/>
      <c r="W226" s="305"/>
      <c r="X226" s="305"/>
      <c r="Y226" s="305"/>
      <c r="Z226" s="305"/>
    </row>
    <row r="227" spans="1:26" ht="15.75" customHeight="1" x14ac:dyDescent="0.25">
      <c r="A227" s="305"/>
      <c r="B227" s="305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</row>
    <row r="228" spans="1:26" ht="15.75" customHeight="1" x14ac:dyDescent="0.25">
      <c r="A228" s="305"/>
      <c r="B228" s="305"/>
      <c r="C228" s="305"/>
      <c r="D228" s="305"/>
      <c r="E228" s="305"/>
      <c r="F228" s="305"/>
      <c r="G228" s="305"/>
      <c r="H228" s="305"/>
      <c r="I228" s="305"/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5"/>
      <c r="U228" s="305"/>
      <c r="V228" s="305"/>
      <c r="W228" s="305"/>
      <c r="X228" s="305"/>
      <c r="Y228" s="305"/>
      <c r="Z228" s="305"/>
    </row>
    <row r="229" spans="1:26" ht="15.75" customHeight="1" x14ac:dyDescent="0.25">
      <c r="A229" s="305"/>
      <c r="B229" s="305"/>
      <c r="C229" s="305"/>
      <c r="D229" s="305"/>
      <c r="E229" s="305"/>
      <c r="F229" s="305"/>
      <c r="G229" s="305"/>
      <c r="H229" s="305"/>
      <c r="I229" s="305"/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5"/>
      <c r="U229" s="305"/>
      <c r="V229" s="305"/>
      <c r="W229" s="305"/>
      <c r="X229" s="305"/>
      <c r="Y229" s="305"/>
      <c r="Z229" s="305"/>
    </row>
    <row r="230" spans="1:26" ht="15.75" customHeight="1" x14ac:dyDescent="0.25">
      <c r="A230" s="305"/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</row>
    <row r="231" spans="1:26" ht="15.75" customHeight="1" x14ac:dyDescent="0.25">
      <c r="A231" s="305"/>
      <c r="B231" s="305"/>
      <c r="C231" s="305"/>
      <c r="D231" s="305"/>
      <c r="E231" s="305"/>
      <c r="F231" s="305"/>
      <c r="G231" s="305"/>
      <c r="H231" s="305"/>
      <c r="I231" s="305"/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5"/>
      <c r="U231" s="305"/>
      <c r="V231" s="305"/>
      <c r="W231" s="305"/>
      <c r="X231" s="305"/>
      <c r="Y231" s="305"/>
      <c r="Z231" s="305"/>
    </row>
    <row r="232" spans="1:26" ht="15.75" customHeight="1" x14ac:dyDescent="0.25">
      <c r="A232" s="305"/>
      <c r="B232" s="305"/>
      <c r="C232" s="305"/>
      <c r="D232" s="305"/>
      <c r="E232" s="305"/>
      <c r="F232" s="305"/>
      <c r="G232" s="305"/>
      <c r="H232" s="305"/>
      <c r="I232" s="305"/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5"/>
      <c r="U232" s="305"/>
      <c r="V232" s="305"/>
      <c r="W232" s="305"/>
      <c r="X232" s="305"/>
      <c r="Y232" s="305"/>
      <c r="Z232" s="305"/>
    </row>
    <row r="233" spans="1:26" ht="15.75" customHeight="1" x14ac:dyDescent="0.25">
      <c r="A233" s="305"/>
      <c r="B233" s="305"/>
      <c r="C233" s="305"/>
      <c r="D233" s="305"/>
      <c r="E233" s="305"/>
      <c r="F233" s="305"/>
      <c r="G233" s="305"/>
      <c r="H233" s="305"/>
      <c r="I233" s="305"/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5"/>
      <c r="U233" s="305"/>
      <c r="V233" s="305"/>
      <c r="W233" s="305"/>
      <c r="X233" s="305"/>
      <c r="Y233" s="305"/>
      <c r="Z233" s="305"/>
    </row>
    <row r="234" spans="1:26" ht="15.75" customHeight="1" x14ac:dyDescent="0.25">
      <c r="A234" s="305"/>
      <c r="B234" s="305"/>
      <c r="C234" s="305"/>
      <c r="D234" s="305"/>
      <c r="E234" s="305"/>
      <c r="F234" s="305"/>
      <c r="G234" s="305"/>
      <c r="H234" s="305"/>
      <c r="I234" s="305"/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5"/>
      <c r="U234" s="305"/>
      <c r="V234" s="305"/>
      <c r="W234" s="305"/>
      <c r="X234" s="305"/>
      <c r="Y234" s="305"/>
      <c r="Z234" s="305"/>
    </row>
    <row r="235" spans="1:26" ht="15.75" customHeight="1" x14ac:dyDescent="0.25">
      <c r="A235" s="305"/>
      <c r="B235" s="305"/>
      <c r="C235" s="305"/>
      <c r="D235" s="305"/>
      <c r="E235" s="305"/>
      <c r="F235" s="305"/>
      <c r="G235" s="305"/>
      <c r="H235" s="305"/>
      <c r="I235" s="305"/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5"/>
      <c r="U235" s="305"/>
      <c r="V235" s="305"/>
      <c r="W235" s="305"/>
      <c r="X235" s="305"/>
      <c r="Y235" s="305"/>
      <c r="Z235" s="305"/>
    </row>
    <row r="236" spans="1:26" ht="15.75" customHeight="1" x14ac:dyDescent="0.25">
      <c r="A236" s="305"/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</row>
    <row r="237" spans="1:26" ht="15.75" customHeight="1" x14ac:dyDescent="0.25">
      <c r="A237" s="305"/>
      <c r="B237" s="305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</row>
    <row r="238" spans="1:26" ht="15.75" customHeight="1" x14ac:dyDescent="0.25">
      <c r="A238" s="305"/>
      <c r="B238" s="305"/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</row>
    <row r="239" spans="1:26" ht="15.75" customHeight="1" x14ac:dyDescent="0.25">
      <c r="A239" s="305"/>
      <c r="B239" s="305"/>
      <c r="C239" s="305"/>
      <c r="D239" s="305"/>
      <c r="E239" s="305"/>
      <c r="F239" s="305"/>
      <c r="G239" s="305"/>
      <c r="H239" s="305"/>
      <c r="I239" s="305"/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5"/>
      <c r="U239" s="305"/>
      <c r="V239" s="305"/>
      <c r="W239" s="305"/>
      <c r="X239" s="305"/>
      <c r="Y239" s="305"/>
      <c r="Z239" s="305"/>
    </row>
    <row r="240" spans="1:26" ht="15.75" customHeight="1" x14ac:dyDescent="0.25">
      <c r="A240" s="305"/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</row>
    <row r="241" spans="1:26" ht="15.75" customHeight="1" x14ac:dyDescent="0.25">
      <c r="A241" s="305"/>
      <c r="B241" s="305"/>
      <c r="C241" s="305"/>
      <c r="D241" s="305"/>
      <c r="E241" s="305"/>
      <c r="F241" s="305"/>
      <c r="G241" s="305"/>
      <c r="H241" s="305"/>
      <c r="I241" s="305"/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5"/>
      <c r="U241" s="305"/>
      <c r="V241" s="305"/>
      <c r="W241" s="305"/>
      <c r="X241" s="305"/>
      <c r="Y241" s="305"/>
      <c r="Z241" s="305"/>
    </row>
    <row r="242" spans="1:26" ht="15.75" customHeight="1" x14ac:dyDescent="0.25">
      <c r="A242" s="305"/>
      <c r="B242" s="305"/>
      <c r="C242" s="305"/>
      <c r="D242" s="305"/>
      <c r="E242" s="305"/>
      <c r="F242" s="305"/>
      <c r="G242" s="305"/>
      <c r="H242" s="305"/>
      <c r="I242" s="305"/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5"/>
      <c r="U242" s="305"/>
      <c r="V242" s="305"/>
      <c r="W242" s="305"/>
      <c r="X242" s="305"/>
      <c r="Y242" s="305"/>
      <c r="Z242" s="305"/>
    </row>
    <row r="243" spans="1:26" ht="15.75" customHeight="1" x14ac:dyDescent="0.25">
      <c r="A243" s="305"/>
      <c r="B243" s="305"/>
      <c r="C243" s="305"/>
      <c r="D243" s="305"/>
      <c r="E243" s="305"/>
      <c r="F243" s="305"/>
      <c r="G243" s="305"/>
      <c r="H243" s="305"/>
      <c r="I243" s="305"/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5"/>
      <c r="U243" s="305"/>
      <c r="V243" s="305"/>
      <c r="W243" s="305"/>
      <c r="X243" s="305"/>
      <c r="Y243" s="305"/>
      <c r="Z243" s="305"/>
    </row>
    <row r="244" spans="1:26" ht="15.75" customHeight="1" x14ac:dyDescent="0.25">
      <c r="A244" s="305"/>
      <c r="B244" s="305"/>
      <c r="C244" s="305"/>
      <c r="D244" s="305"/>
      <c r="E244" s="305"/>
      <c r="F244" s="305"/>
      <c r="G244" s="305"/>
      <c r="H244" s="305"/>
      <c r="I244" s="305"/>
      <c r="J244" s="305"/>
      <c r="K244" s="305"/>
      <c r="L244" s="305"/>
      <c r="M244" s="305"/>
      <c r="N244" s="305"/>
      <c r="O244" s="305"/>
      <c r="P244" s="305"/>
      <c r="Q244" s="305"/>
      <c r="R244" s="305"/>
      <c r="S244" s="305"/>
      <c r="T244" s="305"/>
      <c r="U244" s="305"/>
      <c r="V244" s="305"/>
      <c r="W244" s="305"/>
      <c r="X244" s="305"/>
      <c r="Y244" s="305"/>
      <c r="Z244" s="305"/>
    </row>
    <row r="245" spans="1:26" ht="15.75" customHeight="1" x14ac:dyDescent="0.25">
      <c r="A245" s="305"/>
      <c r="B245" s="305"/>
      <c r="C245" s="305"/>
      <c r="D245" s="305"/>
      <c r="E245" s="305"/>
      <c r="F245" s="305"/>
      <c r="G245" s="305"/>
      <c r="H245" s="305"/>
      <c r="I245" s="305"/>
      <c r="J245" s="305"/>
      <c r="K245" s="305"/>
      <c r="L245" s="305"/>
      <c r="M245" s="305"/>
      <c r="N245" s="305"/>
      <c r="O245" s="305"/>
      <c r="P245" s="305"/>
      <c r="Q245" s="305"/>
      <c r="R245" s="305"/>
      <c r="S245" s="305"/>
      <c r="T245" s="305"/>
      <c r="U245" s="305"/>
      <c r="V245" s="305"/>
      <c r="W245" s="305"/>
      <c r="X245" s="305"/>
      <c r="Y245" s="305"/>
      <c r="Z245" s="305"/>
    </row>
    <row r="246" spans="1:26" ht="15.75" customHeight="1" x14ac:dyDescent="0.25">
      <c r="A246" s="305"/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</row>
    <row r="247" spans="1:26" ht="15.75" customHeight="1" x14ac:dyDescent="0.25">
      <c r="A247" s="305"/>
      <c r="B247" s="305"/>
      <c r="C247" s="305"/>
      <c r="D247" s="305"/>
      <c r="E247" s="305"/>
      <c r="F247" s="305"/>
      <c r="G247" s="305"/>
      <c r="H247" s="305"/>
      <c r="I247" s="305"/>
      <c r="J247" s="305"/>
      <c r="K247" s="305"/>
      <c r="L247" s="305"/>
      <c r="M247" s="305"/>
      <c r="N247" s="305"/>
      <c r="O247" s="305"/>
      <c r="P247" s="305"/>
      <c r="Q247" s="305"/>
      <c r="R247" s="305"/>
      <c r="S247" s="305"/>
      <c r="T247" s="305"/>
      <c r="U247" s="305"/>
      <c r="V247" s="305"/>
      <c r="W247" s="305"/>
      <c r="X247" s="305"/>
      <c r="Y247" s="305"/>
      <c r="Z247" s="305"/>
    </row>
    <row r="248" spans="1:26" ht="15.75" customHeight="1" x14ac:dyDescent="0.25">
      <c r="A248" s="305"/>
      <c r="B248" s="305"/>
      <c r="C248" s="305"/>
      <c r="D248" s="305"/>
      <c r="E248" s="305"/>
      <c r="F248" s="305"/>
      <c r="G248" s="305"/>
      <c r="H248" s="305"/>
      <c r="I248" s="305"/>
      <c r="J248" s="305"/>
      <c r="K248" s="305"/>
      <c r="L248" s="305"/>
      <c r="M248" s="305"/>
      <c r="N248" s="305"/>
      <c r="O248" s="305"/>
      <c r="P248" s="305"/>
      <c r="Q248" s="305"/>
      <c r="R248" s="305"/>
      <c r="S248" s="305"/>
      <c r="T248" s="305"/>
      <c r="U248" s="305"/>
      <c r="V248" s="305"/>
      <c r="W248" s="305"/>
      <c r="X248" s="305"/>
      <c r="Y248" s="305"/>
      <c r="Z248" s="305"/>
    </row>
    <row r="249" spans="1:26" ht="15.75" customHeight="1" x14ac:dyDescent="0.25">
      <c r="A249" s="305"/>
      <c r="B249" s="305"/>
      <c r="C249" s="305"/>
      <c r="D249" s="305"/>
      <c r="E249" s="305"/>
      <c r="F249" s="305"/>
      <c r="G249" s="305"/>
      <c r="H249" s="305"/>
      <c r="I249" s="305"/>
      <c r="J249" s="305"/>
      <c r="K249" s="305"/>
      <c r="L249" s="305"/>
      <c r="M249" s="305"/>
      <c r="N249" s="305"/>
      <c r="O249" s="305"/>
      <c r="P249" s="305"/>
      <c r="Q249" s="305"/>
      <c r="R249" s="305"/>
      <c r="S249" s="305"/>
      <c r="T249" s="305"/>
      <c r="U249" s="305"/>
      <c r="V249" s="305"/>
      <c r="W249" s="305"/>
      <c r="X249" s="305"/>
      <c r="Y249" s="305"/>
      <c r="Z249" s="305"/>
    </row>
    <row r="250" spans="1:26" ht="15.75" customHeight="1" x14ac:dyDescent="0.25">
      <c r="A250" s="305"/>
      <c r="B250" s="305"/>
      <c r="C250" s="305"/>
      <c r="D250" s="305"/>
      <c r="E250" s="305"/>
      <c r="F250" s="305"/>
      <c r="G250" s="305"/>
      <c r="H250" s="305"/>
      <c r="I250" s="305"/>
      <c r="J250" s="305"/>
      <c r="K250" s="305"/>
      <c r="L250" s="305"/>
      <c r="M250" s="305"/>
      <c r="N250" s="305"/>
      <c r="O250" s="305"/>
      <c r="P250" s="305"/>
      <c r="Q250" s="305"/>
      <c r="R250" s="305"/>
      <c r="S250" s="305"/>
      <c r="T250" s="305"/>
      <c r="U250" s="305"/>
      <c r="V250" s="305"/>
      <c r="W250" s="305"/>
      <c r="X250" s="305"/>
      <c r="Y250" s="305"/>
      <c r="Z250" s="305"/>
    </row>
    <row r="251" spans="1:26" ht="15.75" customHeight="1" x14ac:dyDescent="0.25">
      <c r="A251" s="305"/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</row>
    <row r="252" spans="1:26" ht="15.75" customHeight="1" x14ac:dyDescent="0.25">
      <c r="A252" s="305"/>
      <c r="B252" s="305"/>
      <c r="C252" s="305"/>
      <c r="D252" s="305"/>
      <c r="E252" s="305"/>
      <c r="F252" s="305"/>
      <c r="G252" s="305"/>
      <c r="H252" s="305"/>
      <c r="I252" s="305"/>
      <c r="J252" s="305"/>
      <c r="K252" s="305"/>
      <c r="L252" s="305"/>
      <c r="M252" s="305"/>
      <c r="N252" s="305"/>
      <c r="O252" s="305"/>
      <c r="P252" s="305"/>
      <c r="Q252" s="305"/>
      <c r="R252" s="305"/>
      <c r="S252" s="305"/>
      <c r="T252" s="305"/>
      <c r="U252" s="305"/>
      <c r="V252" s="305"/>
      <c r="W252" s="305"/>
      <c r="X252" s="305"/>
      <c r="Y252" s="305"/>
      <c r="Z252" s="305"/>
    </row>
    <row r="253" spans="1:26" ht="15.75" customHeight="1" x14ac:dyDescent="0.25">
      <c r="A253" s="305"/>
      <c r="B253" s="305"/>
      <c r="C253" s="305"/>
      <c r="D253" s="305"/>
      <c r="E253" s="305"/>
      <c r="F253" s="305"/>
      <c r="G253" s="305"/>
      <c r="H253" s="305"/>
      <c r="I253" s="305"/>
      <c r="J253" s="305"/>
      <c r="K253" s="305"/>
      <c r="L253" s="305"/>
      <c r="M253" s="305"/>
      <c r="N253" s="305"/>
      <c r="O253" s="305"/>
      <c r="P253" s="305"/>
      <c r="Q253" s="305"/>
      <c r="R253" s="305"/>
      <c r="S253" s="305"/>
      <c r="T253" s="305"/>
      <c r="U253" s="305"/>
      <c r="V253" s="305"/>
      <c r="W253" s="305"/>
      <c r="X253" s="305"/>
      <c r="Y253" s="305"/>
      <c r="Z253" s="305"/>
    </row>
    <row r="254" spans="1:26" ht="15.75" customHeight="1" x14ac:dyDescent="0.25">
      <c r="A254" s="305"/>
      <c r="B254" s="305"/>
      <c r="C254" s="305"/>
      <c r="D254" s="305"/>
      <c r="E254" s="305"/>
      <c r="F254" s="305"/>
      <c r="G254" s="305"/>
      <c r="H254" s="305"/>
      <c r="I254" s="305"/>
      <c r="J254" s="305"/>
      <c r="K254" s="305"/>
      <c r="L254" s="305"/>
      <c r="M254" s="305"/>
      <c r="N254" s="305"/>
      <c r="O254" s="305"/>
      <c r="P254" s="305"/>
      <c r="Q254" s="305"/>
      <c r="R254" s="305"/>
      <c r="S254" s="305"/>
      <c r="T254" s="305"/>
      <c r="U254" s="305"/>
      <c r="V254" s="305"/>
      <c r="W254" s="305"/>
      <c r="X254" s="305"/>
      <c r="Y254" s="305"/>
      <c r="Z254" s="305"/>
    </row>
    <row r="255" spans="1:26" ht="15.75" customHeight="1" x14ac:dyDescent="0.25">
      <c r="A255" s="305"/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</row>
    <row r="256" spans="1:26" ht="15.75" customHeight="1" x14ac:dyDescent="0.25">
      <c r="A256" s="305"/>
      <c r="B256" s="305"/>
      <c r="C256" s="305"/>
      <c r="D256" s="305"/>
      <c r="E256" s="305"/>
      <c r="F256" s="305"/>
      <c r="G256" s="305"/>
      <c r="H256" s="305"/>
      <c r="I256" s="305"/>
      <c r="J256" s="305"/>
      <c r="K256" s="305"/>
      <c r="L256" s="305"/>
      <c r="M256" s="305"/>
      <c r="N256" s="305"/>
      <c r="O256" s="305"/>
      <c r="P256" s="305"/>
      <c r="Q256" s="305"/>
      <c r="R256" s="305"/>
      <c r="S256" s="305"/>
      <c r="T256" s="305"/>
      <c r="U256" s="305"/>
      <c r="V256" s="305"/>
      <c r="W256" s="305"/>
      <c r="X256" s="305"/>
      <c r="Y256" s="305"/>
      <c r="Z256" s="305"/>
    </row>
    <row r="257" spans="1:26" ht="15.75" customHeight="1" x14ac:dyDescent="0.25">
      <c r="A257" s="305"/>
      <c r="B257" s="305"/>
      <c r="C257" s="305"/>
      <c r="D257" s="305"/>
      <c r="E257" s="305"/>
      <c r="F257" s="305"/>
      <c r="G257" s="305"/>
      <c r="H257" s="305"/>
      <c r="I257" s="305"/>
      <c r="J257" s="305"/>
      <c r="K257" s="305"/>
      <c r="L257" s="305"/>
      <c r="M257" s="305"/>
      <c r="N257" s="305"/>
      <c r="O257" s="305"/>
      <c r="P257" s="305"/>
      <c r="Q257" s="305"/>
      <c r="R257" s="305"/>
      <c r="S257" s="305"/>
      <c r="T257" s="305"/>
      <c r="U257" s="305"/>
      <c r="V257" s="305"/>
      <c r="W257" s="305"/>
      <c r="X257" s="305"/>
      <c r="Y257" s="305"/>
      <c r="Z257" s="305"/>
    </row>
    <row r="258" spans="1:26" ht="15.75" customHeight="1" x14ac:dyDescent="0.25">
      <c r="A258" s="305"/>
      <c r="B258" s="305"/>
      <c r="C258" s="305"/>
      <c r="D258" s="305"/>
      <c r="E258" s="305"/>
      <c r="F258" s="305"/>
      <c r="G258" s="305"/>
      <c r="H258" s="305"/>
      <c r="I258" s="305"/>
      <c r="J258" s="305"/>
      <c r="K258" s="305"/>
      <c r="L258" s="305"/>
      <c r="M258" s="305"/>
      <c r="N258" s="305"/>
      <c r="O258" s="305"/>
      <c r="P258" s="305"/>
      <c r="Q258" s="305"/>
      <c r="R258" s="305"/>
      <c r="S258" s="305"/>
      <c r="T258" s="305"/>
      <c r="U258" s="305"/>
      <c r="V258" s="305"/>
      <c r="W258" s="305"/>
      <c r="X258" s="305"/>
      <c r="Y258" s="305"/>
      <c r="Z258" s="305"/>
    </row>
    <row r="259" spans="1:26" ht="15.75" customHeight="1" x14ac:dyDescent="0.25">
      <c r="A259" s="305"/>
      <c r="B259" s="305"/>
      <c r="C259" s="305"/>
      <c r="D259" s="305"/>
      <c r="E259" s="305"/>
      <c r="F259" s="305"/>
      <c r="G259" s="305"/>
      <c r="H259" s="305"/>
      <c r="I259" s="305"/>
      <c r="J259" s="305"/>
      <c r="K259" s="305"/>
      <c r="L259" s="305"/>
      <c r="M259" s="305"/>
      <c r="N259" s="305"/>
      <c r="O259" s="305"/>
      <c r="P259" s="305"/>
      <c r="Q259" s="305"/>
      <c r="R259" s="305"/>
      <c r="S259" s="305"/>
      <c r="T259" s="305"/>
      <c r="U259" s="305"/>
      <c r="V259" s="305"/>
      <c r="W259" s="305"/>
      <c r="X259" s="305"/>
      <c r="Y259" s="305"/>
      <c r="Z259" s="305"/>
    </row>
    <row r="260" spans="1:26" ht="15.75" customHeight="1" x14ac:dyDescent="0.25">
      <c r="A260" s="305"/>
      <c r="B260" s="305"/>
      <c r="C260" s="305"/>
      <c r="D260" s="305"/>
      <c r="E260" s="305"/>
      <c r="F260" s="305"/>
      <c r="G260" s="305"/>
      <c r="H260" s="305"/>
      <c r="I260" s="305"/>
      <c r="J260" s="305"/>
      <c r="K260" s="305"/>
      <c r="L260" s="305"/>
      <c r="M260" s="305"/>
      <c r="N260" s="305"/>
      <c r="O260" s="305"/>
      <c r="P260" s="305"/>
      <c r="Q260" s="305"/>
      <c r="R260" s="305"/>
      <c r="S260" s="305"/>
      <c r="T260" s="305"/>
      <c r="U260" s="305"/>
      <c r="V260" s="305"/>
      <c r="W260" s="305"/>
      <c r="X260" s="305"/>
      <c r="Y260" s="305"/>
      <c r="Z260" s="305"/>
    </row>
    <row r="261" spans="1:26" ht="15.75" customHeight="1" x14ac:dyDescent="0.25"/>
    <row r="262" spans="1:26" ht="15.75" customHeight="1" x14ac:dyDescent="0.25"/>
    <row r="263" spans="1:26" ht="15.75" customHeight="1" x14ac:dyDescent="0.25"/>
    <row r="264" spans="1:26" ht="15.75" customHeight="1" x14ac:dyDescent="0.25"/>
    <row r="265" spans="1:26" ht="15.75" customHeight="1" x14ac:dyDescent="0.25"/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8">
    <mergeCell ref="C40:F40"/>
    <mergeCell ref="C41:F41"/>
    <mergeCell ref="C42:F60"/>
    <mergeCell ref="C33:F33"/>
    <mergeCell ref="C34:F34"/>
    <mergeCell ref="C35:F35"/>
    <mergeCell ref="C36:F36"/>
    <mergeCell ref="C37:F37"/>
    <mergeCell ref="C38:F38"/>
    <mergeCell ref="C39:F39"/>
    <mergeCell ref="A42:A60"/>
    <mergeCell ref="A11:A18"/>
    <mergeCell ref="A19:A24"/>
    <mergeCell ref="B19:B20"/>
    <mergeCell ref="B21:B22"/>
    <mergeCell ref="B23:B24"/>
    <mergeCell ref="A25:A30"/>
    <mergeCell ref="B25:B26"/>
    <mergeCell ref="A33:A40"/>
    <mergeCell ref="B33:B34"/>
    <mergeCell ref="B35:B36"/>
    <mergeCell ref="B37:B38"/>
    <mergeCell ref="B39:B40"/>
    <mergeCell ref="C24:F24"/>
    <mergeCell ref="C25:F25"/>
    <mergeCell ref="B27:B28"/>
    <mergeCell ref="B29:B30"/>
    <mergeCell ref="A31:A32"/>
    <mergeCell ref="B31:B32"/>
    <mergeCell ref="C26:F26"/>
    <mergeCell ref="C27:F27"/>
    <mergeCell ref="C28:F28"/>
    <mergeCell ref="C29:F29"/>
    <mergeCell ref="C30:F30"/>
    <mergeCell ref="C31:F31"/>
    <mergeCell ref="C32:F32"/>
    <mergeCell ref="C19:F19"/>
    <mergeCell ref="C20:F20"/>
    <mergeCell ref="C21:F21"/>
    <mergeCell ref="C22:F22"/>
    <mergeCell ref="C23:F23"/>
    <mergeCell ref="A1:B2"/>
    <mergeCell ref="C1:V1"/>
    <mergeCell ref="W1:AB1"/>
    <mergeCell ref="C2:F2"/>
    <mergeCell ref="A3:A4"/>
    <mergeCell ref="C3:F18"/>
    <mergeCell ref="A5:A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1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2" width="14" customWidth="1"/>
    <col min="23" max="23" width="11.44140625" customWidth="1"/>
    <col min="24" max="29" width="8.6640625" customWidth="1"/>
  </cols>
  <sheetData>
    <row r="1" spans="1:29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99"/>
      <c r="Y1" s="1201"/>
      <c r="Z1" s="1201"/>
      <c r="AA1" s="1201"/>
      <c r="AB1" s="1201"/>
      <c r="AC1" s="1201"/>
    </row>
    <row r="2" spans="1:29" ht="34.5" customHeight="1" x14ac:dyDescent="0.3">
      <c r="A2" s="397"/>
      <c r="B2" s="398"/>
      <c r="C2" s="1300"/>
      <c r="D2" s="1247"/>
      <c r="E2" s="1247"/>
      <c r="F2" s="1247"/>
      <c r="G2" s="400" t="s">
        <v>99</v>
      </c>
      <c r="H2" s="401" t="s">
        <v>100</v>
      </c>
      <c r="I2" s="401" t="s">
        <v>198</v>
      </c>
      <c r="J2" s="401" t="s">
        <v>21</v>
      </c>
      <c r="K2" s="401" t="s">
        <v>102</v>
      </c>
      <c r="L2" s="402" t="s">
        <v>395</v>
      </c>
      <c r="M2" s="401" t="s">
        <v>396</v>
      </c>
      <c r="N2" s="401" t="s">
        <v>105</v>
      </c>
      <c r="O2" s="401" t="s">
        <v>106</v>
      </c>
      <c r="P2" s="401" t="s">
        <v>107</v>
      </c>
      <c r="Q2" s="403" t="s">
        <v>215</v>
      </c>
      <c r="R2" s="404" t="s">
        <v>34</v>
      </c>
      <c r="S2" s="405" t="s">
        <v>397</v>
      </c>
      <c r="T2" s="404" t="s">
        <v>110</v>
      </c>
      <c r="U2" s="406" t="s">
        <v>111</v>
      </c>
      <c r="V2" s="407" t="s">
        <v>451</v>
      </c>
      <c r="W2" s="408" t="s">
        <v>398</v>
      </c>
      <c r="X2" s="409"/>
      <c r="Y2" s="409"/>
      <c r="Z2" s="410"/>
      <c r="AA2" s="410"/>
      <c r="AB2" s="411"/>
      <c r="AC2" s="411"/>
    </row>
    <row r="3" spans="1:29" ht="22.5" customHeight="1" x14ac:dyDescent="0.25">
      <c r="A3" s="1248" t="s">
        <v>401</v>
      </c>
      <c r="B3" s="412" t="s">
        <v>402</v>
      </c>
      <c r="C3" s="1301"/>
      <c r="D3" s="1251"/>
      <c r="E3" s="1251"/>
      <c r="F3" s="1251"/>
      <c r="G3" s="413">
        <v>120</v>
      </c>
      <c r="H3" s="413">
        <v>120</v>
      </c>
      <c r="I3" s="413">
        <v>120</v>
      </c>
      <c r="J3" s="413">
        <v>120</v>
      </c>
      <c r="K3" s="413">
        <v>120</v>
      </c>
      <c r="L3" s="413">
        <v>120</v>
      </c>
      <c r="M3" s="413">
        <v>120</v>
      </c>
      <c r="N3" s="413">
        <v>120</v>
      </c>
      <c r="O3" s="413">
        <v>120</v>
      </c>
      <c r="P3" s="413">
        <v>120</v>
      </c>
      <c r="Q3" s="413">
        <v>120</v>
      </c>
      <c r="R3" s="413">
        <v>120</v>
      </c>
      <c r="S3" s="413">
        <v>120</v>
      </c>
      <c r="T3" s="413">
        <v>120</v>
      </c>
      <c r="U3" s="414">
        <v>120</v>
      </c>
      <c r="V3" s="414">
        <v>120</v>
      </c>
      <c r="W3" s="415">
        <f t="shared" ref="W3:W40" si="0">SUM(V3+U3+T3+S3+R3+Q3+P3+O3+N3+M3+L3+K3+J3+I3+H3+G3)</f>
        <v>1920</v>
      </c>
      <c r="X3" s="416">
        <v>1920</v>
      </c>
      <c r="Y3" s="410"/>
      <c r="Z3" s="410"/>
      <c r="AA3" s="410"/>
      <c r="AB3" s="411"/>
      <c r="AC3" s="411"/>
    </row>
    <row r="4" spans="1:29" ht="27" customHeight="1" x14ac:dyDescent="0.3">
      <c r="A4" s="1249"/>
      <c r="B4" s="417" t="s">
        <v>403</v>
      </c>
      <c r="C4" s="1252"/>
      <c r="D4" s="1201"/>
      <c r="E4" s="1201"/>
      <c r="F4" s="1201"/>
      <c r="G4" s="418">
        <v>80</v>
      </c>
      <c r="H4" s="418">
        <v>120</v>
      </c>
      <c r="I4" s="418">
        <v>81</v>
      </c>
      <c r="J4" s="418">
        <v>80</v>
      </c>
      <c r="K4" s="418">
        <v>80</v>
      </c>
      <c r="L4" s="418">
        <v>15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420">
        <v>120</v>
      </c>
      <c r="W4" s="415">
        <f t="shared" si="0"/>
        <v>1506</v>
      </c>
      <c r="X4" s="421">
        <v>1506</v>
      </c>
      <c r="Y4" s="422"/>
      <c r="Z4" s="422"/>
      <c r="AA4" s="422"/>
      <c r="AB4" s="422"/>
      <c r="AC4" s="411"/>
    </row>
    <row r="5" spans="1:29" ht="24.75" customHeight="1" x14ac:dyDescent="0.3">
      <c r="A5" s="1253" t="s">
        <v>404</v>
      </c>
      <c r="B5" s="423" t="s">
        <v>405</v>
      </c>
      <c r="C5" s="1252"/>
      <c r="D5" s="1201"/>
      <c r="E5" s="1201"/>
      <c r="F5" s="1201"/>
      <c r="G5" s="424">
        <v>20</v>
      </c>
      <c r="H5" s="425">
        <v>30</v>
      </c>
      <c r="I5" s="425">
        <v>20</v>
      </c>
      <c r="J5" s="425">
        <v>20</v>
      </c>
      <c r="K5" s="425">
        <v>30</v>
      </c>
      <c r="L5" s="425">
        <v>30</v>
      </c>
      <c r="M5" s="425">
        <v>30</v>
      </c>
      <c r="N5" s="17">
        <v>30</v>
      </c>
      <c r="O5" s="426">
        <v>30</v>
      </c>
      <c r="P5" s="17">
        <v>30</v>
      </c>
      <c r="Q5" s="425">
        <v>30</v>
      </c>
      <c r="R5" s="427">
        <v>60</v>
      </c>
      <c r="S5" s="427">
        <v>30</v>
      </c>
      <c r="T5" s="17">
        <v>30</v>
      </c>
      <c r="U5" s="419">
        <v>0</v>
      </c>
      <c r="V5" s="425">
        <v>30</v>
      </c>
      <c r="W5" s="415">
        <f t="shared" si="0"/>
        <v>450</v>
      </c>
      <c r="X5" s="421">
        <v>450</v>
      </c>
      <c r="Y5" s="410"/>
      <c r="Z5" s="410"/>
      <c r="AA5" s="410"/>
      <c r="AB5" s="411"/>
      <c r="AC5" s="411"/>
    </row>
    <row r="6" spans="1:29" ht="23.25" customHeight="1" x14ac:dyDescent="0.3">
      <c r="A6" s="1254"/>
      <c r="B6" s="428" t="s">
        <v>406</v>
      </c>
      <c r="C6" s="1252"/>
      <c r="D6" s="1201"/>
      <c r="E6" s="1201"/>
      <c r="F6" s="1201"/>
      <c r="G6" s="424">
        <v>0</v>
      </c>
      <c r="H6" s="429">
        <v>24</v>
      </c>
      <c r="I6" s="429">
        <v>3</v>
      </c>
      <c r="J6" s="429">
        <v>9</v>
      </c>
      <c r="K6" s="429">
        <v>24</v>
      </c>
      <c r="L6" s="429">
        <v>4</v>
      </c>
      <c r="M6" s="429">
        <v>0</v>
      </c>
      <c r="N6" s="430">
        <v>4</v>
      </c>
      <c r="O6" s="431">
        <v>0</v>
      </c>
      <c r="P6" s="430">
        <v>14</v>
      </c>
      <c r="Q6" s="429">
        <v>5</v>
      </c>
      <c r="R6" s="432">
        <v>14</v>
      </c>
      <c r="S6" s="432">
        <v>12</v>
      </c>
      <c r="T6" s="433">
        <v>0</v>
      </c>
      <c r="U6" s="434">
        <v>0</v>
      </c>
      <c r="V6" s="425">
        <v>25</v>
      </c>
      <c r="W6" s="415">
        <f t="shared" si="0"/>
        <v>138</v>
      </c>
      <c r="X6" s="421">
        <v>138</v>
      </c>
      <c r="Y6" s="410"/>
      <c r="Z6" s="410"/>
      <c r="AA6" s="410"/>
      <c r="AB6" s="411"/>
      <c r="AC6" s="411"/>
    </row>
    <row r="7" spans="1:29" ht="21.75" customHeight="1" x14ac:dyDescent="0.3">
      <c r="A7" s="1254"/>
      <c r="B7" s="428" t="s">
        <v>407</v>
      </c>
      <c r="C7" s="1252"/>
      <c r="D7" s="1201"/>
      <c r="E7" s="1201"/>
      <c r="F7" s="1201"/>
      <c r="G7" s="435">
        <v>0</v>
      </c>
      <c r="H7" s="436">
        <v>6</v>
      </c>
      <c r="I7" s="436">
        <v>5</v>
      </c>
      <c r="J7" s="436">
        <v>1</v>
      </c>
      <c r="K7" s="436">
        <v>0</v>
      </c>
      <c r="L7" s="436">
        <v>0</v>
      </c>
      <c r="M7" s="436">
        <v>0</v>
      </c>
      <c r="N7" s="437">
        <v>2</v>
      </c>
      <c r="O7" s="438">
        <v>0</v>
      </c>
      <c r="P7" s="437">
        <v>4</v>
      </c>
      <c r="Q7" s="436">
        <v>4</v>
      </c>
      <c r="R7" s="439">
        <v>0</v>
      </c>
      <c r="S7" s="439">
        <v>0</v>
      </c>
      <c r="T7" s="440">
        <v>0</v>
      </c>
      <c r="U7" s="441">
        <v>0</v>
      </c>
      <c r="V7" s="425">
        <v>2</v>
      </c>
      <c r="W7" s="415">
        <f t="shared" si="0"/>
        <v>24</v>
      </c>
      <c r="X7" s="421">
        <v>24</v>
      </c>
      <c r="Y7" s="410"/>
      <c r="Z7" s="410"/>
      <c r="AA7" s="410"/>
      <c r="AB7" s="411"/>
      <c r="AC7" s="411"/>
    </row>
    <row r="8" spans="1:29" ht="26.25" customHeight="1" x14ac:dyDescent="0.3">
      <c r="A8" s="1254"/>
      <c r="B8" s="428" t="s">
        <v>408</v>
      </c>
      <c r="C8" s="1252"/>
      <c r="D8" s="1201"/>
      <c r="E8" s="1201"/>
      <c r="F8" s="1201"/>
      <c r="G8" s="424">
        <v>11</v>
      </c>
      <c r="H8" s="425">
        <v>13</v>
      </c>
      <c r="I8" s="425">
        <v>13</v>
      </c>
      <c r="J8" s="425">
        <v>10</v>
      </c>
      <c r="K8" s="425">
        <v>17</v>
      </c>
      <c r="L8" s="425">
        <v>8</v>
      </c>
      <c r="M8" s="425">
        <v>0</v>
      </c>
      <c r="N8" s="418">
        <v>24</v>
      </c>
      <c r="O8" s="426">
        <v>0</v>
      </c>
      <c r="P8" s="418">
        <v>20</v>
      </c>
      <c r="Q8" s="425">
        <v>17</v>
      </c>
      <c r="R8" s="427">
        <v>12</v>
      </c>
      <c r="S8" s="427">
        <v>20</v>
      </c>
      <c r="T8" s="17">
        <v>9</v>
      </c>
      <c r="U8" s="419">
        <v>0</v>
      </c>
      <c r="V8" s="425">
        <v>17</v>
      </c>
      <c r="W8" s="415">
        <f t="shared" si="0"/>
        <v>191</v>
      </c>
      <c r="X8" s="421">
        <v>191</v>
      </c>
      <c r="Y8" s="410"/>
      <c r="Z8" s="410"/>
      <c r="AA8" s="410"/>
      <c r="AB8" s="411"/>
      <c r="AC8" s="411"/>
    </row>
    <row r="9" spans="1:29" ht="21.75" customHeight="1" x14ac:dyDescent="0.3">
      <c r="A9" s="1254"/>
      <c r="B9" s="428" t="s">
        <v>409</v>
      </c>
      <c r="C9" s="1252"/>
      <c r="D9" s="1201"/>
      <c r="E9" s="1201"/>
      <c r="F9" s="1201"/>
      <c r="G9" s="424">
        <v>9</v>
      </c>
      <c r="H9" s="425">
        <v>11</v>
      </c>
      <c r="I9" s="425">
        <v>11</v>
      </c>
      <c r="J9" s="425">
        <v>4</v>
      </c>
      <c r="K9" s="425">
        <v>14</v>
      </c>
      <c r="L9" s="425">
        <v>7</v>
      </c>
      <c r="M9" s="425">
        <v>0</v>
      </c>
      <c r="N9" s="418">
        <v>9</v>
      </c>
      <c r="O9" s="426">
        <v>0</v>
      </c>
      <c r="P9" s="418">
        <v>10</v>
      </c>
      <c r="Q9" s="425">
        <v>8</v>
      </c>
      <c r="R9" s="427">
        <v>2</v>
      </c>
      <c r="S9" s="427">
        <v>7</v>
      </c>
      <c r="T9" s="17">
        <v>7</v>
      </c>
      <c r="U9" s="419">
        <v>0</v>
      </c>
      <c r="V9" s="425">
        <v>8</v>
      </c>
      <c r="W9" s="415">
        <f t="shared" si="0"/>
        <v>107</v>
      </c>
      <c r="X9" s="421">
        <v>107</v>
      </c>
      <c r="Y9" s="410"/>
      <c r="Z9" s="410"/>
      <c r="AA9" s="410"/>
      <c r="AB9" s="411"/>
      <c r="AC9" s="411"/>
    </row>
    <row r="10" spans="1:29" ht="31.5" customHeight="1" x14ac:dyDescent="0.3">
      <c r="A10" s="1255"/>
      <c r="B10" s="442" t="s">
        <v>410</v>
      </c>
      <c r="C10" s="1252"/>
      <c r="D10" s="1201"/>
      <c r="E10" s="1201"/>
      <c r="F10" s="1201"/>
      <c r="G10" s="443">
        <v>20</v>
      </c>
      <c r="H10" s="444">
        <v>24</v>
      </c>
      <c r="I10" s="444">
        <v>24</v>
      </c>
      <c r="J10" s="444">
        <v>14</v>
      </c>
      <c r="K10" s="444">
        <v>31</v>
      </c>
      <c r="L10" s="444">
        <v>15</v>
      </c>
      <c r="M10" s="444">
        <v>0</v>
      </c>
      <c r="N10" s="445">
        <v>33</v>
      </c>
      <c r="O10" s="446">
        <v>0</v>
      </c>
      <c r="P10" s="445">
        <v>30</v>
      </c>
      <c r="Q10" s="447">
        <v>25</v>
      </c>
      <c r="R10" s="448">
        <v>14</v>
      </c>
      <c r="S10" s="449">
        <v>27</v>
      </c>
      <c r="T10" s="450">
        <v>16</v>
      </c>
      <c r="U10" s="451">
        <v>0</v>
      </c>
      <c r="V10" s="452">
        <v>23</v>
      </c>
      <c r="W10" s="415">
        <f t="shared" si="0"/>
        <v>296</v>
      </c>
      <c r="X10" s="421">
        <v>196</v>
      </c>
      <c r="Y10" s="410"/>
      <c r="Z10" s="410"/>
      <c r="AA10" s="410"/>
      <c r="AB10" s="411"/>
      <c r="AC10" s="411"/>
    </row>
    <row r="11" spans="1:29" ht="23.25" customHeight="1" x14ac:dyDescent="0.3">
      <c r="A11" s="1272" t="s">
        <v>411</v>
      </c>
      <c r="B11" s="453" t="s">
        <v>405</v>
      </c>
      <c r="C11" s="1252"/>
      <c r="D11" s="1201"/>
      <c r="E11" s="1201"/>
      <c r="F11" s="1201"/>
      <c r="G11" s="424">
        <v>90</v>
      </c>
      <c r="H11" s="454">
        <v>90</v>
      </c>
      <c r="I11" s="454">
        <v>90</v>
      </c>
      <c r="J11" s="454">
        <v>60</v>
      </c>
      <c r="K11" s="425">
        <v>90</v>
      </c>
      <c r="L11" s="454">
        <v>90</v>
      </c>
      <c r="M11" s="454">
        <v>90</v>
      </c>
      <c r="N11" s="424">
        <v>90</v>
      </c>
      <c r="O11" s="454">
        <v>90</v>
      </c>
      <c r="P11" s="418">
        <v>90</v>
      </c>
      <c r="Q11" s="418">
        <v>90</v>
      </c>
      <c r="R11" s="418">
        <v>0</v>
      </c>
      <c r="S11" s="418">
        <v>90</v>
      </c>
      <c r="T11" s="418">
        <v>90</v>
      </c>
      <c r="U11" s="455">
        <v>0</v>
      </c>
      <c r="V11" s="425">
        <v>90</v>
      </c>
      <c r="W11" s="415">
        <f t="shared" si="0"/>
        <v>1230</v>
      </c>
      <c r="X11" s="421">
        <v>1230</v>
      </c>
      <c r="Y11" s="410"/>
      <c r="Z11" s="410"/>
      <c r="AA11" s="410"/>
      <c r="AB11" s="411"/>
      <c r="AC11" s="411"/>
    </row>
    <row r="12" spans="1:29" ht="35.25" customHeight="1" x14ac:dyDescent="0.3">
      <c r="A12" s="1273"/>
      <c r="B12" s="456" t="s">
        <v>412</v>
      </c>
      <c r="C12" s="1252"/>
      <c r="D12" s="1201"/>
      <c r="E12" s="1201"/>
      <c r="F12" s="1201"/>
      <c r="G12" s="424">
        <v>60</v>
      </c>
      <c r="H12" s="425">
        <v>89</v>
      </c>
      <c r="I12" s="425">
        <v>61</v>
      </c>
      <c r="J12" s="425">
        <v>0</v>
      </c>
      <c r="K12" s="425">
        <v>0</v>
      </c>
      <c r="L12" s="425">
        <v>0</v>
      </c>
      <c r="M12" s="425">
        <v>0</v>
      </c>
      <c r="N12" s="424">
        <v>27</v>
      </c>
      <c r="O12" s="425">
        <v>0</v>
      </c>
      <c r="P12" s="418">
        <v>90</v>
      </c>
      <c r="Q12" s="418">
        <v>70</v>
      </c>
      <c r="R12" s="418">
        <v>0</v>
      </c>
      <c r="S12" s="418">
        <v>15</v>
      </c>
      <c r="T12" s="418">
        <v>0</v>
      </c>
      <c r="U12" s="419">
        <v>0</v>
      </c>
      <c r="V12" s="425">
        <v>90</v>
      </c>
      <c r="W12" s="415">
        <f t="shared" si="0"/>
        <v>502</v>
      </c>
      <c r="X12" s="421">
        <v>502</v>
      </c>
      <c r="Y12" s="410"/>
      <c r="Z12" s="410"/>
      <c r="AA12" s="410"/>
      <c r="AB12" s="411"/>
      <c r="AC12" s="411"/>
    </row>
    <row r="13" spans="1:29" ht="25.5" customHeight="1" x14ac:dyDescent="0.3">
      <c r="A13" s="1273"/>
      <c r="B13" s="456" t="s">
        <v>407</v>
      </c>
      <c r="C13" s="1252"/>
      <c r="D13" s="1201"/>
      <c r="E13" s="1201"/>
      <c r="F13" s="1201"/>
      <c r="G13" s="424">
        <v>0</v>
      </c>
      <c r="H13" s="425">
        <v>0</v>
      </c>
      <c r="I13" s="425">
        <v>2</v>
      </c>
      <c r="J13" s="425">
        <v>0</v>
      </c>
      <c r="K13" s="425">
        <v>0</v>
      </c>
      <c r="L13" s="425">
        <v>0</v>
      </c>
      <c r="M13" s="425">
        <v>0</v>
      </c>
      <c r="N13" s="424">
        <v>0</v>
      </c>
      <c r="O13" s="425">
        <v>0</v>
      </c>
      <c r="P13" s="418">
        <v>0</v>
      </c>
      <c r="Q13" s="418">
        <v>0</v>
      </c>
      <c r="R13" s="418">
        <v>0</v>
      </c>
      <c r="S13" s="418">
        <v>0</v>
      </c>
      <c r="T13" s="418">
        <v>0</v>
      </c>
      <c r="U13" s="419">
        <v>0</v>
      </c>
      <c r="V13" s="425">
        <v>0</v>
      </c>
      <c r="W13" s="415">
        <f t="shared" si="0"/>
        <v>2</v>
      </c>
      <c r="X13" s="421">
        <v>2</v>
      </c>
      <c r="Y13" s="410"/>
      <c r="Z13" s="410"/>
      <c r="AA13" s="410"/>
      <c r="AB13" s="411"/>
      <c r="AC13" s="411"/>
    </row>
    <row r="14" spans="1:29" ht="24" customHeight="1" x14ac:dyDescent="0.3">
      <c r="A14" s="1273"/>
      <c r="B14" s="456" t="s">
        <v>408</v>
      </c>
      <c r="C14" s="1252"/>
      <c r="D14" s="1201"/>
      <c r="E14" s="1201"/>
      <c r="F14" s="1201"/>
      <c r="G14" s="424">
        <v>8</v>
      </c>
      <c r="H14" s="425">
        <v>11</v>
      </c>
      <c r="I14" s="425">
        <v>20</v>
      </c>
      <c r="J14" s="425">
        <v>0</v>
      </c>
      <c r="K14" s="425">
        <v>0</v>
      </c>
      <c r="L14" s="425">
        <v>0</v>
      </c>
      <c r="M14" s="425">
        <v>0</v>
      </c>
      <c r="N14" s="424">
        <v>14</v>
      </c>
      <c r="O14" s="425">
        <v>0</v>
      </c>
      <c r="P14" s="418">
        <v>8</v>
      </c>
      <c r="Q14" s="418">
        <v>5</v>
      </c>
      <c r="R14" s="418">
        <v>0</v>
      </c>
      <c r="S14" s="418">
        <v>0</v>
      </c>
      <c r="T14" s="418">
        <v>6</v>
      </c>
      <c r="U14" s="419">
        <v>0</v>
      </c>
      <c r="V14" s="425">
        <v>42</v>
      </c>
      <c r="W14" s="415">
        <f t="shared" si="0"/>
        <v>114</v>
      </c>
      <c r="X14" s="421">
        <v>114</v>
      </c>
      <c r="Y14" s="410"/>
      <c r="Z14" s="410"/>
      <c r="AA14" s="410"/>
      <c r="AB14" s="411"/>
      <c r="AC14" s="411"/>
    </row>
    <row r="15" spans="1:29" ht="25.5" customHeight="1" x14ac:dyDescent="0.3">
      <c r="A15" s="1273"/>
      <c r="B15" s="456" t="s">
        <v>409</v>
      </c>
      <c r="C15" s="1252"/>
      <c r="D15" s="1201"/>
      <c r="E15" s="1201"/>
      <c r="F15" s="1201"/>
      <c r="G15" s="424">
        <v>8</v>
      </c>
      <c r="H15" s="425">
        <v>23</v>
      </c>
      <c r="I15" s="425">
        <v>14</v>
      </c>
      <c r="J15" s="425">
        <v>0</v>
      </c>
      <c r="K15" s="425">
        <v>0</v>
      </c>
      <c r="L15" s="425">
        <v>0</v>
      </c>
      <c r="M15" s="425">
        <v>0</v>
      </c>
      <c r="N15" s="424">
        <v>10</v>
      </c>
      <c r="O15" s="425">
        <v>0</v>
      </c>
      <c r="P15" s="418">
        <v>7</v>
      </c>
      <c r="Q15" s="418">
        <v>5</v>
      </c>
      <c r="R15" s="418">
        <v>0</v>
      </c>
      <c r="S15" s="418">
        <v>0</v>
      </c>
      <c r="T15" s="418">
        <v>11</v>
      </c>
      <c r="U15" s="419">
        <v>0</v>
      </c>
      <c r="V15" s="425">
        <v>23</v>
      </c>
      <c r="W15" s="415">
        <f t="shared" si="0"/>
        <v>101</v>
      </c>
      <c r="X15" s="421">
        <v>101</v>
      </c>
      <c r="Y15" s="410"/>
      <c r="Z15" s="410"/>
      <c r="AA15" s="410"/>
      <c r="AB15" s="411"/>
      <c r="AC15" s="411"/>
    </row>
    <row r="16" spans="1:29" ht="23.25" customHeight="1" x14ac:dyDescent="0.3">
      <c r="A16" s="1273"/>
      <c r="B16" s="456" t="s">
        <v>413</v>
      </c>
      <c r="C16" s="1252"/>
      <c r="D16" s="1201"/>
      <c r="E16" s="1201"/>
      <c r="F16" s="1201"/>
      <c r="G16" s="424">
        <v>23</v>
      </c>
      <c r="H16" s="425">
        <v>25</v>
      </c>
      <c r="I16" s="425">
        <v>15</v>
      </c>
      <c r="J16" s="425">
        <v>0</v>
      </c>
      <c r="K16" s="425">
        <v>0</v>
      </c>
      <c r="L16" s="425">
        <v>0</v>
      </c>
      <c r="M16" s="425">
        <v>0</v>
      </c>
      <c r="N16" s="424">
        <v>37</v>
      </c>
      <c r="O16" s="425">
        <v>0</v>
      </c>
      <c r="P16" s="418">
        <v>35</v>
      </c>
      <c r="Q16" s="418">
        <v>11</v>
      </c>
      <c r="R16" s="418">
        <v>0</v>
      </c>
      <c r="S16" s="418">
        <v>0</v>
      </c>
      <c r="T16" s="418">
        <v>15</v>
      </c>
      <c r="U16" s="419">
        <v>0</v>
      </c>
      <c r="V16" s="425">
        <v>15</v>
      </c>
      <c r="W16" s="415">
        <f t="shared" si="0"/>
        <v>176</v>
      </c>
      <c r="X16" s="421">
        <v>176</v>
      </c>
      <c r="Y16" s="410"/>
      <c r="Z16" s="410"/>
      <c r="AA16" s="410"/>
      <c r="AB16" s="411"/>
      <c r="AC16" s="411"/>
    </row>
    <row r="17" spans="1:29" ht="21" customHeight="1" x14ac:dyDescent="0.3">
      <c r="A17" s="1273"/>
      <c r="B17" s="456" t="s">
        <v>414</v>
      </c>
      <c r="C17" s="1252"/>
      <c r="D17" s="1201"/>
      <c r="E17" s="1201"/>
      <c r="F17" s="1201"/>
      <c r="G17" s="424">
        <v>21</v>
      </c>
      <c r="H17" s="425">
        <v>30</v>
      </c>
      <c r="I17" s="425">
        <v>12</v>
      </c>
      <c r="J17" s="425">
        <v>0</v>
      </c>
      <c r="K17" s="425">
        <v>0</v>
      </c>
      <c r="L17" s="425">
        <v>0</v>
      </c>
      <c r="M17" s="425">
        <v>0</v>
      </c>
      <c r="N17" s="424">
        <v>26</v>
      </c>
      <c r="O17" s="425">
        <v>0</v>
      </c>
      <c r="P17" s="418">
        <v>40</v>
      </c>
      <c r="Q17" s="418">
        <v>13</v>
      </c>
      <c r="R17" s="418">
        <v>0</v>
      </c>
      <c r="S17" s="418">
        <v>0</v>
      </c>
      <c r="T17" s="418">
        <v>15</v>
      </c>
      <c r="U17" s="419">
        <v>0</v>
      </c>
      <c r="V17" s="425">
        <v>10</v>
      </c>
      <c r="W17" s="415">
        <f t="shared" si="0"/>
        <v>167</v>
      </c>
      <c r="X17" s="421">
        <v>167</v>
      </c>
      <c r="Y17" s="410"/>
      <c r="Z17" s="410"/>
      <c r="AA17" s="410"/>
      <c r="AB17" s="411"/>
      <c r="AC17" s="411"/>
    </row>
    <row r="18" spans="1:29" ht="22.5" customHeight="1" x14ac:dyDescent="0.3">
      <c r="A18" s="1249"/>
      <c r="B18" s="457" t="s">
        <v>415</v>
      </c>
      <c r="C18" s="1252"/>
      <c r="D18" s="1201"/>
      <c r="E18" s="1201"/>
      <c r="F18" s="1201"/>
      <c r="G18" s="458">
        <v>52</v>
      </c>
      <c r="H18" s="444">
        <v>89</v>
      </c>
      <c r="I18" s="444">
        <v>61</v>
      </c>
      <c r="J18" s="459">
        <v>0</v>
      </c>
      <c r="K18" s="459">
        <v>0</v>
      </c>
      <c r="L18" s="460">
        <v>0</v>
      </c>
      <c r="M18" s="444">
        <v>0</v>
      </c>
      <c r="N18" s="458">
        <v>71</v>
      </c>
      <c r="O18" s="461">
        <v>0</v>
      </c>
      <c r="P18" s="445">
        <v>90</v>
      </c>
      <c r="Q18" s="462">
        <v>34</v>
      </c>
      <c r="R18" s="463">
        <v>0</v>
      </c>
      <c r="S18" s="464">
        <v>15</v>
      </c>
      <c r="T18" s="465">
        <v>47</v>
      </c>
      <c r="U18" s="451">
        <v>0</v>
      </c>
      <c r="V18" s="452">
        <v>90</v>
      </c>
      <c r="W18" s="415">
        <f t="shared" si="0"/>
        <v>549</v>
      </c>
      <c r="X18" s="421">
        <v>549</v>
      </c>
      <c r="Y18" s="410"/>
      <c r="Z18" s="410"/>
      <c r="AA18" s="410"/>
      <c r="AB18" s="411"/>
      <c r="AC18" s="410"/>
    </row>
    <row r="19" spans="1:29" ht="18.75" customHeight="1" x14ac:dyDescent="0.3">
      <c r="A19" s="1266" t="s">
        <v>452</v>
      </c>
      <c r="B19" s="1267" t="s">
        <v>417</v>
      </c>
      <c r="C19" s="1256" t="s">
        <v>418</v>
      </c>
      <c r="D19" s="1244"/>
      <c r="E19" s="1244"/>
      <c r="F19" s="1244"/>
      <c r="G19" s="466"/>
      <c r="H19" s="454"/>
      <c r="I19" s="454"/>
      <c r="J19" s="454"/>
      <c r="K19" s="425">
        <v>0</v>
      </c>
      <c r="L19" s="466"/>
      <c r="M19" s="454"/>
      <c r="N19" s="466"/>
      <c r="O19" s="466"/>
      <c r="P19" s="424"/>
      <c r="Q19" s="454"/>
      <c r="R19" s="466"/>
      <c r="S19" s="17"/>
      <c r="T19" s="17"/>
      <c r="U19" s="455">
        <v>0</v>
      </c>
      <c r="V19" s="15"/>
      <c r="W19" s="415">
        <f t="shared" si="0"/>
        <v>0</v>
      </c>
      <c r="X19" s="421">
        <v>0</v>
      </c>
      <c r="Y19" s="410"/>
      <c r="Z19" s="410"/>
      <c r="AA19" s="410"/>
      <c r="AB19" s="411"/>
      <c r="AC19" s="411"/>
    </row>
    <row r="20" spans="1:29" ht="18.75" customHeight="1" x14ac:dyDescent="0.3">
      <c r="A20" s="1273"/>
      <c r="B20" s="1263"/>
      <c r="C20" s="1257" t="s">
        <v>419</v>
      </c>
      <c r="D20" s="1247"/>
      <c r="E20" s="1247"/>
      <c r="F20" s="1247"/>
      <c r="G20" s="467"/>
      <c r="H20" s="425"/>
      <c r="I20" s="425"/>
      <c r="J20" s="425"/>
      <c r="K20" s="425">
        <v>0</v>
      </c>
      <c r="L20" s="467"/>
      <c r="M20" s="425"/>
      <c r="N20" s="467"/>
      <c r="O20" s="467"/>
      <c r="P20" s="424"/>
      <c r="Q20" s="425"/>
      <c r="R20" s="467"/>
      <c r="S20" s="418"/>
      <c r="T20" s="468"/>
      <c r="U20" s="419">
        <v>0</v>
      </c>
      <c r="V20" s="420"/>
      <c r="W20" s="415">
        <f t="shared" si="0"/>
        <v>0</v>
      </c>
      <c r="X20" s="421">
        <v>0</v>
      </c>
      <c r="Y20" s="410"/>
      <c r="Z20" s="410"/>
      <c r="AA20" s="410"/>
      <c r="AB20" s="411"/>
      <c r="AC20" s="411"/>
    </row>
    <row r="21" spans="1:29" ht="18.75" customHeight="1" x14ac:dyDescent="0.3">
      <c r="A21" s="1273"/>
      <c r="B21" s="1274" t="s">
        <v>420</v>
      </c>
      <c r="C21" s="1257" t="s">
        <v>418</v>
      </c>
      <c r="D21" s="1247"/>
      <c r="E21" s="1247"/>
      <c r="F21" s="1247"/>
      <c r="G21" s="467"/>
      <c r="H21" s="425"/>
      <c r="I21" s="425"/>
      <c r="J21" s="425"/>
      <c r="K21" s="425">
        <v>0</v>
      </c>
      <c r="L21" s="467"/>
      <c r="M21" s="425"/>
      <c r="N21" s="467"/>
      <c r="O21" s="467"/>
      <c r="P21" s="424"/>
      <c r="Q21" s="425"/>
      <c r="R21" s="467"/>
      <c r="S21" s="418"/>
      <c r="T21" s="468"/>
      <c r="U21" s="419">
        <v>0</v>
      </c>
      <c r="V21" s="420"/>
      <c r="W21" s="415">
        <f t="shared" si="0"/>
        <v>0</v>
      </c>
      <c r="X21" s="421">
        <v>0</v>
      </c>
      <c r="Y21" s="410"/>
      <c r="Z21" s="410"/>
      <c r="AA21" s="410"/>
      <c r="AB21" s="411"/>
      <c r="AC21" s="411"/>
    </row>
    <row r="22" spans="1:29" ht="18.75" customHeight="1" x14ac:dyDescent="0.3">
      <c r="A22" s="1273"/>
      <c r="B22" s="1305"/>
      <c r="C22" s="1257" t="s">
        <v>419</v>
      </c>
      <c r="D22" s="1247"/>
      <c r="E22" s="1247"/>
      <c r="F22" s="1247"/>
      <c r="G22" s="469"/>
      <c r="H22" s="470"/>
      <c r="I22" s="470"/>
      <c r="J22" s="470"/>
      <c r="K22" s="470">
        <v>0</v>
      </c>
      <c r="L22" s="469"/>
      <c r="M22" s="470"/>
      <c r="N22" s="469"/>
      <c r="O22" s="469"/>
      <c r="P22" s="471"/>
      <c r="Q22" s="470"/>
      <c r="R22" s="469"/>
      <c r="S22" s="7"/>
      <c r="T22" s="472"/>
      <c r="U22" s="473">
        <v>0</v>
      </c>
      <c r="V22" s="420"/>
      <c r="W22" s="415">
        <f t="shared" si="0"/>
        <v>0</v>
      </c>
      <c r="X22" s="421">
        <v>0</v>
      </c>
      <c r="Y22" s="410"/>
      <c r="Z22" s="410"/>
      <c r="AA22" s="410"/>
      <c r="AB22" s="411"/>
      <c r="AC22" s="411"/>
    </row>
    <row r="23" spans="1:29" ht="18.75" customHeight="1" x14ac:dyDescent="0.3">
      <c r="A23" s="1273"/>
      <c r="B23" s="1306" t="s">
        <v>421</v>
      </c>
      <c r="C23" s="1302" t="s">
        <v>418</v>
      </c>
      <c r="D23" s="1247"/>
      <c r="E23" s="1247"/>
      <c r="F23" s="1247"/>
      <c r="G23" s="474">
        <v>100</v>
      </c>
      <c r="H23" s="475">
        <v>150</v>
      </c>
      <c r="I23" s="475">
        <v>100</v>
      </c>
      <c r="J23" s="476">
        <v>100</v>
      </c>
      <c r="K23" s="475">
        <v>150</v>
      </c>
      <c r="L23" s="476">
        <v>150</v>
      </c>
      <c r="M23" s="476">
        <v>150</v>
      </c>
      <c r="N23" s="476">
        <v>150</v>
      </c>
      <c r="O23" s="476">
        <v>150</v>
      </c>
      <c r="P23" s="477">
        <v>150</v>
      </c>
      <c r="Q23" s="478">
        <v>150</v>
      </c>
      <c r="R23" s="479">
        <v>300</v>
      </c>
      <c r="S23" s="479">
        <v>150</v>
      </c>
      <c r="T23" s="479">
        <v>150</v>
      </c>
      <c r="U23" s="480">
        <v>0</v>
      </c>
      <c r="V23" s="481">
        <v>150</v>
      </c>
      <c r="W23" s="415">
        <f t="shared" si="0"/>
        <v>2250</v>
      </c>
      <c r="X23" s="421">
        <v>2250</v>
      </c>
      <c r="Y23" s="410"/>
      <c r="Z23" s="410"/>
      <c r="AA23" s="410"/>
      <c r="AB23" s="411"/>
      <c r="AC23" s="411"/>
    </row>
    <row r="24" spans="1:29" ht="18.75" customHeight="1" x14ac:dyDescent="0.3">
      <c r="A24" s="1249"/>
      <c r="B24" s="1171"/>
      <c r="C24" s="1304" t="s">
        <v>419</v>
      </c>
      <c r="D24" s="1260"/>
      <c r="E24" s="1260"/>
      <c r="F24" s="1260"/>
      <c r="G24" s="443">
        <v>95</v>
      </c>
      <c r="H24" s="482">
        <v>132</v>
      </c>
      <c r="I24" s="483">
        <v>106</v>
      </c>
      <c r="J24" s="483">
        <v>48</v>
      </c>
      <c r="K24" s="484">
        <v>56</v>
      </c>
      <c r="L24" s="485">
        <v>90</v>
      </c>
      <c r="M24" s="486">
        <v>0</v>
      </c>
      <c r="N24" s="486">
        <v>169</v>
      </c>
      <c r="O24" s="486">
        <v>0</v>
      </c>
      <c r="P24" s="487">
        <v>85</v>
      </c>
      <c r="Q24" s="488">
        <v>23</v>
      </c>
      <c r="R24" s="488">
        <v>59</v>
      </c>
      <c r="S24" s="488">
        <v>163</v>
      </c>
      <c r="T24" s="488">
        <v>41</v>
      </c>
      <c r="U24" s="489">
        <v>0</v>
      </c>
      <c r="V24" s="481">
        <v>170</v>
      </c>
      <c r="W24" s="415">
        <f t="shared" si="0"/>
        <v>1237</v>
      </c>
      <c r="X24" s="421">
        <v>1237</v>
      </c>
      <c r="Y24" s="410"/>
      <c r="Z24" s="410"/>
      <c r="AA24" s="410"/>
      <c r="AB24" s="411"/>
      <c r="AC24" s="411"/>
    </row>
    <row r="25" spans="1:29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467"/>
      <c r="H25" s="425"/>
      <c r="I25" s="467"/>
      <c r="J25" s="490"/>
      <c r="K25" s="490"/>
      <c r="L25" s="433"/>
      <c r="M25" s="433"/>
      <c r="N25" s="433"/>
      <c r="O25" s="433"/>
      <c r="P25" s="491"/>
      <c r="Q25" s="425"/>
      <c r="R25" s="492"/>
      <c r="S25" s="492"/>
      <c r="T25" s="492"/>
      <c r="U25" s="455">
        <v>0</v>
      </c>
      <c r="V25" s="420"/>
      <c r="W25" s="415">
        <f t="shared" si="0"/>
        <v>0</v>
      </c>
      <c r="X25" s="421">
        <v>0</v>
      </c>
      <c r="Y25" s="410"/>
      <c r="Z25" s="410"/>
      <c r="AA25" s="410"/>
      <c r="AB25" s="411"/>
      <c r="AC25" s="411"/>
    </row>
    <row r="26" spans="1:29" ht="18.75" customHeight="1" x14ac:dyDescent="0.3">
      <c r="A26" s="1273"/>
      <c r="B26" s="1263"/>
      <c r="C26" s="1277" t="s">
        <v>419</v>
      </c>
      <c r="D26" s="1247"/>
      <c r="E26" s="1247"/>
      <c r="F26" s="1247"/>
      <c r="G26" s="467"/>
      <c r="H26" s="425"/>
      <c r="I26" s="467"/>
      <c r="J26" s="467"/>
      <c r="K26" s="467"/>
      <c r="L26" s="467"/>
      <c r="M26" s="425"/>
      <c r="N26" s="467"/>
      <c r="O26" s="467"/>
      <c r="P26" s="424"/>
      <c r="Q26" s="425"/>
      <c r="R26" s="492"/>
      <c r="S26" s="492"/>
      <c r="T26" s="492"/>
      <c r="U26" s="419">
        <v>0</v>
      </c>
      <c r="V26" s="420"/>
      <c r="W26" s="415">
        <f t="shared" si="0"/>
        <v>0</v>
      </c>
      <c r="X26" s="421">
        <v>0</v>
      </c>
      <c r="Y26" s="410"/>
      <c r="Z26" s="410"/>
      <c r="AA26" s="410"/>
      <c r="AB26" s="411"/>
      <c r="AC26" s="411"/>
    </row>
    <row r="27" spans="1:29" ht="18.75" customHeight="1" x14ac:dyDescent="0.3">
      <c r="A27" s="1273"/>
      <c r="B27" s="1262" t="s">
        <v>420</v>
      </c>
      <c r="C27" s="1277" t="s">
        <v>418</v>
      </c>
      <c r="D27" s="1247"/>
      <c r="E27" s="1247"/>
      <c r="F27" s="1247"/>
      <c r="G27" s="467"/>
      <c r="H27" s="425"/>
      <c r="I27" s="467"/>
      <c r="J27" s="467"/>
      <c r="K27" s="467"/>
      <c r="L27" s="467"/>
      <c r="M27" s="425"/>
      <c r="N27" s="467"/>
      <c r="O27" s="467"/>
      <c r="P27" s="424"/>
      <c r="Q27" s="425"/>
      <c r="R27" s="492"/>
      <c r="S27" s="492"/>
      <c r="T27" s="492"/>
      <c r="U27" s="419">
        <v>0</v>
      </c>
      <c r="V27" s="420"/>
      <c r="W27" s="415">
        <f t="shared" si="0"/>
        <v>0</v>
      </c>
      <c r="X27" s="421">
        <v>0</v>
      </c>
      <c r="Y27" s="410"/>
      <c r="Z27" s="410"/>
      <c r="AA27" s="410"/>
      <c r="AB27" s="411"/>
      <c r="AC27" s="411"/>
    </row>
    <row r="28" spans="1:29" ht="18.75" customHeight="1" x14ac:dyDescent="0.3">
      <c r="A28" s="1273"/>
      <c r="B28" s="1305"/>
      <c r="C28" s="1277" t="s">
        <v>419</v>
      </c>
      <c r="D28" s="1247"/>
      <c r="E28" s="1247"/>
      <c r="F28" s="1247"/>
      <c r="G28" s="467"/>
      <c r="H28" s="425"/>
      <c r="I28" s="467"/>
      <c r="J28" s="467"/>
      <c r="K28" s="467"/>
      <c r="L28" s="467"/>
      <c r="M28" s="425"/>
      <c r="N28" s="467"/>
      <c r="O28" s="467"/>
      <c r="P28" s="424"/>
      <c r="Q28" s="425"/>
      <c r="R28" s="467"/>
      <c r="S28" s="468"/>
      <c r="T28" s="468"/>
      <c r="U28" s="419">
        <v>0</v>
      </c>
      <c r="V28" s="420"/>
      <c r="W28" s="415">
        <f t="shared" si="0"/>
        <v>0</v>
      </c>
      <c r="X28" s="421">
        <v>0</v>
      </c>
      <c r="Y28" s="410"/>
      <c r="Z28" s="410"/>
      <c r="AA28" s="410"/>
      <c r="AB28" s="411"/>
      <c r="AC28" s="411"/>
    </row>
    <row r="29" spans="1:29" ht="18.75" customHeight="1" x14ac:dyDescent="0.3">
      <c r="A29" s="1273"/>
      <c r="B29" s="1306" t="s">
        <v>423</v>
      </c>
      <c r="C29" s="1302" t="s">
        <v>418</v>
      </c>
      <c r="D29" s="1247"/>
      <c r="E29" s="1247"/>
      <c r="F29" s="1247"/>
      <c r="G29" s="459">
        <v>120</v>
      </c>
      <c r="H29" s="459">
        <v>180</v>
      </c>
      <c r="I29" s="459">
        <v>120</v>
      </c>
      <c r="J29" s="459">
        <v>0</v>
      </c>
      <c r="K29" s="459">
        <v>180</v>
      </c>
      <c r="L29" s="459">
        <v>180</v>
      </c>
      <c r="M29" s="459">
        <v>180</v>
      </c>
      <c r="N29" s="444">
        <v>180</v>
      </c>
      <c r="O29" s="444">
        <v>180</v>
      </c>
      <c r="P29" s="458">
        <v>180</v>
      </c>
      <c r="Q29" s="459">
        <v>180</v>
      </c>
      <c r="R29" s="458">
        <v>0</v>
      </c>
      <c r="S29" s="458">
        <v>180</v>
      </c>
      <c r="T29" s="458">
        <v>180</v>
      </c>
      <c r="U29" s="493">
        <v>0</v>
      </c>
      <c r="V29" s="481">
        <v>180</v>
      </c>
      <c r="W29" s="415">
        <f t="shared" si="0"/>
        <v>2220</v>
      </c>
      <c r="X29" s="421">
        <v>2220</v>
      </c>
      <c r="Y29" s="410"/>
      <c r="Z29" s="410"/>
      <c r="AA29" s="410"/>
      <c r="AB29" s="411"/>
      <c r="AC29" s="411"/>
    </row>
    <row r="30" spans="1:29" ht="18.75" customHeight="1" x14ac:dyDescent="0.3">
      <c r="A30" s="1249"/>
      <c r="B30" s="1171"/>
      <c r="C30" s="1304" t="s">
        <v>419</v>
      </c>
      <c r="D30" s="1260"/>
      <c r="E30" s="1260"/>
      <c r="F30" s="1260"/>
      <c r="G30" s="459">
        <v>70</v>
      </c>
      <c r="H30" s="459">
        <v>89</v>
      </c>
      <c r="I30" s="459">
        <v>104</v>
      </c>
      <c r="J30" s="459">
        <v>0</v>
      </c>
      <c r="K30" s="459">
        <v>0</v>
      </c>
      <c r="L30" s="459">
        <v>62</v>
      </c>
      <c r="M30" s="494">
        <v>0</v>
      </c>
      <c r="N30" s="444">
        <v>142</v>
      </c>
      <c r="O30" s="495">
        <v>0</v>
      </c>
      <c r="P30" s="458">
        <v>167</v>
      </c>
      <c r="Q30" s="444">
        <v>34</v>
      </c>
      <c r="R30" s="458">
        <v>0</v>
      </c>
      <c r="S30" s="458">
        <v>30</v>
      </c>
      <c r="T30" s="458">
        <v>37</v>
      </c>
      <c r="U30" s="493">
        <v>0</v>
      </c>
      <c r="V30" s="481">
        <v>180</v>
      </c>
      <c r="W30" s="415">
        <f t="shared" si="0"/>
        <v>915</v>
      </c>
      <c r="X30" s="421">
        <v>915</v>
      </c>
      <c r="Y30" s="410"/>
      <c r="Z30" s="410"/>
      <c r="AA30" s="410"/>
      <c r="AB30" s="411"/>
      <c r="AC30" s="411"/>
    </row>
    <row r="31" spans="1:29" ht="18.75" customHeight="1" x14ac:dyDescent="0.25">
      <c r="A31" s="1266" t="s">
        <v>424</v>
      </c>
      <c r="B31" s="1274" t="s">
        <v>425</v>
      </c>
      <c r="C31" s="1256" t="s">
        <v>418</v>
      </c>
      <c r="D31" s="1244"/>
      <c r="E31" s="1244"/>
      <c r="F31" s="1244"/>
      <c r="G31" s="466"/>
      <c r="H31" s="466"/>
      <c r="I31" s="466"/>
      <c r="J31" s="466"/>
      <c r="K31" s="466"/>
      <c r="L31" s="466"/>
      <c r="M31" s="454"/>
      <c r="N31" s="466"/>
      <c r="O31" s="466"/>
      <c r="P31" s="466"/>
      <c r="Q31" s="454"/>
      <c r="R31" s="466"/>
      <c r="S31" s="496"/>
      <c r="T31" s="496"/>
      <c r="U31" s="467"/>
      <c r="V31" s="497"/>
      <c r="W31" s="415">
        <f t="shared" si="0"/>
        <v>0</v>
      </c>
      <c r="X31" s="416">
        <v>0</v>
      </c>
      <c r="Y31" s="410"/>
      <c r="Z31" s="410"/>
      <c r="AA31" s="410"/>
      <c r="AB31" s="411"/>
      <c r="AC31" s="411"/>
    </row>
    <row r="32" spans="1:29" ht="18.75" customHeight="1" x14ac:dyDescent="0.25">
      <c r="A32" s="1249"/>
      <c r="B32" s="1265"/>
      <c r="C32" s="1278" t="s">
        <v>419</v>
      </c>
      <c r="D32" s="1279"/>
      <c r="E32" s="1279"/>
      <c r="F32" s="1279"/>
      <c r="G32" s="469"/>
      <c r="H32" s="469"/>
      <c r="I32" s="469"/>
      <c r="J32" s="469"/>
      <c r="K32" s="469"/>
      <c r="L32" s="469"/>
      <c r="M32" s="470"/>
      <c r="N32" s="469"/>
      <c r="O32" s="469"/>
      <c r="P32" s="469"/>
      <c r="Q32" s="470"/>
      <c r="R32" s="498"/>
      <c r="S32" s="499"/>
      <c r="T32" s="499"/>
      <c r="U32" s="500"/>
      <c r="V32" s="497"/>
      <c r="W32" s="415">
        <f t="shared" si="0"/>
        <v>0</v>
      </c>
      <c r="X32" s="416">
        <v>0</v>
      </c>
      <c r="Y32" s="410"/>
      <c r="Z32" s="410"/>
      <c r="AA32" s="410"/>
      <c r="AB32" s="411"/>
      <c r="AC32" s="411"/>
    </row>
    <row r="33" spans="1:29" ht="18.75" customHeight="1" x14ac:dyDescent="0.25">
      <c r="A33" s="1268" t="s">
        <v>426</v>
      </c>
      <c r="B33" s="1269" t="s">
        <v>427</v>
      </c>
      <c r="C33" s="1261" t="s">
        <v>418</v>
      </c>
      <c r="D33" s="1244"/>
      <c r="E33" s="1244"/>
      <c r="F33" s="1290"/>
      <c r="G33" s="501"/>
      <c r="H33" s="501"/>
      <c r="I33" s="501"/>
      <c r="J33" s="501"/>
      <c r="K33" s="501"/>
      <c r="L33" s="501"/>
      <c r="M33" s="501"/>
      <c r="N33" s="501"/>
      <c r="O33" s="501"/>
      <c r="P33" s="501"/>
      <c r="Q33" s="501"/>
      <c r="R33" s="502"/>
      <c r="S33" s="492"/>
      <c r="T33" s="492"/>
      <c r="U33" s="467"/>
      <c r="V33" s="497"/>
      <c r="W33" s="415">
        <f t="shared" si="0"/>
        <v>0</v>
      </c>
      <c r="X33" s="416">
        <v>0</v>
      </c>
      <c r="Y33" s="410"/>
      <c r="Z33" s="410"/>
      <c r="AA33" s="410"/>
      <c r="AB33" s="411"/>
      <c r="AC33" s="411"/>
    </row>
    <row r="34" spans="1:29" ht="18.75" customHeight="1" x14ac:dyDescent="0.25">
      <c r="A34" s="1254"/>
      <c r="B34" s="1165"/>
      <c r="C34" s="1291" t="s">
        <v>419</v>
      </c>
      <c r="D34" s="1178"/>
      <c r="E34" s="1178"/>
      <c r="F34" s="1179"/>
      <c r="G34" s="468"/>
      <c r="H34" s="468"/>
      <c r="I34" s="468"/>
      <c r="J34" s="468"/>
      <c r="K34" s="468"/>
      <c r="L34" s="468"/>
      <c r="M34" s="468"/>
      <c r="N34" s="468"/>
      <c r="O34" s="468"/>
      <c r="P34" s="468"/>
      <c r="Q34" s="468"/>
      <c r="R34" s="503"/>
      <c r="S34" s="492"/>
      <c r="T34" s="492"/>
      <c r="U34" s="467"/>
      <c r="V34" s="497"/>
      <c r="W34" s="415">
        <f t="shared" si="0"/>
        <v>0</v>
      </c>
      <c r="X34" s="416">
        <v>0</v>
      </c>
      <c r="Y34" s="410"/>
      <c r="Z34" s="410"/>
      <c r="AA34" s="410"/>
      <c r="AB34" s="411"/>
      <c r="AC34" s="411"/>
    </row>
    <row r="35" spans="1:29" ht="18.75" customHeight="1" x14ac:dyDescent="0.25">
      <c r="A35" s="1254"/>
      <c r="B35" s="1270" t="s">
        <v>428</v>
      </c>
      <c r="C35" s="1291" t="s">
        <v>418</v>
      </c>
      <c r="D35" s="1178"/>
      <c r="E35" s="1178"/>
      <c r="F35" s="1179"/>
      <c r="G35" s="468"/>
      <c r="H35" s="468"/>
      <c r="I35" s="468"/>
      <c r="J35" s="468"/>
      <c r="K35" s="468"/>
      <c r="L35" s="468"/>
      <c r="M35" s="468"/>
      <c r="N35" s="468"/>
      <c r="O35" s="468"/>
      <c r="P35" s="468"/>
      <c r="Q35" s="468"/>
      <c r="R35" s="503"/>
      <c r="S35" s="492"/>
      <c r="T35" s="492"/>
      <c r="U35" s="467"/>
      <c r="V35" s="497"/>
      <c r="W35" s="415">
        <f t="shared" si="0"/>
        <v>0</v>
      </c>
      <c r="X35" s="416">
        <v>0</v>
      </c>
      <c r="Y35" s="410"/>
      <c r="Z35" s="410"/>
      <c r="AA35" s="410"/>
      <c r="AB35" s="411"/>
      <c r="AC35" s="411"/>
    </row>
    <row r="36" spans="1:29" ht="18.75" customHeight="1" x14ac:dyDescent="0.25">
      <c r="A36" s="1254"/>
      <c r="B36" s="1165"/>
      <c r="C36" s="1291" t="s">
        <v>419</v>
      </c>
      <c r="D36" s="1178"/>
      <c r="E36" s="1178"/>
      <c r="F36" s="1179"/>
      <c r="G36" s="468"/>
      <c r="H36" s="468"/>
      <c r="I36" s="468"/>
      <c r="J36" s="468"/>
      <c r="K36" s="468"/>
      <c r="L36" s="468"/>
      <c r="M36" s="468"/>
      <c r="N36" s="468"/>
      <c r="O36" s="468"/>
      <c r="P36" s="468"/>
      <c r="Q36" s="468"/>
      <c r="R36" s="497"/>
      <c r="S36" s="468"/>
      <c r="T36" s="468"/>
      <c r="U36" s="497"/>
      <c r="V36" s="497"/>
      <c r="W36" s="415">
        <f t="shared" si="0"/>
        <v>0</v>
      </c>
      <c r="X36" s="416">
        <v>0</v>
      </c>
      <c r="Y36" s="410"/>
      <c r="Z36" s="410"/>
      <c r="AA36" s="410"/>
      <c r="AB36" s="411"/>
      <c r="AC36" s="411"/>
    </row>
    <row r="37" spans="1:29" ht="18.75" customHeight="1" x14ac:dyDescent="0.25">
      <c r="A37" s="1254"/>
      <c r="B37" s="1270" t="s">
        <v>429</v>
      </c>
      <c r="C37" s="1291" t="s">
        <v>418</v>
      </c>
      <c r="D37" s="1178"/>
      <c r="E37" s="1178"/>
      <c r="F37" s="1179"/>
      <c r="G37" s="468"/>
      <c r="H37" s="468"/>
      <c r="I37" s="468"/>
      <c r="J37" s="468"/>
      <c r="K37" s="468"/>
      <c r="L37" s="468"/>
      <c r="M37" s="468"/>
      <c r="N37" s="468"/>
      <c r="O37" s="468"/>
      <c r="P37" s="468"/>
      <c r="Q37" s="468"/>
      <c r="R37" s="497"/>
      <c r="S37" s="468"/>
      <c r="T37" s="468"/>
      <c r="U37" s="497"/>
      <c r="V37" s="497"/>
      <c r="W37" s="415">
        <f t="shared" si="0"/>
        <v>0</v>
      </c>
      <c r="X37" s="416">
        <v>0</v>
      </c>
      <c r="Y37" s="410"/>
      <c r="Z37" s="410"/>
      <c r="AA37" s="410"/>
      <c r="AB37" s="411"/>
      <c r="AC37" s="411"/>
    </row>
    <row r="38" spans="1:29" ht="18.75" customHeight="1" x14ac:dyDescent="0.25">
      <c r="A38" s="1254"/>
      <c r="B38" s="1165"/>
      <c r="C38" s="1291" t="s">
        <v>419</v>
      </c>
      <c r="D38" s="1178"/>
      <c r="E38" s="1178"/>
      <c r="F38" s="1179"/>
      <c r="G38" s="468"/>
      <c r="H38" s="468"/>
      <c r="I38" s="468"/>
      <c r="J38" s="468"/>
      <c r="K38" s="468"/>
      <c r="L38" s="468"/>
      <c r="M38" s="468"/>
      <c r="N38" s="504">
        <v>1</v>
      </c>
      <c r="O38" s="468"/>
      <c r="P38" s="468"/>
      <c r="Q38" s="468"/>
      <c r="R38" s="497"/>
      <c r="S38" s="468"/>
      <c r="T38" s="468"/>
      <c r="U38" s="497"/>
      <c r="V38" s="497"/>
      <c r="W38" s="415">
        <f t="shared" si="0"/>
        <v>1</v>
      </c>
      <c r="X38" s="416">
        <v>1</v>
      </c>
      <c r="Y38" s="410"/>
      <c r="Z38" s="410"/>
      <c r="AA38" s="410"/>
      <c r="AB38" s="411"/>
      <c r="AC38" s="411"/>
    </row>
    <row r="39" spans="1:29" ht="18.75" customHeight="1" x14ac:dyDescent="0.25">
      <c r="A39" s="1254"/>
      <c r="B39" s="1270" t="s">
        <v>430</v>
      </c>
      <c r="C39" s="1291" t="s">
        <v>418</v>
      </c>
      <c r="D39" s="1178"/>
      <c r="E39" s="1178"/>
      <c r="F39" s="1179"/>
      <c r="G39" s="468"/>
      <c r="H39" s="468"/>
      <c r="I39" s="468"/>
      <c r="J39" s="468"/>
      <c r="K39" s="468"/>
      <c r="L39" s="468"/>
      <c r="M39" s="468"/>
      <c r="N39" s="468"/>
      <c r="O39" s="468"/>
      <c r="P39" s="468"/>
      <c r="Q39" s="468"/>
      <c r="R39" s="505"/>
      <c r="S39" s="492"/>
      <c r="T39" s="492"/>
      <c r="U39" s="467"/>
      <c r="V39" s="497"/>
      <c r="W39" s="415">
        <f t="shared" si="0"/>
        <v>0</v>
      </c>
      <c r="X39" s="416">
        <v>0</v>
      </c>
      <c r="Y39" s="410"/>
      <c r="Z39" s="410"/>
      <c r="AA39" s="410"/>
      <c r="AB39" s="411"/>
      <c r="AC39" s="411"/>
    </row>
    <row r="40" spans="1:29" ht="18.75" customHeight="1" x14ac:dyDescent="0.25">
      <c r="A40" s="1255"/>
      <c r="B40" s="1176"/>
      <c r="C40" s="1297" t="s">
        <v>419</v>
      </c>
      <c r="D40" s="1285"/>
      <c r="E40" s="1285"/>
      <c r="F40" s="1286"/>
      <c r="G40" s="506"/>
      <c r="H40" s="506"/>
      <c r="I40" s="506"/>
      <c r="J40" s="506"/>
      <c r="K40" s="506"/>
      <c r="L40" s="506"/>
      <c r="M40" s="506"/>
      <c r="N40" s="506"/>
      <c r="O40" s="506"/>
      <c r="P40" s="506"/>
      <c r="Q40" s="507"/>
      <c r="R40" s="508"/>
      <c r="S40" s="509"/>
      <c r="T40" s="499"/>
      <c r="U40" s="500"/>
      <c r="V40" s="497"/>
      <c r="W40" s="415">
        <f t="shared" si="0"/>
        <v>0</v>
      </c>
      <c r="X40" s="416">
        <v>0</v>
      </c>
      <c r="Y40" s="410"/>
      <c r="Z40" s="410"/>
      <c r="AA40" s="410"/>
      <c r="AB40" s="411"/>
      <c r="AC40" s="411"/>
    </row>
    <row r="41" spans="1:29" ht="18.75" customHeight="1" x14ac:dyDescent="0.3">
      <c r="A41" s="510"/>
      <c r="B41" s="511"/>
      <c r="C41" s="1292"/>
      <c r="D41" s="1242"/>
      <c r="E41" s="1242"/>
      <c r="F41" s="1293"/>
      <c r="G41" s="512" t="s">
        <v>99</v>
      </c>
      <c r="H41" s="307" t="s">
        <v>100</v>
      </c>
      <c r="I41" s="307" t="s">
        <v>198</v>
      </c>
      <c r="J41" s="307" t="s">
        <v>21</v>
      </c>
      <c r="K41" s="307" t="s">
        <v>102</v>
      </c>
      <c r="L41" s="308" t="s">
        <v>395</v>
      </c>
      <c r="M41" s="307" t="s">
        <v>396</v>
      </c>
      <c r="N41" s="307" t="s">
        <v>105</v>
      </c>
      <c r="O41" s="307" t="s">
        <v>106</v>
      </c>
      <c r="P41" s="307" t="s">
        <v>107</v>
      </c>
      <c r="Q41" s="309" t="s">
        <v>215</v>
      </c>
      <c r="R41" s="310" t="s">
        <v>34</v>
      </c>
      <c r="S41" s="311" t="s">
        <v>397</v>
      </c>
      <c r="T41" s="310" t="s">
        <v>110</v>
      </c>
      <c r="U41" s="513" t="s">
        <v>111</v>
      </c>
      <c r="V41" s="514" t="s">
        <v>454</v>
      </c>
      <c r="W41" s="415"/>
      <c r="X41" s="515">
        <v>0</v>
      </c>
      <c r="Y41" s="409"/>
      <c r="Z41" s="410"/>
      <c r="AA41" s="410"/>
      <c r="AB41" s="411"/>
      <c r="AC41" s="411"/>
    </row>
    <row r="42" spans="1:29" ht="18.75" customHeight="1" x14ac:dyDescent="0.25">
      <c r="A42" s="1303" t="s">
        <v>431</v>
      </c>
      <c r="B42" s="516" t="s">
        <v>432</v>
      </c>
      <c r="C42" s="1294"/>
      <c r="D42" s="1201"/>
      <c r="E42" s="1201"/>
      <c r="F42" s="1173"/>
      <c r="G42" s="517"/>
      <c r="H42" s="518"/>
      <c r="I42" s="517"/>
      <c r="J42" s="517"/>
      <c r="K42" s="517"/>
      <c r="L42" s="517"/>
      <c r="M42" s="517"/>
      <c r="N42" s="517"/>
      <c r="O42" s="517"/>
      <c r="P42" s="517"/>
      <c r="Q42" s="517"/>
      <c r="R42" s="504"/>
      <c r="S42" s="492"/>
      <c r="T42" s="492"/>
      <c r="U42" s="467"/>
      <c r="V42" s="497"/>
      <c r="W42" s="415">
        <f t="shared" ref="W42:W62" si="1">SUM(V42+U42+T42+S42+R42+Q42+P42+O42+N42+M42+L42+K42+J42+I42+H42+G42)</f>
        <v>0</v>
      </c>
      <c r="X42" s="416">
        <v>0</v>
      </c>
      <c r="Y42" s="410"/>
      <c r="Z42" s="410"/>
      <c r="AA42" s="410"/>
      <c r="AB42" s="411"/>
      <c r="AC42" s="411"/>
    </row>
    <row r="43" spans="1:29" ht="18.75" customHeight="1" x14ac:dyDescent="0.25">
      <c r="A43" s="1164"/>
      <c r="B43" s="519" t="s">
        <v>433</v>
      </c>
      <c r="C43" s="1295"/>
      <c r="D43" s="1201"/>
      <c r="E43" s="1201"/>
      <c r="F43" s="1173"/>
      <c r="G43" s="517"/>
      <c r="H43" s="518"/>
      <c r="I43" s="517"/>
      <c r="J43" s="517"/>
      <c r="K43" s="517"/>
      <c r="L43" s="517"/>
      <c r="M43" s="517"/>
      <c r="N43" s="517"/>
      <c r="O43" s="517"/>
      <c r="P43" s="517"/>
      <c r="Q43" s="517"/>
      <c r="R43" s="504"/>
      <c r="S43" s="492"/>
      <c r="T43" s="492"/>
      <c r="U43" s="467"/>
      <c r="V43" s="497"/>
      <c r="W43" s="415">
        <f t="shared" si="1"/>
        <v>0</v>
      </c>
      <c r="X43" s="416">
        <v>0</v>
      </c>
      <c r="Y43" s="410"/>
      <c r="Z43" s="410"/>
      <c r="AA43" s="410"/>
      <c r="AB43" s="411"/>
      <c r="AC43" s="411"/>
    </row>
    <row r="44" spans="1:29" ht="18.75" customHeight="1" x14ac:dyDescent="0.25">
      <c r="A44" s="1164"/>
      <c r="B44" s="519" t="s">
        <v>434</v>
      </c>
      <c r="C44" s="1295"/>
      <c r="D44" s="1201"/>
      <c r="E44" s="1201"/>
      <c r="F44" s="1173"/>
      <c r="G44" s="517"/>
      <c r="H44" s="518">
        <v>11</v>
      </c>
      <c r="I44" s="517"/>
      <c r="J44" s="517"/>
      <c r="K44" s="517"/>
      <c r="L44" s="517"/>
      <c r="M44" s="517"/>
      <c r="N44" s="517"/>
      <c r="O44" s="517"/>
      <c r="P44" s="517"/>
      <c r="Q44" s="517"/>
      <c r="R44" s="504"/>
      <c r="S44" s="492"/>
      <c r="T44" s="492"/>
      <c r="U44" s="467"/>
      <c r="V44" s="497"/>
      <c r="W44" s="415">
        <f t="shared" si="1"/>
        <v>11</v>
      </c>
      <c r="X44" s="416">
        <v>11</v>
      </c>
      <c r="Y44" s="410"/>
      <c r="Z44" s="410"/>
      <c r="AA44" s="410"/>
      <c r="AB44" s="411"/>
      <c r="AC44" s="411"/>
    </row>
    <row r="45" spans="1:29" ht="18.75" customHeight="1" x14ac:dyDescent="0.25">
      <c r="A45" s="1164"/>
      <c r="B45" s="519" t="s">
        <v>435</v>
      </c>
      <c r="C45" s="1295"/>
      <c r="D45" s="1201"/>
      <c r="E45" s="1201"/>
      <c r="F45" s="1173"/>
      <c r="G45" s="517"/>
      <c r="H45" s="518"/>
      <c r="I45" s="517"/>
      <c r="J45" s="517"/>
      <c r="K45" s="517"/>
      <c r="L45" s="517"/>
      <c r="M45" s="517"/>
      <c r="N45" s="517"/>
      <c r="O45" s="517"/>
      <c r="P45" s="517"/>
      <c r="Q45" s="517"/>
      <c r="R45" s="504"/>
      <c r="S45" s="492"/>
      <c r="T45" s="492"/>
      <c r="U45" s="467"/>
      <c r="V45" s="497"/>
      <c r="W45" s="415">
        <f t="shared" si="1"/>
        <v>0</v>
      </c>
      <c r="X45" s="416">
        <v>0</v>
      </c>
      <c r="Y45" s="410"/>
      <c r="Z45" s="410"/>
      <c r="AA45" s="410"/>
      <c r="AB45" s="411"/>
      <c r="AC45" s="411"/>
    </row>
    <row r="46" spans="1:29" ht="18.75" customHeight="1" x14ac:dyDescent="0.25">
      <c r="A46" s="1164"/>
      <c r="B46" s="519" t="s">
        <v>436</v>
      </c>
      <c r="C46" s="1295"/>
      <c r="D46" s="1201"/>
      <c r="E46" s="1201"/>
      <c r="F46" s="1173"/>
      <c r="G46" s="517"/>
      <c r="H46" s="518"/>
      <c r="I46" s="517"/>
      <c r="J46" s="517"/>
      <c r="K46" s="518">
        <v>1</v>
      </c>
      <c r="L46" s="517"/>
      <c r="M46" s="517"/>
      <c r="N46" s="517"/>
      <c r="O46" s="517"/>
      <c r="P46" s="517"/>
      <c r="Q46" s="517"/>
      <c r="R46" s="504"/>
      <c r="S46" s="499"/>
      <c r="T46" s="499"/>
      <c r="U46" s="500"/>
      <c r="V46" s="497"/>
      <c r="W46" s="415">
        <f t="shared" si="1"/>
        <v>1</v>
      </c>
      <c r="X46" s="416">
        <v>1</v>
      </c>
      <c r="Y46" s="410"/>
      <c r="Z46" s="410"/>
      <c r="AA46" s="410"/>
      <c r="AB46" s="411"/>
      <c r="AC46" s="411"/>
    </row>
    <row r="47" spans="1:29" ht="18.75" customHeight="1" x14ac:dyDescent="0.25">
      <c r="A47" s="1164"/>
      <c r="B47" s="519" t="s">
        <v>437</v>
      </c>
      <c r="C47" s="1295"/>
      <c r="D47" s="1201"/>
      <c r="E47" s="1201"/>
      <c r="F47" s="1173"/>
      <c r="G47" s="517"/>
      <c r="H47" s="518">
        <v>12</v>
      </c>
      <c r="I47" s="517"/>
      <c r="J47" s="517"/>
      <c r="K47" s="517"/>
      <c r="L47" s="517"/>
      <c r="M47" s="517"/>
      <c r="N47" s="517"/>
      <c r="O47" s="517"/>
      <c r="P47" s="517"/>
      <c r="Q47" s="517"/>
      <c r="R47" s="504"/>
      <c r="S47" s="502"/>
      <c r="T47" s="502"/>
      <c r="U47" s="466"/>
      <c r="V47" s="497"/>
      <c r="W47" s="415">
        <f t="shared" si="1"/>
        <v>12</v>
      </c>
      <c r="X47" s="416">
        <v>12</v>
      </c>
      <c r="Y47" s="410"/>
      <c r="Z47" s="410"/>
      <c r="AA47" s="410"/>
      <c r="AB47" s="411"/>
      <c r="AC47" s="411"/>
    </row>
    <row r="48" spans="1:29" ht="18.75" customHeight="1" x14ac:dyDescent="0.25">
      <c r="A48" s="1164"/>
      <c r="B48" s="519" t="s">
        <v>438</v>
      </c>
      <c r="C48" s="1295"/>
      <c r="D48" s="1201"/>
      <c r="E48" s="1201"/>
      <c r="F48" s="1173"/>
      <c r="G48" s="517"/>
      <c r="H48" s="518"/>
      <c r="I48" s="517"/>
      <c r="J48" s="517"/>
      <c r="K48" s="517"/>
      <c r="L48" s="517"/>
      <c r="M48" s="517"/>
      <c r="N48" s="517"/>
      <c r="O48" s="517"/>
      <c r="P48" s="517"/>
      <c r="Q48" s="517"/>
      <c r="R48" s="504"/>
      <c r="S48" s="492"/>
      <c r="T48" s="492"/>
      <c r="U48" s="467"/>
      <c r="V48" s="497"/>
      <c r="W48" s="415">
        <f t="shared" si="1"/>
        <v>0</v>
      </c>
      <c r="X48" s="416">
        <v>0</v>
      </c>
      <c r="Y48" s="410"/>
      <c r="Z48" s="410"/>
      <c r="AA48" s="410"/>
      <c r="AB48" s="411"/>
      <c r="AC48" s="411"/>
    </row>
    <row r="49" spans="1:29" ht="18.75" customHeight="1" x14ac:dyDescent="0.25">
      <c r="A49" s="1164"/>
      <c r="B49" s="519" t="s">
        <v>439</v>
      </c>
      <c r="C49" s="1295"/>
      <c r="D49" s="1201"/>
      <c r="E49" s="1201"/>
      <c r="F49" s="1173"/>
      <c r="G49" s="517"/>
      <c r="H49" s="518"/>
      <c r="I49" s="517"/>
      <c r="J49" s="517"/>
      <c r="K49" s="517"/>
      <c r="L49" s="517"/>
      <c r="M49" s="517"/>
      <c r="N49" s="517"/>
      <c r="O49" s="517"/>
      <c r="P49" s="517"/>
      <c r="Q49" s="517"/>
      <c r="R49" s="504"/>
      <c r="S49" s="499"/>
      <c r="T49" s="499"/>
      <c r="U49" s="500"/>
      <c r="V49" s="497"/>
      <c r="W49" s="415">
        <f t="shared" si="1"/>
        <v>0</v>
      </c>
      <c r="X49" s="416">
        <v>0</v>
      </c>
      <c r="Y49" s="410"/>
      <c r="Z49" s="410"/>
      <c r="AA49" s="410"/>
      <c r="AB49" s="411"/>
      <c r="AC49" s="411"/>
    </row>
    <row r="50" spans="1:29" ht="18.75" customHeight="1" x14ac:dyDescent="0.25">
      <c r="A50" s="1164"/>
      <c r="B50" s="519" t="s">
        <v>440</v>
      </c>
      <c r="C50" s="1295"/>
      <c r="D50" s="1201"/>
      <c r="E50" s="1201"/>
      <c r="F50" s="1173"/>
      <c r="G50" s="517"/>
      <c r="H50" s="518"/>
      <c r="I50" s="517"/>
      <c r="J50" s="517"/>
      <c r="K50" s="517"/>
      <c r="L50" s="517"/>
      <c r="M50" s="517"/>
      <c r="N50" s="517"/>
      <c r="O50" s="517"/>
      <c r="P50" s="517"/>
      <c r="Q50" s="517"/>
      <c r="R50" s="504"/>
      <c r="S50" s="502"/>
      <c r="T50" s="502"/>
      <c r="U50" s="466"/>
      <c r="V50" s="497"/>
      <c r="W50" s="415">
        <f t="shared" si="1"/>
        <v>0</v>
      </c>
      <c r="X50" s="416">
        <v>0</v>
      </c>
      <c r="Y50" s="410"/>
      <c r="Z50" s="410"/>
      <c r="AA50" s="410"/>
      <c r="AB50" s="411"/>
      <c r="AC50" s="411"/>
    </row>
    <row r="51" spans="1:29" ht="18.75" customHeight="1" x14ac:dyDescent="0.25">
      <c r="A51" s="1164"/>
      <c r="B51" s="519" t="s">
        <v>441</v>
      </c>
      <c r="C51" s="1295"/>
      <c r="D51" s="1201"/>
      <c r="E51" s="1201"/>
      <c r="F51" s="1173"/>
      <c r="G51" s="517"/>
      <c r="H51" s="518"/>
      <c r="I51" s="517"/>
      <c r="J51" s="517"/>
      <c r="K51" s="517"/>
      <c r="L51" s="517"/>
      <c r="M51" s="517"/>
      <c r="N51" s="517"/>
      <c r="O51" s="517"/>
      <c r="P51" s="517"/>
      <c r="Q51" s="517"/>
      <c r="R51" s="504"/>
      <c r="S51" s="492"/>
      <c r="T51" s="492"/>
      <c r="U51" s="467"/>
      <c r="V51" s="497"/>
      <c r="W51" s="415">
        <f t="shared" si="1"/>
        <v>0</v>
      </c>
      <c r="X51" s="416">
        <v>0</v>
      </c>
      <c r="Y51" s="410"/>
      <c r="Z51" s="410"/>
      <c r="AA51" s="410"/>
      <c r="AB51" s="411"/>
      <c r="AC51" s="411"/>
    </row>
    <row r="52" spans="1:29" ht="18.75" customHeight="1" x14ac:dyDescent="0.25">
      <c r="A52" s="1164"/>
      <c r="B52" s="519" t="s">
        <v>442</v>
      </c>
      <c r="C52" s="1295"/>
      <c r="D52" s="1201"/>
      <c r="E52" s="1201"/>
      <c r="F52" s="1173"/>
      <c r="G52" s="517"/>
      <c r="H52" s="518"/>
      <c r="I52" s="517"/>
      <c r="J52" s="517"/>
      <c r="K52" s="517"/>
      <c r="L52" s="517"/>
      <c r="M52" s="517"/>
      <c r="N52" s="517"/>
      <c r="O52" s="517"/>
      <c r="P52" s="517"/>
      <c r="Q52" s="517"/>
      <c r="R52" s="504"/>
      <c r="S52" s="492"/>
      <c r="T52" s="492"/>
      <c r="U52" s="467"/>
      <c r="V52" s="497"/>
      <c r="W52" s="415">
        <f t="shared" si="1"/>
        <v>0</v>
      </c>
      <c r="X52" s="416">
        <v>0</v>
      </c>
      <c r="Y52" s="410"/>
      <c r="Z52" s="410"/>
      <c r="AA52" s="410"/>
      <c r="AB52" s="411"/>
      <c r="AC52" s="411"/>
    </row>
    <row r="53" spans="1:29" ht="18.75" customHeight="1" x14ac:dyDescent="0.25">
      <c r="A53" s="1164"/>
      <c r="B53" s="519" t="s">
        <v>443</v>
      </c>
      <c r="C53" s="1295"/>
      <c r="D53" s="1201"/>
      <c r="E53" s="1201"/>
      <c r="F53" s="1173"/>
      <c r="G53" s="517"/>
      <c r="H53" s="518"/>
      <c r="I53" s="517"/>
      <c r="J53" s="517"/>
      <c r="K53" s="517"/>
      <c r="L53" s="517"/>
      <c r="M53" s="517"/>
      <c r="N53" s="517"/>
      <c r="O53" s="517"/>
      <c r="P53" s="517"/>
      <c r="Q53" s="517"/>
      <c r="R53" s="504"/>
      <c r="S53" s="492"/>
      <c r="T53" s="492"/>
      <c r="U53" s="467"/>
      <c r="V53" s="497"/>
      <c r="W53" s="415">
        <f t="shared" si="1"/>
        <v>0</v>
      </c>
      <c r="X53" s="416">
        <v>0</v>
      </c>
      <c r="Y53" s="410"/>
      <c r="Z53" s="410"/>
      <c r="AA53" s="410"/>
      <c r="AB53" s="411"/>
      <c r="AC53" s="411"/>
    </row>
    <row r="54" spans="1:29" ht="18.75" customHeight="1" x14ac:dyDescent="0.25">
      <c r="A54" s="1164"/>
      <c r="B54" s="519" t="s">
        <v>444</v>
      </c>
      <c r="C54" s="1295"/>
      <c r="D54" s="1201"/>
      <c r="E54" s="1201"/>
      <c r="F54" s="1173"/>
      <c r="G54" s="517"/>
      <c r="H54" s="518"/>
      <c r="I54" s="517"/>
      <c r="J54" s="517"/>
      <c r="K54" s="517"/>
      <c r="L54" s="517"/>
      <c r="M54" s="517"/>
      <c r="N54" s="517"/>
      <c r="O54" s="517"/>
      <c r="P54" s="517"/>
      <c r="Q54" s="517"/>
      <c r="R54" s="504"/>
      <c r="S54" s="492"/>
      <c r="T54" s="492"/>
      <c r="U54" s="467"/>
      <c r="V54" s="497"/>
      <c r="W54" s="415">
        <f t="shared" si="1"/>
        <v>0</v>
      </c>
      <c r="X54" s="416">
        <v>0</v>
      </c>
      <c r="Y54" s="410"/>
      <c r="Z54" s="410"/>
      <c r="AA54" s="410"/>
      <c r="AB54" s="411"/>
      <c r="AC54" s="411"/>
    </row>
    <row r="55" spans="1:29" ht="18.75" customHeight="1" x14ac:dyDescent="0.25">
      <c r="A55" s="1164"/>
      <c r="B55" s="519" t="s">
        <v>445</v>
      </c>
      <c r="C55" s="1295"/>
      <c r="D55" s="1201"/>
      <c r="E55" s="1201"/>
      <c r="F55" s="1173"/>
      <c r="G55" s="517"/>
      <c r="H55" s="518"/>
      <c r="I55" s="517"/>
      <c r="J55" s="517"/>
      <c r="K55" s="517"/>
      <c r="L55" s="517"/>
      <c r="M55" s="517"/>
      <c r="N55" s="517"/>
      <c r="O55" s="517"/>
      <c r="P55" s="517"/>
      <c r="Q55" s="517"/>
      <c r="R55" s="504"/>
      <c r="S55" s="499"/>
      <c r="T55" s="499"/>
      <c r="U55" s="500"/>
      <c r="V55" s="497"/>
      <c r="W55" s="415">
        <f t="shared" si="1"/>
        <v>0</v>
      </c>
      <c r="X55" s="416">
        <v>0</v>
      </c>
      <c r="Y55" s="410"/>
      <c r="Z55" s="410"/>
      <c r="AA55" s="410"/>
      <c r="AB55" s="411"/>
      <c r="AC55" s="411"/>
    </row>
    <row r="56" spans="1:29" ht="18.75" customHeight="1" x14ac:dyDescent="0.25">
      <c r="A56" s="1164"/>
      <c r="B56" s="519" t="s">
        <v>446</v>
      </c>
      <c r="C56" s="1295"/>
      <c r="D56" s="1201"/>
      <c r="E56" s="1201"/>
      <c r="F56" s="1173"/>
      <c r="G56" s="517"/>
      <c r="H56" s="518"/>
      <c r="I56" s="517"/>
      <c r="J56" s="517"/>
      <c r="K56" s="517"/>
      <c r="L56" s="517"/>
      <c r="M56" s="517"/>
      <c r="N56" s="517"/>
      <c r="O56" s="517"/>
      <c r="P56" s="517"/>
      <c r="Q56" s="517"/>
      <c r="R56" s="504"/>
      <c r="S56" s="502"/>
      <c r="T56" s="502"/>
      <c r="U56" s="466"/>
      <c r="V56" s="497"/>
      <c r="W56" s="415">
        <f t="shared" si="1"/>
        <v>0</v>
      </c>
      <c r="X56" s="416">
        <v>0</v>
      </c>
      <c r="Y56" s="410"/>
      <c r="Z56" s="410"/>
      <c r="AA56" s="410"/>
      <c r="AB56" s="411"/>
      <c r="AC56" s="411"/>
    </row>
    <row r="57" spans="1:29" ht="18.75" customHeight="1" x14ac:dyDescent="0.25">
      <c r="A57" s="1164"/>
      <c r="B57" s="519" t="s">
        <v>447</v>
      </c>
      <c r="C57" s="1295"/>
      <c r="D57" s="1201"/>
      <c r="E57" s="1201"/>
      <c r="F57" s="1173"/>
      <c r="G57" s="517"/>
      <c r="H57" s="518"/>
      <c r="I57" s="517"/>
      <c r="J57" s="517"/>
      <c r="K57" s="517"/>
      <c r="L57" s="517"/>
      <c r="M57" s="517"/>
      <c r="N57" s="517"/>
      <c r="O57" s="517"/>
      <c r="P57" s="517"/>
      <c r="Q57" s="517"/>
      <c r="R57" s="504"/>
      <c r="S57" s="492"/>
      <c r="T57" s="492"/>
      <c r="U57" s="467"/>
      <c r="V57" s="497"/>
      <c r="W57" s="415">
        <f t="shared" si="1"/>
        <v>0</v>
      </c>
      <c r="X57" s="416">
        <v>0</v>
      </c>
      <c r="Y57" s="410"/>
      <c r="Z57" s="410"/>
      <c r="AA57" s="410"/>
      <c r="AB57" s="411"/>
      <c r="AC57" s="411"/>
    </row>
    <row r="58" spans="1:29" ht="18.75" customHeight="1" x14ac:dyDescent="0.25">
      <c r="A58" s="1164"/>
      <c r="B58" s="519" t="s">
        <v>448</v>
      </c>
      <c r="C58" s="1295"/>
      <c r="D58" s="1201"/>
      <c r="E58" s="1201"/>
      <c r="F58" s="1173"/>
      <c r="G58" s="517"/>
      <c r="H58" s="518"/>
      <c r="I58" s="517"/>
      <c r="J58" s="517"/>
      <c r="K58" s="517"/>
      <c r="L58" s="517"/>
      <c r="M58" s="517"/>
      <c r="N58" s="517"/>
      <c r="O58" s="517"/>
      <c r="P58" s="517"/>
      <c r="Q58" s="517"/>
      <c r="R58" s="504"/>
      <c r="S58" s="499"/>
      <c r="T58" s="499"/>
      <c r="U58" s="500"/>
      <c r="V58" s="497"/>
      <c r="W58" s="415">
        <f t="shared" si="1"/>
        <v>0</v>
      </c>
      <c r="X58" s="416">
        <v>0</v>
      </c>
      <c r="Y58" s="410"/>
      <c r="Z58" s="410"/>
      <c r="AA58" s="410"/>
      <c r="AB58" s="411"/>
      <c r="AC58" s="411"/>
    </row>
    <row r="59" spans="1:29" ht="18.75" customHeight="1" x14ac:dyDescent="0.25">
      <c r="A59" s="1164"/>
      <c r="B59" s="519" t="s">
        <v>449</v>
      </c>
      <c r="C59" s="1295"/>
      <c r="D59" s="1201"/>
      <c r="E59" s="1201"/>
      <c r="F59" s="1173"/>
      <c r="G59" s="517"/>
      <c r="H59" s="518">
        <v>8</v>
      </c>
      <c r="I59" s="517"/>
      <c r="J59" s="517"/>
      <c r="K59" s="517"/>
      <c r="L59" s="517"/>
      <c r="M59" s="517"/>
      <c r="N59" s="517"/>
      <c r="O59" s="517"/>
      <c r="P59" s="517"/>
      <c r="Q59" s="517"/>
      <c r="R59" s="504"/>
      <c r="S59" s="502"/>
      <c r="T59" s="502"/>
      <c r="U59" s="466"/>
      <c r="V59" s="497"/>
      <c r="W59" s="415">
        <f t="shared" si="1"/>
        <v>8</v>
      </c>
      <c r="X59" s="416">
        <v>8</v>
      </c>
      <c r="Y59" s="410"/>
      <c r="Z59" s="410"/>
      <c r="AA59" s="410"/>
      <c r="AB59" s="411"/>
      <c r="AC59" s="411"/>
    </row>
    <row r="60" spans="1:29" ht="18.75" customHeight="1" x14ac:dyDescent="0.25">
      <c r="A60" s="1164"/>
      <c r="B60" s="519" t="s">
        <v>455</v>
      </c>
      <c r="C60" s="1295"/>
      <c r="D60" s="1201"/>
      <c r="E60" s="1201"/>
      <c r="F60" s="1173"/>
      <c r="G60" s="517"/>
      <c r="H60" s="520">
        <v>20</v>
      </c>
      <c r="I60" s="521"/>
      <c r="J60" s="517"/>
      <c r="K60" s="517"/>
      <c r="L60" s="517"/>
      <c r="M60" s="517"/>
      <c r="N60" s="517"/>
      <c r="O60" s="517"/>
      <c r="P60" s="517"/>
      <c r="Q60" s="517"/>
      <c r="R60" s="504"/>
      <c r="S60" s="468"/>
      <c r="T60" s="468"/>
      <c r="U60" s="497"/>
      <c r="V60" s="497"/>
      <c r="W60" s="415">
        <f t="shared" si="1"/>
        <v>20</v>
      </c>
      <c r="X60" s="416">
        <v>20</v>
      </c>
      <c r="Y60" s="410"/>
      <c r="Z60" s="410"/>
      <c r="AA60" s="410"/>
      <c r="AB60" s="411"/>
      <c r="AC60" s="411"/>
    </row>
    <row r="61" spans="1:29" ht="18.75" customHeight="1" x14ac:dyDescent="0.25">
      <c r="A61" s="1164"/>
      <c r="B61" s="519" t="s">
        <v>456</v>
      </c>
      <c r="C61" s="1295"/>
      <c r="D61" s="1201"/>
      <c r="E61" s="1201"/>
      <c r="F61" s="1173"/>
      <c r="G61" s="517"/>
      <c r="H61" s="520">
        <v>9</v>
      </c>
      <c r="I61" s="521"/>
      <c r="J61" s="517"/>
      <c r="K61" s="517"/>
      <c r="L61" s="517"/>
      <c r="M61" s="517"/>
      <c r="N61" s="517"/>
      <c r="O61" s="517"/>
      <c r="P61" s="517"/>
      <c r="Q61" s="517"/>
      <c r="R61" s="504"/>
      <c r="S61" s="468"/>
      <c r="T61" s="468"/>
      <c r="U61" s="497"/>
      <c r="V61" s="497"/>
      <c r="W61" s="415">
        <f t="shared" si="1"/>
        <v>9</v>
      </c>
      <c r="X61" s="416">
        <v>9</v>
      </c>
      <c r="Y61" s="410"/>
      <c r="Z61" s="410"/>
      <c r="AA61" s="410"/>
      <c r="AB61" s="411"/>
      <c r="AC61" s="411"/>
    </row>
    <row r="62" spans="1:29" ht="18.75" customHeight="1" x14ac:dyDescent="0.25">
      <c r="A62" s="1165"/>
      <c r="B62" s="519" t="s">
        <v>457</v>
      </c>
      <c r="C62" s="1296"/>
      <c r="D62" s="1288"/>
      <c r="E62" s="1288"/>
      <c r="F62" s="1289"/>
      <c r="G62" s="468"/>
      <c r="H62" s="468"/>
      <c r="I62" s="468"/>
      <c r="J62" s="468"/>
      <c r="K62" s="520"/>
      <c r="L62" s="520">
        <v>6</v>
      </c>
      <c r="M62" s="468"/>
      <c r="N62" s="468"/>
      <c r="O62" s="468"/>
      <c r="P62" s="468"/>
      <c r="Q62" s="468"/>
      <c r="R62" s="468"/>
      <c r="S62" s="468"/>
      <c r="T62" s="468"/>
      <c r="U62" s="468"/>
      <c r="V62" s="497"/>
      <c r="W62" s="415">
        <f t="shared" si="1"/>
        <v>6</v>
      </c>
      <c r="X62" s="416">
        <v>6</v>
      </c>
      <c r="Y62" s="410"/>
      <c r="Z62" s="410"/>
      <c r="AA62" s="410"/>
      <c r="AB62" s="411"/>
      <c r="AC62" s="411"/>
    </row>
    <row r="63" spans="1:29" ht="12.75" customHeight="1" x14ac:dyDescent="0.25">
      <c r="A63" s="305"/>
      <c r="B63" s="305"/>
      <c r="C63" s="305"/>
      <c r="D63" s="305"/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62"/>
      <c r="W63" s="305"/>
      <c r="X63" s="410"/>
      <c r="Y63" s="410"/>
      <c r="Z63" s="410"/>
      <c r="AA63" s="410"/>
      <c r="AB63" s="411"/>
      <c r="AC63" s="411"/>
    </row>
    <row r="64" spans="1:29" ht="12.75" customHeight="1" x14ac:dyDescent="0.25">
      <c r="A64" s="305"/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5"/>
      <c r="O64" s="305"/>
      <c r="P64" s="305"/>
      <c r="Q64" s="305"/>
      <c r="R64" s="305"/>
      <c r="S64" s="305"/>
      <c r="T64" s="305"/>
      <c r="U64" s="305"/>
      <c r="V64" s="305"/>
      <c r="W64" s="305"/>
      <c r="X64" s="410"/>
      <c r="Y64" s="410"/>
      <c r="Z64" s="410"/>
      <c r="AA64" s="410"/>
      <c r="AB64" s="411"/>
      <c r="AC64" s="411"/>
    </row>
    <row r="65" spans="1:29" ht="12.75" customHeight="1" x14ac:dyDescent="0.25">
      <c r="A65" s="305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410"/>
      <c r="Y65" s="410"/>
      <c r="Z65" s="410"/>
      <c r="AA65" s="410"/>
      <c r="AB65" s="411"/>
      <c r="AC65" s="411"/>
    </row>
    <row r="66" spans="1:29" ht="12.75" customHeight="1" x14ac:dyDescent="0.25">
      <c r="X66" s="522"/>
      <c r="Y66" s="522"/>
      <c r="Z66" s="522"/>
      <c r="AA66" s="522"/>
      <c r="AB66" s="522"/>
      <c r="AC66" s="522"/>
    </row>
    <row r="67" spans="1:29" ht="12.75" customHeight="1" x14ac:dyDescent="0.25">
      <c r="X67" s="522"/>
      <c r="Y67" s="522"/>
      <c r="Z67" s="522"/>
      <c r="AA67" s="522"/>
      <c r="AB67" s="522"/>
      <c r="AC67" s="522"/>
    </row>
    <row r="68" spans="1:29" ht="12.75" customHeight="1" x14ac:dyDescent="0.25">
      <c r="X68" s="522"/>
      <c r="Y68" s="522"/>
      <c r="Z68" s="522"/>
      <c r="AA68" s="522"/>
      <c r="AB68" s="522"/>
      <c r="AC68" s="522"/>
    </row>
    <row r="69" spans="1:29" ht="12.75" customHeight="1" x14ac:dyDescent="0.25">
      <c r="X69" s="522"/>
      <c r="Y69" s="522"/>
      <c r="Z69" s="522"/>
      <c r="AA69" s="522"/>
      <c r="AB69" s="522"/>
      <c r="AC69" s="522"/>
    </row>
    <row r="70" spans="1:29" ht="12.75" customHeight="1" x14ac:dyDescent="0.25">
      <c r="X70" s="522"/>
      <c r="Y70" s="522"/>
      <c r="Z70" s="522"/>
      <c r="AA70" s="522"/>
      <c r="AB70" s="522"/>
      <c r="AC70" s="522"/>
    </row>
    <row r="71" spans="1:29" ht="12.75" customHeight="1" x14ac:dyDescent="0.25">
      <c r="X71" s="522"/>
      <c r="Y71" s="522"/>
      <c r="Z71" s="522"/>
      <c r="AA71" s="522"/>
      <c r="AB71" s="522"/>
      <c r="AC71" s="522"/>
    </row>
    <row r="72" spans="1:29" ht="12.75" customHeight="1" x14ac:dyDescent="0.25">
      <c r="X72" s="522"/>
      <c r="Y72" s="522"/>
      <c r="Z72" s="522"/>
      <c r="AA72" s="522"/>
      <c r="AB72" s="522"/>
      <c r="AC72" s="522"/>
    </row>
    <row r="73" spans="1:29" ht="12.75" customHeight="1" x14ac:dyDescent="0.25">
      <c r="X73" s="522"/>
      <c r="Y73" s="522"/>
      <c r="Z73" s="522"/>
      <c r="AA73" s="522"/>
      <c r="AB73" s="522"/>
      <c r="AC73" s="522"/>
    </row>
    <row r="74" spans="1:29" ht="12.75" customHeight="1" x14ac:dyDescent="0.25"/>
    <row r="75" spans="1:29" ht="12.75" customHeight="1" x14ac:dyDescent="0.25"/>
    <row r="76" spans="1:29" ht="12.75" customHeight="1" x14ac:dyDescent="0.25"/>
    <row r="77" spans="1:29" ht="12.75" customHeight="1" x14ac:dyDescent="0.25"/>
    <row r="78" spans="1:29" ht="12.75" customHeight="1" x14ac:dyDescent="0.25"/>
    <row r="79" spans="1:29" ht="12.75" customHeight="1" x14ac:dyDescent="0.25"/>
    <row r="80" spans="1:29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7">
    <mergeCell ref="C33:F33"/>
    <mergeCell ref="A33:A40"/>
    <mergeCell ref="A42:A62"/>
    <mergeCell ref="C24:F24"/>
    <mergeCell ref="C25:F25"/>
    <mergeCell ref="B25:B26"/>
    <mergeCell ref="B27:B28"/>
    <mergeCell ref="B29:B30"/>
    <mergeCell ref="B31:B32"/>
    <mergeCell ref="B33:B34"/>
    <mergeCell ref="B35:B36"/>
    <mergeCell ref="B37:B38"/>
    <mergeCell ref="B39:B40"/>
    <mergeCell ref="B23:B24"/>
    <mergeCell ref="C26:F26"/>
    <mergeCell ref="C27:F27"/>
    <mergeCell ref="C28:F28"/>
    <mergeCell ref="C22:F22"/>
    <mergeCell ref="C23:F23"/>
    <mergeCell ref="A19:A24"/>
    <mergeCell ref="A25:A30"/>
    <mergeCell ref="A31:A32"/>
    <mergeCell ref="B19:B20"/>
    <mergeCell ref="C19:F19"/>
    <mergeCell ref="C20:F20"/>
    <mergeCell ref="B21:B22"/>
    <mergeCell ref="C21:F21"/>
    <mergeCell ref="C29:F29"/>
    <mergeCell ref="C30:F30"/>
    <mergeCell ref="C31:F31"/>
    <mergeCell ref="C32:F32"/>
    <mergeCell ref="C1:W1"/>
    <mergeCell ref="X1:AC1"/>
    <mergeCell ref="C2:F2"/>
    <mergeCell ref="A3:A4"/>
    <mergeCell ref="C3:F18"/>
    <mergeCell ref="A5:A10"/>
    <mergeCell ref="A11:A18"/>
    <mergeCell ref="C41:F41"/>
    <mergeCell ref="C42:F62"/>
    <mergeCell ref="C34:F34"/>
    <mergeCell ref="C35:F35"/>
    <mergeCell ref="C36:F36"/>
    <mergeCell ref="C37:F37"/>
    <mergeCell ref="C38:F38"/>
    <mergeCell ref="C39:F39"/>
    <mergeCell ref="C40:F40"/>
  </mergeCells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20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1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2" width="10.109375" customWidth="1"/>
    <col min="23" max="23" width="9" customWidth="1"/>
    <col min="24" max="24" width="8.77734375" customWidth="1"/>
    <col min="25" max="25" width="9.6640625" customWidth="1"/>
    <col min="26" max="28" width="11.44140625" customWidth="1"/>
    <col min="29" max="34" width="8.6640625" customWidth="1"/>
  </cols>
  <sheetData>
    <row r="1" spans="1:34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08" t="s">
        <v>458</v>
      </c>
      <c r="W1" s="1309"/>
      <c r="X1" s="1309"/>
      <c r="Y1" s="1310"/>
      <c r="Z1" s="1311" t="s">
        <v>459</v>
      </c>
      <c r="AA1" s="1201"/>
      <c r="AB1" s="523"/>
      <c r="AC1" s="1299"/>
      <c r="AD1" s="1201"/>
      <c r="AE1" s="1201"/>
      <c r="AF1" s="1201"/>
      <c r="AG1" s="1201"/>
      <c r="AH1" s="1201"/>
    </row>
    <row r="2" spans="1:34" ht="25.5" customHeight="1" x14ac:dyDescent="0.3">
      <c r="A2" s="397"/>
      <c r="B2" s="398"/>
      <c r="C2" s="1312"/>
      <c r="D2" s="1201"/>
      <c r="E2" s="1201"/>
      <c r="F2" s="1201"/>
      <c r="G2" s="524" t="s">
        <v>99</v>
      </c>
      <c r="H2" s="525" t="s">
        <v>100</v>
      </c>
      <c r="I2" s="525" t="s">
        <v>198</v>
      </c>
      <c r="J2" s="525" t="s">
        <v>21</v>
      </c>
      <c r="K2" s="525" t="s">
        <v>102</v>
      </c>
      <c r="L2" s="526" t="s">
        <v>395</v>
      </c>
      <c r="M2" s="525" t="s">
        <v>396</v>
      </c>
      <c r="N2" s="525" t="s">
        <v>105</v>
      </c>
      <c r="O2" s="525" t="s">
        <v>106</v>
      </c>
      <c r="P2" s="525" t="s">
        <v>107</v>
      </c>
      <c r="Q2" s="527" t="s">
        <v>215</v>
      </c>
      <c r="R2" s="528" t="s">
        <v>34</v>
      </c>
      <c r="S2" s="529" t="s">
        <v>397</v>
      </c>
      <c r="T2" s="528" t="s">
        <v>110</v>
      </c>
      <c r="U2" s="530" t="s">
        <v>111</v>
      </c>
      <c r="V2" s="531" t="s">
        <v>115</v>
      </c>
      <c r="W2" s="531" t="s">
        <v>116</v>
      </c>
      <c r="X2" s="531" t="s">
        <v>80</v>
      </c>
      <c r="Y2" s="532" t="s">
        <v>117</v>
      </c>
      <c r="Z2" s="533" t="s">
        <v>460</v>
      </c>
      <c r="AA2" s="533" t="s">
        <v>70</v>
      </c>
      <c r="AB2" s="534" t="s">
        <v>398</v>
      </c>
      <c r="AC2" s="409"/>
      <c r="AD2" s="409"/>
      <c r="AE2" s="410"/>
      <c r="AF2" s="410"/>
      <c r="AG2" s="411"/>
      <c r="AH2" s="411"/>
    </row>
    <row r="3" spans="1:34" ht="22.5" customHeight="1" x14ac:dyDescent="0.25">
      <c r="A3" s="1248" t="s">
        <v>401</v>
      </c>
      <c r="B3" s="412" t="s">
        <v>402</v>
      </c>
      <c r="C3" s="1314"/>
      <c r="D3" s="1315"/>
      <c r="E3" s="1315"/>
      <c r="F3" s="1316"/>
      <c r="G3" s="413">
        <v>120</v>
      </c>
      <c r="H3" s="413">
        <v>120</v>
      </c>
      <c r="I3" s="413">
        <v>120</v>
      </c>
      <c r="J3" s="413">
        <v>120</v>
      </c>
      <c r="K3" s="413">
        <v>120</v>
      </c>
      <c r="L3" s="413">
        <v>120</v>
      </c>
      <c r="M3" s="413">
        <v>120</v>
      </c>
      <c r="N3" s="413">
        <v>120</v>
      </c>
      <c r="O3" s="413">
        <v>120</v>
      </c>
      <c r="P3" s="413">
        <v>120</v>
      </c>
      <c r="Q3" s="413">
        <v>120</v>
      </c>
      <c r="R3" s="413">
        <v>120</v>
      </c>
      <c r="S3" s="413">
        <v>120</v>
      </c>
      <c r="T3" s="413">
        <v>120</v>
      </c>
      <c r="U3" s="535">
        <v>0</v>
      </c>
      <c r="V3" s="414">
        <v>120</v>
      </c>
      <c r="W3" s="414">
        <v>120</v>
      </c>
      <c r="X3" s="414">
        <v>120</v>
      </c>
      <c r="Y3" s="414">
        <v>120</v>
      </c>
      <c r="Z3" s="414">
        <v>120</v>
      </c>
      <c r="AA3" s="414">
        <v>120</v>
      </c>
      <c r="AB3" s="536">
        <f t="shared" ref="AB3:AB44" si="0">SUM(AA3+Z3+Y3+X3+W3+V3+U3+T3+S3+R3+Q3+P3+O3+N3+M3+L3+K3+J3+I3+H3+G3)</f>
        <v>2400</v>
      </c>
      <c r="AC3" s="410"/>
      <c r="AD3" s="410"/>
      <c r="AE3" s="410"/>
      <c r="AF3" s="410"/>
      <c r="AG3" s="411"/>
      <c r="AH3" s="411"/>
    </row>
    <row r="4" spans="1:34" ht="27" customHeight="1" x14ac:dyDescent="0.3">
      <c r="A4" s="1249"/>
      <c r="B4" s="417" t="s">
        <v>403</v>
      </c>
      <c r="C4" s="1295"/>
      <c r="D4" s="1201"/>
      <c r="E4" s="1201"/>
      <c r="F4" s="1240"/>
      <c r="G4" s="537">
        <v>80</v>
      </c>
      <c r="H4" s="418">
        <v>120</v>
      </c>
      <c r="I4" s="418">
        <v>81</v>
      </c>
      <c r="J4" s="418">
        <v>80</v>
      </c>
      <c r="K4" s="418">
        <v>80</v>
      </c>
      <c r="L4" s="418">
        <v>15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538">
        <v>120</v>
      </c>
      <c r="W4" s="538">
        <v>120</v>
      </c>
      <c r="X4" s="538">
        <v>120</v>
      </c>
      <c r="Y4" s="539">
        <v>120</v>
      </c>
      <c r="Z4" s="418">
        <v>120</v>
      </c>
      <c r="AA4" s="418">
        <v>120</v>
      </c>
      <c r="AB4" s="536">
        <f t="shared" si="0"/>
        <v>2106</v>
      </c>
      <c r="AC4" s="422"/>
      <c r="AD4" s="422"/>
      <c r="AE4" s="422"/>
      <c r="AF4" s="422"/>
      <c r="AG4" s="422"/>
      <c r="AH4" s="411"/>
    </row>
    <row r="5" spans="1:34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540">
        <v>50</v>
      </c>
      <c r="H5" s="541">
        <v>50</v>
      </c>
      <c r="I5" s="541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538">
        <v>50</v>
      </c>
      <c r="W5" s="538">
        <v>50</v>
      </c>
      <c r="X5" s="538">
        <v>50</v>
      </c>
      <c r="Y5" s="539">
        <v>50</v>
      </c>
      <c r="Z5" s="541">
        <v>50</v>
      </c>
      <c r="AA5" s="541">
        <v>50</v>
      </c>
      <c r="AB5" s="536">
        <f t="shared" si="0"/>
        <v>1050</v>
      </c>
      <c r="AC5" s="422"/>
      <c r="AD5" s="410"/>
      <c r="AE5" s="410"/>
      <c r="AF5" s="410"/>
      <c r="AG5" s="411"/>
      <c r="AH5" s="411"/>
    </row>
    <row r="6" spans="1:34" ht="23.25" customHeight="1" x14ac:dyDescent="0.3">
      <c r="A6" s="1254"/>
      <c r="B6" s="428" t="s">
        <v>406</v>
      </c>
      <c r="C6" s="1295"/>
      <c r="D6" s="1201"/>
      <c r="E6" s="1201"/>
      <c r="F6" s="1240"/>
      <c r="G6" s="540">
        <v>0</v>
      </c>
      <c r="H6" s="544">
        <v>6</v>
      </c>
      <c r="I6" s="429">
        <v>3</v>
      </c>
      <c r="J6" s="544">
        <v>2</v>
      </c>
      <c r="K6" s="544">
        <v>0</v>
      </c>
      <c r="L6" s="544">
        <v>3</v>
      </c>
      <c r="M6" s="545">
        <v>30</v>
      </c>
      <c r="N6" s="546">
        <v>0</v>
      </c>
      <c r="O6" s="547">
        <v>0</v>
      </c>
      <c r="P6" s="430"/>
      <c r="Q6" s="430">
        <v>0</v>
      </c>
      <c r="R6" s="546">
        <v>12</v>
      </c>
      <c r="S6" s="548">
        <v>0</v>
      </c>
      <c r="T6" s="433"/>
      <c r="U6" s="434">
        <v>0</v>
      </c>
      <c r="V6" s="538">
        <v>3</v>
      </c>
      <c r="W6" s="549"/>
      <c r="X6" s="549"/>
      <c r="Y6" s="532"/>
      <c r="Z6" s="550"/>
      <c r="AA6" s="550">
        <v>8</v>
      </c>
      <c r="AB6" s="536">
        <f t="shared" si="0"/>
        <v>67</v>
      </c>
      <c r="AC6" s="422"/>
      <c r="AD6" s="410"/>
      <c r="AE6" s="410"/>
      <c r="AF6" s="410"/>
      <c r="AG6" s="411"/>
      <c r="AH6" s="411"/>
    </row>
    <row r="7" spans="1:34" ht="21.75" customHeight="1" x14ac:dyDescent="0.3">
      <c r="A7" s="1254"/>
      <c r="B7" s="428" t="s">
        <v>407</v>
      </c>
      <c r="C7" s="1295"/>
      <c r="D7" s="1201"/>
      <c r="E7" s="1201"/>
      <c r="F7" s="1240"/>
      <c r="G7" s="551">
        <v>10</v>
      </c>
      <c r="H7" s="552">
        <v>0</v>
      </c>
      <c r="I7" s="552">
        <v>2</v>
      </c>
      <c r="J7" s="552">
        <v>2</v>
      </c>
      <c r="K7" s="552">
        <v>12</v>
      </c>
      <c r="L7" s="552">
        <v>1</v>
      </c>
      <c r="M7" s="552">
        <v>0</v>
      </c>
      <c r="N7" s="546">
        <v>3</v>
      </c>
      <c r="O7" s="438">
        <v>0</v>
      </c>
      <c r="P7" s="553">
        <v>0</v>
      </c>
      <c r="Q7" s="430">
        <v>8</v>
      </c>
      <c r="R7" s="546">
        <v>0</v>
      </c>
      <c r="S7" s="554">
        <v>0</v>
      </c>
      <c r="T7" s="555">
        <v>1</v>
      </c>
      <c r="U7" s="441">
        <v>0</v>
      </c>
      <c r="V7" s="556">
        <v>2</v>
      </c>
      <c r="W7" s="556">
        <v>7</v>
      </c>
      <c r="X7" s="557"/>
      <c r="Y7" s="558"/>
      <c r="Z7" s="559">
        <v>3</v>
      </c>
      <c r="AA7" s="560">
        <v>9</v>
      </c>
      <c r="AB7" s="536">
        <f t="shared" si="0"/>
        <v>60</v>
      </c>
      <c r="AC7" s="422"/>
      <c r="AD7" s="410"/>
      <c r="AE7" s="410"/>
      <c r="AF7" s="410"/>
      <c r="AG7" s="411"/>
      <c r="AH7" s="411"/>
    </row>
    <row r="8" spans="1:34" ht="26.25" customHeight="1" x14ac:dyDescent="0.3">
      <c r="A8" s="1254"/>
      <c r="B8" s="428" t="s">
        <v>408</v>
      </c>
      <c r="C8" s="1295"/>
      <c r="D8" s="1201"/>
      <c r="E8" s="1201"/>
      <c r="F8" s="1240"/>
      <c r="G8" s="540">
        <v>2</v>
      </c>
      <c r="H8" s="541">
        <v>18</v>
      </c>
      <c r="I8" s="541">
        <v>10</v>
      </c>
      <c r="J8" s="541">
        <v>11</v>
      </c>
      <c r="K8" s="541">
        <v>15</v>
      </c>
      <c r="L8" s="541">
        <v>9</v>
      </c>
      <c r="M8" s="425">
        <v>26</v>
      </c>
      <c r="N8" s="546">
        <v>21</v>
      </c>
      <c r="O8" s="561">
        <v>19</v>
      </c>
      <c r="P8" s="542">
        <v>20</v>
      </c>
      <c r="Q8" s="430">
        <v>11</v>
      </c>
      <c r="R8" s="546">
        <v>14</v>
      </c>
      <c r="S8" s="427">
        <v>20</v>
      </c>
      <c r="T8" s="562">
        <v>7</v>
      </c>
      <c r="U8" s="419">
        <v>0</v>
      </c>
      <c r="V8" s="538">
        <v>14</v>
      </c>
      <c r="W8" s="538">
        <v>13</v>
      </c>
      <c r="X8" s="538">
        <v>8</v>
      </c>
      <c r="Y8" s="563">
        <v>6</v>
      </c>
      <c r="Z8" s="564">
        <v>12</v>
      </c>
      <c r="AA8" s="564">
        <v>12</v>
      </c>
      <c r="AB8" s="536">
        <f t="shared" si="0"/>
        <v>268</v>
      </c>
      <c r="AC8" s="422"/>
      <c r="AD8" s="410"/>
      <c r="AE8" s="410"/>
      <c r="AF8" s="410"/>
      <c r="AG8" s="411"/>
      <c r="AH8" s="411"/>
    </row>
    <row r="9" spans="1:34" ht="21.75" customHeight="1" x14ac:dyDescent="0.3">
      <c r="A9" s="1254"/>
      <c r="B9" s="428" t="s">
        <v>409</v>
      </c>
      <c r="C9" s="1295"/>
      <c r="D9" s="1201"/>
      <c r="E9" s="1201"/>
      <c r="F9" s="1240"/>
      <c r="G9" s="540">
        <v>8</v>
      </c>
      <c r="H9" s="541">
        <v>12</v>
      </c>
      <c r="I9" s="541">
        <v>12</v>
      </c>
      <c r="J9" s="541">
        <v>3</v>
      </c>
      <c r="K9" s="541">
        <v>5</v>
      </c>
      <c r="L9" s="541">
        <v>9</v>
      </c>
      <c r="M9" s="425">
        <v>4</v>
      </c>
      <c r="N9" s="546">
        <v>9</v>
      </c>
      <c r="O9" s="561">
        <v>7</v>
      </c>
      <c r="P9" s="542">
        <v>10</v>
      </c>
      <c r="Q9" s="430">
        <v>6</v>
      </c>
      <c r="R9" s="546">
        <v>12</v>
      </c>
      <c r="S9" s="427">
        <v>7</v>
      </c>
      <c r="T9" s="562">
        <v>8</v>
      </c>
      <c r="U9" s="419">
        <v>0</v>
      </c>
      <c r="V9" s="538">
        <v>9</v>
      </c>
      <c r="W9" s="538">
        <v>5</v>
      </c>
      <c r="X9" s="538">
        <v>8</v>
      </c>
      <c r="Y9" s="563">
        <v>5</v>
      </c>
      <c r="Z9" s="564">
        <v>12</v>
      </c>
      <c r="AA9" s="564">
        <v>16</v>
      </c>
      <c r="AB9" s="536">
        <f t="shared" si="0"/>
        <v>167</v>
      </c>
      <c r="AC9" s="422"/>
      <c r="AD9" s="410"/>
      <c r="AE9" s="410"/>
      <c r="AF9" s="410"/>
      <c r="AG9" s="411"/>
      <c r="AH9" s="411"/>
    </row>
    <row r="10" spans="1:34" ht="35.25" customHeight="1" x14ac:dyDescent="0.3">
      <c r="A10" s="1255"/>
      <c r="B10" s="442" t="s">
        <v>410</v>
      </c>
      <c r="C10" s="1295"/>
      <c r="D10" s="1201"/>
      <c r="E10" s="1201"/>
      <c r="F10" s="1240"/>
      <c r="G10" s="443">
        <f t="shared" ref="G10:AA10" si="1">SUM(G8+G9)</f>
        <v>10</v>
      </c>
      <c r="H10" s="443">
        <f t="shared" si="1"/>
        <v>30</v>
      </c>
      <c r="I10" s="443">
        <f t="shared" si="1"/>
        <v>22</v>
      </c>
      <c r="J10" s="443">
        <f t="shared" si="1"/>
        <v>14</v>
      </c>
      <c r="K10" s="443">
        <f t="shared" si="1"/>
        <v>20</v>
      </c>
      <c r="L10" s="443">
        <f t="shared" si="1"/>
        <v>18</v>
      </c>
      <c r="M10" s="443">
        <f t="shared" si="1"/>
        <v>30</v>
      </c>
      <c r="N10" s="443">
        <f t="shared" si="1"/>
        <v>30</v>
      </c>
      <c r="O10" s="443">
        <f t="shared" si="1"/>
        <v>26</v>
      </c>
      <c r="P10" s="443">
        <f t="shared" si="1"/>
        <v>30</v>
      </c>
      <c r="Q10" s="443">
        <f t="shared" si="1"/>
        <v>17</v>
      </c>
      <c r="R10" s="443">
        <f t="shared" si="1"/>
        <v>26</v>
      </c>
      <c r="S10" s="443">
        <f t="shared" si="1"/>
        <v>27</v>
      </c>
      <c r="T10" s="443">
        <f t="shared" si="1"/>
        <v>15</v>
      </c>
      <c r="U10" s="565">
        <f t="shared" si="1"/>
        <v>0</v>
      </c>
      <c r="V10" s="566">
        <f t="shared" si="1"/>
        <v>23</v>
      </c>
      <c r="W10" s="566">
        <f t="shared" si="1"/>
        <v>18</v>
      </c>
      <c r="X10" s="566">
        <f t="shared" si="1"/>
        <v>16</v>
      </c>
      <c r="Y10" s="567">
        <f t="shared" si="1"/>
        <v>11</v>
      </c>
      <c r="Z10" s="568">
        <f t="shared" si="1"/>
        <v>24</v>
      </c>
      <c r="AA10" s="567">
        <f t="shared" si="1"/>
        <v>28</v>
      </c>
      <c r="AB10" s="567">
        <f t="shared" si="0"/>
        <v>435</v>
      </c>
      <c r="AC10" s="422"/>
      <c r="AD10" s="410"/>
      <c r="AE10" s="410"/>
      <c r="AF10" s="410"/>
      <c r="AG10" s="411"/>
      <c r="AH10" s="411"/>
    </row>
    <row r="11" spans="1:34" ht="19.5" customHeight="1" x14ac:dyDescent="0.3">
      <c r="A11" s="1326" t="s">
        <v>461</v>
      </c>
      <c r="B11" s="569" t="s">
        <v>462</v>
      </c>
      <c r="C11" s="1295"/>
      <c r="D11" s="1201"/>
      <c r="E11" s="1201"/>
      <c r="F11" s="1240"/>
      <c r="G11" s="424"/>
      <c r="H11" s="454"/>
      <c r="I11" s="17"/>
      <c r="J11" s="570"/>
      <c r="K11" s="425"/>
      <c r="L11" s="454"/>
      <c r="M11" s="454"/>
      <c r="N11" s="425">
        <v>271</v>
      </c>
      <c r="O11" s="454"/>
      <c r="P11" s="418"/>
      <c r="Q11" s="425">
        <v>337</v>
      </c>
      <c r="R11" s="418"/>
      <c r="S11" s="418"/>
      <c r="T11" s="418"/>
      <c r="U11" s="455"/>
      <c r="V11" s="571"/>
      <c r="W11" s="549"/>
      <c r="X11" s="549"/>
      <c r="Y11" s="532"/>
      <c r="Z11" s="572"/>
      <c r="AA11" s="573"/>
      <c r="AB11" s="567">
        <f t="shared" si="0"/>
        <v>608</v>
      </c>
      <c r="AC11" s="422"/>
      <c r="AD11" s="410"/>
      <c r="AE11" s="410"/>
      <c r="AF11" s="410"/>
      <c r="AG11" s="411"/>
      <c r="AH11" s="411"/>
    </row>
    <row r="12" spans="1:34" ht="17.25" customHeight="1" x14ac:dyDescent="0.3">
      <c r="A12" s="1317"/>
      <c r="B12" s="574" t="s">
        <v>463</v>
      </c>
      <c r="C12" s="1295"/>
      <c r="D12" s="1201"/>
      <c r="E12" s="1201"/>
      <c r="F12" s="1240"/>
      <c r="G12" s="424"/>
      <c r="H12" s="425"/>
      <c r="I12" s="17"/>
      <c r="J12" s="425"/>
      <c r="K12" s="425"/>
      <c r="L12" s="425"/>
      <c r="M12" s="425"/>
      <c r="N12" s="425">
        <v>7</v>
      </c>
      <c r="O12" s="425"/>
      <c r="P12" s="418"/>
      <c r="Q12" s="425">
        <v>93</v>
      </c>
      <c r="R12" s="418"/>
      <c r="S12" s="418"/>
      <c r="T12" s="418"/>
      <c r="U12" s="455"/>
      <c r="V12" s="571"/>
      <c r="W12" s="549"/>
      <c r="X12" s="549"/>
      <c r="Y12" s="532"/>
      <c r="Z12" s="572"/>
      <c r="AA12" s="573"/>
      <c r="AB12" s="567">
        <f t="shared" si="0"/>
        <v>100</v>
      </c>
      <c r="AC12" s="422"/>
      <c r="AD12" s="410"/>
      <c r="AE12" s="410"/>
      <c r="AF12" s="410"/>
      <c r="AG12" s="411"/>
      <c r="AH12" s="411"/>
    </row>
    <row r="13" spans="1:34" ht="21.75" customHeight="1" x14ac:dyDescent="0.3">
      <c r="A13" s="1313" t="s">
        <v>411</v>
      </c>
      <c r="B13" s="575" t="s">
        <v>405</v>
      </c>
      <c r="C13" s="1295"/>
      <c r="D13" s="1201"/>
      <c r="E13" s="1201"/>
      <c r="F13" s="1240"/>
      <c r="G13" s="424"/>
      <c r="H13" s="425"/>
      <c r="I13" s="17"/>
      <c r="J13" s="425"/>
      <c r="K13" s="425"/>
      <c r="L13" s="425"/>
      <c r="M13" s="425"/>
      <c r="N13" s="425">
        <v>0</v>
      </c>
      <c r="O13" s="425"/>
      <c r="P13" s="418"/>
      <c r="Q13" s="541">
        <v>0</v>
      </c>
      <c r="R13" s="418"/>
      <c r="S13" s="418"/>
      <c r="T13" s="418"/>
      <c r="U13" s="455"/>
      <c r="V13" s="571"/>
      <c r="W13" s="549"/>
      <c r="X13" s="549"/>
      <c r="Y13" s="532"/>
      <c r="Z13" s="576"/>
      <c r="AA13" s="577"/>
      <c r="AB13" s="567">
        <f t="shared" si="0"/>
        <v>0</v>
      </c>
      <c r="AC13" s="422"/>
      <c r="AD13" s="410"/>
      <c r="AE13" s="410"/>
      <c r="AF13" s="410"/>
      <c r="AG13" s="411"/>
      <c r="AH13" s="411"/>
    </row>
    <row r="14" spans="1:34" ht="21.75" customHeight="1" x14ac:dyDescent="0.3">
      <c r="A14" s="1170"/>
      <c r="B14" s="578" t="s">
        <v>412</v>
      </c>
      <c r="C14" s="1295"/>
      <c r="D14" s="1201"/>
      <c r="E14" s="1201"/>
      <c r="F14" s="1240"/>
      <c r="G14" s="424">
        <v>60</v>
      </c>
      <c r="H14" s="425"/>
      <c r="I14" s="542">
        <v>0</v>
      </c>
      <c r="J14" s="425">
        <v>0</v>
      </c>
      <c r="K14" s="425">
        <v>0</v>
      </c>
      <c r="L14" s="425">
        <v>0</v>
      </c>
      <c r="M14" s="425">
        <v>0</v>
      </c>
      <c r="N14" s="425">
        <v>0</v>
      </c>
      <c r="O14" s="425">
        <v>0</v>
      </c>
      <c r="P14" s="542">
        <v>0</v>
      </c>
      <c r="Q14" s="425">
        <v>11</v>
      </c>
      <c r="R14" s="418">
        <v>0</v>
      </c>
      <c r="S14" s="542"/>
      <c r="T14" s="542">
        <v>28</v>
      </c>
      <c r="U14" s="419">
        <v>0</v>
      </c>
      <c r="V14" s="571"/>
      <c r="W14" s="538">
        <v>0</v>
      </c>
      <c r="X14" s="549"/>
      <c r="Y14" s="532"/>
      <c r="Z14" s="576"/>
      <c r="AA14" s="577">
        <v>1</v>
      </c>
      <c r="AB14" s="567">
        <f t="shared" si="0"/>
        <v>100</v>
      </c>
      <c r="AC14" s="422"/>
      <c r="AD14" s="410"/>
      <c r="AE14" s="410"/>
      <c r="AF14" s="410"/>
      <c r="AG14" s="411"/>
      <c r="AH14" s="411"/>
    </row>
    <row r="15" spans="1:34" ht="25.5" customHeight="1" x14ac:dyDescent="0.3">
      <c r="A15" s="1170"/>
      <c r="B15" s="579" t="s">
        <v>407</v>
      </c>
      <c r="C15" s="1295"/>
      <c r="D15" s="1201"/>
      <c r="E15" s="1201"/>
      <c r="F15" s="1240"/>
      <c r="G15" s="425">
        <v>0</v>
      </c>
      <c r="H15" s="580"/>
      <c r="I15" s="581">
        <v>1</v>
      </c>
      <c r="J15" s="580">
        <v>0</v>
      </c>
      <c r="K15" s="582">
        <v>0</v>
      </c>
      <c r="L15" s="580">
        <v>0</v>
      </c>
      <c r="M15" s="580">
        <v>0</v>
      </c>
      <c r="N15" s="580">
        <v>0</v>
      </c>
      <c r="O15" s="580">
        <v>0</v>
      </c>
      <c r="P15" s="581">
        <v>0</v>
      </c>
      <c r="Q15" s="580">
        <v>0</v>
      </c>
      <c r="R15" s="582">
        <v>0</v>
      </c>
      <c r="S15" s="581"/>
      <c r="T15" s="581">
        <v>0</v>
      </c>
      <c r="U15" s="583">
        <v>0</v>
      </c>
      <c r="V15" s="584"/>
      <c r="W15" s="556">
        <v>5</v>
      </c>
      <c r="X15" s="556">
        <v>0</v>
      </c>
      <c r="Y15" s="585">
        <v>0</v>
      </c>
      <c r="Z15" s="586">
        <v>9</v>
      </c>
      <c r="AA15" s="587">
        <v>6</v>
      </c>
      <c r="AB15" s="567">
        <f t="shared" si="0"/>
        <v>21</v>
      </c>
      <c r="AC15" s="422"/>
      <c r="AD15" s="410"/>
      <c r="AE15" s="410"/>
      <c r="AF15" s="410"/>
      <c r="AG15" s="411"/>
      <c r="AH15" s="411"/>
    </row>
    <row r="16" spans="1:34" ht="24" customHeight="1" x14ac:dyDescent="0.3">
      <c r="A16" s="1170"/>
      <c r="B16" s="579" t="s">
        <v>408</v>
      </c>
      <c r="C16" s="1295"/>
      <c r="D16" s="1201"/>
      <c r="E16" s="1201"/>
      <c r="F16" s="1240"/>
      <c r="G16" s="425">
        <v>7</v>
      </c>
      <c r="H16" s="425">
        <v>11</v>
      </c>
      <c r="I16" s="418">
        <v>20</v>
      </c>
      <c r="J16" s="425">
        <v>0</v>
      </c>
      <c r="K16" s="418">
        <v>2</v>
      </c>
      <c r="L16" s="425">
        <v>12</v>
      </c>
      <c r="M16" s="418">
        <v>4</v>
      </c>
      <c r="N16" s="425">
        <v>14</v>
      </c>
      <c r="O16" s="541">
        <v>4</v>
      </c>
      <c r="P16" s="418">
        <v>8</v>
      </c>
      <c r="Q16" s="425">
        <v>16</v>
      </c>
      <c r="R16" s="418">
        <v>0</v>
      </c>
      <c r="S16" s="418"/>
      <c r="T16" s="418">
        <v>19</v>
      </c>
      <c r="U16" s="419">
        <v>0</v>
      </c>
      <c r="V16" s="571">
        <v>42</v>
      </c>
      <c r="W16" s="538">
        <v>9</v>
      </c>
      <c r="X16" s="538">
        <v>0</v>
      </c>
      <c r="Y16" s="539">
        <v>0</v>
      </c>
      <c r="Z16" s="588">
        <v>15</v>
      </c>
      <c r="AA16" s="577">
        <v>4</v>
      </c>
      <c r="AB16" s="567">
        <f t="shared" si="0"/>
        <v>187</v>
      </c>
      <c r="AC16" s="422"/>
      <c r="AD16" s="410"/>
      <c r="AE16" s="410"/>
      <c r="AF16" s="410"/>
      <c r="AG16" s="411"/>
      <c r="AH16" s="411"/>
    </row>
    <row r="17" spans="1:34" ht="25.5" customHeight="1" x14ac:dyDescent="0.3">
      <c r="A17" s="1170"/>
      <c r="B17" s="579" t="s">
        <v>409</v>
      </c>
      <c r="C17" s="1295"/>
      <c r="D17" s="1201"/>
      <c r="E17" s="1201"/>
      <c r="F17" s="1240"/>
      <c r="G17" s="425">
        <v>7</v>
      </c>
      <c r="H17" s="425">
        <v>23</v>
      </c>
      <c r="I17" s="542">
        <v>13</v>
      </c>
      <c r="J17" s="425">
        <v>0</v>
      </c>
      <c r="K17" s="542">
        <v>4</v>
      </c>
      <c r="L17" s="425">
        <v>7</v>
      </c>
      <c r="M17" s="418">
        <v>6</v>
      </c>
      <c r="N17" s="425">
        <v>10</v>
      </c>
      <c r="O17" s="541">
        <v>2</v>
      </c>
      <c r="P17" s="418">
        <v>7</v>
      </c>
      <c r="Q17" s="425">
        <v>13</v>
      </c>
      <c r="R17" s="418">
        <v>0</v>
      </c>
      <c r="S17" s="418"/>
      <c r="T17" s="418">
        <v>17</v>
      </c>
      <c r="U17" s="419">
        <v>0</v>
      </c>
      <c r="V17" s="571">
        <v>23</v>
      </c>
      <c r="W17" s="538">
        <v>13</v>
      </c>
      <c r="X17" s="538">
        <v>0</v>
      </c>
      <c r="Y17" s="539">
        <v>0</v>
      </c>
      <c r="Z17" s="588">
        <v>11</v>
      </c>
      <c r="AA17" s="577">
        <v>13</v>
      </c>
      <c r="AB17" s="567">
        <f t="shared" si="0"/>
        <v>169</v>
      </c>
      <c r="AC17" s="422"/>
      <c r="AD17" s="410"/>
      <c r="AE17" s="410"/>
      <c r="AF17" s="410"/>
      <c r="AG17" s="411"/>
      <c r="AH17" s="411"/>
    </row>
    <row r="18" spans="1:34" ht="23.25" customHeight="1" x14ac:dyDescent="0.3">
      <c r="A18" s="1170"/>
      <c r="B18" s="579" t="s">
        <v>413</v>
      </c>
      <c r="C18" s="1295"/>
      <c r="D18" s="1201"/>
      <c r="E18" s="1201"/>
      <c r="F18" s="1240"/>
      <c r="G18" s="541">
        <v>5</v>
      </c>
      <c r="H18" s="541">
        <v>26</v>
      </c>
      <c r="I18" s="418">
        <v>15</v>
      </c>
      <c r="J18" s="425">
        <v>0</v>
      </c>
      <c r="K18" s="542">
        <v>13</v>
      </c>
      <c r="L18" s="541">
        <v>20</v>
      </c>
      <c r="M18" s="418">
        <v>38</v>
      </c>
      <c r="N18" s="425">
        <v>37</v>
      </c>
      <c r="O18" s="541">
        <v>3</v>
      </c>
      <c r="P18" s="418">
        <v>35</v>
      </c>
      <c r="Q18" s="425">
        <v>10</v>
      </c>
      <c r="R18" s="418">
        <v>0</v>
      </c>
      <c r="S18" s="542"/>
      <c r="T18" s="418">
        <v>17</v>
      </c>
      <c r="U18" s="419">
        <v>0</v>
      </c>
      <c r="V18" s="571">
        <v>15</v>
      </c>
      <c r="W18" s="538">
        <v>25</v>
      </c>
      <c r="X18" s="538">
        <v>0</v>
      </c>
      <c r="Y18" s="539">
        <v>14</v>
      </c>
      <c r="Z18" s="588">
        <v>17</v>
      </c>
      <c r="AA18" s="577">
        <v>8</v>
      </c>
      <c r="AB18" s="567">
        <f t="shared" si="0"/>
        <v>298</v>
      </c>
      <c r="AC18" s="422"/>
      <c r="AD18" s="410"/>
      <c r="AE18" s="410"/>
      <c r="AF18" s="410"/>
      <c r="AG18" s="411"/>
      <c r="AH18" s="411"/>
    </row>
    <row r="19" spans="1:34" ht="21" customHeight="1" x14ac:dyDescent="0.3">
      <c r="A19" s="1170"/>
      <c r="B19" s="579" t="s">
        <v>414</v>
      </c>
      <c r="C19" s="1295"/>
      <c r="D19" s="1201"/>
      <c r="E19" s="1201"/>
      <c r="F19" s="1240"/>
      <c r="G19" s="425">
        <v>12</v>
      </c>
      <c r="H19" s="425">
        <v>30</v>
      </c>
      <c r="I19" s="418">
        <v>12</v>
      </c>
      <c r="J19" s="425">
        <v>0</v>
      </c>
      <c r="K19" s="418">
        <v>20</v>
      </c>
      <c r="L19" s="425">
        <v>15</v>
      </c>
      <c r="M19" s="418">
        <v>42</v>
      </c>
      <c r="N19" s="425">
        <v>26</v>
      </c>
      <c r="O19" s="541">
        <v>6</v>
      </c>
      <c r="P19" s="418">
        <v>40</v>
      </c>
      <c r="Q19" s="425">
        <v>6</v>
      </c>
      <c r="R19" s="418">
        <v>0</v>
      </c>
      <c r="S19" s="542"/>
      <c r="T19" s="418">
        <v>22</v>
      </c>
      <c r="U19" s="419">
        <v>0</v>
      </c>
      <c r="V19" s="571">
        <v>10</v>
      </c>
      <c r="W19" s="538">
        <v>22</v>
      </c>
      <c r="X19" s="538">
        <v>0</v>
      </c>
      <c r="Y19" s="539">
        <v>13</v>
      </c>
      <c r="Z19" s="588">
        <v>14</v>
      </c>
      <c r="AA19" s="577">
        <v>9</v>
      </c>
      <c r="AB19" s="567">
        <f t="shared" si="0"/>
        <v>299</v>
      </c>
      <c r="AC19" s="422"/>
      <c r="AD19" s="410"/>
      <c r="AE19" s="410"/>
      <c r="AF19" s="410"/>
      <c r="AG19" s="411"/>
      <c r="AH19" s="411"/>
    </row>
    <row r="20" spans="1:34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v>33</v>
      </c>
      <c r="H20" s="458">
        <f>SUM(H16+H17+H18+H19)</f>
        <v>90</v>
      </c>
      <c r="I20" s="591">
        <v>60</v>
      </c>
      <c r="J20" s="458">
        <f t="shared" ref="J20:N20" si="2">SUM(J16+J17+J18+J19)</f>
        <v>0</v>
      </c>
      <c r="K20" s="458">
        <f t="shared" si="2"/>
        <v>39</v>
      </c>
      <c r="L20" s="458">
        <f t="shared" si="2"/>
        <v>54</v>
      </c>
      <c r="M20" s="458">
        <f t="shared" si="2"/>
        <v>90</v>
      </c>
      <c r="N20" s="458">
        <f t="shared" si="2"/>
        <v>87</v>
      </c>
      <c r="O20" s="591">
        <v>15</v>
      </c>
      <c r="P20" s="458">
        <f t="shared" ref="P20:AA20" si="3">SUM(P16+P17+P18+P19)</f>
        <v>90</v>
      </c>
      <c r="Q20" s="458">
        <f t="shared" si="3"/>
        <v>45</v>
      </c>
      <c r="R20" s="458">
        <f t="shared" si="3"/>
        <v>0</v>
      </c>
      <c r="S20" s="458">
        <f t="shared" si="3"/>
        <v>0</v>
      </c>
      <c r="T20" s="458">
        <f t="shared" si="3"/>
        <v>75</v>
      </c>
      <c r="U20" s="458">
        <f t="shared" si="3"/>
        <v>0</v>
      </c>
      <c r="V20" s="458">
        <f t="shared" si="3"/>
        <v>90</v>
      </c>
      <c r="W20" s="458">
        <f t="shared" si="3"/>
        <v>69</v>
      </c>
      <c r="X20" s="458">
        <f t="shared" si="3"/>
        <v>0</v>
      </c>
      <c r="Y20" s="458">
        <f t="shared" si="3"/>
        <v>27</v>
      </c>
      <c r="Z20" s="592">
        <f t="shared" si="3"/>
        <v>57</v>
      </c>
      <c r="AA20" s="458">
        <f t="shared" si="3"/>
        <v>34</v>
      </c>
      <c r="AB20" s="567">
        <f t="shared" si="0"/>
        <v>955</v>
      </c>
      <c r="AC20" s="422"/>
      <c r="AD20" s="410"/>
      <c r="AE20" s="410"/>
      <c r="AF20" s="410"/>
      <c r="AG20" s="411"/>
      <c r="AH20" s="410"/>
    </row>
    <row r="21" spans="1:34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467"/>
      <c r="H21" s="425"/>
      <c r="I21" s="425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571"/>
      <c r="W21" s="549"/>
      <c r="X21" s="549"/>
      <c r="Y21" s="532"/>
      <c r="Z21" s="593"/>
      <c r="AA21" s="593"/>
      <c r="AB21" s="567">
        <f t="shared" si="0"/>
        <v>0</v>
      </c>
      <c r="AC21" s="422"/>
      <c r="AD21" s="410"/>
      <c r="AE21" s="410"/>
      <c r="AF21" s="410"/>
      <c r="AG21" s="411"/>
      <c r="AH21" s="411"/>
    </row>
    <row r="22" spans="1:34" ht="18.75" customHeight="1" x14ac:dyDescent="0.3">
      <c r="A22" s="1170"/>
      <c r="B22" s="1329"/>
      <c r="C22" s="1257" t="s">
        <v>419</v>
      </c>
      <c r="D22" s="1247"/>
      <c r="E22" s="1247"/>
      <c r="F22" s="1247"/>
      <c r="G22" s="469"/>
      <c r="H22" s="470"/>
      <c r="I22" s="470"/>
      <c r="J22" s="470"/>
      <c r="K22" s="470">
        <v>0</v>
      </c>
      <c r="L22" s="425"/>
      <c r="M22" s="425"/>
      <c r="N22" s="425">
        <v>2</v>
      </c>
      <c r="O22" s="425"/>
      <c r="P22" s="425"/>
      <c r="Q22" s="425"/>
      <c r="R22" s="425"/>
      <c r="S22" s="425"/>
      <c r="T22" s="425"/>
      <c r="U22" s="425">
        <v>0</v>
      </c>
      <c r="V22" s="538">
        <v>5</v>
      </c>
      <c r="W22" s="549"/>
      <c r="X22" s="549"/>
      <c r="Y22" s="532"/>
      <c r="Z22" s="593"/>
      <c r="AA22" s="593"/>
      <c r="AB22" s="567">
        <f t="shared" si="0"/>
        <v>7</v>
      </c>
      <c r="AC22" s="422"/>
      <c r="AD22" s="410"/>
      <c r="AE22" s="410"/>
      <c r="AF22" s="410"/>
      <c r="AG22" s="411"/>
      <c r="AH22" s="411"/>
    </row>
    <row r="23" spans="1:34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595">
        <v>150</v>
      </c>
      <c r="I23" s="595">
        <v>100</v>
      </c>
      <c r="J23" s="596">
        <v>100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600">
        <v>0</v>
      </c>
      <c r="V23" s="599">
        <v>150</v>
      </c>
      <c r="W23" s="599">
        <v>150</v>
      </c>
      <c r="X23" s="599">
        <v>150</v>
      </c>
      <c r="Y23" s="601">
        <v>150</v>
      </c>
      <c r="Z23" s="602">
        <v>150</v>
      </c>
      <c r="AA23" s="601">
        <v>150</v>
      </c>
      <c r="AB23" s="536">
        <f t="shared" si="0"/>
        <v>3000</v>
      </c>
      <c r="AC23" s="422"/>
      <c r="AD23" s="410"/>
      <c r="AE23" s="410"/>
      <c r="AF23" s="410"/>
      <c r="AG23" s="411"/>
      <c r="AH23" s="411"/>
    </row>
    <row r="24" spans="1:34" ht="18.75" customHeight="1" x14ac:dyDescent="0.3">
      <c r="A24" s="1171"/>
      <c r="B24" s="1319"/>
      <c r="C24" s="1304" t="s">
        <v>419</v>
      </c>
      <c r="D24" s="1260"/>
      <c r="E24" s="1260"/>
      <c r="F24" s="1260"/>
      <c r="G24" s="603">
        <v>68</v>
      </c>
      <c r="H24" s="604">
        <v>93</v>
      </c>
      <c r="I24" s="605">
        <v>90</v>
      </c>
      <c r="J24" s="605">
        <v>52</v>
      </c>
      <c r="K24" s="606">
        <v>58</v>
      </c>
      <c r="L24" s="607">
        <v>100</v>
      </c>
      <c r="M24" s="608">
        <v>134</v>
      </c>
      <c r="N24" s="608">
        <v>135</v>
      </c>
      <c r="O24" s="608">
        <v>68</v>
      </c>
      <c r="P24" s="609">
        <v>85</v>
      </c>
      <c r="Q24" s="610">
        <v>97</v>
      </c>
      <c r="R24" s="610">
        <v>77</v>
      </c>
      <c r="S24" s="610">
        <v>120</v>
      </c>
      <c r="T24" s="610">
        <v>103</v>
      </c>
      <c r="U24" s="611">
        <v>0</v>
      </c>
      <c r="V24" s="612">
        <v>168</v>
      </c>
      <c r="W24" s="612">
        <v>44</v>
      </c>
      <c r="X24" s="612">
        <v>87</v>
      </c>
      <c r="Y24" s="612">
        <v>70</v>
      </c>
      <c r="Z24" s="612">
        <v>99</v>
      </c>
      <c r="AA24" s="612">
        <v>120</v>
      </c>
      <c r="AB24" s="613">
        <f t="shared" si="0"/>
        <v>1868</v>
      </c>
      <c r="AC24" s="422"/>
      <c r="AD24" s="410"/>
      <c r="AE24" s="410"/>
      <c r="AF24" s="410"/>
      <c r="AG24" s="411"/>
      <c r="AH24" s="411"/>
    </row>
    <row r="25" spans="1:34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541"/>
      <c r="H25" s="425"/>
      <c r="I25" s="418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571"/>
      <c r="W25" s="549"/>
      <c r="X25" s="549"/>
      <c r="Y25" s="532"/>
      <c r="Z25" s="593"/>
      <c r="AA25" s="593"/>
      <c r="AB25" s="536">
        <f t="shared" si="0"/>
        <v>0</v>
      </c>
      <c r="AC25" s="422"/>
      <c r="AD25" s="410"/>
      <c r="AE25" s="410"/>
      <c r="AF25" s="410"/>
      <c r="AG25" s="411"/>
      <c r="AH25" s="411"/>
    </row>
    <row r="26" spans="1:34" ht="18.75" customHeight="1" x14ac:dyDescent="0.3">
      <c r="A26" s="1273"/>
      <c r="B26" s="1263"/>
      <c r="C26" s="1291" t="s">
        <v>419</v>
      </c>
      <c r="D26" s="1178"/>
      <c r="E26" s="1178"/>
      <c r="F26" s="1179"/>
      <c r="G26" s="541">
        <v>20</v>
      </c>
      <c r="H26" s="541">
        <v>112</v>
      </c>
      <c r="I26" s="418">
        <v>40</v>
      </c>
      <c r="J26" s="467"/>
      <c r="K26" s="467"/>
      <c r="L26" s="467"/>
      <c r="M26" s="425"/>
      <c r="N26" s="541">
        <v>5</v>
      </c>
      <c r="O26" s="541"/>
      <c r="P26" s="540">
        <v>135</v>
      </c>
      <c r="Q26" s="425">
        <v>25</v>
      </c>
      <c r="R26" s="492"/>
      <c r="S26" s="492"/>
      <c r="T26" s="492"/>
      <c r="U26" s="419">
        <v>0</v>
      </c>
      <c r="V26" s="571"/>
      <c r="W26" s="549"/>
      <c r="X26" s="549"/>
      <c r="Y26" s="532"/>
      <c r="Z26" s="593"/>
      <c r="AA26" s="593"/>
      <c r="AB26" s="536">
        <f t="shared" si="0"/>
        <v>337</v>
      </c>
      <c r="AC26" s="422"/>
      <c r="AD26" s="410"/>
      <c r="AE26" s="410"/>
      <c r="AF26" s="410"/>
      <c r="AG26" s="411"/>
      <c r="AH26" s="411"/>
    </row>
    <row r="27" spans="1:34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541"/>
      <c r="H27" s="425"/>
      <c r="I27" s="418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571"/>
      <c r="W27" s="549"/>
      <c r="X27" s="549"/>
      <c r="Y27" s="532"/>
      <c r="Z27" s="593"/>
      <c r="AA27" s="593"/>
      <c r="AB27" s="536">
        <f t="shared" si="0"/>
        <v>0</v>
      </c>
      <c r="AC27" s="422"/>
      <c r="AD27" s="410"/>
      <c r="AE27" s="410"/>
      <c r="AF27" s="410"/>
      <c r="AG27" s="411"/>
      <c r="AH27" s="411"/>
    </row>
    <row r="28" spans="1:34" ht="18.75" customHeight="1" x14ac:dyDescent="0.3">
      <c r="A28" s="1273"/>
      <c r="B28" s="1167"/>
      <c r="C28" s="1291" t="s">
        <v>419</v>
      </c>
      <c r="D28" s="1178"/>
      <c r="E28" s="1178"/>
      <c r="F28" s="1179"/>
      <c r="G28" s="541"/>
      <c r="H28" s="541">
        <v>57</v>
      </c>
      <c r="I28" s="418"/>
      <c r="J28" s="467"/>
      <c r="K28" s="467"/>
      <c r="L28" s="541">
        <v>90</v>
      </c>
      <c r="M28" s="425"/>
      <c r="N28" s="541">
        <v>3</v>
      </c>
      <c r="O28" s="541">
        <v>10</v>
      </c>
      <c r="P28" s="540">
        <v>15</v>
      </c>
      <c r="Q28" s="425">
        <v>17</v>
      </c>
      <c r="R28" s="492"/>
      <c r="S28" s="492"/>
      <c r="T28" s="492"/>
      <c r="U28" s="419"/>
      <c r="V28" s="571"/>
      <c r="W28" s="549"/>
      <c r="X28" s="549"/>
      <c r="Y28" s="532"/>
      <c r="Z28" s="593"/>
      <c r="AA28" s="593"/>
      <c r="AB28" s="536">
        <f t="shared" si="0"/>
        <v>192</v>
      </c>
      <c r="AC28" s="422"/>
      <c r="AD28" s="410"/>
      <c r="AE28" s="410"/>
      <c r="AF28" s="410"/>
      <c r="AG28" s="411"/>
      <c r="AH28" s="411"/>
    </row>
    <row r="29" spans="1:34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541"/>
      <c r="H29" s="425"/>
      <c r="I29" s="418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571"/>
      <c r="W29" s="549"/>
      <c r="X29" s="549"/>
      <c r="Y29" s="532"/>
      <c r="Z29" s="593"/>
      <c r="AA29" s="593"/>
      <c r="AB29" s="536">
        <f t="shared" si="0"/>
        <v>0</v>
      </c>
      <c r="AC29" s="422"/>
      <c r="AD29" s="410"/>
      <c r="AE29" s="410"/>
      <c r="AF29" s="410"/>
      <c r="AG29" s="411"/>
      <c r="AH29" s="411"/>
    </row>
    <row r="30" spans="1:34" ht="31.5" customHeight="1" x14ac:dyDescent="0.3">
      <c r="A30" s="1273"/>
      <c r="B30" s="1189"/>
      <c r="C30" s="1291" t="s">
        <v>419</v>
      </c>
      <c r="D30" s="1178"/>
      <c r="E30" s="1178"/>
      <c r="F30" s="1179"/>
      <c r="G30" s="541">
        <v>20</v>
      </c>
      <c r="H30" s="541">
        <v>28</v>
      </c>
      <c r="I30" s="418"/>
      <c r="J30" s="467"/>
      <c r="K30" s="467"/>
      <c r="L30" s="467"/>
      <c r="M30" s="541">
        <v>160</v>
      </c>
      <c r="N30" s="541">
        <v>174</v>
      </c>
      <c r="O30" s="541">
        <v>6</v>
      </c>
      <c r="P30" s="540">
        <v>25</v>
      </c>
      <c r="Q30" s="425">
        <v>25</v>
      </c>
      <c r="R30" s="492"/>
      <c r="S30" s="492"/>
      <c r="T30" s="492"/>
      <c r="U30" s="419"/>
      <c r="V30" s="571"/>
      <c r="W30" s="549"/>
      <c r="X30" s="549"/>
      <c r="Y30" s="532"/>
      <c r="Z30" s="593"/>
      <c r="AA30" s="593"/>
      <c r="AB30" s="536">
        <f t="shared" si="0"/>
        <v>438</v>
      </c>
      <c r="AC30" s="422"/>
      <c r="AD30" s="410"/>
      <c r="AE30" s="410"/>
      <c r="AF30" s="410"/>
      <c r="AG30" s="411"/>
      <c r="AH30" s="411"/>
    </row>
    <row r="31" spans="1:34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541"/>
      <c r="H31" s="425"/>
      <c r="I31" s="418"/>
      <c r="J31" s="467"/>
      <c r="K31" s="467"/>
      <c r="L31" s="467"/>
      <c r="M31" s="425"/>
      <c r="N31" s="541">
        <v>0</v>
      </c>
      <c r="O31" s="541"/>
      <c r="P31" s="424"/>
      <c r="Q31" s="425">
        <v>0</v>
      </c>
      <c r="R31" s="492"/>
      <c r="S31" s="492"/>
      <c r="T31" s="492"/>
      <c r="U31" s="419">
        <v>0</v>
      </c>
      <c r="V31" s="571"/>
      <c r="W31" s="549"/>
      <c r="X31" s="549"/>
      <c r="Y31" s="532"/>
      <c r="Z31" s="593"/>
      <c r="AA31" s="593"/>
      <c r="AB31" s="536">
        <f t="shared" si="0"/>
        <v>0</v>
      </c>
      <c r="AC31" s="422"/>
      <c r="AD31" s="410"/>
      <c r="AE31" s="410"/>
      <c r="AF31" s="410"/>
      <c r="AG31" s="411"/>
      <c r="AH31" s="411"/>
    </row>
    <row r="32" spans="1:34" ht="18.75" customHeight="1" x14ac:dyDescent="0.3">
      <c r="A32" s="1273"/>
      <c r="B32" s="1189"/>
      <c r="C32" s="1291" t="s">
        <v>419</v>
      </c>
      <c r="D32" s="1178"/>
      <c r="E32" s="1178"/>
      <c r="F32" s="1179"/>
      <c r="G32" s="541">
        <v>15</v>
      </c>
      <c r="H32" s="425"/>
      <c r="I32" s="542">
        <v>55</v>
      </c>
      <c r="J32" s="467"/>
      <c r="K32" s="467"/>
      <c r="L32" s="467"/>
      <c r="M32" s="425"/>
      <c r="N32" s="541">
        <v>0</v>
      </c>
      <c r="O32" s="541"/>
      <c r="P32" s="424"/>
      <c r="Q32" s="425">
        <v>15</v>
      </c>
      <c r="R32" s="467"/>
      <c r="S32" s="468"/>
      <c r="T32" s="468"/>
      <c r="U32" s="419">
        <v>0</v>
      </c>
      <c r="V32" s="571"/>
      <c r="W32" s="549"/>
      <c r="X32" s="549"/>
      <c r="Y32" s="532"/>
      <c r="Z32" s="593"/>
      <c r="AA32" s="593"/>
      <c r="AB32" s="536">
        <f t="shared" si="0"/>
        <v>85</v>
      </c>
      <c r="AC32" s="422"/>
      <c r="AD32" s="410"/>
      <c r="AE32" s="410"/>
      <c r="AF32" s="410"/>
      <c r="AG32" s="411"/>
      <c r="AH32" s="411"/>
    </row>
    <row r="33" spans="1:34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59">
        <v>120</v>
      </c>
      <c r="H33" s="459">
        <v>180</v>
      </c>
      <c r="I33" s="459">
        <v>120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612">
        <v>0</v>
      </c>
      <c r="V33" s="612">
        <v>180</v>
      </c>
      <c r="W33" s="612">
        <v>180</v>
      </c>
      <c r="X33" s="612">
        <v>180</v>
      </c>
      <c r="Y33" s="612">
        <v>180</v>
      </c>
      <c r="Z33" s="612">
        <v>180</v>
      </c>
      <c r="AA33" s="612">
        <v>180</v>
      </c>
      <c r="AB33" s="536">
        <f t="shared" si="0"/>
        <v>3120</v>
      </c>
      <c r="AC33" s="422"/>
      <c r="AD33" s="410"/>
      <c r="AE33" s="410"/>
      <c r="AF33" s="410"/>
      <c r="AG33" s="411"/>
      <c r="AH33" s="411"/>
    </row>
    <row r="34" spans="1:34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>
        <f t="shared" ref="G34:J34" si="4">SUM(G26+G28+G30+G32)</f>
        <v>55</v>
      </c>
      <c r="H34" s="615">
        <f t="shared" si="4"/>
        <v>197</v>
      </c>
      <c r="I34" s="615">
        <f t="shared" si="4"/>
        <v>95</v>
      </c>
      <c r="J34" s="615">
        <f t="shared" si="4"/>
        <v>0</v>
      </c>
      <c r="K34" s="615">
        <v>37</v>
      </c>
      <c r="L34" s="615">
        <v>90</v>
      </c>
      <c r="M34" s="615">
        <f t="shared" ref="M34:R34" si="5">SUM(M26+M28+M30+M32)</f>
        <v>160</v>
      </c>
      <c r="N34" s="615">
        <f t="shared" si="5"/>
        <v>182</v>
      </c>
      <c r="O34" s="615">
        <f t="shared" si="5"/>
        <v>16</v>
      </c>
      <c r="P34" s="615">
        <f t="shared" si="5"/>
        <v>175</v>
      </c>
      <c r="Q34" s="615">
        <f t="shared" si="5"/>
        <v>82</v>
      </c>
      <c r="R34" s="615">
        <f t="shared" si="5"/>
        <v>0</v>
      </c>
      <c r="S34" s="615">
        <v>90</v>
      </c>
      <c r="T34" s="615">
        <v>78</v>
      </c>
      <c r="U34" s="612">
        <f>SUM(U26+U28+U30+U32)</f>
        <v>0</v>
      </c>
      <c r="V34" s="612">
        <v>180</v>
      </c>
      <c r="W34" s="612">
        <v>140</v>
      </c>
      <c r="X34" s="612">
        <v>0</v>
      </c>
      <c r="Y34" s="612">
        <v>54</v>
      </c>
      <c r="Z34" s="612">
        <v>130</v>
      </c>
      <c r="AA34" s="612">
        <v>124</v>
      </c>
      <c r="AB34" s="613">
        <f t="shared" si="0"/>
        <v>1885</v>
      </c>
      <c r="AC34" s="422"/>
      <c r="AD34" s="410"/>
      <c r="AE34" s="410"/>
      <c r="AF34" s="410"/>
      <c r="AG34" s="411"/>
      <c r="AH34" s="411"/>
    </row>
    <row r="35" spans="1:34" ht="18.75" customHeight="1" x14ac:dyDescent="0.25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425"/>
      <c r="H35" s="425"/>
      <c r="I35" s="425"/>
      <c r="J35" s="425"/>
      <c r="K35" s="425"/>
      <c r="L35" s="425"/>
      <c r="M35" s="425"/>
      <c r="N35" s="425"/>
      <c r="O35" s="425"/>
      <c r="P35" s="425"/>
      <c r="Q35" s="425"/>
      <c r="R35" s="425"/>
      <c r="S35" s="425"/>
      <c r="T35" s="425"/>
      <c r="U35" s="425"/>
      <c r="V35" s="571"/>
      <c r="W35" s="549"/>
      <c r="X35" s="549"/>
      <c r="Y35" s="532"/>
      <c r="Z35" s="593"/>
      <c r="AA35" s="593"/>
      <c r="AB35" s="536">
        <f t="shared" si="0"/>
        <v>0</v>
      </c>
      <c r="AC35" s="410"/>
      <c r="AD35" s="410"/>
      <c r="AE35" s="410"/>
      <c r="AF35" s="410"/>
      <c r="AG35" s="411"/>
      <c r="AH35" s="411"/>
    </row>
    <row r="36" spans="1:34" ht="18.75" customHeight="1" x14ac:dyDescent="0.25">
      <c r="A36" s="1249"/>
      <c r="B36" s="1265"/>
      <c r="C36" s="1278" t="s">
        <v>419</v>
      </c>
      <c r="D36" s="1279"/>
      <c r="E36" s="1279"/>
      <c r="F36" s="1279"/>
      <c r="G36" s="616"/>
      <c r="H36" s="617"/>
      <c r="I36" s="617"/>
      <c r="J36" s="617"/>
      <c r="K36" s="617"/>
      <c r="L36" s="617"/>
      <c r="M36" s="617"/>
      <c r="N36" s="617"/>
      <c r="O36" s="617"/>
      <c r="P36" s="617"/>
      <c r="Q36" s="618">
        <v>11</v>
      </c>
      <c r="R36" s="617"/>
      <c r="S36" s="617"/>
      <c r="T36" s="617"/>
      <c r="U36" s="619"/>
      <c r="V36" s="620"/>
      <c r="W36" s="621"/>
      <c r="X36" s="621"/>
      <c r="Y36" s="622"/>
      <c r="Z36" s="623"/>
      <c r="AA36" s="623"/>
      <c r="AB36" s="536">
        <f t="shared" si="0"/>
        <v>11</v>
      </c>
      <c r="AC36" s="410"/>
      <c r="AD36" s="410"/>
      <c r="AE36" s="410"/>
      <c r="AF36" s="410"/>
      <c r="AG36" s="411"/>
      <c r="AH36" s="411"/>
    </row>
    <row r="37" spans="1:34" ht="18.75" customHeight="1" x14ac:dyDescent="0.25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501"/>
      <c r="H37" s="501"/>
      <c r="I37" s="562">
        <v>1</v>
      </c>
      <c r="J37" s="501"/>
      <c r="K37" s="501"/>
      <c r="L37" s="501"/>
      <c r="M37" s="624"/>
      <c r="N37" s="562">
        <v>1</v>
      </c>
      <c r="O37" s="501"/>
      <c r="P37" s="501"/>
      <c r="Q37" s="562">
        <v>1</v>
      </c>
      <c r="R37" s="562"/>
      <c r="S37" s="562"/>
      <c r="T37" s="625">
        <v>1</v>
      </c>
      <c r="U37" s="626"/>
      <c r="V37" s="627"/>
      <c r="W37" s="628"/>
      <c r="X37" s="628"/>
      <c r="Y37" s="629"/>
      <c r="Z37" s="630"/>
      <c r="AA37" s="630"/>
      <c r="AB37" s="536">
        <f t="shared" si="0"/>
        <v>4</v>
      </c>
      <c r="AC37" s="410"/>
      <c r="AD37" s="410"/>
      <c r="AE37" s="410"/>
      <c r="AF37" s="410"/>
      <c r="AG37" s="411"/>
      <c r="AH37" s="411"/>
    </row>
    <row r="38" spans="1:34" ht="18.75" customHeight="1" x14ac:dyDescent="0.25">
      <c r="A38" s="1254"/>
      <c r="B38" s="1165"/>
      <c r="C38" s="1291" t="s">
        <v>419</v>
      </c>
      <c r="D38" s="1178"/>
      <c r="E38" s="1178"/>
      <c r="F38" s="1179"/>
      <c r="G38" s="468"/>
      <c r="H38" s="468"/>
      <c r="I38" s="542">
        <v>1</v>
      </c>
      <c r="J38" s="468"/>
      <c r="K38" s="468"/>
      <c r="L38" s="468"/>
      <c r="M38" s="418"/>
      <c r="N38" s="562">
        <v>1</v>
      </c>
      <c r="O38" s="468"/>
      <c r="P38" s="468"/>
      <c r="Q38" s="562">
        <v>1</v>
      </c>
      <c r="R38" s="562"/>
      <c r="S38" s="562"/>
      <c r="T38" s="562">
        <v>1</v>
      </c>
      <c r="U38" s="541"/>
      <c r="V38" s="571"/>
      <c r="W38" s="549"/>
      <c r="X38" s="549"/>
      <c r="Y38" s="532"/>
      <c r="Z38" s="593"/>
      <c r="AA38" s="593"/>
      <c r="AB38" s="536">
        <f t="shared" si="0"/>
        <v>4</v>
      </c>
      <c r="AC38" s="410"/>
      <c r="AD38" s="410"/>
      <c r="AE38" s="410"/>
      <c r="AF38" s="410"/>
      <c r="AG38" s="411"/>
      <c r="AH38" s="411"/>
    </row>
    <row r="39" spans="1:34" ht="18.75" customHeight="1" x14ac:dyDescent="0.25">
      <c r="A39" s="1254"/>
      <c r="B39" s="1270" t="s">
        <v>428</v>
      </c>
      <c r="C39" s="1291" t="s">
        <v>418</v>
      </c>
      <c r="D39" s="1178"/>
      <c r="E39" s="1178"/>
      <c r="F39" s="1179"/>
      <c r="G39" s="468"/>
      <c r="H39" s="468"/>
      <c r="I39" s="468"/>
      <c r="J39" s="468"/>
      <c r="K39" s="468"/>
      <c r="L39" s="468"/>
      <c r="M39" s="542">
        <v>1</v>
      </c>
      <c r="N39" s="468"/>
      <c r="O39" s="468"/>
      <c r="P39" s="468"/>
      <c r="Q39" s="562"/>
      <c r="R39" s="562"/>
      <c r="S39" s="562"/>
      <c r="T39" s="562"/>
      <c r="U39" s="541"/>
      <c r="V39" s="571"/>
      <c r="W39" s="549"/>
      <c r="X39" s="549"/>
      <c r="Y39" s="532"/>
      <c r="Z39" s="593"/>
      <c r="AA39" s="593"/>
      <c r="AB39" s="536">
        <f t="shared" si="0"/>
        <v>1</v>
      </c>
      <c r="AC39" s="410"/>
      <c r="AD39" s="410"/>
      <c r="AE39" s="410"/>
      <c r="AF39" s="410"/>
      <c r="AG39" s="411"/>
      <c r="AH39" s="411"/>
    </row>
    <row r="40" spans="1:34" ht="18.75" customHeight="1" x14ac:dyDescent="0.25">
      <c r="A40" s="1254"/>
      <c r="B40" s="1165"/>
      <c r="C40" s="1291" t="s">
        <v>419</v>
      </c>
      <c r="D40" s="1178"/>
      <c r="E40" s="1178"/>
      <c r="F40" s="1179"/>
      <c r="G40" s="468"/>
      <c r="H40" s="468"/>
      <c r="I40" s="468"/>
      <c r="J40" s="468"/>
      <c r="K40" s="468"/>
      <c r="L40" s="468"/>
      <c r="M40" s="542">
        <v>1</v>
      </c>
      <c r="N40" s="468"/>
      <c r="O40" s="468"/>
      <c r="P40" s="468"/>
      <c r="Q40" s="468"/>
      <c r="R40" s="497"/>
      <c r="S40" s="468"/>
      <c r="T40" s="468"/>
      <c r="U40" s="497"/>
      <c r="V40" s="571"/>
      <c r="W40" s="549"/>
      <c r="X40" s="549"/>
      <c r="Y40" s="532"/>
      <c r="Z40" s="593"/>
      <c r="AA40" s="593"/>
      <c r="AB40" s="536">
        <f t="shared" si="0"/>
        <v>1</v>
      </c>
      <c r="AC40" s="410"/>
      <c r="AD40" s="410"/>
      <c r="AE40" s="410"/>
      <c r="AF40" s="410"/>
      <c r="AG40" s="411"/>
      <c r="AH40" s="411"/>
    </row>
    <row r="41" spans="1:34" ht="18.75" customHeight="1" x14ac:dyDescent="0.25">
      <c r="A41" s="1254"/>
      <c r="B41" s="1270" t="s">
        <v>429</v>
      </c>
      <c r="C41" s="1291" t="s">
        <v>418</v>
      </c>
      <c r="D41" s="1178"/>
      <c r="E41" s="1178"/>
      <c r="F41" s="1179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631"/>
      <c r="S41" s="472"/>
      <c r="T41" s="472"/>
      <c r="U41" s="631"/>
      <c r="V41" s="571"/>
      <c r="W41" s="549"/>
      <c r="X41" s="549"/>
      <c r="Y41" s="532"/>
      <c r="Z41" s="593"/>
      <c r="AA41" s="593"/>
      <c r="AB41" s="536">
        <f t="shared" si="0"/>
        <v>0</v>
      </c>
      <c r="AC41" s="410"/>
      <c r="AD41" s="410"/>
      <c r="AE41" s="410"/>
      <c r="AF41" s="410"/>
      <c r="AG41" s="411"/>
      <c r="AH41" s="411"/>
    </row>
    <row r="42" spans="1:34" ht="18.75" customHeight="1" x14ac:dyDescent="0.25">
      <c r="A42" s="1254"/>
      <c r="B42" s="1165"/>
      <c r="C42" s="1291" t="s">
        <v>419</v>
      </c>
      <c r="D42" s="1178"/>
      <c r="E42" s="1178"/>
      <c r="F42" s="1179"/>
      <c r="G42" s="468"/>
      <c r="H42" s="468"/>
      <c r="I42" s="468"/>
      <c r="J42" s="468"/>
      <c r="K42" s="468"/>
      <c r="L42" s="468"/>
      <c r="M42" s="468"/>
      <c r="N42" s="504">
        <v>1</v>
      </c>
      <c r="O42" s="468"/>
      <c r="P42" s="468"/>
      <c r="Q42" s="497"/>
      <c r="R42" s="632"/>
      <c r="S42" s="633">
        <v>1</v>
      </c>
      <c r="T42" s="632"/>
      <c r="U42" s="632"/>
      <c r="V42" s="634"/>
      <c r="W42" s="549"/>
      <c r="X42" s="549"/>
      <c r="Y42" s="532"/>
      <c r="Z42" s="593"/>
      <c r="AA42" s="593"/>
      <c r="AB42" s="536">
        <f t="shared" si="0"/>
        <v>2</v>
      </c>
      <c r="AC42" s="410"/>
      <c r="AD42" s="410"/>
      <c r="AE42" s="410"/>
      <c r="AF42" s="410"/>
      <c r="AG42" s="411"/>
      <c r="AH42" s="411"/>
    </row>
    <row r="43" spans="1:34" ht="18.75" customHeight="1" x14ac:dyDescent="0.25">
      <c r="A43" s="1254"/>
      <c r="B43" s="1270" t="s">
        <v>430</v>
      </c>
      <c r="C43" s="1291" t="s">
        <v>418</v>
      </c>
      <c r="D43" s="1178"/>
      <c r="E43" s="1178"/>
      <c r="F43" s="1179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97"/>
      <c r="R43" s="632"/>
      <c r="S43" s="632"/>
      <c r="T43" s="632"/>
      <c r="U43" s="632"/>
      <c r="V43" s="634"/>
      <c r="W43" s="549"/>
      <c r="X43" s="549"/>
      <c r="Y43" s="532"/>
      <c r="Z43" s="593"/>
      <c r="AA43" s="593"/>
      <c r="AB43" s="536">
        <f t="shared" si="0"/>
        <v>0</v>
      </c>
      <c r="AC43" s="410"/>
      <c r="AD43" s="410"/>
      <c r="AE43" s="410"/>
      <c r="AF43" s="410"/>
      <c r="AG43" s="411"/>
      <c r="AH43" s="411"/>
    </row>
    <row r="44" spans="1:34" ht="18.75" customHeight="1" x14ac:dyDescent="0.25">
      <c r="A44" s="1255"/>
      <c r="B44" s="1176"/>
      <c r="C44" s="1297" t="s">
        <v>419</v>
      </c>
      <c r="D44" s="1285"/>
      <c r="E44" s="1285"/>
      <c r="F44" s="1286"/>
      <c r="G44" s="506"/>
      <c r="H44" s="506"/>
      <c r="I44" s="506"/>
      <c r="J44" s="506"/>
      <c r="K44" s="506"/>
      <c r="L44" s="506"/>
      <c r="M44" s="506"/>
      <c r="N44" s="506"/>
      <c r="O44" s="506"/>
      <c r="P44" s="506"/>
      <c r="Q44" s="507"/>
      <c r="R44" s="635"/>
      <c r="S44" s="509"/>
      <c r="T44" s="499"/>
      <c r="U44" s="500"/>
      <c r="V44" s="571"/>
      <c r="W44" s="549"/>
      <c r="X44" s="549"/>
      <c r="Y44" s="532"/>
      <c r="Z44" s="593"/>
      <c r="AA44" s="593"/>
      <c r="AB44" s="536">
        <f t="shared" si="0"/>
        <v>0</v>
      </c>
      <c r="AC44" s="410"/>
      <c r="AD44" s="410"/>
      <c r="AE44" s="410"/>
      <c r="AF44" s="410"/>
      <c r="AG44" s="411"/>
      <c r="AH44" s="411"/>
    </row>
    <row r="45" spans="1:34" ht="18.75" customHeight="1" x14ac:dyDescent="0.3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307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513" t="s">
        <v>111</v>
      </c>
      <c r="V45" s="636" t="s">
        <v>454</v>
      </c>
      <c r="W45" s="636" t="s">
        <v>116</v>
      </c>
      <c r="X45" s="636" t="s">
        <v>80</v>
      </c>
      <c r="Y45" s="636" t="s">
        <v>117</v>
      </c>
      <c r="Z45" s="636" t="s">
        <v>106</v>
      </c>
      <c r="AA45" s="636" t="s">
        <v>70</v>
      </c>
      <c r="AB45" s="536"/>
      <c r="AC45" s="409"/>
      <c r="AD45" s="409"/>
      <c r="AE45" s="410"/>
      <c r="AF45" s="410"/>
      <c r="AG45" s="411"/>
      <c r="AH45" s="411"/>
    </row>
    <row r="46" spans="1:34" ht="18.75" customHeight="1" x14ac:dyDescent="0.25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571"/>
      <c r="W46" s="549"/>
      <c r="X46" s="549"/>
      <c r="Y46" s="532"/>
      <c r="Z46" s="593"/>
      <c r="AA46" s="593"/>
      <c r="AB46" s="536">
        <f t="shared" ref="AB46:AB65" si="6">SUM(AA46+Z46+Y46+X46+W46+V46+U46+T46+S46+R46+Q46+P46+O46+N46+M46+L46+K46+J46+I46+H46+G46)</f>
        <v>0</v>
      </c>
      <c r="AC46" s="410"/>
      <c r="AD46" s="410"/>
      <c r="AE46" s="410"/>
      <c r="AF46" s="410"/>
      <c r="AG46" s="411"/>
      <c r="AH46" s="411"/>
    </row>
    <row r="47" spans="1:34" ht="18.75" customHeight="1" x14ac:dyDescent="0.25">
      <c r="A47" s="1164"/>
      <c r="B47" s="519" t="s">
        <v>433</v>
      </c>
      <c r="C47" s="1295"/>
      <c r="D47" s="1201"/>
      <c r="E47" s="1201"/>
      <c r="F47" s="1173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571"/>
      <c r="W47" s="549"/>
      <c r="X47" s="549"/>
      <c r="Y47" s="532"/>
      <c r="Z47" s="593"/>
      <c r="AA47" s="593"/>
      <c r="AB47" s="536">
        <f t="shared" si="6"/>
        <v>0</v>
      </c>
      <c r="AC47" s="410"/>
      <c r="AD47" s="410"/>
      <c r="AE47" s="410"/>
      <c r="AF47" s="410"/>
      <c r="AG47" s="411"/>
      <c r="AH47" s="411"/>
    </row>
    <row r="48" spans="1:34" ht="18.75" customHeight="1" x14ac:dyDescent="0.25">
      <c r="A48" s="1164"/>
      <c r="B48" s="519" t="s">
        <v>434</v>
      </c>
      <c r="C48" s="1295"/>
      <c r="D48" s="1201"/>
      <c r="E48" s="1201"/>
      <c r="F48" s="1173"/>
      <c r="G48" s="518"/>
      <c r="H48" s="518"/>
      <c r="I48" s="518"/>
      <c r="J48" s="518"/>
      <c r="K48" s="637">
        <v>1</v>
      </c>
      <c r="L48" s="518"/>
      <c r="M48" s="518"/>
      <c r="N48" s="637">
        <v>1</v>
      </c>
      <c r="O48" s="518"/>
      <c r="P48" s="518"/>
      <c r="Q48" s="518"/>
      <c r="R48" s="418"/>
      <c r="S48" s="418"/>
      <c r="T48" s="418"/>
      <c r="U48" s="420"/>
      <c r="V48" s="571"/>
      <c r="W48" s="549"/>
      <c r="X48" s="549"/>
      <c r="Y48" s="532"/>
      <c r="Z48" s="593"/>
      <c r="AA48" s="593"/>
      <c r="AB48" s="536">
        <f t="shared" si="6"/>
        <v>2</v>
      </c>
      <c r="AC48" s="410"/>
      <c r="AD48" s="410"/>
      <c r="AE48" s="410"/>
      <c r="AF48" s="410"/>
      <c r="AG48" s="411"/>
      <c r="AH48" s="411"/>
    </row>
    <row r="49" spans="1:34" ht="18.75" customHeight="1" x14ac:dyDescent="0.25">
      <c r="A49" s="1164"/>
      <c r="B49" s="519" t="s">
        <v>435</v>
      </c>
      <c r="C49" s="1295"/>
      <c r="D49" s="1201"/>
      <c r="E49" s="1201"/>
      <c r="F49" s="1173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418"/>
      <c r="S49" s="418"/>
      <c r="T49" s="418"/>
      <c r="U49" s="420"/>
      <c r="V49" s="571"/>
      <c r="W49" s="549"/>
      <c r="X49" s="549"/>
      <c r="Y49" s="532"/>
      <c r="Z49" s="593"/>
      <c r="AA49" s="593"/>
      <c r="AB49" s="536">
        <f t="shared" si="6"/>
        <v>0</v>
      </c>
      <c r="AC49" s="410"/>
      <c r="AD49" s="410"/>
      <c r="AE49" s="410"/>
      <c r="AF49" s="410"/>
      <c r="AG49" s="411"/>
      <c r="AH49" s="411"/>
    </row>
    <row r="50" spans="1:34" ht="18.75" customHeight="1" x14ac:dyDescent="0.25">
      <c r="A50" s="1164"/>
      <c r="B50" s="519" t="s">
        <v>436</v>
      </c>
      <c r="C50" s="1295"/>
      <c r="D50" s="1201"/>
      <c r="E50" s="1201"/>
      <c r="F50" s="1173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571"/>
      <c r="W50" s="549"/>
      <c r="X50" s="549"/>
      <c r="Y50" s="532"/>
      <c r="Z50" s="593"/>
      <c r="AA50" s="593"/>
      <c r="AB50" s="536">
        <f t="shared" si="6"/>
        <v>0</v>
      </c>
      <c r="AC50" s="410"/>
      <c r="AD50" s="410"/>
      <c r="AE50" s="410"/>
      <c r="AF50" s="410"/>
      <c r="AG50" s="411"/>
      <c r="AH50" s="411"/>
    </row>
    <row r="51" spans="1:34" ht="18.75" customHeight="1" x14ac:dyDescent="0.25">
      <c r="A51" s="1164"/>
      <c r="B51" s="519" t="s">
        <v>437</v>
      </c>
      <c r="C51" s="1295"/>
      <c r="D51" s="1201"/>
      <c r="E51" s="1201"/>
      <c r="F51" s="1173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571"/>
      <c r="W51" s="549"/>
      <c r="X51" s="549"/>
      <c r="Y51" s="532"/>
      <c r="Z51" s="593"/>
      <c r="AA51" s="593"/>
      <c r="AB51" s="536">
        <f t="shared" si="6"/>
        <v>0</v>
      </c>
      <c r="AC51" s="410"/>
      <c r="AD51" s="410"/>
      <c r="AE51" s="410"/>
      <c r="AF51" s="410"/>
      <c r="AG51" s="411"/>
      <c r="AH51" s="411"/>
    </row>
    <row r="52" spans="1:34" ht="18.75" customHeight="1" x14ac:dyDescent="0.25">
      <c r="A52" s="1164"/>
      <c r="B52" s="519" t="s">
        <v>438</v>
      </c>
      <c r="C52" s="1295"/>
      <c r="D52" s="1201"/>
      <c r="E52" s="1201"/>
      <c r="F52" s="1173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42">
        <v>1</v>
      </c>
      <c r="S52" s="418"/>
      <c r="T52" s="418"/>
      <c r="U52" s="420"/>
      <c r="V52" s="571"/>
      <c r="W52" s="549"/>
      <c r="X52" s="549"/>
      <c r="Y52" s="532"/>
      <c r="Z52" s="593"/>
      <c r="AA52" s="593"/>
      <c r="AB52" s="536">
        <f t="shared" si="6"/>
        <v>1</v>
      </c>
      <c r="AC52" s="410"/>
      <c r="AD52" s="410"/>
      <c r="AE52" s="410"/>
      <c r="AF52" s="410"/>
      <c r="AG52" s="411"/>
      <c r="AH52" s="411"/>
    </row>
    <row r="53" spans="1:34" ht="18.75" customHeight="1" x14ac:dyDescent="0.25">
      <c r="A53" s="1164"/>
      <c r="B53" s="519" t="s">
        <v>439</v>
      </c>
      <c r="C53" s="1295"/>
      <c r="D53" s="1201"/>
      <c r="E53" s="1201"/>
      <c r="F53" s="1173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571"/>
      <c r="W53" s="549"/>
      <c r="X53" s="549"/>
      <c r="Y53" s="532"/>
      <c r="Z53" s="593"/>
      <c r="AA53" s="593"/>
      <c r="AB53" s="536">
        <f t="shared" si="6"/>
        <v>0</v>
      </c>
      <c r="AC53" s="410"/>
      <c r="AD53" s="410"/>
      <c r="AE53" s="410"/>
      <c r="AF53" s="410"/>
      <c r="AG53" s="411"/>
      <c r="AH53" s="411"/>
    </row>
    <row r="54" spans="1:34" ht="18.75" customHeight="1" x14ac:dyDescent="0.25">
      <c r="A54" s="1164"/>
      <c r="B54" s="519" t="s">
        <v>440</v>
      </c>
      <c r="C54" s="1295"/>
      <c r="D54" s="1201"/>
      <c r="E54" s="1201"/>
      <c r="F54" s="1173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571"/>
      <c r="W54" s="549"/>
      <c r="X54" s="549"/>
      <c r="Y54" s="532"/>
      <c r="Z54" s="593"/>
      <c r="AA54" s="593"/>
      <c r="AB54" s="536">
        <f t="shared" si="6"/>
        <v>0</v>
      </c>
      <c r="AC54" s="410"/>
      <c r="AD54" s="410"/>
      <c r="AE54" s="410"/>
      <c r="AF54" s="410"/>
      <c r="AG54" s="411"/>
      <c r="AH54" s="411"/>
    </row>
    <row r="55" spans="1:34" ht="18.75" customHeight="1" x14ac:dyDescent="0.25">
      <c r="A55" s="1164"/>
      <c r="B55" s="519" t="s">
        <v>441</v>
      </c>
      <c r="C55" s="1295"/>
      <c r="D55" s="1201"/>
      <c r="E55" s="1201"/>
      <c r="F55" s="1173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571"/>
      <c r="W55" s="549"/>
      <c r="X55" s="549"/>
      <c r="Y55" s="532"/>
      <c r="Z55" s="593"/>
      <c r="AA55" s="593"/>
      <c r="AB55" s="536">
        <f t="shared" si="6"/>
        <v>0</v>
      </c>
      <c r="AC55" s="410"/>
      <c r="AD55" s="410"/>
      <c r="AE55" s="410"/>
      <c r="AF55" s="410"/>
      <c r="AG55" s="411"/>
      <c r="AH55" s="411"/>
    </row>
    <row r="56" spans="1:34" ht="18.75" customHeight="1" x14ac:dyDescent="0.25">
      <c r="A56" s="1164"/>
      <c r="B56" s="519" t="s">
        <v>442</v>
      </c>
      <c r="C56" s="1295"/>
      <c r="D56" s="1201"/>
      <c r="E56" s="1201"/>
      <c r="F56" s="1173"/>
      <c r="G56" s="518"/>
      <c r="H56" s="518"/>
      <c r="I56" s="518"/>
      <c r="J56" s="518"/>
      <c r="K56" s="518"/>
      <c r="L56" s="518"/>
      <c r="M56" s="518"/>
      <c r="N56" s="518"/>
      <c r="O56" s="518"/>
      <c r="P56" s="518"/>
      <c r="Q56" s="518"/>
      <c r="R56" s="418"/>
      <c r="S56" s="418"/>
      <c r="T56" s="418"/>
      <c r="U56" s="420"/>
      <c r="V56" s="571"/>
      <c r="W56" s="549"/>
      <c r="X56" s="549"/>
      <c r="Y56" s="532"/>
      <c r="Z56" s="593"/>
      <c r="AA56" s="593"/>
      <c r="AB56" s="536">
        <f t="shared" si="6"/>
        <v>0</v>
      </c>
      <c r="AC56" s="410"/>
      <c r="AD56" s="410"/>
      <c r="AE56" s="410"/>
      <c r="AF56" s="410"/>
      <c r="AG56" s="411"/>
      <c r="AH56" s="411"/>
    </row>
    <row r="57" spans="1:34" ht="18.75" customHeight="1" x14ac:dyDescent="0.25">
      <c r="A57" s="1164"/>
      <c r="B57" s="519" t="s">
        <v>443</v>
      </c>
      <c r="C57" s="1295"/>
      <c r="D57" s="1201"/>
      <c r="E57" s="1201"/>
      <c r="F57" s="1173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571"/>
      <c r="W57" s="549"/>
      <c r="X57" s="549"/>
      <c r="Y57" s="532"/>
      <c r="Z57" s="593"/>
      <c r="AA57" s="593"/>
      <c r="AB57" s="536">
        <f t="shared" si="6"/>
        <v>0</v>
      </c>
      <c r="AC57" s="410"/>
      <c r="AD57" s="410"/>
      <c r="AE57" s="410"/>
      <c r="AF57" s="410"/>
      <c r="AG57" s="411"/>
      <c r="AH57" s="411"/>
    </row>
    <row r="58" spans="1:34" ht="18.75" customHeight="1" x14ac:dyDescent="0.25">
      <c r="A58" s="1164"/>
      <c r="B58" s="519" t="s">
        <v>444</v>
      </c>
      <c r="C58" s="1295"/>
      <c r="D58" s="1201"/>
      <c r="E58" s="1201"/>
      <c r="F58" s="1173"/>
      <c r="G58" s="518"/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418"/>
      <c r="S58" s="418"/>
      <c r="T58" s="418"/>
      <c r="U58" s="420"/>
      <c r="V58" s="571"/>
      <c r="W58" s="549"/>
      <c r="X58" s="549"/>
      <c r="Y58" s="532"/>
      <c r="Z58" s="593"/>
      <c r="AA58" s="593"/>
      <c r="AB58" s="536">
        <f t="shared" si="6"/>
        <v>0</v>
      </c>
      <c r="AC58" s="410"/>
      <c r="AD58" s="410"/>
      <c r="AE58" s="410"/>
      <c r="AF58" s="410"/>
      <c r="AG58" s="411"/>
      <c r="AH58" s="411"/>
    </row>
    <row r="59" spans="1:34" ht="18.75" customHeight="1" x14ac:dyDescent="0.25">
      <c r="A59" s="1164"/>
      <c r="B59" s="519" t="s">
        <v>445</v>
      </c>
      <c r="C59" s="1295"/>
      <c r="D59" s="1201"/>
      <c r="E59" s="1201"/>
      <c r="F59" s="1173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571"/>
      <c r="W59" s="549"/>
      <c r="X59" s="549"/>
      <c r="Y59" s="532"/>
      <c r="Z59" s="593"/>
      <c r="AA59" s="593"/>
      <c r="AB59" s="536">
        <f t="shared" si="6"/>
        <v>0</v>
      </c>
      <c r="AC59" s="410"/>
      <c r="AD59" s="410"/>
      <c r="AE59" s="410"/>
      <c r="AF59" s="410"/>
      <c r="AG59" s="411"/>
      <c r="AH59" s="411"/>
    </row>
    <row r="60" spans="1:34" ht="18.75" customHeight="1" x14ac:dyDescent="0.25">
      <c r="A60" s="1164"/>
      <c r="B60" s="519" t="s">
        <v>446</v>
      </c>
      <c r="C60" s="1295"/>
      <c r="D60" s="1201"/>
      <c r="E60" s="1201"/>
      <c r="F60" s="1173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418"/>
      <c r="S60" s="418"/>
      <c r="T60" s="418"/>
      <c r="U60" s="420"/>
      <c r="V60" s="571"/>
      <c r="W60" s="549"/>
      <c r="X60" s="549"/>
      <c r="Y60" s="532"/>
      <c r="Z60" s="593"/>
      <c r="AA60" s="593"/>
      <c r="AB60" s="536">
        <f t="shared" si="6"/>
        <v>0</v>
      </c>
      <c r="AC60" s="410"/>
      <c r="AD60" s="410"/>
      <c r="AE60" s="410"/>
      <c r="AF60" s="410"/>
      <c r="AG60" s="411"/>
      <c r="AH60" s="411"/>
    </row>
    <row r="61" spans="1:34" ht="18.75" customHeight="1" x14ac:dyDescent="0.25">
      <c r="A61" s="1164"/>
      <c r="B61" s="519" t="s">
        <v>447</v>
      </c>
      <c r="C61" s="1295"/>
      <c r="D61" s="1201"/>
      <c r="E61" s="1201"/>
      <c r="F61" s="1173"/>
      <c r="G61" s="518"/>
      <c r="H61" s="637">
        <v>10</v>
      </c>
      <c r="I61" s="518"/>
      <c r="J61" s="518"/>
      <c r="K61" s="518"/>
      <c r="L61" s="518"/>
      <c r="M61" s="518"/>
      <c r="N61" s="637">
        <v>20</v>
      </c>
      <c r="O61" s="518"/>
      <c r="P61" s="518"/>
      <c r="Q61" s="518"/>
      <c r="R61" s="418"/>
      <c r="S61" s="418"/>
      <c r="T61" s="418"/>
      <c r="U61" s="420"/>
      <c r="V61" s="571"/>
      <c r="W61" s="549"/>
      <c r="X61" s="549"/>
      <c r="Y61" s="532"/>
      <c r="Z61" s="593"/>
      <c r="AA61" s="593"/>
      <c r="AB61" s="536">
        <f t="shared" si="6"/>
        <v>30</v>
      </c>
      <c r="AC61" s="410"/>
      <c r="AD61" s="410"/>
      <c r="AE61" s="410"/>
      <c r="AF61" s="410"/>
      <c r="AG61" s="411"/>
      <c r="AH61" s="411"/>
    </row>
    <row r="62" spans="1:34" ht="18.75" customHeight="1" x14ac:dyDescent="0.25">
      <c r="A62" s="1164"/>
      <c r="B62" s="519" t="s">
        <v>448</v>
      </c>
      <c r="C62" s="1295"/>
      <c r="D62" s="1201"/>
      <c r="E62" s="1201"/>
      <c r="F62" s="1173"/>
      <c r="G62" s="518"/>
      <c r="H62" s="637">
        <v>12</v>
      </c>
      <c r="I62" s="518"/>
      <c r="J62" s="518"/>
      <c r="K62" s="518"/>
      <c r="L62" s="518"/>
      <c r="M62" s="518"/>
      <c r="N62" s="518"/>
      <c r="O62" s="518"/>
      <c r="P62" s="518"/>
      <c r="Q62" s="518"/>
      <c r="R62" s="418"/>
      <c r="S62" s="418"/>
      <c r="T62" s="418"/>
      <c r="U62" s="420"/>
      <c r="V62" s="571"/>
      <c r="W62" s="549"/>
      <c r="X62" s="549"/>
      <c r="Y62" s="532"/>
      <c r="Z62" s="593"/>
      <c r="AA62" s="593"/>
      <c r="AB62" s="536">
        <f t="shared" si="6"/>
        <v>12</v>
      </c>
      <c r="AC62" s="410"/>
      <c r="AD62" s="410"/>
      <c r="AE62" s="410"/>
      <c r="AF62" s="410"/>
      <c r="AG62" s="411"/>
      <c r="AH62" s="411"/>
    </row>
    <row r="63" spans="1:34" ht="18.75" customHeight="1" x14ac:dyDescent="0.25">
      <c r="A63" s="1164"/>
      <c r="B63" s="519" t="s">
        <v>449</v>
      </c>
      <c r="C63" s="1295"/>
      <c r="D63" s="1201"/>
      <c r="E63" s="1201"/>
      <c r="F63" s="1173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418"/>
      <c r="S63" s="418"/>
      <c r="T63" s="418"/>
      <c r="U63" s="420"/>
      <c r="V63" s="571"/>
      <c r="W63" s="549"/>
      <c r="X63" s="549"/>
      <c r="Y63" s="532"/>
      <c r="Z63" s="593"/>
      <c r="AA63" s="593"/>
      <c r="AB63" s="536">
        <f t="shared" si="6"/>
        <v>0</v>
      </c>
      <c r="AC63" s="410"/>
      <c r="AD63" s="410"/>
      <c r="AE63" s="410"/>
      <c r="AF63" s="410"/>
      <c r="AG63" s="411"/>
      <c r="AH63" s="411"/>
    </row>
    <row r="64" spans="1:34" ht="18.75" customHeight="1" x14ac:dyDescent="0.25">
      <c r="A64" s="1164"/>
      <c r="B64" s="519" t="s">
        <v>455</v>
      </c>
      <c r="C64" s="1295"/>
      <c r="D64" s="1201"/>
      <c r="E64" s="1201"/>
      <c r="F64" s="1173"/>
      <c r="G64" s="518"/>
      <c r="H64" s="520"/>
      <c r="I64" s="520"/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571"/>
      <c r="W64" s="549"/>
      <c r="X64" s="549"/>
      <c r="Y64" s="532"/>
      <c r="Z64" s="593"/>
      <c r="AA64" s="593"/>
      <c r="AB64" s="536">
        <f t="shared" si="6"/>
        <v>0</v>
      </c>
      <c r="AC64" s="410"/>
      <c r="AD64" s="410"/>
      <c r="AE64" s="410"/>
      <c r="AF64" s="410"/>
      <c r="AG64" s="411"/>
      <c r="AH64" s="411"/>
    </row>
    <row r="65" spans="1:34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520"/>
      <c r="I65" s="520"/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571"/>
      <c r="W65" s="549"/>
      <c r="X65" s="549"/>
      <c r="Y65" s="532"/>
      <c r="Z65" s="593"/>
      <c r="AA65" s="593"/>
      <c r="AB65" s="536">
        <f t="shared" si="6"/>
        <v>0</v>
      </c>
      <c r="AC65" s="410"/>
      <c r="AD65" s="410"/>
      <c r="AE65" s="410"/>
      <c r="AF65" s="410"/>
      <c r="AG65" s="411"/>
      <c r="AH65" s="411"/>
    </row>
    <row r="66" spans="1:34" ht="18.75" customHeight="1" x14ac:dyDescent="0.25">
      <c r="A66" s="1165"/>
      <c r="B66" s="519" t="s">
        <v>457</v>
      </c>
      <c r="C66" s="1296"/>
      <c r="D66" s="1288"/>
      <c r="E66" s="1288"/>
      <c r="F66" s="1289"/>
      <c r="G66" s="418"/>
      <c r="H66" s="418"/>
      <c r="I66" s="418"/>
      <c r="J66" s="418"/>
      <c r="K66" s="520"/>
      <c r="L66" s="520">
        <v>6</v>
      </c>
      <c r="M66" s="418"/>
      <c r="N66" s="418"/>
      <c r="O66" s="418"/>
      <c r="P66" s="542">
        <v>50</v>
      </c>
      <c r="Q66" s="542">
        <v>18</v>
      </c>
      <c r="R66" s="542">
        <v>1</v>
      </c>
      <c r="S66" s="418"/>
      <c r="T66" s="418"/>
      <c r="U66" s="420"/>
      <c r="V66" s="571"/>
      <c r="W66" s="549"/>
      <c r="X66" s="549"/>
      <c r="Y66" s="532"/>
      <c r="Z66" s="593"/>
      <c r="AA66" s="593"/>
      <c r="AB66" s="536">
        <f>SUM(U66+T66+S66+R66+Q66+P66+O66+N66+M66+L66+K66+J66+I66+H66+G66)</f>
        <v>75</v>
      </c>
      <c r="AC66" s="410"/>
      <c r="AD66" s="410"/>
      <c r="AE66" s="410"/>
      <c r="AF66" s="410"/>
      <c r="AG66" s="411"/>
      <c r="AH66" s="411"/>
    </row>
    <row r="67" spans="1:34" ht="30" customHeight="1" x14ac:dyDescent="0.3">
      <c r="A67" s="305"/>
      <c r="B67" s="519" t="s">
        <v>468</v>
      </c>
      <c r="C67" s="305"/>
      <c r="D67" s="305"/>
      <c r="E67" s="305"/>
      <c r="F67" s="305"/>
      <c r="G67" s="638">
        <f t="shared" ref="G67:AA67" si="7">SUM(G7+G10+G15+G20)</f>
        <v>53</v>
      </c>
      <c r="H67" s="638">
        <f t="shared" si="7"/>
        <v>120</v>
      </c>
      <c r="I67" s="639">
        <f t="shared" si="7"/>
        <v>85</v>
      </c>
      <c r="J67" s="639">
        <f t="shared" si="7"/>
        <v>16</v>
      </c>
      <c r="K67" s="639">
        <f t="shared" si="7"/>
        <v>71</v>
      </c>
      <c r="L67" s="640">
        <f t="shared" si="7"/>
        <v>73</v>
      </c>
      <c r="M67" s="639">
        <f t="shared" si="7"/>
        <v>120</v>
      </c>
      <c r="N67" s="639">
        <f t="shared" si="7"/>
        <v>120</v>
      </c>
      <c r="O67" s="639">
        <f t="shared" si="7"/>
        <v>41</v>
      </c>
      <c r="P67" s="639">
        <f t="shared" si="7"/>
        <v>120</v>
      </c>
      <c r="Q67" s="639">
        <f t="shared" si="7"/>
        <v>70</v>
      </c>
      <c r="R67" s="639">
        <f t="shared" si="7"/>
        <v>26</v>
      </c>
      <c r="S67" s="639">
        <f t="shared" si="7"/>
        <v>27</v>
      </c>
      <c r="T67" s="639">
        <f t="shared" si="7"/>
        <v>91</v>
      </c>
      <c r="U67" s="639">
        <f t="shared" si="7"/>
        <v>0</v>
      </c>
      <c r="V67" s="640">
        <f t="shared" si="7"/>
        <v>115</v>
      </c>
      <c r="W67" s="640">
        <f t="shared" si="7"/>
        <v>99</v>
      </c>
      <c r="X67" s="640">
        <f t="shared" si="7"/>
        <v>16</v>
      </c>
      <c r="Y67" s="638">
        <f t="shared" si="7"/>
        <v>38</v>
      </c>
      <c r="Z67" s="639">
        <f t="shared" si="7"/>
        <v>93</v>
      </c>
      <c r="AA67" s="639">
        <f t="shared" si="7"/>
        <v>77</v>
      </c>
      <c r="AB67" s="639">
        <f>SUM(AA67+Z67+Y67+X67+W67+V67+T67+S67+R67+Q67+P67+O67+N67+M67+L67+K67+J67+I67+H67+G67)</f>
        <v>1471</v>
      </c>
      <c r="AC67" s="410"/>
      <c r="AD67" s="410"/>
      <c r="AE67" s="410"/>
      <c r="AF67" s="410"/>
      <c r="AG67" s="411"/>
      <c r="AH67" s="411"/>
    </row>
    <row r="68" spans="1:34" ht="23.25" customHeight="1" x14ac:dyDescent="0.3">
      <c r="A68" s="305"/>
      <c r="B68" s="305"/>
      <c r="C68" s="305"/>
      <c r="D68" s="305"/>
      <c r="E68" s="305"/>
      <c r="F68" s="305"/>
      <c r="G68" s="641">
        <v>53</v>
      </c>
      <c r="H68" s="641">
        <v>126</v>
      </c>
      <c r="I68" s="641">
        <v>91</v>
      </c>
      <c r="J68" s="641">
        <v>20</v>
      </c>
      <c r="K68" s="641">
        <v>72</v>
      </c>
      <c r="L68" s="641">
        <v>73</v>
      </c>
      <c r="M68" s="641">
        <v>125</v>
      </c>
      <c r="N68" s="641">
        <v>121</v>
      </c>
      <c r="O68" s="641">
        <v>41</v>
      </c>
      <c r="P68" s="641">
        <v>123</v>
      </c>
      <c r="Q68" s="641">
        <v>87</v>
      </c>
      <c r="R68" s="641">
        <v>55</v>
      </c>
      <c r="S68" s="641">
        <v>27</v>
      </c>
      <c r="T68" s="641">
        <v>90</v>
      </c>
      <c r="U68" s="639"/>
      <c r="V68" s="641">
        <v>115</v>
      </c>
      <c r="W68" s="641">
        <v>99</v>
      </c>
      <c r="X68" s="641">
        <v>16</v>
      </c>
      <c r="Y68" s="641">
        <v>38</v>
      </c>
      <c r="Z68" s="641">
        <v>93</v>
      </c>
      <c r="AA68" s="641">
        <v>77</v>
      </c>
      <c r="AB68" s="639">
        <f>SUM(AA68+Z68+Y68+X68+W68+V68+U68+T68+S68+R68+Q68+P68+O68+N68+M68+L68+K68+J68+I68+H68+G68)</f>
        <v>1542</v>
      </c>
      <c r="AC68" s="410"/>
      <c r="AD68" s="410"/>
      <c r="AE68" s="410"/>
      <c r="AF68" s="410"/>
      <c r="AG68" s="411"/>
      <c r="AH68" s="411"/>
    </row>
    <row r="69" spans="1:34" ht="56.25" customHeight="1" x14ac:dyDescent="0.35">
      <c r="A69" s="305"/>
      <c r="B69" s="642" t="s">
        <v>469</v>
      </c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410"/>
      <c r="AD69" s="410"/>
      <c r="AE69" s="410"/>
      <c r="AF69" s="410"/>
      <c r="AG69" s="411"/>
      <c r="AH69" s="411"/>
    </row>
    <row r="70" spans="1:34" ht="63.75" customHeight="1" x14ac:dyDescent="0.35">
      <c r="B70" s="643" t="s">
        <v>470</v>
      </c>
      <c r="AC70" s="522"/>
      <c r="AD70" s="522"/>
      <c r="AE70" s="522"/>
      <c r="AF70" s="522"/>
      <c r="AG70" s="522"/>
      <c r="AH70" s="522"/>
    </row>
    <row r="71" spans="1:34" ht="12.75" customHeight="1" x14ac:dyDescent="0.25">
      <c r="AC71" s="522"/>
      <c r="AD71" s="522"/>
      <c r="AE71" s="522"/>
      <c r="AF71" s="522"/>
      <c r="AG71" s="522"/>
      <c r="AH71" s="522"/>
    </row>
    <row r="72" spans="1:34" ht="12.75" customHeight="1" x14ac:dyDescent="0.25">
      <c r="AC72" s="522"/>
      <c r="AD72" s="522"/>
      <c r="AE72" s="522"/>
      <c r="AF72" s="522"/>
      <c r="AG72" s="522"/>
      <c r="AH72" s="522"/>
    </row>
    <row r="73" spans="1:34" ht="12.75" customHeight="1" x14ac:dyDescent="0.25">
      <c r="AC73" s="522"/>
      <c r="AD73" s="522"/>
      <c r="AE73" s="522"/>
      <c r="AF73" s="522"/>
      <c r="AG73" s="522"/>
      <c r="AH73" s="522"/>
    </row>
    <row r="74" spans="1:34" ht="12.75" customHeight="1" x14ac:dyDescent="0.25">
      <c r="AC74" s="522"/>
      <c r="AD74" s="522"/>
      <c r="AE74" s="522"/>
      <c r="AF74" s="522"/>
      <c r="AG74" s="522"/>
      <c r="AH74" s="522"/>
    </row>
    <row r="75" spans="1:34" ht="12.75" customHeight="1" x14ac:dyDescent="0.25">
      <c r="AC75" s="522"/>
      <c r="AD75" s="522"/>
      <c r="AE75" s="522"/>
      <c r="AF75" s="522"/>
      <c r="AG75" s="522"/>
      <c r="AH75" s="522"/>
    </row>
    <row r="76" spans="1:34" ht="12.75" customHeight="1" x14ac:dyDescent="0.25">
      <c r="AC76" s="522"/>
      <c r="AD76" s="522"/>
      <c r="AE76" s="522"/>
      <c r="AF76" s="522"/>
      <c r="AG76" s="522"/>
      <c r="AH76" s="522"/>
    </row>
    <row r="77" spans="1:34" ht="12.75" customHeight="1" x14ac:dyDescent="0.25">
      <c r="AC77" s="522"/>
      <c r="AD77" s="522"/>
      <c r="AE77" s="522"/>
      <c r="AF77" s="522"/>
      <c r="AG77" s="522"/>
      <c r="AH77" s="522"/>
    </row>
    <row r="78" spans="1:34" ht="12.75" customHeight="1" x14ac:dyDescent="0.25"/>
    <row r="79" spans="1:34" ht="12.75" customHeight="1" x14ac:dyDescent="0.25"/>
    <row r="80" spans="1:34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</sheetData>
  <mergeCells count="53"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C1:AH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Y1"/>
    <mergeCell ref="Z1:AA1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6"/>
    <mergeCell ref="A37:A44"/>
    <mergeCell ref="B37:B38"/>
    <mergeCell ref="B39:B40"/>
    <mergeCell ref="B41:B42"/>
    <mergeCell ref="B43:B44"/>
    <mergeCell ref="C43:F43"/>
    <mergeCell ref="C44:F44"/>
  </mergeCells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1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2" width="10.109375" customWidth="1"/>
    <col min="23" max="23" width="9" customWidth="1"/>
    <col min="24" max="24" width="8.77734375" customWidth="1"/>
    <col min="25" max="25" width="9.6640625" customWidth="1"/>
    <col min="26" max="29" width="11.44140625" customWidth="1"/>
    <col min="30" max="35" width="8.6640625" customWidth="1"/>
  </cols>
  <sheetData>
    <row r="1" spans="1:35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458</v>
      </c>
      <c r="W1" s="1178"/>
      <c r="X1" s="1178"/>
      <c r="Y1" s="1178"/>
      <c r="Z1" s="1179"/>
      <c r="AA1" s="1333" t="s">
        <v>459</v>
      </c>
      <c r="AB1" s="1179"/>
      <c r="AC1" s="644"/>
      <c r="AD1" s="644"/>
      <c r="AE1" s="399"/>
      <c r="AF1" s="399"/>
      <c r="AG1" s="399"/>
      <c r="AH1" s="399"/>
      <c r="AI1" s="399"/>
    </row>
    <row r="2" spans="1:35" ht="33" customHeight="1" x14ac:dyDescent="0.3">
      <c r="A2" s="397"/>
      <c r="B2" s="398"/>
      <c r="C2" s="1312"/>
      <c r="D2" s="1201"/>
      <c r="E2" s="1201"/>
      <c r="F2" s="1201"/>
      <c r="G2" s="524" t="s">
        <v>99</v>
      </c>
      <c r="H2" s="525" t="s">
        <v>100</v>
      </c>
      <c r="I2" s="525" t="s">
        <v>198</v>
      </c>
      <c r="J2" s="525" t="s">
        <v>21</v>
      </c>
      <c r="K2" s="645" t="s">
        <v>102</v>
      </c>
      <c r="L2" s="646" t="s">
        <v>395</v>
      </c>
      <c r="M2" s="525" t="s">
        <v>396</v>
      </c>
      <c r="N2" s="525" t="s">
        <v>105</v>
      </c>
      <c r="O2" s="525" t="s">
        <v>106</v>
      </c>
      <c r="P2" s="525" t="s">
        <v>107</v>
      </c>
      <c r="Q2" s="527" t="s">
        <v>215</v>
      </c>
      <c r="R2" s="528" t="s">
        <v>34</v>
      </c>
      <c r="S2" s="647" t="s">
        <v>397</v>
      </c>
      <c r="T2" s="528" t="s">
        <v>110</v>
      </c>
      <c r="U2" s="530" t="s">
        <v>111</v>
      </c>
      <c r="V2" s="648" t="s">
        <v>115</v>
      </c>
      <c r="W2" s="648" t="s">
        <v>116</v>
      </c>
      <c r="X2" s="648" t="s">
        <v>80</v>
      </c>
      <c r="Y2" s="648" t="s">
        <v>117</v>
      </c>
      <c r="Z2" s="648" t="s">
        <v>460</v>
      </c>
      <c r="AA2" s="649" t="s">
        <v>347</v>
      </c>
      <c r="AB2" s="649" t="s">
        <v>70</v>
      </c>
      <c r="AC2" s="534" t="s">
        <v>398</v>
      </c>
      <c r="AD2" s="409"/>
      <c r="AE2" s="409"/>
      <c r="AF2" s="410"/>
      <c r="AG2" s="410"/>
      <c r="AH2" s="411"/>
      <c r="AI2" s="411"/>
    </row>
    <row r="3" spans="1:35" ht="22.5" customHeight="1" x14ac:dyDescent="0.25">
      <c r="A3" s="1248" t="s">
        <v>401</v>
      </c>
      <c r="B3" s="412" t="s">
        <v>402</v>
      </c>
      <c r="C3" s="1314"/>
      <c r="D3" s="1315"/>
      <c r="E3" s="1315"/>
      <c r="F3" s="1316"/>
      <c r="G3" s="413">
        <v>120</v>
      </c>
      <c r="H3" s="413">
        <v>120</v>
      </c>
      <c r="I3" s="413">
        <v>120</v>
      </c>
      <c r="J3" s="413">
        <v>120</v>
      </c>
      <c r="K3" s="413">
        <v>120</v>
      </c>
      <c r="L3" s="413">
        <v>120</v>
      </c>
      <c r="M3" s="413">
        <v>120</v>
      </c>
      <c r="N3" s="413">
        <v>120</v>
      </c>
      <c r="O3" s="413">
        <v>120</v>
      </c>
      <c r="P3" s="413">
        <v>120</v>
      </c>
      <c r="Q3" s="413">
        <v>120</v>
      </c>
      <c r="R3" s="413">
        <v>120</v>
      </c>
      <c r="S3" s="413">
        <v>120</v>
      </c>
      <c r="T3" s="413">
        <v>120</v>
      </c>
      <c r="U3" s="535">
        <v>0</v>
      </c>
      <c r="V3" s="414">
        <v>120</v>
      </c>
      <c r="W3" s="414">
        <v>120</v>
      </c>
      <c r="X3" s="414">
        <v>120</v>
      </c>
      <c r="Y3" s="414">
        <v>120</v>
      </c>
      <c r="Z3" s="414">
        <v>120</v>
      </c>
      <c r="AA3" s="535">
        <v>120</v>
      </c>
      <c r="AB3" s="414">
        <v>120</v>
      </c>
      <c r="AC3" s="536">
        <f t="shared" ref="AC3:AC44" si="0">SUM(AB3+AA3+Z3+Y3+X3+W3+V3+U3+T3+S3+R3+Q3+P3+O3+N3+M3+L3+K3+J3+I3+H3+G3)</f>
        <v>2520</v>
      </c>
      <c r="AD3" s="410"/>
      <c r="AE3" s="410"/>
      <c r="AF3" s="410"/>
      <c r="AG3" s="410"/>
      <c r="AH3" s="411"/>
      <c r="AI3" s="411"/>
    </row>
    <row r="4" spans="1:35" ht="27" customHeight="1" x14ac:dyDescent="0.3">
      <c r="A4" s="1249"/>
      <c r="B4" s="417" t="s">
        <v>403</v>
      </c>
      <c r="C4" s="1295"/>
      <c r="D4" s="1201"/>
      <c r="E4" s="1201"/>
      <c r="F4" s="1240"/>
      <c r="G4" s="537">
        <v>80</v>
      </c>
      <c r="H4" s="418">
        <v>120</v>
      </c>
      <c r="I4" s="418">
        <v>81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538">
        <v>120</v>
      </c>
      <c r="W4" s="538">
        <v>120</v>
      </c>
      <c r="X4" s="538">
        <v>120</v>
      </c>
      <c r="Y4" s="539">
        <v>120</v>
      </c>
      <c r="Z4" s="418">
        <v>120</v>
      </c>
      <c r="AA4" s="542">
        <v>120</v>
      </c>
      <c r="AB4" s="418">
        <v>120</v>
      </c>
      <c r="AC4" s="536">
        <f t="shared" si="0"/>
        <v>2331</v>
      </c>
      <c r="AD4" s="422"/>
      <c r="AE4" s="422"/>
      <c r="AF4" s="422"/>
      <c r="AG4" s="422"/>
      <c r="AH4" s="422"/>
      <c r="AI4" s="411"/>
    </row>
    <row r="5" spans="1:35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540">
        <v>50</v>
      </c>
      <c r="H5" s="541">
        <v>50</v>
      </c>
      <c r="I5" s="541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538">
        <v>50</v>
      </c>
      <c r="W5" s="538">
        <v>50</v>
      </c>
      <c r="X5" s="538">
        <v>50</v>
      </c>
      <c r="Y5" s="539">
        <v>50</v>
      </c>
      <c r="Z5" s="541">
        <v>50</v>
      </c>
      <c r="AA5" s="541">
        <v>50</v>
      </c>
      <c r="AB5" s="541">
        <v>50</v>
      </c>
      <c r="AC5" s="536">
        <f t="shared" si="0"/>
        <v>1100</v>
      </c>
      <c r="AD5" s="422"/>
      <c r="AE5" s="410"/>
      <c r="AF5" s="410"/>
      <c r="AG5" s="410"/>
      <c r="AH5" s="411"/>
      <c r="AI5" s="411"/>
    </row>
    <row r="6" spans="1:35" ht="23.25" customHeight="1" x14ac:dyDescent="0.3">
      <c r="A6" s="1254"/>
      <c r="B6" s="428" t="s">
        <v>406</v>
      </c>
      <c r="C6" s="1295"/>
      <c r="D6" s="1201"/>
      <c r="E6" s="1201"/>
      <c r="F6" s="1240"/>
      <c r="G6" s="540">
        <v>11</v>
      </c>
      <c r="H6" s="544">
        <v>6</v>
      </c>
      <c r="I6" s="544">
        <v>1</v>
      </c>
      <c r="J6" s="544">
        <v>4</v>
      </c>
      <c r="K6" s="544">
        <v>0</v>
      </c>
      <c r="L6" s="544">
        <v>3</v>
      </c>
      <c r="M6" s="545">
        <v>30</v>
      </c>
      <c r="N6" s="650">
        <v>0</v>
      </c>
      <c r="O6" s="651">
        <v>2</v>
      </c>
      <c r="P6" s="430"/>
      <c r="Q6" s="546">
        <v>6</v>
      </c>
      <c r="R6" s="546">
        <v>3</v>
      </c>
      <c r="S6" s="548">
        <v>1</v>
      </c>
      <c r="T6" s="433"/>
      <c r="U6" s="434">
        <v>0</v>
      </c>
      <c r="V6" s="538">
        <v>1</v>
      </c>
      <c r="W6" s="538">
        <v>1</v>
      </c>
      <c r="X6" s="549"/>
      <c r="Y6" s="532"/>
      <c r="Z6" s="550">
        <v>3</v>
      </c>
      <c r="AA6" s="550">
        <v>0</v>
      </c>
      <c r="AB6" s="550">
        <v>3</v>
      </c>
      <c r="AC6" s="536">
        <f t="shared" si="0"/>
        <v>75</v>
      </c>
      <c r="AD6" s="422"/>
      <c r="AE6" s="410"/>
      <c r="AF6" s="410"/>
      <c r="AG6" s="410"/>
      <c r="AH6" s="411"/>
      <c r="AI6" s="411"/>
    </row>
    <row r="7" spans="1:35" ht="21.75" customHeight="1" x14ac:dyDescent="0.3">
      <c r="A7" s="1254"/>
      <c r="B7" s="428" t="s">
        <v>407</v>
      </c>
      <c r="C7" s="1295"/>
      <c r="D7" s="1201"/>
      <c r="E7" s="1201"/>
      <c r="F7" s="1240"/>
      <c r="G7" s="551">
        <v>0</v>
      </c>
      <c r="H7" s="552">
        <v>0</v>
      </c>
      <c r="I7" s="552">
        <v>2</v>
      </c>
      <c r="J7" s="552">
        <v>0</v>
      </c>
      <c r="K7" s="552">
        <v>5</v>
      </c>
      <c r="L7" s="552">
        <v>1</v>
      </c>
      <c r="M7" s="552">
        <v>2</v>
      </c>
      <c r="N7" s="553">
        <v>17</v>
      </c>
      <c r="O7" s="652">
        <v>4</v>
      </c>
      <c r="P7" s="553">
        <v>0</v>
      </c>
      <c r="Q7" s="553">
        <v>8</v>
      </c>
      <c r="R7" s="553">
        <v>6</v>
      </c>
      <c r="S7" s="554">
        <v>3</v>
      </c>
      <c r="T7" s="555">
        <v>0</v>
      </c>
      <c r="U7" s="441">
        <v>0</v>
      </c>
      <c r="V7" s="556">
        <v>1</v>
      </c>
      <c r="W7" s="556">
        <v>6</v>
      </c>
      <c r="X7" s="557"/>
      <c r="Y7" s="558"/>
      <c r="Z7" s="559">
        <v>0</v>
      </c>
      <c r="AA7" s="559">
        <v>0</v>
      </c>
      <c r="AB7" s="559">
        <v>0</v>
      </c>
      <c r="AC7" s="536">
        <f t="shared" si="0"/>
        <v>55</v>
      </c>
      <c r="AD7" s="422"/>
      <c r="AE7" s="410"/>
      <c r="AF7" s="410"/>
      <c r="AG7" s="410"/>
      <c r="AH7" s="411"/>
      <c r="AI7" s="411"/>
    </row>
    <row r="8" spans="1:35" ht="26.25" customHeight="1" x14ac:dyDescent="0.3">
      <c r="A8" s="1254"/>
      <c r="B8" s="428" t="s">
        <v>408</v>
      </c>
      <c r="C8" s="1295"/>
      <c r="D8" s="1201"/>
      <c r="E8" s="1201"/>
      <c r="F8" s="1240"/>
      <c r="G8" s="540">
        <v>10</v>
      </c>
      <c r="H8" s="541">
        <v>18</v>
      </c>
      <c r="I8" s="541">
        <v>10</v>
      </c>
      <c r="J8" s="541">
        <v>14</v>
      </c>
      <c r="K8" s="541">
        <v>11</v>
      </c>
      <c r="L8" s="541">
        <v>9</v>
      </c>
      <c r="M8" s="541">
        <v>25</v>
      </c>
      <c r="N8" s="653">
        <v>11</v>
      </c>
      <c r="O8" s="561">
        <v>17</v>
      </c>
      <c r="P8" s="542">
        <v>20</v>
      </c>
      <c r="Q8" s="546">
        <v>14</v>
      </c>
      <c r="R8" s="546">
        <v>18</v>
      </c>
      <c r="S8" s="543">
        <v>21</v>
      </c>
      <c r="T8" s="562">
        <v>7</v>
      </c>
      <c r="U8" s="419">
        <v>0</v>
      </c>
      <c r="V8" s="538">
        <v>16</v>
      </c>
      <c r="W8" s="538">
        <v>9</v>
      </c>
      <c r="X8" s="538">
        <v>8</v>
      </c>
      <c r="Y8" s="563">
        <v>18</v>
      </c>
      <c r="Z8" s="564">
        <v>14</v>
      </c>
      <c r="AA8" s="564">
        <v>9</v>
      </c>
      <c r="AB8" s="564">
        <v>15</v>
      </c>
      <c r="AC8" s="536">
        <f t="shared" si="0"/>
        <v>294</v>
      </c>
      <c r="AD8" s="422"/>
      <c r="AE8" s="410"/>
      <c r="AF8" s="410"/>
      <c r="AG8" s="410"/>
      <c r="AH8" s="411"/>
      <c r="AI8" s="411"/>
    </row>
    <row r="9" spans="1:35" ht="21.75" customHeight="1" x14ac:dyDescent="0.3">
      <c r="A9" s="1254"/>
      <c r="B9" s="428" t="s">
        <v>409</v>
      </c>
      <c r="C9" s="1295"/>
      <c r="D9" s="1201"/>
      <c r="E9" s="1201"/>
      <c r="F9" s="1240"/>
      <c r="G9" s="540">
        <v>11</v>
      </c>
      <c r="H9" s="541">
        <v>12</v>
      </c>
      <c r="I9" s="541">
        <v>11</v>
      </c>
      <c r="J9" s="541">
        <v>4</v>
      </c>
      <c r="K9" s="541">
        <v>4</v>
      </c>
      <c r="L9" s="541">
        <v>9</v>
      </c>
      <c r="M9" s="541">
        <v>3</v>
      </c>
      <c r="N9" s="546">
        <v>2</v>
      </c>
      <c r="O9" s="561">
        <v>7</v>
      </c>
      <c r="P9" s="542">
        <v>10</v>
      </c>
      <c r="Q9" s="546">
        <v>9</v>
      </c>
      <c r="R9" s="546">
        <v>12</v>
      </c>
      <c r="S9" s="427">
        <v>7</v>
      </c>
      <c r="T9" s="562">
        <v>8</v>
      </c>
      <c r="U9" s="419">
        <v>0</v>
      </c>
      <c r="V9" s="538">
        <v>8</v>
      </c>
      <c r="W9" s="538">
        <v>3</v>
      </c>
      <c r="X9" s="538">
        <v>8</v>
      </c>
      <c r="Y9" s="563">
        <v>9</v>
      </c>
      <c r="Z9" s="564">
        <v>13</v>
      </c>
      <c r="AA9" s="564">
        <v>8</v>
      </c>
      <c r="AB9" s="564">
        <v>16</v>
      </c>
      <c r="AC9" s="536">
        <f t="shared" si="0"/>
        <v>174</v>
      </c>
      <c r="AD9" s="422"/>
      <c r="AE9" s="410"/>
      <c r="AF9" s="410"/>
      <c r="AG9" s="410"/>
      <c r="AH9" s="411"/>
      <c r="AI9" s="411"/>
    </row>
    <row r="10" spans="1:35" ht="35.25" customHeight="1" x14ac:dyDescent="0.3">
      <c r="A10" s="1255"/>
      <c r="B10" s="442" t="s">
        <v>410</v>
      </c>
      <c r="C10" s="1295"/>
      <c r="D10" s="1201"/>
      <c r="E10" s="1201"/>
      <c r="F10" s="1240"/>
      <c r="G10" s="443">
        <f t="shared" ref="G10:AB10" si="1">SUM(G8+G9)</f>
        <v>21</v>
      </c>
      <c r="H10" s="443">
        <f t="shared" si="1"/>
        <v>30</v>
      </c>
      <c r="I10" s="443">
        <f t="shared" si="1"/>
        <v>21</v>
      </c>
      <c r="J10" s="443">
        <f t="shared" si="1"/>
        <v>18</v>
      </c>
      <c r="K10" s="443">
        <f t="shared" si="1"/>
        <v>15</v>
      </c>
      <c r="L10" s="443">
        <f t="shared" si="1"/>
        <v>18</v>
      </c>
      <c r="M10" s="443">
        <f t="shared" si="1"/>
        <v>28</v>
      </c>
      <c r="N10" s="443">
        <f t="shared" si="1"/>
        <v>13</v>
      </c>
      <c r="O10" s="443">
        <f t="shared" si="1"/>
        <v>24</v>
      </c>
      <c r="P10" s="443">
        <f t="shared" si="1"/>
        <v>30</v>
      </c>
      <c r="Q10" s="443">
        <f t="shared" si="1"/>
        <v>23</v>
      </c>
      <c r="R10" s="443">
        <f t="shared" si="1"/>
        <v>30</v>
      </c>
      <c r="S10" s="443">
        <f t="shared" si="1"/>
        <v>28</v>
      </c>
      <c r="T10" s="443">
        <f t="shared" si="1"/>
        <v>15</v>
      </c>
      <c r="U10" s="565">
        <f t="shared" si="1"/>
        <v>0</v>
      </c>
      <c r="V10" s="566">
        <f t="shared" si="1"/>
        <v>24</v>
      </c>
      <c r="W10" s="566">
        <f t="shared" si="1"/>
        <v>12</v>
      </c>
      <c r="X10" s="566">
        <f t="shared" si="1"/>
        <v>16</v>
      </c>
      <c r="Y10" s="567">
        <f t="shared" si="1"/>
        <v>27</v>
      </c>
      <c r="Z10" s="568">
        <f t="shared" si="1"/>
        <v>27</v>
      </c>
      <c r="AA10" s="568">
        <f t="shared" si="1"/>
        <v>17</v>
      </c>
      <c r="AB10" s="567">
        <f t="shared" si="1"/>
        <v>31</v>
      </c>
      <c r="AC10" s="568">
        <f t="shared" si="0"/>
        <v>468</v>
      </c>
      <c r="AD10" s="422"/>
      <c r="AE10" s="410"/>
      <c r="AF10" s="410"/>
      <c r="AG10" s="410"/>
      <c r="AH10" s="411"/>
      <c r="AI10" s="411"/>
    </row>
    <row r="11" spans="1:35" ht="19.5" customHeight="1" x14ac:dyDescent="0.3">
      <c r="A11" s="1326" t="s">
        <v>461</v>
      </c>
      <c r="B11" s="569" t="s">
        <v>462</v>
      </c>
      <c r="C11" s="1295"/>
      <c r="D11" s="1201"/>
      <c r="E11" s="1201"/>
      <c r="F11" s="1240"/>
      <c r="G11" s="424"/>
      <c r="H11" s="454"/>
      <c r="I11" s="17"/>
      <c r="J11" s="570"/>
      <c r="K11" s="425"/>
      <c r="L11" s="454"/>
      <c r="M11" s="454"/>
      <c r="N11" s="541">
        <v>276</v>
      </c>
      <c r="O11" s="454"/>
      <c r="P11" s="418"/>
      <c r="Q11" s="425">
        <v>337</v>
      </c>
      <c r="R11" s="418"/>
      <c r="S11" s="418"/>
      <c r="T11" s="418"/>
      <c r="U11" s="455"/>
      <c r="V11" s="571"/>
      <c r="W11" s="549"/>
      <c r="X11" s="549"/>
      <c r="Y11" s="532"/>
      <c r="Z11" s="572"/>
      <c r="AA11" s="572"/>
      <c r="AB11" s="573"/>
      <c r="AC11" s="536">
        <f t="shared" si="0"/>
        <v>613</v>
      </c>
      <c r="AD11" s="422"/>
      <c r="AE11" s="410"/>
      <c r="AF11" s="410"/>
      <c r="AG11" s="410"/>
      <c r="AH11" s="411"/>
      <c r="AI11" s="411"/>
    </row>
    <row r="12" spans="1:35" ht="17.25" customHeight="1" x14ac:dyDescent="0.3">
      <c r="A12" s="1317"/>
      <c r="B12" s="574" t="s">
        <v>463</v>
      </c>
      <c r="C12" s="1295"/>
      <c r="D12" s="1201"/>
      <c r="E12" s="1201"/>
      <c r="F12" s="1240"/>
      <c r="G12" s="654"/>
      <c r="H12" s="655"/>
      <c r="I12" s="656"/>
      <c r="J12" s="655"/>
      <c r="K12" s="655"/>
      <c r="L12" s="655"/>
      <c r="M12" s="655"/>
      <c r="N12" s="657">
        <v>6</v>
      </c>
      <c r="O12" s="655"/>
      <c r="P12" s="658"/>
      <c r="Q12" s="655">
        <v>93</v>
      </c>
      <c r="R12" s="658"/>
      <c r="S12" s="658"/>
      <c r="T12" s="658"/>
      <c r="U12" s="659"/>
      <c r="V12" s="571"/>
      <c r="W12" s="549"/>
      <c r="X12" s="549"/>
      <c r="Y12" s="532"/>
      <c r="Z12" s="572"/>
      <c r="AA12" s="572"/>
      <c r="AB12" s="573"/>
      <c r="AC12" s="536">
        <f t="shared" si="0"/>
        <v>99</v>
      </c>
      <c r="AD12" s="422"/>
      <c r="AE12" s="410"/>
      <c r="AF12" s="410"/>
      <c r="AG12" s="410"/>
      <c r="AH12" s="411"/>
      <c r="AI12" s="411"/>
    </row>
    <row r="13" spans="1:35" ht="21.75" customHeight="1" x14ac:dyDescent="0.3">
      <c r="A13" s="1313" t="s">
        <v>411</v>
      </c>
      <c r="B13" s="575" t="s">
        <v>405</v>
      </c>
      <c r="C13" s="1295"/>
      <c r="D13" s="1201"/>
      <c r="E13" s="1201"/>
      <c r="F13" s="1240"/>
      <c r="G13" s="424"/>
      <c r="H13" s="425"/>
      <c r="I13" s="17"/>
      <c r="J13" s="425"/>
      <c r="K13" s="425"/>
      <c r="L13" s="425"/>
      <c r="M13" s="425"/>
      <c r="N13" s="425">
        <v>0</v>
      </c>
      <c r="O13" s="425"/>
      <c r="P13" s="17"/>
      <c r="Q13" s="541">
        <v>0</v>
      </c>
      <c r="R13" s="17"/>
      <c r="S13" s="17"/>
      <c r="T13" s="17"/>
      <c r="U13" s="455"/>
      <c r="V13" s="571"/>
      <c r="W13" s="549"/>
      <c r="X13" s="549"/>
      <c r="Y13" s="532"/>
      <c r="Z13" s="576"/>
      <c r="AA13" s="576"/>
      <c r="AB13" s="577"/>
      <c r="AC13" s="536">
        <f t="shared" si="0"/>
        <v>0</v>
      </c>
      <c r="AD13" s="422"/>
      <c r="AE13" s="410"/>
      <c r="AF13" s="410"/>
      <c r="AG13" s="410"/>
      <c r="AH13" s="411"/>
      <c r="AI13" s="411"/>
    </row>
    <row r="14" spans="1:35" ht="21.75" customHeight="1" x14ac:dyDescent="0.3">
      <c r="A14" s="1170"/>
      <c r="B14" s="578" t="s">
        <v>412</v>
      </c>
      <c r="C14" s="1295"/>
      <c r="D14" s="1201"/>
      <c r="E14" s="1201"/>
      <c r="F14" s="1240"/>
      <c r="G14" s="424">
        <v>60</v>
      </c>
      <c r="H14" s="425"/>
      <c r="I14" s="542">
        <v>1</v>
      </c>
      <c r="J14" s="425">
        <v>0</v>
      </c>
      <c r="K14" s="425">
        <v>0</v>
      </c>
      <c r="L14" s="425">
        <v>0</v>
      </c>
      <c r="M14" s="425">
        <v>0</v>
      </c>
      <c r="N14" s="425">
        <v>0</v>
      </c>
      <c r="O14" s="425">
        <v>0</v>
      </c>
      <c r="P14" s="542">
        <v>0</v>
      </c>
      <c r="Q14" s="425">
        <v>11</v>
      </c>
      <c r="R14" s="418">
        <v>0</v>
      </c>
      <c r="S14" s="542"/>
      <c r="T14" s="542">
        <v>28</v>
      </c>
      <c r="U14" s="419">
        <v>0</v>
      </c>
      <c r="V14" s="571"/>
      <c r="W14" s="538">
        <v>0</v>
      </c>
      <c r="X14" s="549"/>
      <c r="Y14" s="532"/>
      <c r="Z14" s="576"/>
      <c r="AA14" s="660"/>
      <c r="AB14" s="577"/>
      <c r="AC14" s="536">
        <f t="shared" si="0"/>
        <v>100</v>
      </c>
      <c r="AD14" s="422"/>
      <c r="AE14" s="410"/>
      <c r="AF14" s="410"/>
      <c r="AG14" s="410"/>
      <c r="AH14" s="411"/>
      <c r="AI14" s="411"/>
    </row>
    <row r="15" spans="1:35" ht="25.5" customHeight="1" x14ac:dyDescent="0.3">
      <c r="A15" s="1170"/>
      <c r="B15" s="579" t="s">
        <v>407</v>
      </c>
      <c r="C15" s="1295"/>
      <c r="D15" s="1201"/>
      <c r="E15" s="1201"/>
      <c r="F15" s="1240"/>
      <c r="G15" s="425">
        <v>0</v>
      </c>
      <c r="H15" s="580"/>
      <c r="I15" s="581">
        <v>1</v>
      </c>
      <c r="J15" s="580">
        <v>0</v>
      </c>
      <c r="K15" s="581">
        <v>2</v>
      </c>
      <c r="L15" s="580">
        <v>0</v>
      </c>
      <c r="M15" s="580">
        <v>0</v>
      </c>
      <c r="N15" s="580">
        <v>0</v>
      </c>
      <c r="O15" s="580">
        <v>0</v>
      </c>
      <c r="P15" s="581">
        <v>0</v>
      </c>
      <c r="Q15" s="580">
        <v>0</v>
      </c>
      <c r="R15" s="582">
        <v>0</v>
      </c>
      <c r="S15" s="581"/>
      <c r="T15" s="581">
        <v>0</v>
      </c>
      <c r="U15" s="583">
        <v>0</v>
      </c>
      <c r="V15" s="584"/>
      <c r="W15" s="556">
        <v>5</v>
      </c>
      <c r="X15" s="556">
        <v>0</v>
      </c>
      <c r="Y15" s="585">
        <v>0</v>
      </c>
      <c r="Z15" s="586">
        <v>9</v>
      </c>
      <c r="AA15" s="661"/>
      <c r="AB15" s="662">
        <v>0</v>
      </c>
      <c r="AC15" s="536">
        <f t="shared" si="0"/>
        <v>17</v>
      </c>
      <c r="AD15" s="422"/>
      <c r="AE15" s="410"/>
      <c r="AF15" s="410"/>
      <c r="AG15" s="410"/>
      <c r="AH15" s="411"/>
      <c r="AI15" s="411"/>
    </row>
    <row r="16" spans="1:35" ht="24" customHeight="1" x14ac:dyDescent="0.3">
      <c r="A16" s="1170"/>
      <c r="B16" s="579" t="s">
        <v>408</v>
      </c>
      <c r="C16" s="1295"/>
      <c r="D16" s="1201"/>
      <c r="E16" s="1201"/>
      <c r="F16" s="1240"/>
      <c r="G16" s="663">
        <v>8</v>
      </c>
      <c r="H16" s="425">
        <v>11</v>
      </c>
      <c r="I16" s="542">
        <v>19</v>
      </c>
      <c r="J16" s="425">
        <v>0</v>
      </c>
      <c r="K16" s="542">
        <v>0</v>
      </c>
      <c r="L16" s="425">
        <v>12</v>
      </c>
      <c r="M16" s="418">
        <v>4</v>
      </c>
      <c r="N16" s="425">
        <v>14</v>
      </c>
      <c r="O16" s="541">
        <v>11</v>
      </c>
      <c r="P16" s="418">
        <v>8</v>
      </c>
      <c r="Q16" s="541">
        <v>17</v>
      </c>
      <c r="R16" s="418">
        <v>0</v>
      </c>
      <c r="S16" s="418"/>
      <c r="T16" s="418">
        <v>19</v>
      </c>
      <c r="U16" s="419">
        <v>0</v>
      </c>
      <c r="V16" s="571">
        <v>42</v>
      </c>
      <c r="W16" s="538">
        <v>9</v>
      </c>
      <c r="X16" s="538">
        <v>17</v>
      </c>
      <c r="Y16" s="538">
        <v>25</v>
      </c>
      <c r="Z16" s="588">
        <v>18</v>
      </c>
      <c r="AA16" s="660"/>
      <c r="AB16" s="577">
        <v>4</v>
      </c>
      <c r="AC16" s="536">
        <f t="shared" si="0"/>
        <v>238</v>
      </c>
      <c r="AD16" s="422"/>
      <c r="AE16" s="410"/>
      <c r="AF16" s="410"/>
      <c r="AG16" s="410"/>
      <c r="AH16" s="411"/>
      <c r="AI16" s="411"/>
    </row>
    <row r="17" spans="1:35" ht="25.5" customHeight="1" x14ac:dyDescent="0.3">
      <c r="A17" s="1170"/>
      <c r="B17" s="579" t="s">
        <v>409</v>
      </c>
      <c r="C17" s="1295"/>
      <c r="D17" s="1201"/>
      <c r="E17" s="1201"/>
      <c r="F17" s="1240"/>
      <c r="G17" s="664">
        <v>12</v>
      </c>
      <c r="H17" s="425">
        <v>23</v>
      </c>
      <c r="I17" s="542">
        <v>14</v>
      </c>
      <c r="J17" s="425">
        <v>0</v>
      </c>
      <c r="K17" s="542">
        <v>4</v>
      </c>
      <c r="L17" s="425">
        <v>7</v>
      </c>
      <c r="M17" s="418">
        <v>6</v>
      </c>
      <c r="N17" s="425">
        <v>10</v>
      </c>
      <c r="O17" s="541">
        <v>7</v>
      </c>
      <c r="P17" s="418">
        <v>7</v>
      </c>
      <c r="Q17" s="541">
        <v>14</v>
      </c>
      <c r="R17" s="418">
        <v>0</v>
      </c>
      <c r="S17" s="418"/>
      <c r="T17" s="418">
        <v>17</v>
      </c>
      <c r="U17" s="419">
        <v>0</v>
      </c>
      <c r="V17" s="571">
        <v>23</v>
      </c>
      <c r="W17" s="538">
        <v>13</v>
      </c>
      <c r="X17" s="538">
        <v>5</v>
      </c>
      <c r="Y17" s="538">
        <v>12</v>
      </c>
      <c r="Z17" s="588">
        <v>11</v>
      </c>
      <c r="AA17" s="660"/>
      <c r="AB17" s="577">
        <v>13</v>
      </c>
      <c r="AC17" s="536">
        <f t="shared" si="0"/>
        <v>198</v>
      </c>
      <c r="AD17" s="422"/>
      <c r="AE17" s="410"/>
      <c r="AF17" s="410"/>
      <c r="AG17" s="410"/>
      <c r="AH17" s="411"/>
      <c r="AI17" s="411"/>
    </row>
    <row r="18" spans="1:35" ht="23.25" customHeight="1" x14ac:dyDescent="0.3">
      <c r="A18" s="1170"/>
      <c r="B18" s="579" t="s">
        <v>413</v>
      </c>
      <c r="C18" s="1295"/>
      <c r="D18" s="1201"/>
      <c r="E18" s="1201"/>
      <c r="F18" s="1240"/>
      <c r="G18" s="665">
        <v>11</v>
      </c>
      <c r="H18" s="541">
        <v>26</v>
      </c>
      <c r="I18" s="418">
        <v>15</v>
      </c>
      <c r="J18" s="425">
        <v>0</v>
      </c>
      <c r="K18" s="542">
        <v>25</v>
      </c>
      <c r="L18" s="541">
        <v>20</v>
      </c>
      <c r="M18" s="418">
        <v>38</v>
      </c>
      <c r="N18" s="425">
        <v>37</v>
      </c>
      <c r="O18" s="541">
        <v>16</v>
      </c>
      <c r="P18" s="418">
        <v>35</v>
      </c>
      <c r="Q18" s="541">
        <v>14</v>
      </c>
      <c r="R18" s="418">
        <v>0</v>
      </c>
      <c r="S18" s="542">
        <v>23</v>
      </c>
      <c r="T18" s="418">
        <v>17</v>
      </c>
      <c r="U18" s="419">
        <v>0</v>
      </c>
      <c r="V18" s="571">
        <v>15</v>
      </c>
      <c r="W18" s="538">
        <v>42</v>
      </c>
      <c r="X18" s="538">
        <v>4</v>
      </c>
      <c r="Y18" s="538">
        <v>24</v>
      </c>
      <c r="Z18" s="588">
        <v>17</v>
      </c>
      <c r="AA18" s="660"/>
      <c r="AB18" s="577">
        <v>8</v>
      </c>
      <c r="AC18" s="536">
        <f t="shared" si="0"/>
        <v>387</v>
      </c>
      <c r="AD18" s="422"/>
      <c r="AE18" s="410"/>
      <c r="AF18" s="410"/>
      <c r="AG18" s="410"/>
      <c r="AH18" s="411"/>
      <c r="AI18" s="411"/>
    </row>
    <row r="19" spans="1:35" ht="21" customHeight="1" x14ac:dyDescent="0.3">
      <c r="A19" s="1170"/>
      <c r="B19" s="579" t="s">
        <v>414</v>
      </c>
      <c r="C19" s="1295"/>
      <c r="D19" s="1201"/>
      <c r="E19" s="1201"/>
      <c r="F19" s="1240"/>
      <c r="G19" s="664">
        <v>33</v>
      </c>
      <c r="H19" s="425">
        <v>30</v>
      </c>
      <c r="I19" s="418">
        <v>12</v>
      </c>
      <c r="J19" s="425">
        <v>0</v>
      </c>
      <c r="K19" s="418">
        <v>20</v>
      </c>
      <c r="L19" s="425">
        <v>15</v>
      </c>
      <c r="M19" s="418">
        <v>42</v>
      </c>
      <c r="N19" s="425">
        <v>26</v>
      </c>
      <c r="O19" s="541">
        <v>24</v>
      </c>
      <c r="P19" s="418">
        <v>40</v>
      </c>
      <c r="Q19" s="541">
        <v>15</v>
      </c>
      <c r="R19" s="418">
        <v>0</v>
      </c>
      <c r="S19" s="542">
        <v>19</v>
      </c>
      <c r="T19" s="418">
        <v>22</v>
      </c>
      <c r="U19" s="419">
        <v>0</v>
      </c>
      <c r="V19" s="571">
        <v>10</v>
      </c>
      <c r="W19" s="538">
        <v>26</v>
      </c>
      <c r="X19" s="538">
        <v>28</v>
      </c>
      <c r="Y19" s="538">
        <v>21</v>
      </c>
      <c r="Z19" s="588">
        <v>18</v>
      </c>
      <c r="AA19" s="660"/>
      <c r="AB19" s="577">
        <v>9</v>
      </c>
      <c r="AC19" s="536">
        <f t="shared" si="0"/>
        <v>410</v>
      </c>
      <c r="AD19" s="422"/>
      <c r="AE19" s="410"/>
      <c r="AF19" s="410"/>
      <c r="AG19" s="410"/>
      <c r="AH19" s="411"/>
      <c r="AI19" s="411"/>
    </row>
    <row r="20" spans="1:35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f t="shared" ref="G20:Y20" si="2">SUM(G16:G19)</f>
        <v>64</v>
      </c>
      <c r="H20" s="590">
        <f t="shared" si="2"/>
        <v>90</v>
      </c>
      <c r="I20" s="590">
        <f t="shared" si="2"/>
        <v>60</v>
      </c>
      <c r="J20" s="590">
        <f t="shared" si="2"/>
        <v>0</v>
      </c>
      <c r="K20" s="590">
        <f t="shared" si="2"/>
        <v>49</v>
      </c>
      <c r="L20" s="590">
        <f t="shared" si="2"/>
        <v>54</v>
      </c>
      <c r="M20" s="590">
        <f t="shared" si="2"/>
        <v>90</v>
      </c>
      <c r="N20" s="590">
        <f t="shared" si="2"/>
        <v>87</v>
      </c>
      <c r="O20" s="590">
        <f t="shared" si="2"/>
        <v>58</v>
      </c>
      <c r="P20" s="590">
        <f t="shared" si="2"/>
        <v>90</v>
      </c>
      <c r="Q20" s="590">
        <f t="shared" si="2"/>
        <v>60</v>
      </c>
      <c r="R20" s="590">
        <f t="shared" si="2"/>
        <v>0</v>
      </c>
      <c r="S20" s="590">
        <f t="shared" si="2"/>
        <v>42</v>
      </c>
      <c r="T20" s="590">
        <f t="shared" si="2"/>
        <v>75</v>
      </c>
      <c r="U20" s="590">
        <f t="shared" si="2"/>
        <v>0</v>
      </c>
      <c r="V20" s="590">
        <f t="shared" si="2"/>
        <v>90</v>
      </c>
      <c r="W20" s="590">
        <f t="shared" si="2"/>
        <v>90</v>
      </c>
      <c r="X20" s="666">
        <f t="shared" si="2"/>
        <v>54</v>
      </c>
      <c r="Y20" s="666">
        <f t="shared" si="2"/>
        <v>82</v>
      </c>
      <c r="Z20" s="666">
        <f>SUM(Z16+Z17+Z18+Z19)</f>
        <v>64</v>
      </c>
      <c r="AA20" s="666">
        <f>SUM(AA16:AA19)</f>
        <v>0</v>
      </c>
      <c r="AB20" s="458">
        <f>SUM(AB16+AB17+AB18+AB19)</f>
        <v>34</v>
      </c>
      <c r="AC20" s="667">
        <f t="shared" si="0"/>
        <v>1233</v>
      </c>
      <c r="AD20" s="422"/>
      <c r="AE20" s="410"/>
      <c r="AF20" s="410"/>
      <c r="AG20" s="410"/>
      <c r="AH20" s="411"/>
      <c r="AI20" s="410"/>
    </row>
    <row r="21" spans="1:35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467"/>
      <c r="H21" s="425"/>
      <c r="I21" s="425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571"/>
      <c r="W21" s="549"/>
      <c r="X21" s="538"/>
      <c r="Y21" s="532"/>
      <c r="Z21" s="593"/>
      <c r="AA21" s="668"/>
      <c r="AB21" s="593"/>
      <c r="AC21" s="536">
        <f t="shared" si="0"/>
        <v>0</v>
      </c>
      <c r="AD21" s="422"/>
      <c r="AE21" s="410"/>
      <c r="AF21" s="410"/>
      <c r="AG21" s="410"/>
      <c r="AH21" s="411"/>
      <c r="AI21" s="411"/>
    </row>
    <row r="22" spans="1:35" ht="18.75" customHeight="1" x14ac:dyDescent="0.3">
      <c r="A22" s="1170"/>
      <c r="B22" s="1329"/>
      <c r="C22" s="1257" t="s">
        <v>419</v>
      </c>
      <c r="D22" s="1247"/>
      <c r="E22" s="1247"/>
      <c r="F22" s="1247"/>
      <c r="G22" s="469"/>
      <c r="H22" s="470"/>
      <c r="I22" s="470"/>
      <c r="J22" s="470"/>
      <c r="K22" s="470">
        <v>0</v>
      </c>
      <c r="L22" s="425"/>
      <c r="M22" s="425"/>
      <c r="N22" s="425">
        <v>2</v>
      </c>
      <c r="O22" s="425"/>
      <c r="P22" s="425"/>
      <c r="Q22" s="425"/>
      <c r="R22" s="425"/>
      <c r="S22" s="425"/>
      <c r="T22" s="425"/>
      <c r="U22" s="425">
        <v>0</v>
      </c>
      <c r="V22" s="538">
        <v>5</v>
      </c>
      <c r="W22" s="549"/>
      <c r="X22" s="549"/>
      <c r="Y22" s="532"/>
      <c r="Z22" s="593"/>
      <c r="AA22" s="668"/>
      <c r="AB22" s="593"/>
      <c r="AC22" s="536">
        <f t="shared" si="0"/>
        <v>7</v>
      </c>
      <c r="AD22" s="422"/>
      <c r="AE22" s="410"/>
      <c r="AF22" s="410"/>
      <c r="AG22" s="410"/>
      <c r="AH22" s="411"/>
      <c r="AI22" s="411"/>
    </row>
    <row r="23" spans="1:35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595">
        <v>150</v>
      </c>
      <c r="I23" s="595">
        <v>100</v>
      </c>
      <c r="J23" s="596">
        <v>100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600">
        <v>0</v>
      </c>
      <c r="V23" s="599">
        <v>150</v>
      </c>
      <c r="W23" s="599">
        <v>150</v>
      </c>
      <c r="X23" s="599">
        <v>150</v>
      </c>
      <c r="Y23" s="601">
        <v>150</v>
      </c>
      <c r="Z23" s="602">
        <v>150</v>
      </c>
      <c r="AA23" s="602">
        <v>150</v>
      </c>
      <c r="AB23" s="601">
        <v>150</v>
      </c>
      <c r="AC23" s="536">
        <f t="shared" si="0"/>
        <v>3150</v>
      </c>
      <c r="AD23" s="422"/>
      <c r="AE23" s="410"/>
      <c r="AF23" s="410"/>
      <c r="AG23" s="410"/>
      <c r="AH23" s="411"/>
      <c r="AI23" s="411"/>
    </row>
    <row r="24" spans="1:35" ht="20.25" customHeight="1" x14ac:dyDescent="0.3">
      <c r="A24" s="1171"/>
      <c r="B24" s="1319"/>
      <c r="C24" s="1304" t="s">
        <v>419</v>
      </c>
      <c r="D24" s="1260"/>
      <c r="E24" s="1260"/>
      <c r="F24" s="1260"/>
      <c r="G24" s="603">
        <v>70</v>
      </c>
      <c r="H24" s="604">
        <v>90</v>
      </c>
      <c r="I24" s="605">
        <v>73</v>
      </c>
      <c r="J24" s="605">
        <v>36</v>
      </c>
      <c r="K24" s="606">
        <v>28</v>
      </c>
      <c r="L24" s="607">
        <v>50</v>
      </c>
      <c r="M24" s="608">
        <v>92</v>
      </c>
      <c r="N24" s="608">
        <v>57</v>
      </c>
      <c r="O24" s="608">
        <v>90</v>
      </c>
      <c r="P24" s="669">
        <v>95</v>
      </c>
      <c r="Q24" s="610">
        <v>63</v>
      </c>
      <c r="R24" s="610">
        <v>53</v>
      </c>
      <c r="S24" s="610">
        <v>75</v>
      </c>
      <c r="T24" s="610">
        <v>69</v>
      </c>
      <c r="U24" s="611">
        <v>0</v>
      </c>
      <c r="V24" s="612">
        <v>148</v>
      </c>
      <c r="W24" s="612">
        <v>30</v>
      </c>
      <c r="X24" s="612">
        <v>70</v>
      </c>
      <c r="Y24" s="612">
        <v>144</v>
      </c>
      <c r="Z24" s="612">
        <v>100</v>
      </c>
      <c r="AA24" s="612">
        <v>75</v>
      </c>
      <c r="AB24" s="612">
        <v>119</v>
      </c>
      <c r="AC24" s="613">
        <f t="shared" si="0"/>
        <v>1627</v>
      </c>
      <c r="AD24" s="422"/>
      <c r="AE24" s="410"/>
      <c r="AF24" s="410"/>
      <c r="AG24" s="410"/>
      <c r="AH24" s="411"/>
      <c r="AI24" s="411"/>
    </row>
    <row r="25" spans="1:35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541"/>
      <c r="H25" s="425"/>
      <c r="I25" s="418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571"/>
      <c r="W25" s="549"/>
      <c r="X25" s="549"/>
      <c r="Y25" s="532"/>
      <c r="Z25" s="593"/>
      <c r="AA25" s="593"/>
      <c r="AB25" s="593"/>
      <c r="AC25" s="536">
        <f t="shared" si="0"/>
        <v>0</v>
      </c>
      <c r="AD25" s="422"/>
      <c r="AE25" s="410"/>
      <c r="AF25" s="410"/>
      <c r="AG25" s="410"/>
      <c r="AH25" s="411"/>
      <c r="AI25" s="411"/>
    </row>
    <row r="26" spans="1:35" ht="18.75" customHeight="1" x14ac:dyDescent="0.3">
      <c r="A26" s="1273"/>
      <c r="B26" s="1263"/>
      <c r="C26" s="1291" t="s">
        <v>419</v>
      </c>
      <c r="D26" s="1178"/>
      <c r="E26" s="1178"/>
      <c r="F26" s="1179"/>
      <c r="G26" s="541">
        <v>20</v>
      </c>
      <c r="H26" s="541">
        <v>112</v>
      </c>
      <c r="I26" s="418">
        <v>40</v>
      </c>
      <c r="J26" s="467"/>
      <c r="K26" s="467"/>
      <c r="L26" s="467"/>
      <c r="M26" s="425"/>
      <c r="N26" s="541"/>
      <c r="O26" s="541"/>
      <c r="P26" s="540">
        <v>135</v>
      </c>
      <c r="Q26" s="541"/>
      <c r="R26" s="492"/>
      <c r="S26" s="492"/>
      <c r="T26" s="492"/>
      <c r="U26" s="419">
        <v>0</v>
      </c>
      <c r="V26" s="571"/>
      <c r="W26" s="549"/>
      <c r="X26" s="549"/>
      <c r="Y26" s="532"/>
      <c r="Z26" s="593"/>
      <c r="AA26" s="593"/>
      <c r="AB26" s="593"/>
      <c r="AC26" s="536">
        <f t="shared" si="0"/>
        <v>307</v>
      </c>
      <c r="AD26" s="422"/>
      <c r="AE26" s="410"/>
      <c r="AF26" s="410"/>
      <c r="AG26" s="410"/>
      <c r="AH26" s="411"/>
      <c r="AI26" s="411"/>
    </row>
    <row r="27" spans="1:35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541"/>
      <c r="H27" s="425"/>
      <c r="I27" s="418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571"/>
      <c r="W27" s="549"/>
      <c r="X27" s="549"/>
      <c r="Y27" s="532"/>
      <c r="Z27" s="593"/>
      <c r="AA27" s="593"/>
      <c r="AB27" s="593"/>
      <c r="AC27" s="536">
        <f t="shared" si="0"/>
        <v>0</v>
      </c>
      <c r="AD27" s="422"/>
      <c r="AE27" s="410"/>
      <c r="AF27" s="410"/>
      <c r="AG27" s="410"/>
      <c r="AH27" s="411"/>
      <c r="AI27" s="411"/>
    </row>
    <row r="28" spans="1:35" ht="18.75" customHeight="1" x14ac:dyDescent="0.3">
      <c r="A28" s="1273"/>
      <c r="B28" s="1167"/>
      <c r="C28" s="1291" t="s">
        <v>419</v>
      </c>
      <c r="D28" s="1178"/>
      <c r="E28" s="1178"/>
      <c r="F28" s="1179"/>
      <c r="G28" s="541"/>
      <c r="H28" s="541">
        <v>57</v>
      </c>
      <c r="I28" s="418"/>
      <c r="J28" s="467"/>
      <c r="K28" s="467"/>
      <c r="L28" s="541"/>
      <c r="M28" s="425"/>
      <c r="N28" s="541"/>
      <c r="O28" s="541"/>
      <c r="P28" s="540">
        <v>15</v>
      </c>
      <c r="Q28" s="425"/>
      <c r="R28" s="492"/>
      <c r="S28" s="492"/>
      <c r="T28" s="492"/>
      <c r="U28" s="419"/>
      <c r="V28" s="571"/>
      <c r="W28" s="549"/>
      <c r="X28" s="549"/>
      <c r="Y28" s="532"/>
      <c r="Z28" s="593"/>
      <c r="AA28" s="593"/>
      <c r="AB28" s="593"/>
      <c r="AC28" s="536">
        <f t="shared" si="0"/>
        <v>72</v>
      </c>
      <c r="AD28" s="422"/>
      <c r="AE28" s="410"/>
      <c r="AF28" s="410"/>
      <c r="AG28" s="410"/>
      <c r="AH28" s="411"/>
      <c r="AI28" s="411"/>
    </row>
    <row r="29" spans="1:35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541"/>
      <c r="H29" s="425"/>
      <c r="I29" s="418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571"/>
      <c r="W29" s="549"/>
      <c r="X29" s="549"/>
      <c r="Y29" s="532"/>
      <c r="Z29" s="593"/>
      <c r="AA29" s="593"/>
      <c r="AB29" s="593"/>
      <c r="AC29" s="536">
        <f t="shared" si="0"/>
        <v>0</v>
      </c>
      <c r="AD29" s="422"/>
      <c r="AE29" s="410"/>
      <c r="AF29" s="410"/>
      <c r="AG29" s="410"/>
      <c r="AH29" s="411"/>
      <c r="AI29" s="411"/>
    </row>
    <row r="30" spans="1:35" ht="31.5" customHeight="1" x14ac:dyDescent="0.3">
      <c r="A30" s="1273"/>
      <c r="B30" s="1189"/>
      <c r="C30" s="1291" t="s">
        <v>419</v>
      </c>
      <c r="D30" s="1178"/>
      <c r="E30" s="1178"/>
      <c r="F30" s="1179"/>
      <c r="G30" s="541">
        <v>20</v>
      </c>
      <c r="H30" s="541">
        <v>28</v>
      </c>
      <c r="I30" s="418"/>
      <c r="J30" s="467"/>
      <c r="K30" s="467"/>
      <c r="L30" s="467"/>
      <c r="M30" s="541"/>
      <c r="N30" s="541">
        <v>174</v>
      </c>
      <c r="O30" s="541"/>
      <c r="P30" s="540">
        <v>30</v>
      </c>
      <c r="Q30" s="541"/>
      <c r="R30" s="492"/>
      <c r="S30" s="492"/>
      <c r="T30" s="492"/>
      <c r="U30" s="419"/>
      <c r="V30" s="571"/>
      <c r="W30" s="549"/>
      <c r="X30" s="549"/>
      <c r="Y30" s="532"/>
      <c r="Z30" s="593"/>
      <c r="AA30" s="593"/>
      <c r="AB30" s="593"/>
      <c r="AC30" s="536">
        <f t="shared" si="0"/>
        <v>252</v>
      </c>
      <c r="AD30" s="422"/>
      <c r="AE30" s="410"/>
      <c r="AF30" s="410"/>
      <c r="AG30" s="410"/>
      <c r="AH30" s="411"/>
      <c r="AI30" s="411"/>
    </row>
    <row r="31" spans="1:35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541"/>
      <c r="H31" s="425"/>
      <c r="I31" s="418"/>
      <c r="J31" s="467"/>
      <c r="K31" s="467"/>
      <c r="L31" s="467"/>
      <c r="M31" s="425"/>
      <c r="N31" s="541">
        <v>0</v>
      </c>
      <c r="O31" s="541"/>
      <c r="P31" s="424"/>
      <c r="Q31" s="425"/>
      <c r="R31" s="492"/>
      <c r="S31" s="492"/>
      <c r="T31" s="492"/>
      <c r="U31" s="419">
        <v>0</v>
      </c>
      <c r="V31" s="571"/>
      <c r="W31" s="549"/>
      <c r="X31" s="549"/>
      <c r="Y31" s="532"/>
      <c r="Z31" s="593"/>
      <c r="AA31" s="593"/>
      <c r="AB31" s="593"/>
      <c r="AC31" s="536">
        <f t="shared" si="0"/>
        <v>0</v>
      </c>
      <c r="AD31" s="422"/>
      <c r="AE31" s="410"/>
      <c r="AF31" s="410"/>
      <c r="AG31" s="410"/>
      <c r="AH31" s="411"/>
      <c r="AI31" s="411"/>
    </row>
    <row r="32" spans="1:35" ht="18.75" customHeight="1" x14ac:dyDescent="0.3">
      <c r="A32" s="1273"/>
      <c r="B32" s="1189"/>
      <c r="C32" s="1291" t="s">
        <v>419</v>
      </c>
      <c r="D32" s="1178"/>
      <c r="E32" s="1178"/>
      <c r="F32" s="1179"/>
      <c r="G32" s="541">
        <v>15</v>
      </c>
      <c r="H32" s="425"/>
      <c r="I32" s="542"/>
      <c r="J32" s="467"/>
      <c r="K32" s="467"/>
      <c r="L32" s="467"/>
      <c r="M32" s="425"/>
      <c r="N32" s="541">
        <v>0</v>
      </c>
      <c r="O32" s="541"/>
      <c r="P32" s="424"/>
      <c r="Q32" s="541"/>
      <c r="R32" s="467"/>
      <c r="S32" s="468"/>
      <c r="T32" s="468"/>
      <c r="U32" s="419">
        <v>0</v>
      </c>
      <c r="V32" s="571"/>
      <c r="W32" s="549"/>
      <c r="X32" s="549"/>
      <c r="Y32" s="532"/>
      <c r="Z32" s="593"/>
      <c r="AA32" s="593"/>
      <c r="AB32" s="593"/>
      <c r="AC32" s="536">
        <f t="shared" si="0"/>
        <v>15</v>
      </c>
      <c r="AD32" s="422"/>
      <c r="AE32" s="410"/>
      <c r="AF32" s="410"/>
      <c r="AG32" s="410"/>
      <c r="AH32" s="411"/>
      <c r="AI32" s="411"/>
    </row>
    <row r="33" spans="1:35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59">
        <v>120</v>
      </c>
      <c r="H33" s="459">
        <v>180</v>
      </c>
      <c r="I33" s="459">
        <v>120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612">
        <v>0</v>
      </c>
      <c r="V33" s="612">
        <v>180</v>
      </c>
      <c r="W33" s="612">
        <v>180</v>
      </c>
      <c r="X33" s="612">
        <v>180</v>
      </c>
      <c r="Y33" s="612">
        <v>180</v>
      </c>
      <c r="Z33" s="612">
        <v>180</v>
      </c>
      <c r="AA33" s="612">
        <v>180</v>
      </c>
      <c r="AB33" s="612">
        <v>180</v>
      </c>
      <c r="AC33" s="536">
        <f t="shared" si="0"/>
        <v>3300</v>
      </c>
      <c r="AD33" s="422"/>
      <c r="AE33" s="410"/>
      <c r="AF33" s="410"/>
      <c r="AG33" s="410"/>
      <c r="AH33" s="411"/>
      <c r="AI33" s="411"/>
    </row>
    <row r="34" spans="1:35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>
        <v>100</v>
      </c>
      <c r="H34" s="615">
        <v>123</v>
      </c>
      <c r="I34" s="615">
        <v>85</v>
      </c>
      <c r="J34" s="615">
        <f>SUM(J26+J28+J30+J32)</f>
        <v>0</v>
      </c>
      <c r="K34" s="615">
        <v>49</v>
      </c>
      <c r="L34" s="615">
        <v>54</v>
      </c>
      <c r="M34" s="615">
        <v>142</v>
      </c>
      <c r="N34" s="615">
        <f>SUM(N26+N28+N30+N32)</f>
        <v>174</v>
      </c>
      <c r="O34" s="615">
        <v>58</v>
      </c>
      <c r="P34" s="615">
        <v>180</v>
      </c>
      <c r="Q34" s="615">
        <v>101</v>
      </c>
      <c r="R34" s="615">
        <f>SUM(R26+R28+R30+R32)</f>
        <v>0</v>
      </c>
      <c r="S34" s="615">
        <v>99</v>
      </c>
      <c r="T34" s="615">
        <v>78</v>
      </c>
      <c r="U34" s="612">
        <f>SUM(U26+U28+U30+U32)</f>
        <v>0</v>
      </c>
      <c r="V34" s="612">
        <v>180</v>
      </c>
      <c r="W34" s="612">
        <v>160</v>
      </c>
      <c r="X34" s="612">
        <v>110</v>
      </c>
      <c r="Y34" s="612">
        <v>170</v>
      </c>
      <c r="Z34" s="612">
        <v>134</v>
      </c>
      <c r="AA34" s="612">
        <v>0</v>
      </c>
      <c r="AB34" s="612">
        <v>119</v>
      </c>
      <c r="AC34" s="613">
        <f t="shared" si="0"/>
        <v>2116</v>
      </c>
      <c r="AD34" s="422"/>
      <c r="AE34" s="410"/>
      <c r="AF34" s="410"/>
      <c r="AG34" s="410"/>
      <c r="AH34" s="411"/>
      <c r="AI34" s="411"/>
    </row>
    <row r="35" spans="1:35" ht="18.75" customHeight="1" x14ac:dyDescent="0.25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425"/>
      <c r="H35" s="425"/>
      <c r="I35" s="425"/>
      <c r="J35" s="425"/>
      <c r="K35" s="425"/>
      <c r="L35" s="425"/>
      <c r="M35" s="425"/>
      <c r="N35" s="425"/>
      <c r="O35" s="425"/>
      <c r="P35" s="425"/>
      <c r="Q35" s="425"/>
      <c r="R35" s="425"/>
      <c r="S35" s="425"/>
      <c r="T35" s="425"/>
      <c r="U35" s="425"/>
      <c r="V35" s="571"/>
      <c r="W35" s="549"/>
      <c r="X35" s="549"/>
      <c r="Y35" s="532"/>
      <c r="Z35" s="593"/>
      <c r="AA35" s="593"/>
      <c r="AB35" s="593"/>
      <c r="AC35" s="536">
        <f t="shared" si="0"/>
        <v>0</v>
      </c>
      <c r="AD35" s="410"/>
      <c r="AE35" s="410"/>
      <c r="AF35" s="410"/>
      <c r="AG35" s="410"/>
      <c r="AH35" s="411"/>
      <c r="AI35" s="411"/>
    </row>
    <row r="36" spans="1:35" ht="36.75" customHeight="1" x14ac:dyDescent="0.25">
      <c r="A36" s="1249"/>
      <c r="B36" s="1265"/>
      <c r="C36" s="1278" t="s">
        <v>419</v>
      </c>
      <c r="D36" s="1279"/>
      <c r="E36" s="1279"/>
      <c r="F36" s="1279"/>
      <c r="G36" s="616"/>
      <c r="H36" s="617"/>
      <c r="I36" s="617"/>
      <c r="J36" s="617"/>
      <c r="K36" s="617"/>
      <c r="L36" s="617"/>
      <c r="M36" s="617"/>
      <c r="N36" s="618">
        <v>15</v>
      </c>
      <c r="O36" s="617"/>
      <c r="P36" s="617"/>
      <c r="Q36" s="618"/>
      <c r="R36" s="617"/>
      <c r="S36" s="617"/>
      <c r="T36" s="617"/>
      <c r="U36" s="619"/>
      <c r="V36" s="620"/>
      <c r="W36" s="621"/>
      <c r="X36" s="621"/>
      <c r="Y36" s="622"/>
      <c r="Z36" s="623"/>
      <c r="AA36" s="623"/>
      <c r="AB36" s="623"/>
      <c r="AC36" s="536">
        <f t="shared" si="0"/>
        <v>15</v>
      </c>
      <c r="AD36" s="410"/>
      <c r="AE36" s="410"/>
      <c r="AF36" s="410"/>
      <c r="AG36" s="410"/>
      <c r="AH36" s="411"/>
      <c r="AI36" s="411"/>
    </row>
    <row r="37" spans="1:35" ht="18.75" customHeight="1" x14ac:dyDescent="0.25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501"/>
      <c r="H37" s="501"/>
      <c r="I37" s="562"/>
      <c r="J37" s="501"/>
      <c r="K37" s="501"/>
      <c r="L37" s="501"/>
      <c r="M37" s="624"/>
      <c r="N37" s="562"/>
      <c r="O37" s="501"/>
      <c r="P37" s="501"/>
      <c r="Q37" s="562"/>
      <c r="R37" s="562"/>
      <c r="S37" s="562"/>
      <c r="T37" s="625"/>
      <c r="U37" s="626"/>
      <c r="V37" s="627"/>
      <c r="W37" s="628"/>
      <c r="X37" s="628"/>
      <c r="Y37" s="629"/>
      <c r="Z37" s="630"/>
      <c r="AA37" s="630"/>
      <c r="AB37" s="630"/>
      <c r="AC37" s="536">
        <f t="shared" si="0"/>
        <v>0</v>
      </c>
      <c r="AD37" s="410"/>
      <c r="AE37" s="410"/>
      <c r="AF37" s="410"/>
      <c r="AG37" s="410"/>
      <c r="AH37" s="411"/>
      <c r="AI37" s="411"/>
    </row>
    <row r="38" spans="1:35" ht="18.75" customHeight="1" x14ac:dyDescent="0.25">
      <c r="A38" s="1254"/>
      <c r="B38" s="1165"/>
      <c r="C38" s="1291" t="s">
        <v>419</v>
      </c>
      <c r="D38" s="1178"/>
      <c r="E38" s="1178"/>
      <c r="F38" s="1179"/>
      <c r="G38" s="468"/>
      <c r="H38" s="468"/>
      <c r="I38" s="542"/>
      <c r="J38" s="468"/>
      <c r="K38" s="468"/>
      <c r="L38" s="468"/>
      <c r="M38" s="418"/>
      <c r="N38" s="562">
        <v>1</v>
      </c>
      <c r="O38" s="468"/>
      <c r="P38" s="468"/>
      <c r="Q38" s="562"/>
      <c r="R38" s="562"/>
      <c r="S38" s="562"/>
      <c r="T38" s="562"/>
      <c r="U38" s="541"/>
      <c r="V38" s="571"/>
      <c r="W38" s="549"/>
      <c r="X38" s="549"/>
      <c r="Y38" s="532"/>
      <c r="Z38" s="593"/>
      <c r="AA38" s="593"/>
      <c r="AB38" s="593"/>
      <c r="AC38" s="536">
        <f t="shared" si="0"/>
        <v>1</v>
      </c>
      <c r="AD38" s="410"/>
      <c r="AE38" s="410"/>
      <c r="AF38" s="410"/>
      <c r="AG38" s="410"/>
      <c r="AH38" s="411"/>
      <c r="AI38" s="411"/>
    </row>
    <row r="39" spans="1:35" ht="18.75" customHeight="1" x14ac:dyDescent="0.25">
      <c r="A39" s="1254"/>
      <c r="B39" s="1270" t="s">
        <v>428</v>
      </c>
      <c r="C39" s="1291" t="s">
        <v>418</v>
      </c>
      <c r="D39" s="1178"/>
      <c r="E39" s="1178"/>
      <c r="F39" s="1179"/>
      <c r="G39" s="468"/>
      <c r="H39" s="468"/>
      <c r="I39" s="468"/>
      <c r="J39" s="468"/>
      <c r="K39" s="468"/>
      <c r="L39" s="468"/>
      <c r="M39" s="542"/>
      <c r="N39" s="468"/>
      <c r="O39" s="468"/>
      <c r="P39" s="468"/>
      <c r="Q39" s="562"/>
      <c r="R39" s="562"/>
      <c r="S39" s="562"/>
      <c r="T39" s="562"/>
      <c r="U39" s="541"/>
      <c r="V39" s="571"/>
      <c r="W39" s="549"/>
      <c r="X39" s="549"/>
      <c r="Y39" s="532"/>
      <c r="Z39" s="593"/>
      <c r="AA39" s="593"/>
      <c r="AB39" s="593"/>
      <c r="AC39" s="536">
        <f t="shared" si="0"/>
        <v>0</v>
      </c>
      <c r="AD39" s="410"/>
      <c r="AE39" s="410"/>
      <c r="AF39" s="410"/>
      <c r="AG39" s="410"/>
      <c r="AH39" s="411"/>
      <c r="AI39" s="411"/>
    </row>
    <row r="40" spans="1:35" ht="18.75" customHeight="1" x14ac:dyDescent="0.25">
      <c r="A40" s="1254"/>
      <c r="B40" s="1165"/>
      <c r="C40" s="1291" t="s">
        <v>419</v>
      </c>
      <c r="D40" s="1178"/>
      <c r="E40" s="1178"/>
      <c r="F40" s="1179"/>
      <c r="G40" s="468"/>
      <c r="H40" s="468"/>
      <c r="I40" s="468"/>
      <c r="J40" s="468"/>
      <c r="K40" s="468"/>
      <c r="L40" s="468"/>
      <c r="M40" s="542"/>
      <c r="N40" s="468"/>
      <c r="O40" s="468"/>
      <c r="P40" s="468"/>
      <c r="Q40" s="468"/>
      <c r="R40" s="497"/>
      <c r="S40" s="468"/>
      <c r="T40" s="468"/>
      <c r="U40" s="497"/>
      <c r="V40" s="571"/>
      <c r="W40" s="549"/>
      <c r="X40" s="549"/>
      <c r="Y40" s="532"/>
      <c r="Z40" s="593"/>
      <c r="AA40" s="593"/>
      <c r="AB40" s="593"/>
      <c r="AC40" s="536">
        <f t="shared" si="0"/>
        <v>0</v>
      </c>
      <c r="AD40" s="410"/>
      <c r="AE40" s="410"/>
      <c r="AF40" s="410"/>
      <c r="AG40" s="410"/>
      <c r="AH40" s="411"/>
      <c r="AI40" s="411"/>
    </row>
    <row r="41" spans="1:35" ht="18.75" customHeight="1" x14ac:dyDescent="0.25">
      <c r="A41" s="1254"/>
      <c r="B41" s="1270" t="s">
        <v>429</v>
      </c>
      <c r="C41" s="1291" t="s">
        <v>418</v>
      </c>
      <c r="D41" s="1178"/>
      <c r="E41" s="1178"/>
      <c r="F41" s="1179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631"/>
      <c r="S41" s="472"/>
      <c r="T41" s="472"/>
      <c r="U41" s="631"/>
      <c r="V41" s="571"/>
      <c r="W41" s="549"/>
      <c r="X41" s="549"/>
      <c r="Y41" s="532"/>
      <c r="Z41" s="593"/>
      <c r="AA41" s="593"/>
      <c r="AB41" s="593"/>
      <c r="AC41" s="536">
        <f t="shared" si="0"/>
        <v>0</v>
      </c>
      <c r="AD41" s="410"/>
      <c r="AE41" s="410"/>
      <c r="AF41" s="410"/>
      <c r="AG41" s="410"/>
      <c r="AH41" s="411"/>
      <c r="AI41" s="411"/>
    </row>
    <row r="42" spans="1:35" ht="18.75" customHeight="1" x14ac:dyDescent="0.25">
      <c r="A42" s="1254"/>
      <c r="B42" s="1165"/>
      <c r="C42" s="1291" t="s">
        <v>419</v>
      </c>
      <c r="D42" s="1178"/>
      <c r="E42" s="1178"/>
      <c r="F42" s="1179"/>
      <c r="G42" s="468"/>
      <c r="H42" s="468"/>
      <c r="I42" s="468"/>
      <c r="J42" s="468"/>
      <c r="K42" s="468"/>
      <c r="L42" s="468"/>
      <c r="M42" s="468"/>
      <c r="N42" s="504"/>
      <c r="O42" s="468"/>
      <c r="P42" s="542"/>
      <c r="Q42" s="497"/>
      <c r="R42" s="632"/>
      <c r="S42" s="633"/>
      <c r="T42" s="632"/>
      <c r="U42" s="632"/>
      <c r="V42" s="634"/>
      <c r="W42" s="549"/>
      <c r="X42" s="549"/>
      <c r="Y42" s="532"/>
      <c r="Z42" s="593"/>
      <c r="AA42" s="593"/>
      <c r="AB42" s="593"/>
      <c r="AC42" s="536">
        <f t="shared" si="0"/>
        <v>0</v>
      </c>
      <c r="AD42" s="410"/>
      <c r="AE42" s="410"/>
      <c r="AF42" s="410"/>
      <c r="AG42" s="410"/>
      <c r="AH42" s="411"/>
      <c r="AI42" s="411"/>
    </row>
    <row r="43" spans="1:35" ht="18.75" customHeight="1" x14ac:dyDescent="0.25">
      <c r="A43" s="1254"/>
      <c r="B43" s="1270" t="s">
        <v>430</v>
      </c>
      <c r="C43" s="1291" t="s">
        <v>418</v>
      </c>
      <c r="D43" s="1178"/>
      <c r="E43" s="1178"/>
      <c r="F43" s="1179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97"/>
      <c r="R43" s="632"/>
      <c r="S43" s="632"/>
      <c r="T43" s="632"/>
      <c r="U43" s="632"/>
      <c r="V43" s="634"/>
      <c r="W43" s="549"/>
      <c r="X43" s="549"/>
      <c r="Y43" s="532"/>
      <c r="Z43" s="593"/>
      <c r="AA43" s="593"/>
      <c r="AB43" s="593"/>
      <c r="AC43" s="536">
        <f t="shared" si="0"/>
        <v>0</v>
      </c>
      <c r="AD43" s="410"/>
      <c r="AE43" s="410"/>
      <c r="AF43" s="410"/>
      <c r="AG43" s="410"/>
      <c r="AH43" s="411"/>
      <c r="AI43" s="411"/>
    </row>
    <row r="44" spans="1:35" ht="18.75" customHeight="1" x14ac:dyDescent="0.25">
      <c r="A44" s="1255"/>
      <c r="B44" s="1176"/>
      <c r="C44" s="1297" t="s">
        <v>419</v>
      </c>
      <c r="D44" s="1285"/>
      <c r="E44" s="1285"/>
      <c r="F44" s="1286"/>
      <c r="G44" s="506"/>
      <c r="H44" s="506"/>
      <c r="I44" s="506"/>
      <c r="J44" s="506"/>
      <c r="K44" s="506"/>
      <c r="L44" s="506"/>
      <c r="M44" s="506"/>
      <c r="N44" s="506"/>
      <c r="O44" s="506"/>
      <c r="P44" s="506"/>
      <c r="Q44" s="507"/>
      <c r="R44" s="635"/>
      <c r="S44" s="509"/>
      <c r="T44" s="499"/>
      <c r="U44" s="500"/>
      <c r="V44" s="571"/>
      <c r="W44" s="549"/>
      <c r="X44" s="549"/>
      <c r="Y44" s="532"/>
      <c r="Z44" s="593"/>
      <c r="AA44" s="593"/>
      <c r="AB44" s="593"/>
      <c r="AC44" s="536">
        <f t="shared" si="0"/>
        <v>0</v>
      </c>
      <c r="AD44" s="410"/>
      <c r="AE44" s="410"/>
      <c r="AF44" s="410"/>
      <c r="AG44" s="410"/>
      <c r="AH44" s="411"/>
      <c r="AI44" s="411"/>
    </row>
    <row r="45" spans="1:35" ht="18.75" customHeight="1" x14ac:dyDescent="0.3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307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513" t="s">
        <v>111</v>
      </c>
      <c r="V45" s="636" t="s">
        <v>454</v>
      </c>
      <c r="W45" s="636" t="s">
        <v>116</v>
      </c>
      <c r="X45" s="636" t="s">
        <v>80</v>
      </c>
      <c r="Y45" s="636" t="s">
        <v>117</v>
      </c>
      <c r="Z45" s="636" t="s">
        <v>106</v>
      </c>
      <c r="AA45" s="636"/>
      <c r="AB45" s="636" t="s">
        <v>70</v>
      </c>
      <c r="AC45" s="536"/>
      <c r="AD45" s="409"/>
      <c r="AE45" s="409"/>
      <c r="AF45" s="410"/>
      <c r="AG45" s="410"/>
      <c r="AH45" s="411"/>
      <c r="AI45" s="411"/>
    </row>
    <row r="46" spans="1:35" ht="18.75" customHeight="1" x14ac:dyDescent="0.25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571"/>
      <c r="W46" s="549"/>
      <c r="X46" s="549"/>
      <c r="Y46" s="532"/>
      <c r="Z46" s="593"/>
      <c r="AA46" s="593"/>
      <c r="AB46" s="593"/>
      <c r="AC46" s="536">
        <f t="shared" ref="AC46:AC67" si="3">SUM(AB46+AA46+Z46+Y46+X46+W46+V46+U46+T46+S46+R46+Q46+P46+O46+N46+M46+L46+K46+J46+I46+H46+G46)</f>
        <v>0</v>
      </c>
      <c r="AD46" s="410"/>
      <c r="AE46" s="410"/>
      <c r="AF46" s="410"/>
      <c r="AG46" s="410"/>
      <c r="AH46" s="411"/>
      <c r="AI46" s="411"/>
    </row>
    <row r="47" spans="1:35" ht="18.75" customHeight="1" x14ac:dyDescent="0.25">
      <c r="A47" s="1164"/>
      <c r="B47" s="519" t="s">
        <v>433</v>
      </c>
      <c r="C47" s="1295"/>
      <c r="D47" s="1201"/>
      <c r="E47" s="1201"/>
      <c r="F47" s="1173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571"/>
      <c r="W47" s="549"/>
      <c r="X47" s="549"/>
      <c r="Y47" s="532"/>
      <c r="Z47" s="593"/>
      <c r="AA47" s="593"/>
      <c r="AB47" s="593"/>
      <c r="AC47" s="536">
        <f t="shared" si="3"/>
        <v>0</v>
      </c>
      <c r="AD47" s="410"/>
      <c r="AE47" s="410"/>
      <c r="AF47" s="410"/>
      <c r="AG47" s="410"/>
      <c r="AH47" s="411"/>
      <c r="AI47" s="411"/>
    </row>
    <row r="48" spans="1:35" ht="18.75" customHeight="1" x14ac:dyDescent="0.25">
      <c r="A48" s="1164"/>
      <c r="B48" s="519" t="s">
        <v>434</v>
      </c>
      <c r="C48" s="1295"/>
      <c r="D48" s="1201"/>
      <c r="E48" s="1201"/>
      <c r="F48" s="1173"/>
      <c r="G48" s="518"/>
      <c r="H48" s="518"/>
      <c r="I48" s="518"/>
      <c r="J48" s="518"/>
      <c r="K48" s="637"/>
      <c r="L48" s="518"/>
      <c r="M48" s="518"/>
      <c r="N48" s="637">
        <v>1</v>
      </c>
      <c r="O48" s="518"/>
      <c r="P48" s="637">
        <v>1</v>
      </c>
      <c r="Q48" s="518"/>
      <c r="R48" s="418"/>
      <c r="S48" s="418"/>
      <c r="T48" s="418"/>
      <c r="U48" s="420"/>
      <c r="V48" s="571"/>
      <c r="W48" s="549"/>
      <c r="X48" s="549"/>
      <c r="Y48" s="532"/>
      <c r="Z48" s="593"/>
      <c r="AA48" s="593"/>
      <c r="AB48" s="593"/>
      <c r="AC48" s="536">
        <f t="shared" si="3"/>
        <v>2</v>
      </c>
      <c r="AD48" s="410"/>
      <c r="AE48" s="410"/>
      <c r="AF48" s="410"/>
      <c r="AG48" s="410"/>
      <c r="AH48" s="411"/>
      <c r="AI48" s="411"/>
    </row>
    <row r="49" spans="1:35" ht="18.75" customHeight="1" x14ac:dyDescent="0.25">
      <c r="A49" s="1164"/>
      <c r="B49" s="519" t="s">
        <v>435</v>
      </c>
      <c r="C49" s="1295"/>
      <c r="D49" s="1201"/>
      <c r="E49" s="1201"/>
      <c r="F49" s="1173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418"/>
      <c r="S49" s="418"/>
      <c r="T49" s="418"/>
      <c r="U49" s="420"/>
      <c r="V49" s="571"/>
      <c r="W49" s="549"/>
      <c r="X49" s="549"/>
      <c r="Y49" s="532"/>
      <c r="Z49" s="593"/>
      <c r="AA49" s="593"/>
      <c r="AB49" s="593"/>
      <c r="AC49" s="536">
        <f t="shared" si="3"/>
        <v>0</v>
      </c>
      <c r="AD49" s="410"/>
      <c r="AE49" s="410"/>
      <c r="AF49" s="410"/>
      <c r="AG49" s="410"/>
      <c r="AH49" s="411"/>
      <c r="AI49" s="411"/>
    </row>
    <row r="50" spans="1:35" ht="18.75" customHeight="1" x14ac:dyDescent="0.25">
      <c r="A50" s="1164"/>
      <c r="B50" s="519" t="s">
        <v>436</v>
      </c>
      <c r="C50" s="1295"/>
      <c r="D50" s="1201"/>
      <c r="E50" s="1201"/>
      <c r="F50" s="1173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571"/>
      <c r="W50" s="549"/>
      <c r="X50" s="549"/>
      <c r="Y50" s="532"/>
      <c r="Z50" s="593"/>
      <c r="AA50" s="593"/>
      <c r="AB50" s="593"/>
      <c r="AC50" s="536">
        <f t="shared" si="3"/>
        <v>0</v>
      </c>
      <c r="AD50" s="410"/>
      <c r="AE50" s="410"/>
      <c r="AF50" s="410"/>
      <c r="AG50" s="410"/>
      <c r="AH50" s="411"/>
      <c r="AI50" s="411"/>
    </row>
    <row r="51" spans="1:35" ht="18.75" customHeight="1" x14ac:dyDescent="0.25">
      <c r="A51" s="1164"/>
      <c r="B51" s="519" t="s">
        <v>437</v>
      </c>
      <c r="C51" s="1295"/>
      <c r="D51" s="1201"/>
      <c r="E51" s="1201"/>
      <c r="F51" s="1173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571"/>
      <c r="W51" s="549"/>
      <c r="X51" s="549"/>
      <c r="Y51" s="532"/>
      <c r="Z51" s="593"/>
      <c r="AA51" s="593"/>
      <c r="AB51" s="593"/>
      <c r="AC51" s="536">
        <f t="shared" si="3"/>
        <v>0</v>
      </c>
      <c r="AD51" s="410"/>
      <c r="AE51" s="410"/>
      <c r="AF51" s="410"/>
      <c r="AG51" s="410"/>
      <c r="AH51" s="411"/>
      <c r="AI51" s="411"/>
    </row>
    <row r="52" spans="1:35" ht="18.75" customHeight="1" x14ac:dyDescent="0.25">
      <c r="A52" s="1164"/>
      <c r="B52" s="519" t="s">
        <v>438</v>
      </c>
      <c r="C52" s="1295"/>
      <c r="D52" s="1201"/>
      <c r="E52" s="1201"/>
      <c r="F52" s="1173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571"/>
      <c r="W52" s="549"/>
      <c r="X52" s="549"/>
      <c r="Y52" s="532"/>
      <c r="Z52" s="593"/>
      <c r="AA52" s="593"/>
      <c r="AB52" s="593"/>
      <c r="AC52" s="536">
        <f t="shared" si="3"/>
        <v>0</v>
      </c>
      <c r="AD52" s="410"/>
      <c r="AE52" s="410"/>
      <c r="AF52" s="410"/>
      <c r="AG52" s="410"/>
      <c r="AH52" s="411"/>
      <c r="AI52" s="411"/>
    </row>
    <row r="53" spans="1:35" ht="18.75" customHeight="1" x14ac:dyDescent="0.25">
      <c r="A53" s="1164"/>
      <c r="B53" s="519" t="s">
        <v>439</v>
      </c>
      <c r="C53" s="1295"/>
      <c r="D53" s="1201"/>
      <c r="E53" s="1201"/>
      <c r="F53" s="1173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571"/>
      <c r="W53" s="549"/>
      <c r="X53" s="549"/>
      <c r="Y53" s="532"/>
      <c r="Z53" s="593"/>
      <c r="AA53" s="593"/>
      <c r="AB53" s="593"/>
      <c r="AC53" s="536">
        <f t="shared" si="3"/>
        <v>0</v>
      </c>
      <c r="AD53" s="410"/>
      <c r="AE53" s="410"/>
      <c r="AF53" s="410"/>
      <c r="AG53" s="410"/>
      <c r="AH53" s="411"/>
      <c r="AI53" s="411"/>
    </row>
    <row r="54" spans="1:35" ht="18.75" customHeight="1" x14ac:dyDescent="0.25">
      <c r="A54" s="1164"/>
      <c r="B54" s="519" t="s">
        <v>440</v>
      </c>
      <c r="C54" s="1295"/>
      <c r="D54" s="1201"/>
      <c r="E54" s="1201"/>
      <c r="F54" s="1173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571"/>
      <c r="W54" s="549"/>
      <c r="X54" s="549"/>
      <c r="Y54" s="532"/>
      <c r="Z54" s="593"/>
      <c r="AA54" s="593"/>
      <c r="AB54" s="593"/>
      <c r="AC54" s="536">
        <f t="shared" si="3"/>
        <v>0</v>
      </c>
      <c r="AD54" s="410"/>
      <c r="AE54" s="410"/>
      <c r="AF54" s="410"/>
      <c r="AG54" s="410"/>
      <c r="AH54" s="411"/>
      <c r="AI54" s="411"/>
    </row>
    <row r="55" spans="1:35" ht="18.75" customHeight="1" x14ac:dyDescent="0.25">
      <c r="A55" s="1164"/>
      <c r="B55" s="519" t="s">
        <v>441</v>
      </c>
      <c r="C55" s="1295"/>
      <c r="D55" s="1201"/>
      <c r="E55" s="1201"/>
      <c r="F55" s="1173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571"/>
      <c r="W55" s="549"/>
      <c r="X55" s="549"/>
      <c r="Y55" s="532"/>
      <c r="Z55" s="593"/>
      <c r="AA55" s="593"/>
      <c r="AB55" s="593"/>
      <c r="AC55" s="536">
        <f t="shared" si="3"/>
        <v>0</v>
      </c>
      <c r="AD55" s="410"/>
      <c r="AE55" s="410"/>
      <c r="AF55" s="410"/>
      <c r="AG55" s="410"/>
      <c r="AH55" s="411"/>
      <c r="AI55" s="411"/>
    </row>
    <row r="56" spans="1:35" ht="18.75" customHeight="1" x14ac:dyDescent="0.25">
      <c r="A56" s="1164"/>
      <c r="B56" s="519" t="s">
        <v>442</v>
      </c>
      <c r="C56" s="1295"/>
      <c r="D56" s="1201"/>
      <c r="E56" s="1201"/>
      <c r="F56" s="1173"/>
      <c r="G56" s="518"/>
      <c r="H56" s="518"/>
      <c r="I56" s="518"/>
      <c r="J56" s="518"/>
      <c r="K56" s="518"/>
      <c r="L56" s="518"/>
      <c r="M56" s="518"/>
      <c r="N56" s="518"/>
      <c r="O56" s="518"/>
      <c r="P56" s="637">
        <v>1</v>
      </c>
      <c r="Q56" s="518"/>
      <c r="R56" s="418"/>
      <c r="S56" s="418"/>
      <c r="T56" s="418"/>
      <c r="U56" s="420"/>
      <c r="V56" s="571"/>
      <c r="W56" s="549"/>
      <c r="X56" s="549"/>
      <c r="Y56" s="532"/>
      <c r="Z56" s="593"/>
      <c r="AA56" s="593"/>
      <c r="AB56" s="593"/>
      <c r="AC56" s="536">
        <f t="shared" si="3"/>
        <v>1</v>
      </c>
      <c r="AD56" s="410"/>
      <c r="AE56" s="410"/>
      <c r="AF56" s="410"/>
      <c r="AG56" s="410"/>
      <c r="AH56" s="411"/>
      <c r="AI56" s="411"/>
    </row>
    <row r="57" spans="1:35" ht="18.75" customHeight="1" x14ac:dyDescent="0.25">
      <c r="A57" s="1164"/>
      <c r="B57" s="519" t="s">
        <v>443</v>
      </c>
      <c r="C57" s="1295"/>
      <c r="D57" s="1201"/>
      <c r="E57" s="1201"/>
      <c r="F57" s="1173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571"/>
      <c r="W57" s="549"/>
      <c r="X57" s="549"/>
      <c r="Y57" s="532"/>
      <c r="Z57" s="593"/>
      <c r="AA57" s="593"/>
      <c r="AB57" s="593"/>
      <c r="AC57" s="536">
        <f t="shared" si="3"/>
        <v>0</v>
      </c>
      <c r="AD57" s="410"/>
      <c r="AE57" s="410"/>
      <c r="AF57" s="410"/>
      <c r="AG57" s="410"/>
      <c r="AH57" s="411"/>
      <c r="AI57" s="411"/>
    </row>
    <row r="58" spans="1:35" ht="18.75" customHeight="1" x14ac:dyDescent="0.25">
      <c r="A58" s="1164"/>
      <c r="B58" s="519" t="s">
        <v>444</v>
      </c>
      <c r="C58" s="1295"/>
      <c r="D58" s="1201"/>
      <c r="E58" s="1201"/>
      <c r="F58" s="1173"/>
      <c r="G58" s="518"/>
      <c r="H58" s="518"/>
      <c r="I58" s="518"/>
      <c r="J58" s="518"/>
      <c r="K58" s="518"/>
      <c r="L58" s="518"/>
      <c r="M58" s="518"/>
      <c r="N58" s="518"/>
      <c r="O58" s="518"/>
      <c r="P58" s="637">
        <v>1</v>
      </c>
      <c r="Q58" s="518"/>
      <c r="R58" s="418"/>
      <c r="S58" s="418"/>
      <c r="T58" s="418"/>
      <c r="U58" s="420"/>
      <c r="V58" s="571"/>
      <c r="W58" s="549"/>
      <c r="X58" s="549"/>
      <c r="Y58" s="532"/>
      <c r="Z58" s="593"/>
      <c r="AA58" s="593"/>
      <c r="AB58" s="593"/>
      <c r="AC58" s="536">
        <f t="shared" si="3"/>
        <v>1</v>
      </c>
      <c r="AD58" s="410"/>
      <c r="AE58" s="410"/>
      <c r="AF58" s="410"/>
      <c r="AG58" s="410"/>
      <c r="AH58" s="411"/>
      <c r="AI58" s="411"/>
    </row>
    <row r="59" spans="1:35" ht="18.75" customHeight="1" x14ac:dyDescent="0.25">
      <c r="A59" s="1164"/>
      <c r="B59" s="519" t="s">
        <v>445</v>
      </c>
      <c r="C59" s="1295"/>
      <c r="D59" s="1201"/>
      <c r="E59" s="1201"/>
      <c r="F59" s="1173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571"/>
      <c r="W59" s="549"/>
      <c r="X59" s="549"/>
      <c r="Y59" s="532"/>
      <c r="Z59" s="593"/>
      <c r="AA59" s="593"/>
      <c r="AB59" s="593"/>
      <c r="AC59" s="536">
        <f t="shared" si="3"/>
        <v>0</v>
      </c>
      <c r="AD59" s="410"/>
      <c r="AE59" s="410"/>
      <c r="AF59" s="410"/>
      <c r="AG59" s="410"/>
      <c r="AH59" s="411"/>
      <c r="AI59" s="411"/>
    </row>
    <row r="60" spans="1:35" ht="18.75" customHeight="1" x14ac:dyDescent="0.25">
      <c r="A60" s="1164"/>
      <c r="B60" s="519" t="s">
        <v>446</v>
      </c>
      <c r="C60" s="1295"/>
      <c r="D60" s="1201"/>
      <c r="E60" s="1201"/>
      <c r="F60" s="1173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418"/>
      <c r="S60" s="418"/>
      <c r="T60" s="418"/>
      <c r="U60" s="420"/>
      <c r="V60" s="571"/>
      <c r="W60" s="549"/>
      <c r="X60" s="549"/>
      <c r="Y60" s="532"/>
      <c r="Z60" s="593"/>
      <c r="AA60" s="593"/>
      <c r="AB60" s="593"/>
      <c r="AC60" s="536">
        <f t="shared" si="3"/>
        <v>0</v>
      </c>
      <c r="AD60" s="410"/>
      <c r="AE60" s="410"/>
      <c r="AF60" s="410"/>
      <c r="AG60" s="410"/>
      <c r="AH60" s="411"/>
      <c r="AI60" s="411"/>
    </row>
    <row r="61" spans="1:35" ht="18.75" customHeight="1" x14ac:dyDescent="0.25">
      <c r="A61" s="1164"/>
      <c r="B61" s="519" t="s">
        <v>447</v>
      </c>
      <c r="C61" s="1295"/>
      <c r="D61" s="1201"/>
      <c r="E61" s="1201"/>
      <c r="F61" s="1173"/>
      <c r="G61" s="518"/>
      <c r="H61" s="637">
        <v>5</v>
      </c>
      <c r="I61" s="518"/>
      <c r="J61" s="637">
        <v>4</v>
      </c>
      <c r="K61" s="518"/>
      <c r="L61" s="518"/>
      <c r="M61" s="518"/>
      <c r="N61" s="637">
        <v>30</v>
      </c>
      <c r="O61" s="518"/>
      <c r="P61" s="637">
        <v>123</v>
      </c>
      <c r="Q61" s="637">
        <v>37</v>
      </c>
      <c r="R61" s="542">
        <v>2</v>
      </c>
      <c r="S61" s="418"/>
      <c r="T61" s="418"/>
      <c r="U61" s="420"/>
      <c r="V61" s="571"/>
      <c r="W61" s="549"/>
      <c r="X61" s="549"/>
      <c r="Y61" s="532"/>
      <c r="Z61" s="593"/>
      <c r="AA61" s="593"/>
      <c r="AB61" s="593"/>
      <c r="AC61" s="536">
        <f t="shared" si="3"/>
        <v>201</v>
      </c>
      <c r="AD61" s="410"/>
      <c r="AE61" s="410"/>
      <c r="AF61" s="410"/>
      <c r="AG61" s="410"/>
      <c r="AH61" s="411"/>
      <c r="AI61" s="411"/>
    </row>
    <row r="62" spans="1:35" ht="18.75" customHeight="1" x14ac:dyDescent="0.25">
      <c r="A62" s="1164"/>
      <c r="B62" s="519" t="s">
        <v>448</v>
      </c>
      <c r="C62" s="1295"/>
      <c r="D62" s="1201"/>
      <c r="E62" s="1201"/>
      <c r="F62" s="1173"/>
      <c r="G62" s="518"/>
      <c r="H62" s="637"/>
      <c r="I62" s="518"/>
      <c r="J62" s="518"/>
      <c r="K62" s="518"/>
      <c r="L62" s="518"/>
      <c r="M62" s="518"/>
      <c r="N62" s="518"/>
      <c r="O62" s="518"/>
      <c r="P62" s="518"/>
      <c r="Q62" s="518"/>
      <c r="R62" s="418"/>
      <c r="S62" s="418"/>
      <c r="T62" s="418"/>
      <c r="U62" s="420"/>
      <c r="V62" s="571"/>
      <c r="W62" s="549"/>
      <c r="X62" s="549"/>
      <c r="Y62" s="532"/>
      <c r="Z62" s="593"/>
      <c r="AA62" s="593"/>
      <c r="AB62" s="593"/>
      <c r="AC62" s="536">
        <f t="shared" si="3"/>
        <v>0</v>
      </c>
      <c r="AD62" s="410"/>
      <c r="AE62" s="410"/>
      <c r="AF62" s="410"/>
      <c r="AG62" s="410"/>
      <c r="AH62" s="411"/>
      <c r="AI62" s="411"/>
    </row>
    <row r="63" spans="1:35" ht="18.75" customHeight="1" x14ac:dyDescent="0.25">
      <c r="A63" s="1164"/>
      <c r="B63" s="519" t="s">
        <v>449</v>
      </c>
      <c r="C63" s="1295"/>
      <c r="D63" s="1201"/>
      <c r="E63" s="1201"/>
      <c r="F63" s="1173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418"/>
      <c r="S63" s="418"/>
      <c r="T63" s="418"/>
      <c r="U63" s="420"/>
      <c r="V63" s="571"/>
      <c r="W63" s="549"/>
      <c r="X63" s="549"/>
      <c r="Y63" s="532"/>
      <c r="Z63" s="593"/>
      <c r="AA63" s="593"/>
      <c r="AB63" s="593"/>
      <c r="AC63" s="536">
        <f t="shared" si="3"/>
        <v>0</v>
      </c>
      <c r="AD63" s="410"/>
      <c r="AE63" s="410"/>
      <c r="AF63" s="410"/>
      <c r="AG63" s="410"/>
      <c r="AH63" s="411"/>
      <c r="AI63" s="411"/>
    </row>
    <row r="64" spans="1:35" ht="18.75" customHeight="1" x14ac:dyDescent="0.25">
      <c r="A64" s="1164"/>
      <c r="B64" s="519" t="s">
        <v>455</v>
      </c>
      <c r="C64" s="1295"/>
      <c r="D64" s="1201"/>
      <c r="E64" s="1201"/>
      <c r="F64" s="1173"/>
      <c r="G64" s="518"/>
      <c r="H64" s="520"/>
      <c r="I64" s="520"/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571"/>
      <c r="W64" s="549"/>
      <c r="X64" s="549"/>
      <c r="Y64" s="532"/>
      <c r="Z64" s="593"/>
      <c r="AA64" s="593"/>
      <c r="AB64" s="593"/>
      <c r="AC64" s="536">
        <f t="shared" si="3"/>
        <v>0</v>
      </c>
      <c r="AD64" s="410"/>
      <c r="AE64" s="410"/>
      <c r="AF64" s="410"/>
      <c r="AG64" s="410"/>
      <c r="AH64" s="411"/>
      <c r="AI64" s="411"/>
    </row>
    <row r="65" spans="1:35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520"/>
      <c r="I65" s="520"/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571"/>
      <c r="W65" s="549"/>
      <c r="X65" s="549"/>
      <c r="Y65" s="532"/>
      <c r="Z65" s="593"/>
      <c r="AA65" s="593"/>
      <c r="AB65" s="593"/>
      <c r="AC65" s="536">
        <f t="shared" si="3"/>
        <v>0</v>
      </c>
      <c r="AD65" s="410"/>
      <c r="AE65" s="410"/>
      <c r="AF65" s="410"/>
      <c r="AG65" s="410"/>
      <c r="AH65" s="411"/>
      <c r="AI65" s="411"/>
    </row>
    <row r="66" spans="1:35" ht="18.75" customHeight="1" x14ac:dyDescent="0.25">
      <c r="A66" s="1165"/>
      <c r="B66" s="519" t="s">
        <v>457</v>
      </c>
      <c r="C66" s="1296"/>
      <c r="D66" s="1288"/>
      <c r="E66" s="1288"/>
      <c r="F66" s="1289"/>
      <c r="G66" s="418"/>
      <c r="H66" s="418"/>
      <c r="I66" s="418"/>
      <c r="J66" s="418"/>
      <c r="K66" s="520"/>
      <c r="L66" s="520"/>
      <c r="M66" s="418"/>
      <c r="N66" s="542"/>
      <c r="O66" s="418"/>
      <c r="P66" s="542"/>
      <c r="Q66" s="542"/>
      <c r="R66" s="542"/>
      <c r="S66" s="418"/>
      <c r="T66" s="418"/>
      <c r="U66" s="420"/>
      <c r="V66" s="571"/>
      <c r="W66" s="549"/>
      <c r="X66" s="549"/>
      <c r="Y66" s="532"/>
      <c r="Z66" s="593"/>
      <c r="AA66" s="593"/>
      <c r="AB66" s="593"/>
      <c r="AC66" s="536">
        <f t="shared" si="3"/>
        <v>0</v>
      </c>
      <c r="AD66" s="410"/>
      <c r="AE66" s="410"/>
      <c r="AF66" s="410"/>
      <c r="AG66" s="410"/>
      <c r="AH66" s="411"/>
      <c r="AI66" s="411"/>
    </row>
    <row r="67" spans="1:35" ht="30" customHeight="1" x14ac:dyDescent="0.3">
      <c r="A67" s="305"/>
      <c r="B67" s="519" t="s">
        <v>468</v>
      </c>
      <c r="C67" s="305"/>
      <c r="D67" s="305"/>
      <c r="E67" s="305"/>
      <c r="F67" s="305"/>
      <c r="G67" s="638">
        <f t="shared" ref="G67:Z67" si="4">SUM(G7+G10+G15+G20)</f>
        <v>85</v>
      </c>
      <c r="H67" s="638">
        <f t="shared" si="4"/>
        <v>120</v>
      </c>
      <c r="I67" s="638">
        <f t="shared" si="4"/>
        <v>84</v>
      </c>
      <c r="J67" s="638">
        <f t="shared" si="4"/>
        <v>18</v>
      </c>
      <c r="K67" s="639">
        <f t="shared" si="4"/>
        <v>71</v>
      </c>
      <c r="L67" s="640">
        <f t="shared" si="4"/>
        <v>73</v>
      </c>
      <c r="M67" s="639">
        <f t="shared" si="4"/>
        <v>120</v>
      </c>
      <c r="N67" s="639">
        <f t="shared" si="4"/>
        <v>117</v>
      </c>
      <c r="O67" s="639">
        <f t="shared" si="4"/>
        <v>86</v>
      </c>
      <c r="P67" s="639">
        <f t="shared" si="4"/>
        <v>120</v>
      </c>
      <c r="Q67" s="639">
        <f t="shared" si="4"/>
        <v>91</v>
      </c>
      <c r="R67" s="639">
        <f t="shared" si="4"/>
        <v>36</v>
      </c>
      <c r="S67" s="639">
        <f t="shared" si="4"/>
        <v>73</v>
      </c>
      <c r="T67" s="639">
        <f t="shared" si="4"/>
        <v>90</v>
      </c>
      <c r="U67" s="639">
        <f t="shared" si="4"/>
        <v>0</v>
      </c>
      <c r="V67" s="640">
        <f t="shared" si="4"/>
        <v>115</v>
      </c>
      <c r="W67" s="640">
        <f t="shared" si="4"/>
        <v>113</v>
      </c>
      <c r="X67" s="640">
        <f t="shared" si="4"/>
        <v>70</v>
      </c>
      <c r="Y67" s="638">
        <f t="shared" si="4"/>
        <v>109</v>
      </c>
      <c r="Z67" s="639">
        <f t="shared" si="4"/>
        <v>100</v>
      </c>
      <c r="AA67" s="639"/>
      <c r="AB67" s="639">
        <f>SUM(AB7+AB10+AB15+AB20)</f>
        <v>65</v>
      </c>
      <c r="AC67" s="536">
        <f t="shared" si="3"/>
        <v>1756</v>
      </c>
      <c r="AD67" s="410"/>
      <c r="AE67" s="410"/>
      <c r="AF67" s="410"/>
      <c r="AG67" s="410"/>
      <c r="AH67" s="411"/>
      <c r="AI67" s="411"/>
    </row>
    <row r="68" spans="1:35" ht="23.25" customHeight="1" x14ac:dyDescent="0.3">
      <c r="A68" s="305"/>
      <c r="B68" s="305"/>
      <c r="C68" s="305"/>
      <c r="D68" s="305"/>
      <c r="E68" s="305"/>
      <c r="F68" s="305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39"/>
      <c r="AD68" s="410"/>
      <c r="AE68" s="410"/>
      <c r="AF68" s="410"/>
      <c r="AG68" s="410"/>
      <c r="AH68" s="411"/>
      <c r="AI68" s="411"/>
    </row>
    <row r="69" spans="1:35" ht="56.25" customHeight="1" x14ac:dyDescent="0.35">
      <c r="A69" s="305"/>
      <c r="B69" s="642" t="s">
        <v>471</v>
      </c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410"/>
      <c r="AE69" s="410"/>
      <c r="AF69" s="410"/>
      <c r="AG69" s="410"/>
      <c r="AH69" s="411"/>
      <c r="AI69" s="411"/>
    </row>
    <row r="70" spans="1:35" ht="63.75" customHeight="1" x14ac:dyDescent="0.35">
      <c r="B70" s="643" t="s">
        <v>472</v>
      </c>
      <c r="AD70" s="522"/>
      <c r="AE70" s="522"/>
      <c r="AF70" s="522"/>
      <c r="AG70" s="522"/>
      <c r="AH70" s="522"/>
      <c r="AI70" s="522"/>
    </row>
    <row r="71" spans="1:35" ht="12.75" customHeight="1" x14ac:dyDescent="0.25">
      <c r="AD71" s="522"/>
      <c r="AE71" s="522"/>
      <c r="AF71" s="522"/>
      <c r="AG71" s="522"/>
      <c r="AH71" s="522"/>
      <c r="AI71" s="522"/>
    </row>
    <row r="72" spans="1:35" ht="12.75" customHeight="1" x14ac:dyDescent="0.25">
      <c r="AD72" s="522"/>
      <c r="AE72" s="522"/>
      <c r="AF72" s="522"/>
      <c r="AG72" s="522"/>
      <c r="AH72" s="522"/>
      <c r="AI72" s="522"/>
    </row>
    <row r="73" spans="1:35" ht="12.75" customHeight="1" x14ac:dyDescent="0.25">
      <c r="AD73" s="522"/>
      <c r="AE73" s="522"/>
      <c r="AF73" s="522"/>
      <c r="AG73" s="522"/>
      <c r="AH73" s="522"/>
      <c r="AI73" s="522"/>
    </row>
    <row r="74" spans="1:35" ht="12.75" customHeight="1" x14ac:dyDescent="0.25">
      <c r="AD74" s="522"/>
      <c r="AE74" s="522"/>
      <c r="AF74" s="522"/>
      <c r="AG74" s="522"/>
      <c r="AH74" s="522"/>
      <c r="AI74" s="522"/>
    </row>
    <row r="75" spans="1:35" ht="12.75" customHeight="1" x14ac:dyDescent="0.25">
      <c r="AD75" s="522"/>
      <c r="AE75" s="522"/>
      <c r="AF75" s="522"/>
      <c r="AG75" s="522"/>
      <c r="AH75" s="522"/>
      <c r="AI75" s="522"/>
    </row>
    <row r="76" spans="1:35" ht="12.75" customHeight="1" x14ac:dyDescent="0.25">
      <c r="AD76" s="522"/>
      <c r="AE76" s="522"/>
      <c r="AF76" s="522"/>
      <c r="AG76" s="522"/>
      <c r="AH76" s="522"/>
      <c r="AI76" s="522"/>
    </row>
    <row r="77" spans="1:35" ht="12.75" customHeight="1" x14ac:dyDescent="0.25">
      <c r="AD77" s="522"/>
      <c r="AE77" s="522"/>
      <c r="AF77" s="522"/>
      <c r="AG77" s="522"/>
      <c r="AH77" s="522"/>
      <c r="AI77" s="522"/>
    </row>
    <row r="78" spans="1:35" ht="12.75" customHeight="1" x14ac:dyDescent="0.25"/>
    <row r="79" spans="1:35" ht="12.75" customHeight="1" x14ac:dyDescent="0.25"/>
    <row r="80" spans="1:35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</sheetData>
  <mergeCells count="52">
    <mergeCell ref="B23:B24"/>
    <mergeCell ref="A25:A34"/>
    <mergeCell ref="B25:B26"/>
    <mergeCell ref="C28:F28"/>
    <mergeCell ref="C29:F29"/>
    <mergeCell ref="C30:F30"/>
    <mergeCell ref="C31:F31"/>
    <mergeCell ref="C32:F32"/>
    <mergeCell ref="C33:F33"/>
    <mergeCell ref="C34:F34"/>
    <mergeCell ref="B31:B32"/>
    <mergeCell ref="B33:B34"/>
    <mergeCell ref="A35:A36"/>
    <mergeCell ref="B35:B36"/>
    <mergeCell ref="A37:A44"/>
    <mergeCell ref="B37:B38"/>
    <mergeCell ref="B39:B40"/>
    <mergeCell ref="B41:B42"/>
    <mergeCell ref="B43:B44"/>
    <mergeCell ref="A3:A4"/>
    <mergeCell ref="C3:F20"/>
    <mergeCell ref="A5:A10"/>
    <mergeCell ref="B27:B28"/>
    <mergeCell ref="B29:B30"/>
    <mergeCell ref="C21:F21"/>
    <mergeCell ref="C22:F22"/>
    <mergeCell ref="C23:F23"/>
    <mergeCell ref="C24:F24"/>
    <mergeCell ref="C25:F25"/>
    <mergeCell ref="C26:F26"/>
    <mergeCell ref="C27:F27"/>
    <mergeCell ref="A11:A12"/>
    <mergeCell ref="A13:A20"/>
    <mergeCell ref="A21:A24"/>
    <mergeCell ref="B21:B22"/>
    <mergeCell ref="C40:F40"/>
    <mergeCell ref="C41:F41"/>
    <mergeCell ref="C1:U1"/>
    <mergeCell ref="V1:Z1"/>
    <mergeCell ref="AA1:AB1"/>
    <mergeCell ref="C2:F2"/>
    <mergeCell ref="C35:F35"/>
    <mergeCell ref="C36:F36"/>
    <mergeCell ref="C37:F37"/>
    <mergeCell ref="C38:F38"/>
    <mergeCell ref="C39:F39"/>
    <mergeCell ref="C42:F42"/>
    <mergeCell ref="C43:F43"/>
    <mergeCell ref="C45:F45"/>
    <mergeCell ref="A46:A66"/>
    <mergeCell ref="C46:F66"/>
    <mergeCell ref="C44:F44"/>
  </mergeCells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20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1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8" width="10.109375" customWidth="1"/>
    <col min="29" max="29" width="9" customWidth="1"/>
    <col min="30" max="30" width="8.77734375" customWidth="1"/>
    <col min="31" max="31" width="9.6640625" customWidth="1"/>
    <col min="32" max="37" width="11.44140625" customWidth="1"/>
    <col min="38" max="43" width="8.6640625" customWidth="1"/>
  </cols>
  <sheetData>
    <row r="1" spans="1:43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473</v>
      </c>
      <c r="W1" s="1178"/>
      <c r="X1" s="1178"/>
      <c r="Y1" s="1178"/>
      <c r="Z1" s="1178"/>
      <c r="AA1" s="1179"/>
      <c r="AB1" s="1332" t="s">
        <v>458</v>
      </c>
      <c r="AC1" s="1178"/>
      <c r="AD1" s="1178"/>
      <c r="AE1" s="1178"/>
      <c r="AF1" s="670" t="s">
        <v>91</v>
      </c>
      <c r="AG1" s="1333" t="s">
        <v>459</v>
      </c>
      <c r="AH1" s="1178"/>
      <c r="AI1" s="1179"/>
      <c r="AJ1" s="671" t="s">
        <v>399</v>
      </c>
      <c r="AK1" s="644"/>
      <c r="AL1" s="644"/>
      <c r="AM1" s="399"/>
      <c r="AN1" s="399"/>
      <c r="AO1" s="399"/>
      <c r="AP1" s="399"/>
      <c r="AQ1" s="399"/>
    </row>
    <row r="2" spans="1:43" ht="33" customHeight="1" x14ac:dyDescent="0.3">
      <c r="A2" s="397"/>
      <c r="B2" s="398"/>
      <c r="C2" s="1312"/>
      <c r="D2" s="1201"/>
      <c r="E2" s="1201"/>
      <c r="F2" s="1201"/>
      <c r="G2" s="524" t="s">
        <v>99</v>
      </c>
      <c r="H2" s="525" t="s">
        <v>100</v>
      </c>
      <c r="I2" s="525" t="s">
        <v>198</v>
      </c>
      <c r="J2" s="525" t="s">
        <v>21</v>
      </c>
      <c r="K2" s="645" t="s">
        <v>102</v>
      </c>
      <c r="L2" s="646" t="s">
        <v>395</v>
      </c>
      <c r="M2" s="525" t="s">
        <v>396</v>
      </c>
      <c r="N2" s="525" t="s">
        <v>105</v>
      </c>
      <c r="O2" s="525" t="s">
        <v>106</v>
      </c>
      <c r="P2" s="525" t="s">
        <v>107</v>
      </c>
      <c r="Q2" s="527" t="s">
        <v>215</v>
      </c>
      <c r="R2" s="528" t="s">
        <v>34</v>
      </c>
      <c r="S2" s="647" t="s">
        <v>397</v>
      </c>
      <c r="T2" s="528" t="s">
        <v>110</v>
      </c>
      <c r="U2" s="530" t="s">
        <v>111</v>
      </c>
      <c r="V2" s="672" t="s">
        <v>45</v>
      </c>
      <c r="W2" s="672" t="s">
        <v>49</v>
      </c>
      <c r="X2" s="672" t="s">
        <v>399</v>
      </c>
      <c r="Y2" s="672" t="s">
        <v>341</v>
      </c>
      <c r="Z2" s="672" t="s">
        <v>321</v>
      </c>
      <c r="AA2" s="672" t="s">
        <v>474</v>
      </c>
      <c r="AB2" s="673" t="s">
        <v>115</v>
      </c>
      <c r="AC2" s="648" t="s">
        <v>116</v>
      </c>
      <c r="AD2" s="648" t="s">
        <v>80</v>
      </c>
      <c r="AE2" s="648" t="s">
        <v>117</v>
      </c>
      <c r="AF2" s="674" t="s">
        <v>460</v>
      </c>
      <c r="AG2" s="649" t="s">
        <v>347</v>
      </c>
      <c r="AH2" s="675" t="s">
        <v>70</v>
      </c>
      <c r="AI2" s="676" t="s">
        <v>72</v>
      </c>
      <c r="AJ2" s="676" t="s">
        <v>75</v>
      </c>
      <c r="AK2" s="534" t="s">
        <v>398</v>
      </c>
      <c r="AL2" s="409"/>
      <c r="AM2" s="409"/>
      <c r="AN2" s="416">
        <v>2367</v>
      </c>
      <c r="AO2" s="410"/>
      <c r="AP2" s="411"/>
      <c r="AQ2" s="411"/>
    </row>
    <row r="3" spans="1:43" ht="22.5" customHeight="1" x14ac:dyDescent="0.25">
      <c r="A3" s="1248" t="s">
        <v>401</v>
      </c>
      <c r="B3" s="412" t="s">
        <v>402</v>
      </c>
      <c r="C3" s="1314"/>
      <c r="D3" s="1315"/>
      <c r="E3" s="1315"/>
      <c r="F3" s="1316"/>
      <c r="G3" s="677">
        <v>120</v>
      </c>
      <c r="H3" s="677">
        <v>120</v>
      </c>
      <c r="I3" s="677">
        <v>120</v>
      </c>
      <c r="J3" s="677">
        <v>120</v>
      </c>
      <c r="K3" s="677">
        <v>120</v>
      </c>
      <c r="L3" s="677">
        <v>120</v>
      </c>
      <c r="M3" s="677">
        <v>120</v>
      </c>
      <c r="N3" s="677">
        <v>120</v>
      </c>
      <c r="O3" s="677">
        <v>120</v>
      </c>
      <c r="P3" s="677">
        <v>120</v>
      </c>
      <c r="Q3" s="677">
        <v>120</v>
      </c>
      <c r="R3" s="677">
        <v>120</v>
      </c>
      <c r="S3" s="677">
        <v>120</v>
      </c>
      <c r="T3" s="677">
        <v>120</v>
      </c>
      <c r="U3" s="678">
        <v>0</v>
      </c>
      <c r="V3" s="679"/>
      <c r="W3" s="680">
        <v>120</v>
      </c>
      <c r="X3" s="679"/>
      <c r="Y3" s="679"/>
      <c r="Z3" s="679"/>
      <c r="AA3" s="679"/>
      <c r="AB3" s="681">
        <v>120</v>
      </c>
      <c r="AC3" s="682">
        <v>120</v>
      </c>
      <c r="AD3" s="682">
        <v>120</v>
      </c>
      <c r="AE3" s="682">
        <v>120</v>
      </c>
      <c r="AF3" s="682">
        <v>120</v>
      </c>
      <c r="AG3" s="678">
        <v>120</v>
      </c>
      <c r="AH3" s="682">
        <v>120</v>
      </c>
      <c r="AI3" s="679"/>
      <c r="AJ3" s="679"/>
      <c r="AK3" s="536">
        <f t="shared" ref="AK3:AK66" si="0">SUM(G3:AJ3)</f>
        <v>2640</v>
      </c>
      <c r="AL3" s="416">
        <v>2640</v>
      </c>
      <c r="AM3" s="410"/>
      <c r="AN3" s="410"/>
      <c r="AO3" s="410"/>
      <c r="AP3" s="411"/>
      <c r="AQ3" s="411"/>
    </row>
    <row r="4" spans="1:43" ht="27" customHeight="1" x14ac:dyDescent="0.3">
      <c r="A4" s="1249"/>
      <c r="B4" s="417" t="s">
        <v>403</v>
      </c>
      <c r="C4" s="1295"/>
      <c r="D4" s="1201"/>
      <c r="E4" s="1201"/>
      <c r="F4" s="1240"/>
      <c r="G4" s="537">
        <v>80</v>
      </c>
      <c r="H4" s="418">
        <v>120</v>
      </c>
      <c r="I4" s="418">
        <v>81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683"/>
      <c r="W4" s="683">
        <v>120</v>
      </c>
      <c r="X4" s="683"/>
      <c r="Y4" s="683"/>
      <c r="Z4" s="683"/>
      <c r="AA4" s="683"/>
      <c r="AB4" s="684">
        <v>120</v>
      </c>
      <c r="AC4" s="538">
        <v>120</v>
      </c>
      <c r="AD4" s="538">
        <v>120</v>
      </c>
      <c r="AE4" s="539">
        <v>120</v>
      </c>
      <c r="AF4" s="418">
        <v>120</v>
      </c>
      <c r="AG4" s="542">
        <v>120</v>
      </c>
      <c r="AH4" s="418">
        <v>120</v>
      </c>
      <c r="AI4" s="418"/>
      <c r="AJ4" s="418"/>
      <c r="AK4" s="536">
        <f t="shared" si="0"/>
        <v>2451</v>
      </c>
      <c r="AL4" s="421">
        <v>2451</v>
      </c>
      <c r="AM4" s="422"/>
      <c r="AN4" s="422"/>
      <c r="AO4" s="422"/>
      <c r="AP4" s="422"/>
      <c r="AQ4" s="411"/>
    </row>
    <row r="5" spans="1:43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540">
        <v>50</v>
      </c>
      <c r="H5" s="541">
        <v>50</v>
      </c>
      <c r="I5" s="541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683"/>
      <c r="W5" s="683">
        <v>50</v>
      </c>
      <c r="X5" s="683"/>
      <c r="Y5" s="683"/>
      <c r="Z5" s="683"/>
      <c r="AA5" s="683"/>
      <c r="AB5" s="684">
        <v>50</v>
      </c>
      <c r="AC5" s="538">
        <v>50</v>
      </c>
      <c r="AD5" s="538">
        <v>50</v>
      </c>
      <c r="AE5" s="539">
        <v>50</v>
      </c>
      <c r="AF5" s="541">
        <v>50</v>
      </c>
      <c r="AG5" s="541">
        <v>50</v>
      </c>
      <c r="AH5" s="541">
        <v>50</v>
      </c>
      <c r="AI5" s="542"/>
      <c r="AJ5" s="542"/>
      <c r="AK5" s="536">
        <f t="shared" si="0"/>
        <v>1150</v>
      </c>
      <c r="AL5" s="421">
        <v>1150</v>
      </c>
      <c r="AM5" s="410"/>
      <c r="AN5" s="410"/>
      <c r="AO5" s="410"/>
      <c r="AP5" s="411"/>
      <c r="AQ5" s="411"/>
    </row>
    <row r="6" spans="1:43" ht="23.25" customHeight="1" x14ac:dyDescent="0.3">
      <c r="A6" s="1254"/>
      <c r="B6" s="428" t="s">
        <v>406</v>
      </c>
      <c r="C6" s="1295"/>
      <c r="D6" s="1201"/>
      <c r="E6" s="1201"/>
      <c r="F6" s="1240"/>
      <c r="G6" s="540">
        <v>11</v>
      </c>
      <c r="H6" s="544">
        <v>0</v>
      </c>
      <c r="I6" s="544">
        <v>1</v>
      </c>
      <c r="J6" s="544">
        <v>4</v>
      </c>
      <c r="K6" s="544">
        <v>1</v>
      </c>
      <c r="L6" s="544">
        <v>3</v>
      </c>
      <c r="M6" s="545">
        <v>5</v>
      </c>
      <c r="N6" s="545">
        <v>19</v>
      </c>
      <c r="O6" s="651">
        <v>3</v>
      </c>
      <c r="P6" s="430"/>
      <c r="Q6" s="546">
        <v>10</v>
      </c>
      <c r="R6" s="546">
        <v>28</v>
      </c>
      <c r="S6" s="548">
        <v>1</v>
      </c>
      <c r="T6" s="685">
        <v>2</v>
      </c>
      <c r="U6" s="434">
        <v>0</v>
      </c>
      <c r="V6" s="683"/>
      <c r="W6" s="683">
        <v>25</v>
      </c>
      <c r="X6" s="683"/>
      <c r="Y6" s="683"/>
      <c r="Z6" s="683"/>
      <c r="AA6" s="683"/>
      <c r="AB6" s="684">
        <v>1</v>
      </c>
      <c r="AC6" s="538">
        <v>1</v>
      </c>
      <c r="AD6" s="549"/>
      <c r="AE6" s="532"/>
      <c r="AF6" s="550"/>
      <c r="AG6" s="550">
        <v>0</v>
      </c>
      <c r="AH6" s="686">
        <v>0</v>
      </c>
      <c r="AI6" s="588"/>
      <c r="AJ6" s="588"/>
      <c r="AK6" s="536">
        <f t="shared" si="0"/>
        <v>115</v>
      </c>
      <c r="AL6" s="421">
        <v>115</v>
      </c>
      <c r="AM6" s="410"/>
      <c r="AN6" s="410"/>
      <c r="AO6" s="410"/>
      <c r="AP6" s="411"/>
      <c r="AQ6" s="411"/>
    </row>
    <row r="7" spans="1:43" ht="21.75" customHeight="1" x14ac:dyDescent="0.3">
      <c r="A7" s="1254"/>
      <c r="B7" s="428" t="s">
        <v>407</v>
      </c>
      <c r="C7" s="1295"/>
      <c r="D7" s="1201"/>
      <c r="E7" s="1201"/>
      <c r="F7" s="1240"/>
      <c r="G7" s="551">
        <v>1</v>
      </c>
      <c r="H7" s="552">
        <v>0</v>
      </c>
      <c r="I7" s="552">
        <v>2</v>
      </c>
      <c r="J7" s="552">
        <v>0</v>
      </c>
      <c r="K7" s="552">
        <v>0</v>
      </c>
      <c r="L7" s="552">
        <v>0</v>
      </c>
      <c r="M7" s="552">
        <v>0</v>
      </c>
      <c r="N7" s="552">
        <v>2</v>
      </c>
      <c r="O7" s="652">
        <v>1</v>
      </c>
      <c r="P7" s="553">
        <v>0</v>
      </c>
      <c r="Q7" s="553">
        <v>4</v>
      </c>
      <c r="R7" s="553">
        <v>0</v>
      </c>
      <c r="S7" s="554">
        <v>0</v>
      </c>
      <c r="T7" s="555">
        <v>1</v>
      </c>
      <c r="U7" s="441">
        <v>0</v>
      </c>
      <c r="V7" s="687"/>
      <c r="W7" s="687">
        <v>0</v>
      </c>
      <c r="X7" s="687"/>
      <c r="Y7" s="687"/>
      <c r="Z7" s="687"/>
      <c r="AA7" s="687"/>
      <c r="AB7" s="688">
        <v>1</v>
      </c>
      <c r="AC7" s="556">
        <v>6</v>
      </c>
      <c r="AD7" s="557"/>
      <c r="AE7" s="558"/>
      <c r="AF7" s="559">
        <v>1</v>
      </c>
      <c r="AG7" s="559">
        <v>0</v>
      </c>
      <c r="AH7" s="559">
        <v>0</v>
      </c>
      <c r="AI7" s="559"/>
      <c r="AJ7" s="559"/>
      <c r="AK7" s="689">
        <f t="shared" si="0"/>
        <v>19</v>
      </c>
      <c r="AL7" s="421">
        <v>19</v>
      </c>
      <c r="AM7" s="410"/>
      <c r="AN7" s="410"/>
      <c r="AO7" s="410"/>
      <c r="AP7" s="411"/>
      <c r="AQ7" s="411"/>
    </row>
    <row r="8" spans="1:43" ht="26.25" customHeight="1" x14ac:dyDescent="0.3">
      <c r="A8" s="1254"/>
      <c r="B8" s="428" t="s">
        <v>408</v>
      </c>
      <c r="C8" s="1295"/>
      <c r="D8" s="1201"/>
      <c r="E8" s="1201"/>
      <c r="F8" s="1240"/>
      <c r="G8" s="540">
        <v>10</v>
      </c>
      <c r="H8" s="541">
        <v>18</v>
      </c>
      <c r="I8" s="541">
        <v>10</v>
      </c>
      <c r="J8" s="541">
        <v>17</v>
      </c>
      <c r="K8" s="541">
        <v>9</v>
      </c>
      <c r="L8" s="541">
        <v>16</v>
      </c>
      <c r="M8" s="541">
        <v>27</v>
      </c>
      <c r="N8" s="545">
        <v>18</v>
      </c>
      <c r="O8" s="561">
        <v>19</v>
      </c>
      <c r="P8" s="542">
        <v>20</v>
      </c>
      <c r="Q8" s="546">
        <v>16</v>
      </c>
      <c r="R8" s="546">
        <v>36</v>
      </c>
      <c r="S8" s="543">
        <v>22</v>
      </c>
      <c r="T8" s="562">
        <v>10</v>
      </c>
      <c r="U8" s="419">
        <v>0</v>
      </c>
      <c r="V8" s="683">
        <v>17</v>
      </c>
      <c r="W8" s="683">
        <v>19</v>
      </c>
      <c r="X8" s="683"/>
      <c r="Y8" s="683"/>
      <c r="Z8" s="683">
        <v>20</v>
      </c>
      <c r="AA8" s="683"/>
      <c r="AB8" s="684">
        <v>17</v>
      </c>
      <c r="AC8" s="538">
        <v>9</v>
      </c>
      <c r="AD8" s="538">
        <v>8</v>
      </c>
      <c r="AE8" s="563">
        <v>18</v>
      </c>
      <c r="AF8" s="564">
        <v>16</v>
      </c>
      <c r="AG8" s="564">
        <v>9</v>
      </c>
      <c r="AH8" s="564">
        <v>20</v>
      </c>
      <c r="AI8" s="690"/>
      <c r="AJ8" s="690">
        <v>15</v>
      </c>
      <c r="AK8" s="536">
        <f t="shared" si="0"/>
        <v>416</v>
      </c>
      <c r="AL8" s="421">
        <v>416</v>
      </c>
      <c r="AM8" s="410"/>
      <c r="AN8" s="410"/>
      <c r="AO8" s="410"/>
      <c r="AP8" s="411"/>
      <c r="AQ8" s="411"/>
    </row>
    <row r="9" spans="1:43" ht="21.75" customHeight="1" x14ac:dyDescent="0.3">
      <c r="A9" s="1254"/>
      <c r="B9" s="428" t="s">
        <v>409</v>
      </c>
      <c r="C9" s="1295"/>
      <c r="D9" s="1201"/>
      <c r="E9" s="1201"/>
      <c r="F9" s="1240"/>
      <c r="G9" s="540">
        <v>10</v>
      </c>
      <c r="H9" s="541">
        <v>12</v>
      </c>
      <c r="I9" s="541">
        <v>11</v>
      </c>
      <c r="J9" s="541">
        <v>5</v>
      </c>
      <c r="K9" s="541">
        <v>7</v>
      </c>
      <c r="L9" s="541">
        <v>14</v>
      </c>
      <c r="M9" s="541">
        <v>6</v>
      </c>
      <c r="N9" s="545">
        <v>12</v>
      </c>
      <c r="O9" s="561">
        <v>7</v>
      </c>
      <c r="P9" s="542">
        <v>10</v>
      </c>
      <c r="Q9" s="546">
        <v>13</v>
      </c>
      <c r="R9" s="546">
        <v>22</v>
      </c>
      <c r="S9" s="427">
        <v>7</v>
      </c>
      <c r="T9" s="562">
        <v>7</v>
      </c>
      <c r="U9" s="419">
        <v>0</v>
      </c>
      <c r="V9" s="683">
        <v>3</v>
      </c>
      <c r="W9" s="683">
        <v>8</v>
      </c>
      <c r="X9" s="683"/>
      <c r="Y9" s="683"/>
      <c r="Z9" s="683">
        <v>12</v>
      </c>
      <c r="AA9" s="683"/>
      <c r="AB9" s="684">
        <v>9</v>
      </c>
      <c r="AC9" s="538">
        <v>3</v>
      </c>
      <c r="AD9" s="538">
        <v>8</v>
      </c>
      <c r="AE9" s="563">
        <v>9</v>
      </c>
      <c r="AF9" s="564">
        <v>12</v>
      </c>
      <c r="AG9" s="564">
        <v>8</v>
      </c>
      <c r="AH9" s="564">
        <v>15</v>
      </c>
      <c r="AI9" s="690"/>
      <c r="AJ9" s="690">
        <v>8</v>
      </c>
      <c r="AK9" s="536">
        <f t="shared" si="0"/>
        <v>238</v>
      </c>
      <c r="AL9" s="421">
        <v>238</v>
      </c>
      <c r="AM9" s="410"/>
      <c r="AN9" s="410"/>
      <c r="AO9" s="410"/>
      <c r="AP9" s="411"/>
      <c r="AQ9" s="411"/>
    </row>
    <row r="10" spans="1:43" ht="35.25" customHeight="1" x14ac:dyDescent="0.3">
      <c r="A10" s="1255"/>
      <c r="B10" s="442" t="s">
        <v>410</v>
      </c>
      <c r="C10" s="1295"/>
      <c r="D10" s="1201"/>
      <c r="E10" s="1201"/>
      <c r="F10" s="1240"/>
      <c r="G10" s="443">
        <f t="shared" ref="G10:AJ10" si="1">SUM(G8+G9)</f>
        <v>20</v>
      </c>
      <c r="H10" s="443">
        <f t="shared" si="1"/>
        <v>30</v>
      </c>
      <c r="I10" s="443">
        <f t="shared" si="1"/>
        <v>21</v>
      </c>
      <c r="J10" s="443">
        <f t="shared" si="1"/>
        <v>22</v>
      </c>
      <c r="K10" s="443">
        <f t="shared" si="1"/>
        <v>16</v>
      </c>
      <c r="L10" s="443">
        <f t="shared" si="1"/>
        <v>30</v>
      </c>
      <c r="M10" s="443">
        <f t="shared" si="1"/>
        <v>33</v>
      </c>
      <c r="N10" s="443">
        <f t="shared" si="1"/>
        <v>30</v>
      </c>
      <c r="O10" s="443">
        <f t="shared" si="1"/>
        <v>26</v>
      </c>
      <c r="P10" s="443">
        <f t="shared" si="1"/>
        <v>30</v>
      </c>
      <c r="Q10" s="443">
        <f t="shared" si="1"/>
        <v>29</v>
      </c>
      <c r="R10" s="443">
        <f t="shared" si="1"/>
        <v>58</v>
      </c>
      <c r="S10" s="443">
        <f t="shared" si="1"/>
        <v>29</v>
      </c>
      <c r="T10" s="443">
        <f t="shared" si="1"/>
        <v>17</v>
      </c>
      <c r="U10" s="443">
        <f t="shared" si="1"/>
        <v>0</v>
      </c>
      <c r="V10" s="443">
        <f t="shared" si="1"/>
        <v>20</v>
      </c>
      <c r="W10" s="443">
        <f t="shared" si="1"/>
        <v>27</v>
      </c>
      <c r="X10" s="443">
        <f t="shared" si="1"/>
        <v>0</v>
      </c>
      <c r="Y10" s="443">
        <f t="shared" si="1"/>
        <v>0</v>
      </c>
      <c r="Z10" s="443">
        <f t="shared" si="1"/>
        <v>32</v>
      </c>
      <c r="AA10" s="443">
        <f t="shared" si="1"/>
        <v>0</v>
      </c>
      <c r="AB10" s="691">
        <f t="shared" si="1"/>
        <v>26</v>
      </c>
      <c r="AC10" s="566">
        <f t="shared" si="1"/>
        <v>12</v>
      </c>
      <c r="AD10" s="566">
        <f t="shared" si="1"/>
        <v>16</v>
      </c>
      <c r="AE10" s="567">
        <f t="shared" si="1"/>
        <v>27</v>
      </c>
      <c r="AF10" s="567">
        <f t="shared" si="1"/>
        <v>28</v>
      </c>
      <c r="AG10" s="568">
        <f t="shared" si="1"/>
        <v>17</v>
      </c>
      <c r="AH10" s="567">
        <f t="shared" si="1"/>
        <v>35</v>
      </c>
      <c r="AI10" s="567">
        <f t="shared" si="1"/>
        <v>0</v>
      </c>
      <c r="AJ10" s="567">
        <f t="shared" si="1"/>
        <v>23</v>
      </c>
      <c r="AK10" s="689">
        <f t="shared" si="0"/>
        <v>654</v>
      </c>
      <c r="AL10" s="421">
        <v>654</v>
      </c>
      <c r="AM10" s="410"/>
      <c r="AN10" s="410"/>
      <c r="AO10" s="410"/>
      <c r="AP10" s="411"/>
      <c r="AQ10" s="411"/>
    </row>
    <row r="11" spans="1:43" ht="28.5" customHeight="1" x14ac:dyDescent="0.3">
      <c r="A11" s="1326" t="s">
        <v>461</v>
      </c>
      <c r="B11" s="692" t="s">
        <v>462</v>
      </c>
      <c r="C11" s="1295"/>
      <c r="D11" s="1201"/>
      <c r="E11" s="1201"/>
      <c r="F11" s="1240"/>
      <c r="G11" s="424"/>
      <c r="H11" s="454"/>
      <c r="I11" s="17"/>
      <c r="J11" s="570"/>
      <c r="K11" s="425"/>
      <c r="L11" s="454"/>
      <c r="M11" s="454"/>
      <c r="N11" s="541">
        <v>276</v>
      </c>
      <c r="O11" s="454"/>
      <c r="P11" s="418"/>
      <c r="Q11" s="425">
        <v>337</v>
      </c>
      <c r="R11" s="418"/>
      <c r="S11" s="418"/>
      <c r="T11" s="418"/>
      <c r="U11" s="455"/>
      <c r="V11" s="684">
        <v>320</v>
      </c>
      <c r="W11" s="634"/>
      <c r="X11" s="634"/>
      <c r="Y11" s="634"/>
      <c r="Z11" s="634"/>
      <c r="AA11" s="634"/>
      <c r="AB11" s="634"/>
      <c r="AC11" s="549"/>
      <c r="AD11" s="549"/>
      <c r="AE11" s="532"/>
      <c r="AF11" s="572"/>
      <c r="AG11" s="572"/>
      <c r="AH11" s="693"/>
      <c r="AI11" s="572"/>
      <c r="AJ11" s="572"/>
      <c r="AK11" s="536">
        <f t="shared" si="0"/>
        <v>933</v>
      </c>
      <c r="AL11" s="421">
        <v>993</v>
      </c>
      <c r="AM11" s="410"/>
      <c r="AN11" s="410"/>
      <c r="AO11" s="410"/>
      <c r="AP11" s="411"/>
      <c r="AQ11" s="411"/>
    </row>
    <row r="12" spans="1:43" ht="24" customHeight="1" x14ac:dyDescent="0.3">
      <c r="A12" s="1317"/>
      <c r="B12" s="694" t="s">
        <v>463</v>
      </c>
      <c r="C12" s="1295"/>
      <c r="D12" s="1201"/>
      <c r="E12" s="1201"/>
      <c r="F12" s="1240"/>
      <c r="G12" s="654"/>
      <c r="H12" s="655"/>
      <c r="I12" s="656"/>
      <c r="J12" s="655"/>
      <c r="K12" s="655"/>
      <c r="L12" s="655"/>
      <c r="M12" s="655"/>
      <c r="N12" s="657">
        <v>6</v>
      </c>
      <c r="O12" s="655"/>
      <c r="P12" s="658"/>
      <c r="Q12" s="655">
        <v>93</v>
      </c>
      <c r="R12" s="658"/>
      <c r="S12" s="658"/>
      <c r="T12" s="658"/>
      <c r="U12" s="659"/>
      <c r="V12" s="684">
        <v>0</v>
      </c>
      <c r="W12" s="634"/>
      <c r="X12" s="634"/>
      <c r="Y12" s="634"/>
      <c r="Z12" s="634"/>
      <c r="AA12" s="634"/>
      <c r="AB12" s="634"/>
      <c r="AC12" s="549"/>
      <c r="AD12" s="549"/>
      <c r="AE12" s="532"/>
      <c r="AF12" s="572"/>
      <c r="AG12" s="572"/>
      <c r="AH12" s="693"/>
      <c r="AI12" s="572"/>
      <c r="AJ12" s="572"/>
      <c r="AK12" s="536">
        <f t="shared" si="0"/>
        <v>99</v>
      </c>
      <c r="AL12" s="421">
        <v>99</v>
      </c>
      <c r="AM12" s="410"/>
      <c r="AN12" s="410"/>
      <c r="AO12" s="410"/>
      <c r="AP12" s="411"/>
      <c r="AQ12" s="411"/>
    </row>
    <row r="13" spans="1:43" ht="21.75" customHeight="1" x14ac:dyDescent="0.3">
      <c r="A13" s="1313" t="s">
        <v>411</v>
      </c>
      <c r="B13" s="453" t="s">
        <v>405</v>
      </c>
      <c r="C13" s="1295"/>
      <c r="D13" s="1201"/>
      <c r="E13" s="1201"/>
      <c r="F13" s="1240"/>
      <c r="G13" s="424"/>
      <c r="H13" s="542"/>
      <c r="I13" s="17"/>
      <c r="J13" s="425"/>
      <c r="K13" s="425"/>
      <c r="L13" s="425"/>
      <c r="M13" s="425"/>
      <c r="N13" s="425">
        <v>0</v>
      </c>
      <c r="O13" s="425"/>
      <c r="P13" s="17"/>
      <c r="Q13" s="541">
        <v>0</v>
      </c>
      <c r="R13" s="17"/>
      <c r="S13" s="17"/>
      <c r="T13" s="17"/>
      <c r="U13" s="455"/>
      <c r="V13" s="634"/>
      <c r="W13" s="634"/>
      <c r="X13" s="634"/>
      <c r="Y13" s="634"/>
      <c r="Z13" s="634"/>
      <c r="AA13" s="634"/>
      <c r="AB13" s="634"/>
      <c r="AC13" s="549"/>
      <c r="AD13" s="549"/>
      <c r="AE13" s="532"/>
      <c r="AF13" s="576"/>
      <c r="AG13" s="576"/>
      <c r="AH13" s="577"/>
      <c r="AI13" s="576"/>
      <c r="AJ13" s="576"/>
      <c r="AK13" s="536">
        <f t="shared" si="0"/>
        <v>0</v>
      </c>
      <c r="AL13" s="421">
        <v>0</v>
      </c>
      <c r="AM13" s="410"/>
      <c r="AN13" s="410"/>
      <c r="AO13" s="410"/>
      <c r="AP13" s="411"/>
      <c r="AQ13" s="411"/>
    </row>
    <row r="14" spans="1:43" ht="21.75" customHeight="1" x14ac:dyDescent="0.3">
      <c r="A14" s="1170"/>
      <c r="B14" s="578" t="s">
        <v>412</v>
      </c>
      <c r="C14" s="1295"/>
      <c r="D14" s="1201"/>
      <c r="E14" s="1201"/>
      <c r="F14" s="1240"/>
      <c r="G14" s="424">
        <v>60</v>
      </c>
      <c r="H14" s="542">
        <v>7</v>
      </c>
      <c r="I14" s="542">
        <v>1</v>
      </c>
      <c r="J14" s="425">
        <v>0</v>
      </c>
      <c r="K14" s="541">
        <v>37</v>
      </c>
      <c r="L14" s="425">
        <v>0</v>
      </c>
      <c r="M14" s="425">
        <v>0</v>
      </c>
      <c r="N14" s="425">
        <v>0</v>
      </c>
      <c r="O14" s="541">
        <v>32</v>
      </c>
      <c r="P14" s="542">
        <v>0</v>
      </c>
      <c r="Q14" s="541">
        <v>36</v>
      </c>
      <c r="R14" s="418">
        <v>0</v>
      </c>
      <c r="S14" s="542"/>
      <c r="T14" s="542">
        <v>28</v>
      </c>
      <c r="U14" s="419">
        <v>0</v>
      </c>
      <c r="V14" s="634"/>
      <c r="W14" s="634"/>
      <c r="X14" s="634"/>
      <c r="Y14" s="634"/>
      <c r="Z14" s="634"/>
      <c r="AA14" s="634"/>
      <c r="AB14" s="634"/>
      <c r="AC14" s="538">
        <v>0</v>
      </c>
      <c r="AD14" s="549"/>
      <c r="AE14" s="532"/>
      <c r="AF14" s="576"/>
      <c r="AG14" s="660"/>
      <c r="AH14" s="577"/>
      <c r="AI14" s="576"/>
      <c r="AJ14" s="576"/>
      <c r="AK14" s="536">
        <f t="shared" si="0"/>
        <v>201</v>
      </c>
      <c r="AL14" s="421">
        <v>201</v>
      </c>
      <c r="AM14" s="410"/>
      <c r="AN14" s="410"/>
      <c r="AO14" s="410"/>
      <c r="AP14" s="411"/>
      <c r="AQ14" s="411"/>
    </row>
    <row r="15" spans="1:43" ht="25.5" customHeight="1" x14ac:dyDescent="0.3">
      <c r="A15" s="1170"/>
      <c r="B15" s="579" t="s">
        <v>407</v>
      </c>
      <c r="C15" s="1295"/>
      <c r="D15" s="1201"/>
      <c r="E15" s="1201"/>
      <c r="F15" s="1240"/>
      <c r="G15" s="425">
        <v>0</v>
      </c>
      <c r="H15" s="581">
        <v>7</v>
      </c>
      <c r="I15" s="581">
        <v>1</v>
      </c>
      <c r="J15" s="580">
        <v>0</v>
      </c>
      <c r="K15" s="581">
        <v>0</v>
      </c>
      <c r="L15" s="580">
        <v>0</v>
      </c>
      <c r="M15" s="580">
        <v>0</v>
      </c>
      <c r="N15" s="580">
        <v>0</v>
      </c>
      <c r="O15" s="580">
        <v>0</v>
      </c>
      <c r="P15" s="581">
        <v>0</v>
      </c>
      <c r="Q15" s="695">
        <v>7</v>
      </c>
      <c r="R15" s="582">
        <v>0</v>
      </c>
      <c r="S15" s="581"/>
      <c r="T15" s="581">
        <v>0</v>
      </c>
      <c r="U15" s="583">
        <v>0</v>
      </c>
      <c r="V15" s="634"/>
      <c r="W15" s="634"/>
      <c r="X15" s="634"/>
      <c r="Y15" s="634"/>
      <c r="Z15" s="634"/>
      <c r="AA15" s="634"/>
      <c r="AB15" s="696"/>
      <c r="AC15" s="556">
        <v>5</v>
      </c>
      <c r="AD15" s="556">
        <v>0</v>
      </c>
      <c r="AE15" s="585">
        <v>0</v>
      </c>
      <c r="AF15" s="586"/>
      <c r="AG15" s="661"/>
      <c r="AH15" s="662">
        <v>0</v>
      </c>
      <c r="AI15" s="559"/>
      <c r="AJ15" s="559">
        <v>0</v>
      </c>
      <c r="AK15" s="689">
        <f t="shared" si="0"/>
        <v>20</v>
      </c>
      <c r="AL15" s="421">
        <v>20</v>
      </c>
      <c r="AM15" s="410"/>
      <c r="AN15" s="410"/>
      <c r="AO15" s="410"/>
      <c r="AP15" s="411"/>
      <c r="AQ15" s="411"/>
    </row>
    <row r="16" spans="1:43" ht="24" customHeight="1" x14ac:dyDescent="0.35">
      <c r="A16" s="1170"/>
      <c r="B16" s="579" t="s">
        <v>408</v>
      </c>
      <c r="C16" s="1295"/>
      <c r="D16" s="1201"/>
      <c r="E16" s="1201"/>
      <c r="F16" s="1240"/>
      <c r="G16" s="663">
        <v>8</v>
      </c>
      <c r="H16" s="542">
        <v>14</v>
      </c>
      <c r="I16" s="542">
        <v>19</v>
      </c>
      <c r="J16" s="425">
        <v>0</v>
      </c>
      <c r="K16" s="542">
        <v>1</v>
      </c>
      <c r="L16" s="542">
        <v>19</v>
      </c>
      <c r="M16" s="418">
        <v>4</v>
      </c>
      <c r="N16" s="541">
        <v>15</v>
      </c>
      <c r="O16" s="541">
        <v>17</v>
      </c>
      <c r="P16" s="418">
        <v>8</v>
      </c>
      <c r="Q16" s="418">
        <v>37</v>
      </c>
      <c r="R16" s="418">
        <v>0</v>
      </c>
      <c r="S16" s="418"/>
      <c r="T16" s="542">
        <v>22</v>
      </c>
      <c r="U16" s="419">
        <v>0</v>
      </c>
      <c r="V16" s="697">
        <v>15</v>
      </c>
      <c r="W16" s="634">
        <v>17</v>
      </c>
      <c r="X16" s="634"/>
      <c r="Y16" s="634"/>
      <c r="Z16" s="634"/>
      <c r="AA16" s="634"/>
      <c r="AB16" s="634">
        <v>42</v>
      </c>
      <c r="AC16" s="538">
        <v>9</v>
      </c>
      <c r="AD16" s="538">
        <v>17</v>
      </c>
      <c r="AE16" s="538">
        <v>28</v>
      </c>
      <c r="AF16" s="577">
        <v>25</v>
      </c>
      <c r="AG16" s="660"/>
      <c r="AH16" s="577">
        <v>4</v>
      </c>
      <c r="AI16" s="576"/>
      <c r="AJ16" s="577">
        <v>5</v>
      </c>
      <c r="AK16" s="536">
        <f t="shared" si="0"/>
        <v>326</v>
      </c>
      <c r="AL16" s="421">
        <v>326</v>
      </c>
      <c r="AM16" s="410"/>
      <c r="AN16" s="410"/>
      <c r="AO16" s="410"/>
      <c r="AP16" s="411"/>
      <c r="AQ16" s="411"/>
    </row>
    <row r="17" spans="1:43" ht="25.5" customHeight="1" x14ac:dyDescent="0.35">
      <c r="A17" s="1170"/>
      <c r="B17" s="579" t="s">
        <v>409</v>
      </c>
      <c r="C17" s="1295"/>
      <c r="D17" s="1201"/>
      <c r="E17" s="1201"/>
      <c r="F17" s="1240"/>
      <c r="G17" s="664">
        <v>12</v>
      </c>
      <c r="H17" s="542">
        <v>19</v>
      </c>
      <c r="I17" s="542">
        <v>14</v>
      </c>
      <c r="J17" s="425">
        <v>0</v>
      </c>
      <c r="K17" s="541">
        <v>0</v>
      </c>
      <c r="L17" s="542">
        <v>20</v>
      </c>
      <c r="M17" s="418">
        <v>6</v>
      </c>
      <c r="N17" s="541">
        <v>11</v>
      </c>
      <c r="O17" s="541">
        <v>9</v>
      </c>
      <c r="P17" s="418">
        <v>7</v>
      </c>
      <c r="Q17" s="418">
        <v>26</v>
      </c>
      <c r="R17" s="418">
        <v>0</v>
      </c>
      <c r="S17" s="698"/>
      <c r="T17" s="418">
        <v>17</v>
      </c>
      <c r="U17" s="419">
        <v>0</v>
      </c>
      <c r="V17" s="699">
        <v>15</v>
      </c>
      <c r="W17" s="684">
        <v>7</v>
      </c>
      <c r="X17" s="634"/>
      <c r="Y17" s="634"/>
      <c r="Z17" s="634"/>
      <c r="AA17" s="634"/>
      <c r="AB17" s="634">
        <v>23</v>
      </c>
      <c r="AC17" s="538">
        <v>13</v>
      </c>
      <c r="AD17" s="538">
        <v>5</v>
      </c>
      <c r="AE17" s="538">
        <v>12</v>
      </c>
      <c r="AF17" s="577">
        <v>17</v>
      </c>
      <c r="AG17" s="660"/>
      <c r="AH17" s="577">
        <v>13</v>
      </c>
      <c r="AI17" s="576"/>
      <c r="AJ17" s="577">
        <v>2</v>
      </c>
      <c r="AK17" s="536">
        <f t="shared" si="0"/>
        <v>248</v>
      </c>
      <c r="AL17" s="421">
        <v>248</v>
      </c>
      <c r="AM17" s="410"/>
      <c r="AN17" s="410"/>
      <c r="AO17" s="410"/>
      <c r="AP17" s="411"/>
      <c r="AQ17" s="411"/>
    </row>
    <row r="18" spans="1:43" ht="23.25" customHeight="1" x14ac:dyDescent="0.35">
      <c r="A18" s="1170"/>
      <c r="B18" s="579" t="s">
        <v>413</v>
      </c>
      <c r="C18" s="1295"/>
      <c r="D18" s="1201"/>
      <c r="E18" s="1201"/>
      <c r="F18" s="1240"/>
      <c r="G18" s="665">
        <v>11</v>
      </c>
      <c r="H18" s="542">
        <v>27</v>
      </c>
      <c r="I18" s="418">
        <v>15</v>
      </c>
      <c r="J18" s="425">
        <v>0</v>
      </c>
      <c r="K18" s="541">
        <v>42</v>
      </c>
      <c r="L18" s="542">
        <v>28</v>
      </c>
      <c r="M18" s="418">
        <v>38</v>
      </c>
      <c r="N18" s="541">
        <v>37</v>
      </c>
      <c r="O18" s="541">
        <v>29</v>
      </c>
      <c r="P18" s="418">
        <v>35</v>
      </c>
      <c r="Q18" s="418">
        <v>12</v>
      </c>
      <c r="R18" s="418">
        <v>0</v>
      </c>
      <c r="S18" s="700"/>
      <c r="T18" s="418">
        <v>17</v>
      </c>
      <c r="U18" s="419">
        <v>0</v>
      </c>
      <c r="V18" s="699">
        <v>10</v>
      </c>
      <c r="W18" s="634">
        <v>16</v>
      </c>
      <c r="X18" s="634"/>
      <c r="Y18" s="634"/>
      <c r="Z18" s="634"/>
      <c r="AA18" s="634"/>
      <c r="AB18" s="634">
        <v>15</v>
      </c>
      <c r="AC18" s="538">
        <v>42</v>
      </c>
      <c r="AD18" s="538">
        <v>4</v>
      </c>
      <c r="AE18" s="538">
        <v>24</v>
      </c>
      <c r="AF18" s="577">
        <v>20</v>
      </c>
      <c r="AG18" s="660"/>
      <c r="AH18" s="577">
        <v>8</v>
      </c>
      <c r="AI18" s="576"/>
      <c r="AJ18" s="564">
        <v>3</v>
      </c>
      <c r="AK18" s="536">
        <f t="shared" si="0"/>
        <v>433</v>
      </c>
      <c r="AL18" s="421">
        <v>433</v>
      </c>
      <c r="AM18" s="410"/>
      <c r="AN18" s="410"/>
      <c r="AO18" s="410"/>
      <c r="AP18" s="411"/>
      <c r="AQ18" s="411"/>
    </row>
    <row r="19" spans="1:43" ht="21" customHeight="1" x14ac:dyDescent="0.35">
      <c r="A19" s="1170"/>
      <c r="B19" s="579" t="s">
        <v>414</v>
      </c>
      <c r="C19" s="1295"/>
      <c r="D19" s="1201"/>
      <c r="E19" s="1201"/>
      <c r="F19" s="1240"/>
      <c r="G19" s="664">
        <v>33</v>
      </c>
      <c r="H19" s="542">
        <v>30</v>
      </c>
      <c r="I19" s="418">
        <v>12</v>
      </c>
      <c r="J19" s="425">
        <v>0</v>
      </c>
      <c r="K19" s="541">
        <v>47</v>
      </c>
      <c r="L19" s="542">
        <v>23</v>
      </c>
      <c r="M19" s="418">
        <v>42</v>
      </c>
      <c r="N19" s="425">
        <v>26</v>
      </c>
      <c r="O19" s="541">
        <v>35</v>
      </c>
      <c r="P19" s="418">
        <v>40</v>
      </c>
      <c r="Q19" s="418">
        <v>14</v>
      </c>
      <c r="R19" s="418">
        <v>0</v>
      </c>
      <c r="S19" s="700"/>
      <c r="T19" s="418">
        <v>22</v>
      </c>
      <c r="U19" s="419">
        <v>0</v>
      </c>
      <c r="V19" s="699">
        <v>20</v>
      </c>
      <c r="W19" s="634">
        <v>12</v>
      </c>
      <c r="X19" s="634"/>
      <c r="Y19" s="634"/>
      <c r="Z19" s="634"/>
      <c r="AA19" s="634"/>
      <c r="AB19" s="634">
        <v>10</v>
      </c>
      <c r="AC19" s="538">
        <v>26</v>
      </c>
      <c r="AD19" s="538">
        <v>28</v>
      </c>
      <c r="AE19" s="538">
        <v>21</v>
      </c>
      <c r="AF19" s="577">
        <v>19</v>
      </c>
      <c r="AG19" s="660"/>
      <c r="AH19" s="577">
        <v>9</v>
      </c>
      <c r="AI19" s="576"/>
      <c r="AJ19" s="577">
        <v>6</v>
      </c>
      <c r="AK19" s="536">
        <f t="shared" si="0"/>
        <v>475</v>
      </c>
      <c r="AL19" s="421">
        <v>475</v>
      </c>
      <c r="AM19" s="410"/>
      <c r="AN19" s="410"/>
      <c r="AO19" s="410"/>
      <c r="AP19" s="411"/>
      <c r="AQ19" s="411"/>
    </row>
    <row r="20" spans="1:43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f t="shared" ref="G20:AE20" si="2">SUM(G16:G19)</f>
        <v>64</v>
      </c>
      <c r="H20" s="590">
        <f t="shared" si="2"/>
        <v>90</v>
      </c>
      <c r="I20" s="590">
        <f t="shared" si="2"/>
        <v>60</v>
      </c>
      <c r="J20" s="590">
        <f t="shared" si="2"/>
        <v>0</v>
      </c>
      <c r="K20" s="590">
        <f t="shared" si="2"/>
        <v>90</v>
      </c>
      <c r="L20" s="590">
        <f t="shared" si="2"/>
        <v>90</v>
      </c>
      <c r="M20" s="590">
        <f t="shared" si="2"/>
        <v>90</v>
      </c>
      <c r="N20" s="590">
        <f t="shared" si="2"/>
        <v>89</v>
      </c>
      <c r="O20" s="590">
        <f t="shared" si="2"/>
        <v>90</v>
      </c>
      <c r="P20" s="590">
        <f t="shared" si="2"/>
        <v>90</v>
      </c>
      <c r="Q20" s="590">
        <f t="shared" si="2"/>
        <v>89</v>
      </c>
      <c r="R20" s="590">
        <f t="shared" si="2"/>
        <v>0</v>
      </c>
      <c r="S20" s="590">
        <f t="shared" si="2"/>
        <v>0</v>
      </c>
      <c r="T20" s="590">
        <f t="shared" si="2"/>
        <v>78</v>
      </c>
      <c r="U20" s="590">
        <f t="shared" si="2"/>
        <v>0</v>
      </c>
      <c r="V20" s="590">
        <f t="shared" si="2"/>
        <v>60</v>
      </c>
      <c r="W20" s="590">
        <f t="shared" si="2"/>
        <v>52</v>
      </c>
      <c r="X20" s="590">
        <f t="shared" si="2"/>
        <v>0</v>
      </c>
      <c r="Y20" s="590">
        <f t="shared" si="2"/>
        <v>0</v>
      </c>
      <c r="Z20" s="590">
        <f t="shared" si="2"/>
        <v>0</v>
      </c>
      <c r="AA20" s="590">
        <f t="shared" si="2"/>
        <v>0</v>
      </c>
      <c r="AB20" s="590">
        <f t="shared" si="2"/>
        <v>90</v>
      </c>
      <c r="AC20" s="590">
        <f t="shared" si="2"/>
        <v>90</v>
      </c>
      <c r="AD20" s="666">
        <f t="shared" si="2"/>
        <v>54</v>
      </c>
      <c r="AE20" s="666">
        <f t="shared" si="2"/>
        <v>85</v>
      </c>
      <c r="AF20" s="666">
        <f t="shared" ref="AF20:AJ20" si="3">SUM(AF16+AF17+AF18+AF19)</f>
        <v>81</v>
      </c>
      <c r="AG20" s="666">
        <f t="shared" si="3"/>
        <v>0</v>
      </c>
      <c r="AH20" s="666">
        <f t="shared" si="3"/>
        <v>34</v>
      </c>
      <c r="AI20" s="666">
        <f t="shared" si="3"/>
        <v>0</v>
      </c>
      <c r="AJ20" s="666">
        <f t="shared" si="3"/>
        <v>16</v>
      </c>
      <c r="AK20" s="689">
        <f t="shared" si="0"/>
        <v>1482</v>
      </c>
      <c r="AL20" s="421">
        <v>1482</v>
      </c>
      <c r="AM20" s="410"/>
      <c r="AN20" s="410"/>
      <c r="AO20" s="410"/>
      <c r="AP20" s="411"/>
      <c r="AQ20" s="410"/>
    </row>
    <row r="21" spans="1:43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467"/>
      <c r="H21" s="425"/>
      <c r="I21" s="425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701"/>
      <c r="W21" s="701"/>
      <c r="X21" s="701"/>
      <c r="Y21" s="701"/>
      <c r="Z21" s="701"/>
      <c r="AA21" s="701"/>
      <c r="AB21" s="634"/>
      <c r="AC21" s="549"/>
      <c r="AD21" s="538"/>
      <c r="AE21" s="532"/>
      <c r="AF21" s="593"/>
      <c r="AG21" s="668"/>
      <c r="AH21" s="668"/>
      <c r="AI21" s="572"/>
      <c r="AJ21" s="572"/>
      <c r="AK21" s="536">
        <f t="shared" si="0"/>
        <v>0</v>
      </c>
      <c r="AL21" s="421">
        <v>0</v>
      </c>
      <c r="AM21" s="410"/>
      <c r="AN21" s="410"/>
      <c r="AO21" s="410"/>
      <c r="AP21" s="411"/>
      <c r="AQ21" s="411"/>
    </row>
    <row r="22" spans="1:43" ht="18.75" customHeight="1" x14ac:dyDescent="0.3">
      <c r="A22" s="1170"/>
      <c r="B22" s="1329"/>
      <c r="C22" s="1257" t="s">
        <v>419</v>
      </c>
      <c r="D22" s="1247"/>
      <c r="E22" s="1247"/>
      <c r="F22" s="1247"/>
      <c r="G22" s="469"/>
      <c r="H22" s="470"/>
      <c r="I22" s="470"/>
      <c r="J22" s="470"/>
      <c r="K22" s="470">
        <v>0</v>
      </c>
      <c r="L22" s="425"/>
      <c r="M22" s="425"/>
      <c r="N22" s="425">
        <v>2</v>
      </c>
      <c r="O22" s="425"/>
      <c r="P22" s="425"/>
      <c r="Q22" s="425"/>
      <c r="R22" s="425"/>
      <c r="S22" s="425"/>
      <c r="T22" s="425"/>
      <c r="U22" s="425">
        <v>0</v>
      </c>
      <c r="V22" s="683"/>
      <c r="W22" s="683"/>
      <c r="X22" s="683"/>
      <c r="Y22" s="683"/>
      <c r="Z22" s="683"/>
      <c r="AA22" s="683"/>
      <c r="AB22" s="684">
        <v>5</v>
      </c>
      <c r="AC22" s="549"/>
      <c r="AD22" s="549"/>
      <c r="AE22" s="532"/>
      <c r="AF22" s="593"/>
      <c r="AG22" s="668"/>
      <c r="AH22" s="668"/>
      <c r="AI22" s="572"/>
      <c r="AJ22" s="572"/>
      <c r="AK22" s="536">
        <f t="shared" si="0"/>
        <v>7</v>
      </c>
      <c r="AL22" s="421">
        <v>7</v>
      </c>
      <c r="AM22" s="410"/>
      <c r="AN22" s="410"/>
      <c r="AO22" s="410"/>
      <c r="AP22" s="411"/>
      <c r="AQ22" s="411"/>
    </row>
    <row r="23" spans="1:43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595">
        <v>150</v>
      </c>
      <c r="I23" s="595">
        <v>100</v>
      </c>
      <c r="J23" s="596">
        <v>100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600">
        <v>0</v>
      </c>
      <c r="V23" s="702">
        <v>150</v>
      </c>
      <c r="W23" s="702">
        <v>150</v>
      </c>
      <c r="X23" s="702">
        <v>150</v>
      </c>
      <c r="Y23" s="702">
        <v>150</v>
      </c>
      <c r="Z23" s="702">
        <v>150</v>
      </c>
      <c r="AA23" s="702">
        <v>150</v>
      </c>
      <c r="AB23" s="599">
        <v>150</v>
      </c>
      <c r="AC23" s="599">
        <v>150</v>
      </c>
      <c r="AD23" s="599">
        <v>150</v>
      </c>
      <c r="AE23" s="601">
        <v>150</v>
      </c>
      <c r="AF23" s="602">
        <v>150</v>
      </c>
      <c r="AG23" s="602">
        <v>150</v>
      </c>
      <c r="AH23" s="601">
        <v>150</v>
      </c>
      <c r="AI23" s="601">
        <v>150</v>
      </c>
      <c r="AJ23" s="601">
        <v>150</v>
      </c>
      <c r="AK23" s="536">
        <f t="shared" si="0"/>
        <v>4350</v>
      </c>
      <c r="AL23" s="421">
        <v>4350</v>
      </c>
      <c r="AM23" s="410"/>
      <c r="AN23" s="410"/>
      <c r="AO23" s="410"/>
      <c r="AP23" s="411"/>
      <c r="AQ23" s="411"/>
    </row>
    <row r="24" spans="1:43" ht="20.25" customHeight="1" x14ac:dyDescent="0.3">
      <c r="A24" s="1171"/>
      <c r="B24" s="1319"/>
      <c r="C24" s="1304" t="s">
        <v>419</v>
      </c>
      <c r="D24" s="1260"/>
      <c r="E24" s="1260"/>
      <c r="F24" s="1260"/>
      <c r="G24" s="603">
        <v>60</v>
      </c>
      <c r="H24" s="604">
        <v>136</v>
      </c>
      <c r="I24" s="605">
        <v>73</v>
      </c>
      <c r="J24" s="605">
        <v>75</v>
      </c>
      <c r="K24" s="606">
        <v>61</v>
      </c>
      <c r="L24" s="607">
        <v>150</v>
      </c>
      <c r="M24" s="608">
        <v>173</v>
      </c>
      <c r="N24" s="608">
        <v>156</v>
      </c>
      <c r="O24" s="608">
        <v>152</v>
      </c>
      <c r="P24" s="669">
        <v>95</v>
      </c>
      <c r="Q24" s="610">
        <v>95</v>
      </c>
      <c r="R24" s="610">
        <v>259</v>
      </c>
      <c r="S24" s="610">
        <v>98</v>
      </c>
      <c r="T24" s="610">
        <v>102</v>
      </c>
      <c r="U24" s="611">
        <v>0</v>
      </c>
      <c r="V24" s="702">
        <v>19</v>
      </c>
      <c r="W24" s="702">
        <v>196</v>
      </c>
      <c r="X24" s="702"/>
      <c r="Y24" s="702"/>
      <c r="Z24" s="702">
        <v>128</v>
      </c>
      <c r="AA24" s="702"/>
      <c r="AB24" s="703">
        <v>165</v>
      </c>
      <c r="AC24" s="612">
        <v>96</v>
      </c>
      <c r="AD24" s="612">
        <v>96</v>
      </c>
      <c r="AE24" s="612">
        <v>135</v>
      </c>
      <c r="AF24" s="612">
        <v>163</v>
      </c>
      <c r="AG24" s="612">
        <v>136</v>
      </c>
      <c r="AH24" s="704">
        <v>200</v>
      </c>
      <c r="AI24" s="702"/>
      <c r="AJ24" s="702">
        <v>69</v>
      </c>
      <c r="AK24" s="705">
        <f t="shared" si="0"/>
        <v>3088</v>
      </c>
      <c r="AL24" s="421">
        <v>3088</v>
      </c>
      <c r="AM24" s="410"/>
      <c r="AN24" s="410"/>
      <c r="AO24" s="410"/>
      <c r="AP24" s="411"/>
      <c r="AQ24" s="411"/>
    </row>
    <row r="25" spans="1:43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541"/>
      <c r="H25" s="425"/>
      <c r="I25" s="418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701"/>
      <c r="W25" s="701"/>
      <c r="X25" s="701"/>
      <c r="Y25" s="701"/>
      <c r="Z25" s="701"/>
      <c r="AA25" s="701"/>
      <c r="AB25" s="634"/>
      <c r="AC25" s="549"/>
      <c r="AD25" s="549"/>
      <c r="AE25" s="532"/>
      <c r="AF25" s="593"/>
      <c r="AG25" s="593"/>
      <c r="AH25" s="668"/>
      <c r="AI25" s="572"/>
      <c r="AJ25" s="572"/>
      <c r="AK25" s="536">
        <f t="shared" si="0"/>
        <v>0</v>
      </c>
      <c r="AL25" s="421">
        <v>0</v>
      </c>
      <c r="AM25" s="410"/>
      <c r="AN25" s="410"/>
      <c r="AO25" s="410"/>
      <c r="AP25" s="411"/>
      <c r="AQ25" s="411"/>
    </row>
    <row r="26" spans="1:43" ht="18.75" customHeight="1" x14ac:dyDescent="0.3">
      <c r="A26" s="1273"/>
      <c r="B26" s="1263"/>
      <c r="C26" s="1291" t="s">
        <v>419</v>
      </c>
      <c r="D26" s="1178"/>
      <c r="E26" s="1178"/>
      <c r="F26" s="1179"/>
      <c r="G26" s="541">
        <v>20</v>
      </c>
      <c r="H26" s="541">
        <v>112</v>
      </c>
      <c r="I26" s="418">
        <v>40</v>
      </c>
      <c r="J26" s="467"/>
      <c r="K26" s="467"/>
      <c r="L26" s="467"/>
      <c r="M26" s="425"/>
      <c r="N26" s="541"/>
      <c r="O26" s="541"/>
      <c r="P26" s="540">
        <v>135</v>
      </c>
      <c r="Q26" s="541"/>
      <c r="R26" s="540">
        <v>20</v>
      </c>
      <c r="S26" s="492"/>
      <c r="T26" s="492"/>
      <c r="U26" s="419">
        <v>0</v>
      </c>
      <c r="V26" s="701"/>
      <c r="W26" s="701"/>
      <c r="X26" s="701"/>
      <c r="Y26" s="701"/>
      <c r="Z26" s="701"/>
      <c r="AA26" s="701"/>
      <c r="AB26" s="634"/>
      <c r="AC26" s="549"/>
      <c r="AD26" s="549"/>
      <c r="AE26" s="532"/>
      <c r="AF26" s="593"/>
      <c r="AG26" s="593"/>
      <c r="AH26" s="668"/>
      <c r="AI26" s="572"/>
      <c r="AJ26" s="572"/>
      <c r="AK26" s="536">
        <f t="shared" si="0"/>
        <v>327</v>
      </c>
      <c r="AL26" s="421">
        <v>327</v>
      </c>
      <c r="AM26" s="410"/>
      <c r="AN26" s="410"/>
      <c r="AO26" s="410"/>
      <c r="AP26" s="411"/>
      <c r="AQ26" s="411"/>
    </row>
    <row r="27" spans="1:43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541"/>
      <c r="H27" s="425"/>
      <c r="I27" s="418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701"/>
      <c r="W27" s="701"/>
      <c r="X27" s="701"/>
      <c r="Y27" s="701"/>
      <c r="Z27" s="701"/>
      <c r="AA27" s="701"/>
      <c r="AB27" s="634"/>
      <c r="AC27" s="549"/>
      <c r="AD27" s="549"/>
      <c r="AE27" s="532"/>
      <c r="AF27" s="593"/>
      <c r="AG27" s="593"/>
      <c r="AH27" s="668"/>
      <c r="AI27" s="572"/>
      <c r="AJ27" s="572"/>
      <c r="AK27" s="536">
        <f t="shared" si="0"/>
        <v>0</v>
      </c>
      <c r="AL27" s="421">
        <v>0</v>
      </c>
      <c r="AM27" s="410"/>
      <c r="AN27" s="410"/>
      <c r="AO27" s="410"/>
      <c r="AP27" s="411"/>
      <c r="AQ27" s="411"/>
    </row>
    <row r="28" spans="1:43" ht="18.75" customHeight="1" x14ac:dyDescent="0.3">
      <c r="A28" s="1273"/>
      <c r="B28" s="1167"/>
      <c r="C28" s="1291" t="s">
        <v>419</v>
      </c>
      <c r="D28" s="1178"/>
      <c r="E28" s="1178"/>
      <c r="F28" s="1179"/>
      <c r="G28" s="541"/>
      <c r="H28" s="541">
        <v>57</v>
      </c>
      <c r="I28" s="418"/>
      <c r="J28" s="467"/>
      <c r="K28" s="467"/>
      <c r="L28" s="541"/>
      <c r="M28" s="425"/>
      <c r="N28" s="541"/>
      <c r="O28" s="541"/>
      <c r="P28" s="540">
        <v>15</v>
      </c>
      <c r="Q28" s="425"/>
      <c r="R28" s="492"/>
      <c r="S28" s="492"/>
      <c r="T28" s="492"/>
      <c r="U28" s="419"/>
      <c r="V28" s="701"/>
      <c r="W28" s="701"/>
      <c r="X28" s="701"/>
      <c r="Y28" s="701"/>
      <c r="Z28" s="701"/>
      <c r="AA28" s="701"/>
      <c r="AB28" s="634"/>
      <c r="AC28" s="549"/>
      <c r="AD28" s="549"/>
      <c r="AE28" s="532"/>
      <c r="AF28" s="593"/>
      <c r="AG28" s="593"/>
      <c r="AH28" s="668"/>
      <c r="AI28" s="572"/>
      <c r="AJ28" s="572"/>
      <c r="AK28" s="536">
        <f t="shared" si="0"/>
        <v>72</v>
      </c>
      <c r="AL28" s="421">
        <v>72</v>
      </c>
      <c r="AM28" s="410"/>
      <c r="AN28" s="410"/>
      <c r="AO28" s="410"/>
      <c r="AP28" s="411"/>
      <c r="AQ28" s="411"/>
    </row>
    <row r="29" spans="1:43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541"/>
      <c r="H29" s="425"/>
      <c r="I29" s="418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701"/>
      <c r="W29" s="701"/>
      <c r="X29" s="701"/>
      <c r="Y29" s="701"/>
      <c r="Z29" s="701"/>
      <c r="AA29" s="701"/>
      <c r="AB29" s="634"/>
      <c r="AC29" s="549"/>
      <c r="AD29" s="549"/>
      <c r="AE29" s="532"/>
      <c r="AF29" s="593"/>
      <c r="AG29" s="593"/>
      <c r="AH29" s="668"/>
      <c r="AI29" s="572"/>
      <c r="AJ29" s="572"/>
      <c r="AK29" s="536">
        <f t="shared" si="0"/>
        <v>0</v>
      </c>
      <c r="AL29" s="421">
        <v>0</v>
      </c>
      <c r="AM29" s="410"/>
      <c r="AN29" s="410"/>
      <c r="AO29" s="410"/>
      <c r="AP29" s="411"/>
      <c r="AQ29" s="411"/>
    </row>
    <row r="30" spans="1:43" ht="31.5" customHeight="1" x14ac:dyDescent="0.3">
      <c r="A30" s="1273"/>
      <c r="B30" s="1189"/>
      <c r="C30" s="1291" t="s">
        <v>419</v>
      </c>
      <c r="D30" s="1178"/>
      <c r="E30" s="1178"/>
      <c r="F30" s="1179"/>
      <c r="G30" s="541">
        <v>20</v>
      </c>
      <c r="H30" s="541">
        <v>28</v>
      </c>
      <c r="I30" s="418"/>
      <c r="J30" s="467"/>
      <c r="K30" s="467"/>
      <c r="L30" s="467"/>
      <c r="M30" s="541"/>
      <c r="N30" s="541">
        <v>174</v>
      </c>
      <c r="O30" s="541"/>
      <c r="P30" s="540">
        <v>30</v>
      </c>
      <c r="Q30" s="541"/>
      <c r="R30" s="492"/>
      <c r="S30" s="492"/>
      <c r="T30" s="492"/>
      <c r="U30" s="419"/>
      <c r="V30" s="701"/>
      <c r="W30" s="701"/>
      <c r="X30" s="701"/>
      <c r="Y30" s="701"/>
      <c r="Z30" s="701"/>
      <c r="AA30" s="701"/>
      <c r="AB30" s="634"/>
      <c r="AC30" s="549"/>
      <c r="AD30" s="538">
        <v>143</v>
      </c>
      <c r="AE30" s="532"/>
      <c r="AF30" s="593"/>
      <c r="AG30" s="593"/>
      <c r="AH30" s="668"/>
      <c r="AI30" s="572"/>
      <c r="AJ30" s="572"/>
      <c r="AK30" s="536">
        <f t="shared" si="0"/>
        <v>395</v>
      </c>
      <c r="AL30" s="421">
        <v>395</v>
      </c>
      <c r="AM30" s="410"/>
      <c r="AN30" s="410"/>
      <c r="AO30" s="410"/>
      <c r="AP30" s="411"/>
      <c r="AQ30" s="411"/>
    </row>
    <row r="31" spans="1:43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541"/>
      <c r="H31" s="425"/>
      <c r="I31" s="418"/>
      <c r="J31" s="467"/>
      <c r="K31" s="467"/>
      <c r="L31" s="467"/>
      <c r="M31" s="425"/>
      <c r="N31" s="541">
        <v>0</v>
      </c>
      <c r="O31" s="541"/>
      <c r="P31" s="424"/>
      <c r="Q31" s="425"/>
      <c r="R31" s="492"/>
      <c r="S31" s="492"/>
      <c r="T31" s="492"/>
      <c r="U31" s="419">
        <v>0</v>
      </c>
      <c r="V31" s="701"/>
      <c r="W31" s="701"/>
      <c r="X31" s="701"/>
      <c r="Y31" s="701"/>
      <c r="Z31" s="701"/>
      <c r="AA31" s="701"/>
      <c r="AB31" s="634"/>
      <c r="AC31" s="549"/>
      <c r="AD31" s="549"/>
      <c r="AE31" s="532"/>
      <c r="AF31" s="593"/>
      <c r="AG31" s="593"/>
      <c r="AH31" s="668"/>
      <c r="AI31" s="572"/>
      <c r="AJ31" s="572"/>
      <c r="AK31" s="536">
        <f t="shared" si="0"/>
        <v>0</v>
      </c>
      <c r="AL31" s="421">
        <v>0</v>
      </c>
      <c r="AM31" s="410"/>
      <c r="AN31" s="410"/>
      <c r="AO31" s="410"/>
      <c r="AP31" s="411"/>
      <c r="AQ31" s="411"/>
    </row>
    <row r="32" spans="1:43" ht="18.75" customHeight="1" x14ac:dyDescent="0.3">
      <c r="A32" s="1273"/>
      <c r="B32" s="1189"/>
      <c r="C32" s="1291" t="s">
        <v>419</v>
      </c>
      <c r="D32" s="1178"/>
      <c r="E32" s="1178"/>
      <c r="F32" s="1179"/>
      <c r="G32" s="541">
        <v>15</v>
      </c>
      <c r="H32" s="425"/>
      <c r="I32" s="542"/>
      <c r="J32" s="467"/>
      <c r="K32" s="467"/>
      <c r="L32" s="467"/>
      <c r="M32" s="425"/>
      <c r="N32" s="541">
        <v>0</v>
      </c>
      <c r="O32" s="541"/>
      <c r="P32" s="424"/>
      <c r="Q32" s="541"/>
      <c r="R32" s="467"/>
      <c r="S32" s="468"/>
      <c r="T32" s="468"/>
      <c r="U32" s="419">
        <v>0</v>
      </c>
      <c r="V32" s="701"/>
      <c r="W32" s="701"/>
      <c r="X32" s="701"/>
      <c r="Y32" s="701"/>
      <c r="Z32" s="701"/>
      <c r="AA32" s="701"/>
      <c r="AB32" s="634"/>
      <c r="AC32" s="549"/>
      <c r="AD32" s="549"/>
      <c r="AE32" s="532"/>
      <c r="AF32" s="593"/>
      <c r="AG32" s="593"/>
      <c r="AH32" s="668"/>
      <c r="AI32" s="572"/>
      <c r="AJ32" s="572"/>
      <c r="AK32" s="536">
        <f t="shared" si="0"/>
        <v>15</v>
      </c>
      <c r="AL32" s="421">
        <v>15</v>
      </c>
      <c r="AM32" s="410"/>
      <c r="AN32" s="410"/>
      <c r="AO32" s="410"/>
      <c r="AP32" s="411"/>
      <c r="AQ32" s="411"/>
    </row>
    <row r="33" spans="1:43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59">
        <v>120</v>
      </c>
      <c r="H33" s="459">
        <v>180</v>
      </c>
      <c r="I33" s="459">
        <v>120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704">
        <v>0</v>
      </c>
      <c r="V33" s="458">
        <v>180</v>
      </c>
      <c r="W33" s="458">
        <v>180</v>
      </c>
      <c r="X33" s="458">
        <v>180</v>
      </c>
      <c r="Y33" s="458">
        <v>180</v>
      </c>
      <c r="Z33" s="458">
        <v>180</v>
      </c>
      <c r="AA33" s="458">
        <v>180</v>
      </c>
      <c r="AB33" s="703">
        <v>180</v>
      </c>
      <c r="AC33" s="612">
        <v>180</v>
      </c>
      <c r="AD33" s="612">
        <v>180</v>
      </c>
      <c r="AE33" s="612">
        <v>180</v>
      </c>
      <c r="AF33" s="612">
        <v>180</v>
      </c>
      <c r="AG33" s="612">
        <v>180</v>
      </c>
      <c r="AH33" s="704">
        <v>180</v>
      </c>
      <c r="AI33" s="704">
        <v>180</v>
      </c>
      <c r="AJ33" s="704">
        <v>180</v>
      </c>
      <c r="AK33" s="536">
        <f t="shared" si="0"/>
        <v>4740</v>
      </c>
      <c r="AL33" s="421">
        <v>4740</v>
      </c>
      <c r="AM33" s="410"/>
      <c r="AN33" s="410"/>
      <c r="AO33" s="410"/>
      <c r="AP33" s="411"/>
      <c r="AQ33" s="411"/>
    </row>
    <row r="34" spans="1:43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>
        <v>63</v>
      </c>
      <c r="H34" s="615">
        <v>165</v>
      </c>
      <c r="I34" s="615">
        <v>85</v>
      </c>
      <c r="J34" s="615">
        <f>SUM(J26+J28+J30+J32)</f>
        <v>0</v>
      </c>
      <c r="K34" s="615">
        <v>122</v>
      </c>
      <c r="L34" s="615">
        <v>155</v>
      </c>
      <c r="M34" s="615">
        <v>172</v>
      </c>
      <c r="N34" s="615">
        <f>SUM(N26+N28+N30+N32)</f>
        <v>174</v>
      </c>
      <c r="O34" s="615">
        <v>58</v>
      </c>
      <c r="P34" s="615">
        <v>186</v>
      </c>
      <c r="Q34" s="615">
        <v>165</v>
      </c>
      <c r="R34" s="615">
        <f>SUM(R26+R28+R30+R32)</f>
        <v>20</v>
      </c>
      <c r="S34" s="615">
        <v>150</v>
      </c>
      <c r="T34" s="615">
        <v>135</v>
      </c>
      <c r="U34" s="704">
        <f>SUM(U26+U28+U30+U32)</f>
        <v>0</v>
      </c>
      <c r="V34" s="702">
        <v>15</v>
      </c>
      <c r="W34" s="702">
        <v>100</v>
      </c>
      <c r="X34" s="702"/>
      <c r="Y34" s="702"/>
      <c r="Z34" s="702"/>
      <c r="AA34" s="702"/>
      <c r="AB34" s="703">
        <v>180</v>
      </c>
      <c r="AC34" s="612">
        <v>165</v>
      </c>
      <c r="AD34" s="612">
        <v>143</v>
      </c>
      <c r="AE34" s="612">
        <v>180</v>
      </c>
      <c r="AF34" s="612">
        <v>146</v>
      </c>
      <c r="AG34" s="612">
        <v>0</v>
      </c>
      <c r="AH34" s="704">
        <v>60</v>
      </c>
      <c r="AI34" s="702"/>
      <c r="AJ34" s="702">
        <v>0</v>
      </c>
      <c r="AK34" s="705">
        <f t="shared" si="0"/>
        <v>2639</v>
      </c>
      <c r="AL34" s="421">
        <v>2639</v>
      </c>
      <c r="AM34" s="410"/>
      <c r="AN34" s="410"/>
      <c r="AO34" s="410"/>
      <c r="AP34" s="411"/>
      <c r="AQ34" s="411"/>
    </row>
    <row r="35" spans="1:43" ht="25.5" customHeight="1" x14ac:dyDescent="0.25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425"/>
      <c r="H35" s="425"/>
      <c r="I35" s="425"/>
      <c r="J35" s="541">
        <v>15</v>
      </c>
      <c r="K35" s="425"/>
      <c r="L35" s="425"/>
      <c r="M35" s="425"/>
      <c r="N35" s="425"/>
      <c r="O35" s="425"/>
      <c r="P35" s="425"/>
      <c r="Q35" s="425"/>
      <c r="R35" s="541">
        <v>15</v>
      </c>
      <c r="S35" s="425"/>
      <c r="T35" s="425"/>
      <c r="U35" s="425"/>
      <c r="V35" s="701"/>
      <c r="W35" s="701"/>
      <c r="X35" s="701"/>
      <c r="Y35" s="701"/>
      <c r="Z35" s="701"/>
      <c r="AA35" s="701"/>
      <c r="AB35" s="634"/>
      <c r="AC35" s="549"/>
      <c r="AD35" s="549"/>
      <c r="AE35" s="532"/>
      <c r="AF35" s="593"/>
      <c r="AG35" s="593"/>
      <c r="AH35" s="668"/>
      <c r="AI35" s="572"/>
      <c r="AJ35" s="572"/>
      <c r="AK35" s="536">
        <f t="shared" si="0"/>
        <v>30</v>
      </c>
      <c r="AL35" s="416">
        <v>30</v>
      </c>
      <c r="AM35" s="410"/>
      <c r="AN35" s="410"/>
      <c r="AO35" s="410"/>
      <c r="AP35" s="411"/>
      <c r="AQ35" s="411"/>
    </row>
    <row r="36" spans="1:43" ht="36.75" customHeight="1" x14ac:dyDescent="0.25">
      <c r="A36" s="1249"/>
      <c r="B36" s="1265"/>
      <c r="C36" s="1278" t="s">
        <v>419</v>
      </c>
      <c r="D36" s="1279"/>
      <c r="E36" s="1279"/>
      <c r="F36" s="1279"/>
      <c r="G36" s="616"/>
      <c r="H36" s="617"/>
      <c r="I36" s="617"/>
      <c r="J36" s="618">
        <v>6</v>
      </c>
      <c r="K36" s="617"/>
      <c r="L36" s="617"/>
      <c r="M36" s="617"/>
      <c r="N36" s="618"/>
      <c r="O36" s="617"/>
      <c r="P36" s="617"/>
      <c r="Q36" s="618"/>
      <c r="R36" s="618">
        <v>7</v>
      </c>
      <c r="S36" s="617"/>
      <c r="T36" s="617"/>
      <c r="U36" s="619"/>
      <c r="V36" s="706"/>
      <c r="W36" s="706"/>
      <c r="X36" s="706"/>
      <c r="Y36" s="706"/>
      <c r="Z36" s="706"/>
      <c r="AA36" s="706"/>
      <c r="AB36" s="707">
        <v>12</v>
      </c>
      <c r="AC36" s="708">
        <v>12</v>
      </c>
      <c r="AD36" s="708">
        <v>8</v>
      </c>
      <c r="AE36" s="709">
        <v>9</v>
      </c>
      <c r="AF36" s="623"/>
      <c r="AG36" s="623"/>
      <c r="AH36" s="710"/>
      <c r="AI36" s="706"/>
      <c r="AJ36" s="706"/>
      <c r="AK36" s="536">
        <f t="shared" si="0"/>
        <v>54</v>
      </c>
      <c r="AL36" s="416">
        <v>13</v>
      </c>
      <c r="AM36" s="410"/>
      <c r="AN36" s="410"/>
      <c r="AO36" s="410"/>
      <c r="AP36" s="411"/>
      <c r="AQ36" s="411"/>
    </row>
    <row r="37" spans="1:43" ht="18.75" customHeight="1" x14ac:dyDescent="0.25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542">
        <v>1</v>
      </c>
      <c r="H37" s="501"/>
      <c r="I37" s="562"/>
      <c r="J37" s="501"/>
      <c r="K37" s="501"/>
      <c r="L37" s="501"/>
      <c r="M37" s="624"/>
      <c r="N37" s="562"/>
      <c r="O37" s="501"/>
      <c r="P37" s="501"/>
      <c r="Q37" s="562"/>
      <c r="R37" s="562"/>
      <c r="S37" s="562"/>
      <c r="T37" s="625"/>
      <c r="U37" s="626"/>
      <c r="V37" s="518"/>
      <c r="W37" s="518"/>
      <c r="X37" s="518"/>
      <c r="Y37" s="518"/>
      <c r="Z37" s="518"/>
      <c r="AA37" s="518"/>
      <c r="AB37" s="711"/>
      <c r="AC37" s="628"/>
      <c r="AD37" s="628"/>
      <c r="AE37" s="629"/>
      <c r="AF37" s="630"/>
      <c r="AG37" s="630"/>
      <c r="AH37" s="712"/>
      <c r="AI37" s="518"/>
      <c r="AJ37" s="518"/>
      <c r="AK37" s="536">
        <f t="shared" si="0"/>
        <v>1</v>
      </c>
      <c r="AL37" s="416">
        <v>1</v>
      </c>
      <c r="AM37" s="410"/>
      <c r="AN37" s="410"/>
      <c r="AO37" s="410"/>
      <c r="AP37" s="411"/>
      <c r="AQ37" s="411"/>
    </row>
    <row r="38" spans="1:43" ht="18.75" customHeight="1" x14ac:dyDescent="0.25">
      <c r="A38" s="1254"/>
      <c r="B38" s="1165"/>
      <c r="C38" s="1291" t="s">
        <v>419</v>
      </c>
      <c r="D38" s="1178"/>
      <c r="E38" s="1178"/>
      <c r="F38" s="1179"/>
      <c r="G38" s="542">
        <v>1</v>
      </c>
      <c r="H38" s="468"/>
      <c r="I38" s="542"/>
      <c r="J38" s="468"/>
      <c r="K38" s="468"/>
      <c r="L38" s="468"/>
      <c r="M38" s="418"/>
      <c r="N38" s="562">
        <v>1</v>
      </c>
      <c r="O38" s="468"/>
      <c r="P38" s="468"/>
      <c r="Q38" s="562"/>
      <c r="R38" s="562"/>
      <c r="S38" s="562"/>
      <c r="T38" s="562"/>
      <c r="U38" s="541"/>
      <c r="V38" s="701"/>
      <c r="W38" s="701"/>
      <c r="X38" s="701"/>
      <c r="Y38" s="701"/>
      <c r="Z38" s="701"/>
      <c r="AA38" s="701"/>
      <c r="AB38" s="634"/>
      <c r="AC38" s="549"/>
      <c r="AD38" s="549"/>
      <c r="AE38" s="532"/>
      <c r="AF38" s="593"/>
      <c r="AG38" s="593"/>
      <c r="AH38" s="668"/>
      <c r="AI38" s="572"/>
      <c r="AJ38" s="572"/>
      <c r="AK38" s="536">
        <f t="shared" si="0"/>
        <v>2</v>
      </c>
      <c r="AL38" s="416">
        <v>2</v>
      </c>
      <c r="AM38" s="410"/>
      <c r="AN38" s="410"/>
      <c r="AO38" s="410"/>
      <c r="AP38" s="411"/>
      <c r="AQ38" s="411"/>
    </row>
    <row r="39" spans="1:43" ht="18.75" customHeight="1" x14ac:dyDescent="0.25">
      <c r="A39" s="1254"/>
      <c r="B39" s="1270" t="s">
        <v>428</v>
      </c>
      <c r="C39" s="1291" t="s">
        <v>418</v>
      </c>
      <c r="D39" s="1178"/>
      <c r="E39" s="1178"/>
      <c r="F39" s="1179"/>
      <c r="G39" s="542">
        <v>1</v>
      </c>
      <c r="H39" s="542">
        <v>1</v>
      </c>
      <c r="I39" s="542">
        <v>1</v>
      </c>
      <c r="J39" s="542">
        <v>1</v>
      </c>
      <c r="K39" s="542">
        <v>1</v>
      </c>
      <c r="L39" s="542">
        <v>1</v>
      </c>
      <c r="M39" s="542">
        <v>1</v>
      </c>
      <c r="N39" s="542">
        <v>1</v>
      </c>
      <c r="O39" s="542">
        <v>1</v>
      </c>
      <c r="P39" s="542">
        <v>1</v>
      </c>
      <c r="Q39" s="562">
        <v>1</v>
      </c>
      <c r="R39" s="562">
        <v>1</v>
      </c>
      <c r="S39" s="562">
        <v>1</v>
      </c>
      <c r="T39" s="562">
        <v>1</v>
      </c>
      <c r="U39" s="541"/>
      <c r="V39" s="701"/>
      <c r="W39" s="701"/>
      <c r="X39" s="701"/>
      <c r="Y39" s="701"/>
      <c r="Z39" s="701"/>
      <c r="AA39" s="701"/>
      <c r="AB39" s="634"/>
      <c r="AC39" s="549"/>
      <c r="AD39" s="549"/>
      <c r="AE39" s="532"/>
      <c r="AF39" s="593"/>
      <c r="AG39" s="593"/>
      <c r="AH39" s="668"/>
      <c r="AI39" s="572"/>
      <c r="AJ39" s="572"/>
      <c r="AK39" s="536">
        <f t="shared" si="0"/>
        <v>14</v>
      </c>
      <c r="AL39" s="416">
        <v>14</v>
      </c>
      <c r="AM39" s="410"/>
      <c r="AN39" s="410"/>
      <c r="AO39" s="410"/>
      <c r="AP39" s="411"/>
      <c r="AQ39" s="411"/>
    </row>
    <row r="40" spans="1:43" ht="18.75" customHeight="1" x14ac:dyDescent="0.25">
      <c r="A40" s="1254"/>
      <c r="B40" s="1165"/>
      <c r="C40" s="1291" t="s">
        <v>419</v>
      </c>
      <c r="D40" s="1178"/>
      <c r="E40" s="1178"/>
      <c r="F40" s="1179"/>
      <c r="G40" s="542">
        <v>1</v>
      </c>
      <c r="H40" s="542">
        <v>1</v>
      </c>
      <c r="I40" s="542">
        <v>1</v>
      </c>
      <c r="J40" s="542">
        <v>1</v>
      </c>
      <c r="K40" s="542">
        <v>0</v>
      </c>
      <c r="L40" s="542">
        <v>1</v>
      </c>
      <c r="M40" s="542">
        <v>1</v>
      </c>
      <c r="N40" s="542">
        <v>1</v>
      </c>
      <c r="O40" s="542">
        <v>1</v>
      </c>
      <c r="P40" s="542">
        <v>0</v>
      </c>
      <c r="Q40" s="562">
        <v>1</v>
      </c>
      <c r="R40" s="562">
        <v>1</v>
      </c>
      <c r="S40" s="562">
        <v>1</v>
      </c>
      <c r="T40" s="562">
        <v>1</v>
      </c>
      <c r="U40" s="497"/>
      <c r="V40" s="701"/>
      <c r="W40" s="701"/>
      <c r="X40" s="701"/>
      <c r="Y40" s="701"/>
      <c r="Z40" s="701"/>
      <c r="AA40" s="701"/>
      <c r="AB40" s="634"/>
      <c r="AC40" s="549"/>
      <c r="AD40" s="549"/>
      <c r="AE40" s="532"/>
      <c r="AF40" s="593"/>
      <c r="AG40" s="593"/>
      <c r="AH40" s="668"/>
      <c r="AI40" s="572"/>
      <c r="AJ40" s="572"/>
      <c r="AK40" s="536">
        <f t="shared" si="0"/>
        <v>12</v>
      </c>
      <c r="AL40" s="416">
        <v>12</v>
      </c>
      <c r="AM40" s="410"/>
      <c r="AN40" s="410"/>
      <c r="AO40" s="410"/>
      <c r="AP40" s="411"/>
      <c r="AQ40" s="411"/>
    </row>
    <row r="41" spans="1:43" ht="18.75" customHeight="1" x14ac:dyDescent="0.25">
      <c r="A41" s="1254"/>
      <c r="B41" s="1270" t="s">
        <v>429</v>
      </c>
      <c r="C41" s="1291" t="s">
        <v>418</v>
      </c>
      <c r="D41" s="1178"/>
      <c r="E41" s="1178"/>
      <c r="F41" s="1179"/>
      <c r="G41" s="468"/>
      <c r="H41" s="468"/>
      <c r="I41" s="468"/>
      <c r="J41" s="418"/>
      <c r="K41" s="468"/>
      <c r="L41" s="468"/>
      <c r="M41" s="468"/>
      <c r="N41" s="468"/>
      <c r="O41" s="468"/>
      <c r="P41" s="468"/>
      <c r="Q41" s="468"/>
      <c r="R41" s="631"/>
      <c r="S41" s="472"/>
      <c r="T41" s="472"/>
      <c r="U41" s="631"/>
      <c r="V41" s="701"/>
      <c r="W41" s="701"/>
      <c r="X41" s="701"/>
      <c r="Y41" s="701"/>
      <c r="Z41" s="701"/>
      <c r="AA41" s="701"/>
      <c r="AB41" s="634"/>
      <c r="AC41" s="549"/>
      <c r="AD41" s="549"/>
      <c r="AE41" s="532"/>
      <c r="AF41" s="593"/>
      <c r="AG41" s="593"/>
      <c r="AH41" s="668"/>
      <c r="AI41" s="572"/>
      <c r="AJ41" s="572"/>
      <c r="AK41" s="536">
        <f t="shared" si="0"/>
        <v>0</v>
      </c>
      <c r="AL41" s="416">
        <v>0</v>
      </c>
      <c r="AM41" s="410"/>
      <c r="AN41" s="410"/>
      <c r="AO41" s="410"/>
      <c r="AP41" s="411"/>
      <c r="AQ41" s="411"/>
    </row>
    <row r="42" spans="1:43" ht="18.75" customHeight="1" x14ac:dyDescent="0.25">
      <c r="A42" s="1254"/>
      <c r="B42" s="1165"/>
      <c r="C42" s="1291" t="s">
        <v>419</v>
      </c>
      <c r="D42" s="1178"/>
      <c r="E42" s="1178"/>
      <c r="F42" s="1179"/>
      <c r="G42" s="468"/>
      <c r="H42" s="468"/>
      <c r="I42" s="468"/>
      <c r="J42" s="468"/>
      <c r="K42" s="468"/>
      <c r="L42" s="468"/>
      <c r="M42" s="468"/>
      <c r="N42" s="504"/>
      <c r="O42" s="468"/>
      <c r="P42" s="542"/>
      <c r="Q42" s="497"/>
      <c r="R42" s="632"/>
      <c r="S42" s="633"/>
      <c r="T42" s="632"/>
      <c r="U42" s="713"/>
      <c r="V42" s="701"/>
      <c r="W42" s="701"/>
      <c r="X42" s="701"/>
      <c r="Y42" s="701"/>
      <c r="Z42" s="701"/>
      <c r="AA42" s="701"/>
      <c r="AB42" s="634"/>
      <c r="AC42" s="549"/>
      <c r="AD42" s="549"/>
      <c r="AE42" s="532"/>
      <c r="AF42" s="593"/>
      <c r="AG42" s="593"/>
      <c r="AH42" s="668"/>
      <c r="AI42" s="572"/>
      <c r="AJ42" s="572"/>
      <c r="AK42" s="536">
        <f t="shared" si="0"/>
        <v>0</v>
      </c>
      <c r="AL42" s="416">
        <v>0</v>
      </c>
      <c r="AM42" s="410"/>
      <c r="AN42" s="410"/>
      <c r="AO42" s="410"/>
      <c r="AP42" s="411"/>
      <c r="AQ42" s="411"/>
    </row>
    <row r="43" spans="1:43" ht="18.75" customHeight="1" x14ac:dyDescent="0.25">
      <c r="A43" s="1254"/>
      <c r="B43" s="1270" t="s">
        <v>430</v>
      </c>
      <c r="C43" s="1291" t="s">
        <v>418</v>
      </c>
      <c r="D43" s="1178"/>
      <c r="E43" s="1178"/>
      <c r="F43" s="1179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97"/>
      <c r="R43" s="632"/>
      <c r="S43" s="632"/>
      <c r="T43" s="632"/>
      <c r="U43" s="713"/>
      <c r="V43" s="701"/>
      <c r="W43" s="701"/>
      <c r="X43" s="701"/>
      <c r="Y43" s="701"/>
      <c r="Z43" s="701"/>
      <c r="AA43" s="701"/>
      <c r="AB43" s="634"/>
      <c r="AC43" s="549"/>
      <c r="AD43" s="549"/>
      <c r="AE43" s="532"/>
      <c r="AF43" s="593"/>
      <c r="AG43" s="593"/>
      <c r="AH43" s="668"/>
      <c r="AI43" s="572"/>
      <c r="AJ43" s="572"/>
      <c r="AK43" s="536">
        <f t="shared" si="0"/>
        <v>0</v>
      </c>
      <c r="AL43" s="416">
        <v>0</v>
      </c>
      <c r="AM43" s="410"/>
      <c r="AN43" s="410"/>
      <c r="AO43" s="410"/>
      <c r="AP43" s="411"/>
      <c r="AQ43" s="411"/>
    </row>
    <row r="44" spans="1:43" ht="18.75" customHeight="1" x14ac:dyDescent="0.25">
      <c r="A44" s="1255"/>
      <c r="B44" s="1176"/>
      <c r="C44" s="1297" t="s">
        <v>419</v>
      </c>
      <c r="D44" s="1285"/>
      <c r="E44" s="1285"/>
      <c r="F44" s="1286"/>
      <c r="G44" s="506"/>
      <c r="H44" s="506"/>
      <c r="I44" s="506"/>
      <c r="J44" s="506"/>
      <c r="K44" s="506"/>
      <c r="L44" s="506"/>
      <c r="M44" s="506"/>
      <c r="N44" s="506"/>
      <c r="O44" s="506"/>
      <c r="P44" s="506"/>
      <c r="Q44" s="507"/>
      <c r="R44" s="635"/>
      <c r="S44" s="509"/>
      <c r="T44" s="499"/>
      <c r="U44" s="500"/>
      <c r="V44" s="701"/>
      <c r="W44" s="701"/>
      <c r="X44" s="701"/>
      <c r="Y44" s="701"/>
      <c r="Z44" s="701"/>
      <c r="AA44" s="701"/>
      <c r="AB44" s="634"/>
      <c r="AC44" s="549"/>
      <c r="AD44" s="549"/>
      <c r="AE44" s="532"/>
      <c r="AF44" s="593"/>
      <c r="AG44" s="593"/>
      <c r="AH44" s="668"/>
      <c r="AI44" s="572"/>
      <c r="AJ44" s="572"/>
      <c r="AK44" s="536">
        <f t="shared" si="0"/>
        <v>0</v>
      </c>
      <c r="AL44" s="416">
        <v>0</v>
      </c>
      <c r="AM44" s="410"/>
      <c r="AN44" s="410"/>
      <c r="AO44" s="410"/>
      <c r="AP44" s="411"/>
      <c r="AQ44" s="411"/>
    </row>
    <row r="45" spans="1:43" ht="18.75" customHeight="1" x14ac:dyDescent="0.3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307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513" t="s">
        <v>111</v>
      </c>
      <c r="V45" s="672" t="s">
        <v>45</v>
      </c>
      <c r="W45" s="672" t="s">
        <v>49</v>
      </c>
      <c r="X45" s="672" t="s">
        <v>399</v>
      </c>
      <c r="Y45" s="672" t="s">
        <v>341</v>
      </c>
      <c r="Z45" s="672" t="s">
        <v>321</v>
      </c>
      <c r="AA45" s="672" t="s">
        <v>474</v>
      </c>
      <c r="AB45" s="714" t="s">
        <v>454</v>
      </c>
      <c r="AC45" s="636" t="s">
        <v>116</v>
      </c>
      <c r="AD45" s="636" t="s">
        <v>80</v>
      </c>
      <c r="AE45" s="636" t="s">
        <v>117</v>
      </c>
      <c r="AF45" s="636" t="s">
        <v>106</v>
      </c>
      <c r="AG45" s="636" t="s">
        <v>347</v>
      </c>
      <c r="AH45" s="636" t="s">
        <v>70</v>
      </c>
      <c r="AI45" s="715"/>
      <c r="AJ45" s="715"/>
      <c r="AK45" s="536">
        <f t="shared" si="0"/>
        <v>0</v>
      </c>
      <c r="AL45" s="515">
        <v>0</v>
      </c>
      <c r="AM45" s="409"/>
      <c r="AN45" s="410"/>
      <c r="AO45" s="410"/>
      <c r="AP45" s="411"/>
      <c r="AQ45" s="411"/>
    </row>
    <row r="46" spans="1:43" ht="18.75" customHeight="1" x14ac:dyDescent="0.25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701"/>
      <c r="W46" s="701"/>
      <c r="X46" s="701"/>
      <c r="Y46" s="701"/>
      <c r="Z46" s="701"/>
      <c r="AA46" s="701"/>
      <c r="AB46" s="634"/>
      <c r="AC46" s="549"/>
      <c r="AD46" s="549"/>
      <c r="AE46" s="532"/>
      <c r="AF46" s="593"/>
      <c r="AG46" s="593"/>
      <c r="AH46" s="668"/>
      <c r="AI46" s="572"/>
      <c r="AJ46" s="572"/>
      <c r="AK46" s="536">
        <f t="shared" si="0"/>
        <v>0</v>
      </c>
      <c r="AL46" s="416">
        <v>0</v>
      </c>
      <c r="AM46" s="410"/>
      <c r="AN46" s="410"/>
      <c r="AO46" s="410"/>
      <c r="AP46" s="411"/>
      <c r="AQ46" s="411"/>
    </row>
    <row r="47" spans="1:43" ht="18.75" customHeight="1" x14ac:dyDescent="0.25">
      <c r="A47" s="1164"/>
      <c r="B47" s="519" t="s">
        <v>433</v>
      </c>
      <c r="C47" s="1295"/>
      <c r="D47" s="1201"/>
      <c r="E47" s="1201"/>
      <c r="F47" s="1173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701"/>
      <c r="W47" s="701"/>
      <c r="X47" s="701"/>
      <c r="Y47" s="701"/>
      <c r="Z47" s="701"/>
      <c r="AA47" s="701"/>
      <c r="AB47" s="634"/>
      <c r="AC47" s="549"/>
      <c r="AD47" s="549"/>
      <c r="AE47" s="532"/>
      <c r="AF47" s="593"/>
      <c r="AG47" s="593"/>
      <c r="AH47" s="668"/>
      <c r="AI47" s="572"/>
      <c r="AJ47" s="572"/>
      <c r="AK47" s="536">
        <f t="shared" si="0"/>
        <v>0</v>
      </c>
      <c r="AL47" s="416">
        <v>0</v>
      </c>
      <c r="AM47" s="410"/>
      <c r="AN47" s="410"/>
      <c r="AO47" s="410"/>
      <c r="AP47" s="411"/>
      <c r="AQ47" s="411"/>
    </row>
    <row r="48" spans="1:43" ht="18.75" customHeight="1" x14ac:dyDescent="0.25">
      <c r="A48" s="1164"/>
      <c r="B48" s="519" t="s">
        <v>434</v>
      </c>
      <c r="C48" s="1295"/>
      <c r="D48" s="1201"/>
      <c r="E48" s="1201"/>
      <c r="F48" s="1173"/>
      <c r="G48" s="518"/>
      <c r="H48" s="518"/>
      <c r="I48" s="518"/>
      <c r="J48" s="518"/>
      <c r="K48" s="637"/>
      <c r="L48" s="518"/>
      <c r="M48" s="637">
        <v>14</v>
      </c>
      <c r="N48" s="637">
        <v>1</v>
      </c>
      <c r="O48" s="518"/>
      <c r="P48" s="637">
        <v>1</v>
      </c>
      <c r="Q48" s="518"/>
      <c r="R48" s="418"/>
      <c r="S48" s="418"/>
      <c r="T48" s="418"/>
      <c r="U48" s="420"/>
      <c r="V48" s="701"/>
      <c r="W48" s="701"/>
      <c r="X48" s="701"/>
      <c r="Y48" s="701"/>
      <c r="Z48" s="701"/>
      <c r="AA48" s="701"/>
      <c r="AB48" s="634"/>
      <c r="AC48" s="549"/>
      <c r="AD48" s="549"/>
      <c r="AE48" s="532"/>
      <c r="AF48" s="593"/>
      <c r="AG48" s="593"/>
      <c r="AH48" s="668"/>
      <c r="AI48" s="572"/>
      <c r="AJ48" s="572"/>
      <c r="AK48" s="536">
        <f t="shared" si="0"/>
        <v>16</v>
      </c>
      <c r="AL48" s="416">
        <v>16</v>
      </c>
      <c r="AM48" s="410"/>
      <c r="AN48" s="410"/>
      <c r="AO48" s="410"/>
      <c r="AP48" s="411"/>
      <c r="AQ48" s="411"/>
    </row>
    <row r="49" spans="1:43" ht="18.75" customHeight="1" x14ac:dyDescent="0.25">
      <c r="A49" s="1164"/>
      <c r="B49" s="519" t="s">
        <v>435</v>
      </c>
      <c r="C49" s="1295"/>
      <c r="D49" s="1201"/>
      <c r="E49" s="1201"/>
      <c r="F49" s="1173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418"/>
      <c r="S49" s="418"/>
      <c r="T49" s="418"/>
      <c r="U49" s="420"/>
      <c r="V49" s="701"/>
      <c r="W49" s="701"/>
      <c r="X49" s="701"/>
      <c r="Y49" s="701"/>
      <c r="Z49" s="701"/>
      <c r="AA49" s="701"/>
      <c r="AB49" s="634"/>
      <c r="AC49" s="549"/>
      <c r="AD49" s="549"/>
      <c r="AE49" s="532"/>
      <c r="AF49" s="593"/>
      <c r="AG49" s="593"/>
      <c r="AH49" s="668"/>
      <c r="AI49" s="572"/>
      <c r="AJ49" s="572"/>
      <c r="AK49" s="536">
        <f t="shared" si="0"/>
        <v>0</v>
      </c>
      <c r="AL49" s="416">
        <v>0</v>
      </c>
      <c r="AM49" s="410"/>
      <c r="AN49" s="410"/>
      <c r="AO49" s="410"/>
      <c r="AP49" s="411"/>
      <c r="AQ49" s="411"/>
    </row>
    <row r="50" spans="1:43" ht="18.75" customHeight="1" x14ac:dyDescent="0.25">
      <c r="A50" s="1164"/>
      <c r="B50" s="519" t="s">
        <v>436</v>
      </c>
      <c r="C50" s="1295"/>
      <c r="D50" s="1201"/>
      <c r="E50" s="1201"/>
      <c r="F50" s="1173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701"/>
      <c r="W50" s="701"/>
      <c r="X50" s="701"/>
      <c r="Y50" s="701"/>
      <c r="Z50" s="701"/>
      <c r="AA50" s="701"/>
      <c r="AB50" s="634"/>
      <c r="AC50" s="549"/>
      <c r="AD50" s="549"/>
      <c r="AE50" s="532"/>
      <c r="AF50" s="593"/>
      <c r="AG50" s="593"/>
      <c r="AH50" s="668"/>
      <c r="AI50" s="572"/>
      <c r="AJ50" s="572"/>
      <c r="AK50" s="536">
        <f t="shared" si="0"/>
        <v>0</v>
      </c>
      <c r="AL50" s="416">
        <v>0</v>
      </c>
      <c r="AM50" s="410"/>
      <c r="AN50" s="410"/>
      <c r="AO50" s="410"/>
      <c r="AP50" s="411"/>
      <c r="AQ50" s="411"/>
    </row>
    <row r="51" spans="1:43" ht="18.75" customHeight="1" x14ac:dyDescent="0.25">
      <c r="A51" s="1164"/>
      <c r="B51" s="519" t="s">
        <v>437</v>
      </c>
      <c r="C51" s="1295"/>
      <c r="D51" s="1201"/>
      <c r="E51" s="1201"/>
      <c r="F51" s="1173"/>
      <c r="G51" s="518"/>
      <c r="H51" s="518"/>
      <c r="I51" s="518"/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701"/>
      <c r="W51" s="701"/>
      <c r="X51" s="701"/>
      <c r="Y51" s="701"/>
      <c r="Z51" s="701"/>
      <c r="AA51" s="701"/>
      <c r="AB51" s="634"/>
      <c r="AC51" s="549"/>
      <c r="AD51" s="549"/>
      <c r="AE51" s="532"/>
      <c r="AF51" s="593"/>
      <c r="AG51" s="593"/>
      <c r="AH51" s="668"/>
      <c r="AI51" s="572"/>
      <c r="AJ51" s="572"/>
      <c r="AK51" s="536">
        <f t="shared" si="0"/>
        <v>0</v>
      </c>
      <c r="AL51" s="416">
        <v>0</v>
      </c>
      <c r="AM51" s="410"/>
      <c r="AN51" s="410"/>
      <c r="AO51" s="410"/>
      <c r="AP51" s="411"/>
      <c r="AQ51" s="411"/>
    </row>
    <row r="52" spans="1:43" ht="18.75" customHeight="1" x14ac:dyDescent="0.25">
      <c r="A52" s="1164"/>
      <c r="B52" s="519" t="s">
        <v>438</v>
      </c>
      <c r="C52" s="1295"/>
      <c r="D52" s="1201"/>
      <c r="E52" s="1201"/>
      <c r="F52" s="1173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701"/>
      <c r="W52" s="701"/>
      <c r="X52" s="701"/>
      <c r="Y52" s="701"/>
      <c r="Z52" s="701"/>
      <c r="AA52" s="701"/>
      <c r="AB52" s="634"/>
      <c r="AC52" s="549"/>
      <c r="AD52" s="549"/>
      <c r="AE52" s="532"/>
      <c r="AF52" s="593"/>
      <c r="AG52" s="593"/>
      <c r="AH52" s="668"/>
      <c r="AI52" s="572"/>
      <c r="AJ52" s="572"/>
      <c r="AK52" s="536">
        <f t="shared" si="0"/>
        <v>0</v>
      </c>
      <c r="AL52" s="416">
        <v>0</v>
      </c>
      <c r="AM52" s="410"/>
      <c r="AN52" s="410"/>
      <c r="AO52" s="410"/>
      <c r="AP52" s="411"/>
      <c r="AQ52" s="411"/>
    </row>
    <row r="53" spans="1:43" ht="18.75" customHeight="1" x14ac:dyDescent="0.25">
      <c r="A53" s="1164"/>
      <c r="B53" s="519" t="s">
        <v>439</v>
      </c>
      <c r="C53" s="1295"/>
      <c r="D53" s="1201"/>
      <c r="E53" s="1201"/>
      <c r="F53" s="1173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701"/>
      <c r="W53" s="701"/>
      <c r="X53" s="701"/>
      <c r="Y53" s="701"/>
      <c r="Z53" s="701"/>
      <c r="AA53" s="701"/>
      <c r="AB53" s="634"/>
      <c r="AC53" s="549"/>
      <c r="AD53" s="549"/>
      <c r="AE53" s="532"/>
      <c r="AF53" s="593"/>
      <c r="AG53" s="593"/>
      <c r="AH53" s="668"/>
      <c r="AI53" s="572"/>
      <c r="AJ53" s="572"/>
      <c r="AK53" s="536">
        <f t="shared" si="0"/>
        <v>0</v>
      </c>
      <c r="AL53" s="416">
        <v>0</v>
      </c>
      <c r="AM53" s="410"/>
      <c r="AN53" s="410"/>
      <c r="AO53" s="410"/>
      <c r="AP53" s="411"/>
      <c r="AQ53" s="411"/>
    </row>
    <row r="54" spans="1:43" ht="18.75" customHeight="1" x14ac:dyDescent="0.25">
      <c r="A54" s="1164"/>
      <c r="B54" s="519" t="s">
        <v>440</v>
      </c>
      <c r="C54" s="1295"/>
      <c r="D54" s="1201"/>
      <c r="E54" s="1201"/>
      <c r="F54" s="1173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701"/>
      <c r="W54" s="701"/>
      <c r="X54" s="701"/>
      <c r="Y54" s="701"/>
      <c r="Z54" s="701"/>
      <c r="AA54" s="701"/>
      <c r="AB54" s="634"/>
      <c r="AC54" s="549"/>
      <c r="AD54" s="549"/>
      <c r="AE54" s="532"/>
      <c r="AF54" s="593"/>
      <c r="AG54" s="593"/>
      <c r="AH54" s="668"/>
      <c r="AI54" s="572"/>
      <c r="AJ54" s="572"/>
      <c r="AK54" s="536">
        <f t="shared" si="0"/>
        <v>0</v>
      </c>
      <c r="AL54" s="416">
        <v>0</v>
      </c>
      <c r="AM54" s="410"/>
      <c r="AN54" s="410"/>
      <c r="AO54" s="410"/>
      <c r="AP54" s="411"/>
      <c r="AQ54" s="411"/>
    </row>
    <row r="55" spans="1:43" ht="18.75" customHeight="1" x14ac:dyDescent="0.25">
      <c r="A55" s="1164"/>
      <c r="B55" s="519" t="s">
        <v>441</v>
      </c>
      <c r="C55" s="1295"/>
      <c r="D55" s="1201"/>
      <c r="E55" s="1201"/>
      <c r="F55" s="1173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701"/>
      <c r="W55" s="701"/>
      <c r="X55" s="701"/>
      <c r="Y55" s="701"/>
      <c r="Z55" s="701"/>
      <c r="AA55" s="701"/>
      <c r="AB55" s="634"/>
      <c r="AC55" s="549"/>
      <c r="AD55" s="549"/>
      <c r="AE55" s="532"/>
      <c r="AF55" s="593"/>
      <c r="AG55" s="593"/>
      <c r="AH55" s="668"/>
      <c r="AI55" s="572"/>
      <c r="AJ55" s="572"/>
      <c r="AK55" s="536">
        <f t="shared" si="0"/>
        <v>0</v>
      </c>
      <c r="AL55" s="416">
        <v>0</v>
      </c>
      <c r="AM55" s="410"/>
      <c r="AN55" s="410"/>
      <c r="AO55" s="410"/>
      <c r="AP55" s="411"/>
      <c r="AQ55" s="411"/>
    </row>
    <row r="56" spans="1:43" ht="18.75" customHeight="1" x14ac:dyDescent="0.25">
      <c r="A56" s="1164"/>
      <c r="B56" s="519" t="s">
        <v>442</v>
      </c>
      <c r="C56" s="1295"/>
      <c r="D56" s="1201"/>
      <c r="E56" s="1201"/>
      <c r="F56" s="1173"/>
      <c r="G56" s="518"/>
      <c r="H56" s="518"/>
      <c r="I56" s="518"/>
      <c r="J56" s="518"/>
      <c r="K56" s="518"/>
      <c r="L56" s="518"/>
      <c r="M56" s="518"/>
      <c r="N56" s="518"/>
      <c r="O56" s="518"/>
      <c r="P56" s="637">
        <v>1</v>
      </c>
      <c r="Q56" s="518"/>
      <c r="R56" s="418"/>
      <c r="S56" s="418"/>
      <c r="T56" s="418"/>
      <c r="U56" s="420"/>
      <c r="V56" s="701"/>
      <c r="W56" s="701"/>
      <c r="X56" s="701"/>
      <c r="Y56" s="701"/>
      <c r="Z56" s="701"/>
      <c r="AA56" s="701"/>
      <c r="AB56" s="634"/>
      <c r="AC56" s="549"/>
      <c r="AD56" s="549"/>
      <c r="AE56" s="532"/>
      <c r="AF56" s="593"/>
      <c r="AG56" s="593"/>
      <c r="AH56" s="668"/>
      <c r="AI56" s="572"/>
      <c r="AJ56" s="572"/>
      <c r="AK56" s="536">
        <f t="shared" si="0"/>
        <v>1</v>
      </c>
      <c r="AL56" s="416">
        <v>1</v>
      </c>
      <c r="AM56" s="410"/>
      <c r="AN56" s="410"/>
      <c r="AO56" s="410"/>
      <c r="AP56" s="411"/>
      <c r="AQ56" s="411"/>
    </row>
    <row r="57" spans="1:43" ht="18.75" customHeight="1" x14ac:dyDescent="0.25">
      <c r="A57" s="1164"/>
      <c r="B57" s="519" t="s">
        <v>443</v>
      </c>
      <c r="C57" s="1295"/>
      <c r="D57" s="1201"/>
      <c r="E57" s="1201"/>
      <c r="F57" s="1173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701"/>
      <c r="W57" s="701"/>
      <c r="X57" s="701"/>
      <c r="Y57" s="701"/>
      <c r="Z57" s="701"/>
      <c r="AA57" s="701"/>
      <c r="AB57" s="634"/>
      <c r="AC57" s="549"/>
      <c r="AD57" s="549"/>
      <c r="AE57" s="532"/>
      <c r="AF57" s="593"/>
      <c r="AG57" s="593"/>
      <c r="AH57" s="668"/>
      <c r="AI57" s="572"/>
      <c r="AJ57" s="572"/>
      <c r="AK57" s="536">
        <f t="shared" si="0"/>
        <v>0</v>
      </c>
      <c r="AL57" s="416">
        <v>0</v>
      </c>
      <c r="AM57" s="410"/>
      <c r="AN57" s="410"/>
      <c r="AO57" s="410"/>
      <c r="AP57" s="411"/>
      <c r="AQ57" s="411"/>
    </row>
    <row r="58" spans="1:43" ht="18.75" customHeight="1" x14ac:dyDescent="0.25">
      <c r="A58" s="1164"/>
      <c r="B58" s="519" t="s">
        <v>444</v>
      </c>
      <c r="C58" s="1295"/>
      <c r="D58" s="1201"/>
      <c r="E58" s="1201"/>
      <c r="F58" s="1173"/>
      <c r="G58" s="518"/>
      <c r="H58" s="518"/>
      <c r="I58" s="518"/>
      <c r="J58" s="518"/>
      <c r="K58" s="518"/>
      <c r="L58" s="518"/>
      <c r="M58" s="518"/>
      <c r="N58" s="518"/>
      <c r="O58" s="518"/>
      <c r="P58" s="637">
        <v>1</v>
      </c>
      <c r="Q58" s="518"/>
      <c r="R58" s="418"/>
      <c r="S58" s="418"/>
      <c r="T58" s="418"/>
      <c r="U58" s="420"/>
      <c r="V58" s="701"/>
      <c r="W58" s="701"/>
      <c r="X58" s="701"/>
      <c r="Y58" s="701"/>
      <c r="Z58" s="701"/>
      <c r="AA58" s="701"/>
      <c r="AB58" s="634"/>
      <c r="AC58" s="549"/>
      <c r="AD58" s="549"/>
      <c r="AE58" s="532"/>
      <c r="AF58" s="593"/>
      <c r="AG58" s="593"/>
      <c r="AH58" s="668"/>
      <c r="AI58" s="572"/>
      <c r="AJ58" s="572"/>
      <c r="AK58" s="536">
        <f t="shared" si="0"/>
        <v>1</v>
      </c>
      <c r="AL58" s="416">
        <v>1</v>
      </c>
      <c r="AM58" s="410"/>
      <c r="AN58" s="410"/>
      <c r="AO58" s="410"/>
      <c r="AP58" s="411"/>
      <c r="AQ58" s="411"/>
    </row>
    <row r="59" spans="1:43" ht="18.75" customHeight="1" x14ac:dyDescent="0.25">
      <c r="A59" s="1164"/>
      <c r="B59" s="519" t="s">
        <v>445</v>
      </c>
      <c r="C59" s="1295"/>
      <c r="D59" s="1201"/>
      <c r="E59" s="1201"/>
      <c r="F59" s="1173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701"/>
      <c r="W59" s="701"/>
      <c r="X59" s="701"/>
      <c r="Y59" s="701"/>
      <c r="Z59" s="701"/>
      <c r="AA59" s="701"/>
      <c r="AB59" s="634"/>
      <c r="AC59" s="549"/>
      <c r="AD59" s="549"/>
      <c r="AE59" s="532"/>
      <c r="AF59" s="593"/>
      <c r="AG59" s="593"/>
      <c r="AH59" s="668"/>
      <c r="AI59" s="572"/>
      <c r="AJ59" s="572"/>
      <c r="AK59" s="536">
        <f t="shared" si="0"/>
        <v>0</v>
      </c>
      <c r="AL59" s="416">
        <v>0</v>
      </c>
      <c r="AM59" s="410"/>
      <c r="AN59" s="410"/>
      <c r="AO59" s="410"/>
      <c r="AP59" s="411"/>
      <c r="AQ59" s="411"/>
    </row>
    <row r="60" spans="1:43" ht="18.75" customHeight="1" x14ac:dyDescent="0.25">
      <c r="A60" s="1164"/>
      <c r="B60" s="519" t="s">
        <v>446</v>
      </c>
      <c r="C60" s="1295"/>
      <c r="D60" s="1201"/>
      <c r="E60" s="1201"/>
      <c r="F60" s="1173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637">
        <v>4</v>
      </c>
      <c r="R60" s="418"/>
      <c r="S60" s="418"/>
      <c r="T60" s="418"/>
      <c r="U60" s="420"/>
      <c r="V60" s="701"/>
      <c r="W60" s="701"/>
      <c r="X60" s="701"/>
      <c r="Y60" s="701"/>
      <c r="Z60" s="701"/>
      <c r="AA60" s="701"/>
      <c r="AB60" s="634"/>
      <c r="AC60" s="549"/>
      <c r="AD60" s="549"/>
      <c r="AE60" s="532"/>
      <c r="AF60" s="593"/>
      <c r="AG60" s="593"/>
      <c r="AH60" s="668"/>
      <c r="AI60" s="572"/>
      <c r="AJ60" s="572"/>
      <c r="AK60" s="536">
        <f t="shared" si="0"/>
        <v>4</v>
      </c>
      <c r="AL60" s="416">
        <v>4</v>
      </c>
      <c r="AM60" s="410"/>
      <c r="AN60" s="410"/>
      <c r="AO60" s="410"/>
      <c r="AP60" s="411"/>
      <c r="AQ60" s="411"/>
    </row>
    <row r="61" spans="1:43" ht="18.75" customHeight="1" x14ac:dyDescent="0.25">
      <c r="A61" s="1164"/>
      <c r="B61" s="519" t="s">
        <v>447</v>
      </c>
      <c r="C61" s="1295"/>
      <c r="D61" s="1201"/>
      <c r="E61" s="1201"/>
      <c r="F61" s="1173"/>
      <c r="G61" s="518"/>
      <c r="H61" s="637">
        <v>5</v>
      </c>
      <c r="I61" s="518"/>
      <c r="J61" s="637"/>
      <c r="K61" s="518"/>
      <c r="L61" s="518"/>
      <c r="M61" s="518"/>
      <c r="N61" s="637">
        <v>2</v>
      </c>
      <c r="O61" s="518"/>
      <c r="P61" s="637">
        <v>123</v>
      </c>
      <c r="Q61" s="637"/>
      <c r="R61" s="542">
        <v>30</v>
      </c>
      <c r="S61" s="418"/>
      <c r="T61" s="418"/>
      <c r="U61" s="420"/>
      <c r="V61" s="683">
        <v>30</v>
      </c>
      <c r="W61" s="683">
        <v>12</v>
      </c>
      <c r="X61" s="701"/>
      <c r="Y61" s="701"/>
      <c r="Z61" s="701"/>
      <c r="AA61" s="701"/>
      <c r="AB61" s="634"/>
      <c r="AC61" s="549"/>
      <c r="AD61" s="549"/>
      <c r="AE61" s="532"/>
      <c r="AF61" s="593"/>
      <c r="AG61" s="593"/>
      <c r="AH61" s="668"/>
      <c r="AI61" s="572"/>
      <c r="AJ61" s="572"/>
      <c r="AK61" s="536">
        <f t="shared" si="0"/>
        <v>202</v>
      </c>
      <c r="AL61" s="416">
        <v>202</v>
      </c>
      <c r="AM61" s="410"/>
      <c r="AN61" s="410"/>
      <c r="AO61" s="410"/>
      <c r="AP61" s="411"/>
      <c r="AQ61" s="411"/>
    </row>
    <row r="62" spans="1:43" ht="18.75" customHeight="1" x14ac:dyDescent="0.25">
      <c r="A62" s="1164"/>
      <c r="B62" s="519" t="s">
        <v>448</v>
      </c>
      <c r="C62" s="1295"/>
      <c r="D62" s="1201"/>
      <c r="E62" s="1201"/>
      <c r="F62" s="1173"/>
      <c r="G62" s="518"/>
      <c r="H62" s="637"/>
      <c r="I62" s="518"/>
      <c r="J62" s="518"/>
      <c r="K62" s="518"/>
      <c r="L62" s="518"/>
      <c r="M62" s="518"/>
      <c r="N62" s="637">
        <v>4</v>
      </c>
      <c r="O62" s="518"/>
      <c r="P62" s="518"/>
      <c r="Q62" s="518"/>
      <c r="R62" s="418"/>
      <c r="S62" s="418"/>
      <c r="T62" s="418"/>
      <c r="U62" s="420"/>
      <c r="V62" s="701"/>
      <c r="W62" s="701"/>
      <c r="X62" s="701"/>
      <c r="Y62" s="701"/>
      <c r="Z62" s="701"/>
      <c r="AA62" s="701"/>
      <c r="AB62" s="634"/>
      <c r="AC62" s="549"/>
      <c r="AD62" s="549"/>
      <c r="AE62" s="532"/>
      <c r="AF62" s="593"/>
      <c r="AG62" s="593"/>
      <c r="AH62" s="668"/>
      <c r="AI62" s="572"/>
      <c r="AJ62" s="572"/>
      <c r="AK62" s="536">
        <f t="shared" si="0"/>
        <v>4</v>
      </c>
      <c r="AL62" s="416">
        <v>4</v>
      </c>
      <c r="AM62" s="410"/>
      <c r="AN62" s="410"/>
      <c r="AO62" s="410"/>
      <c r="AP62" s="411"/>
      <c r="AQ62" s="411"/>
    </row>
    <row r="63" spans="1:43" ht="18.75" customHeight="1" x14ac:dyDescent="0.25">
      <c r="A63" s="1164"/>
      <c r="B63" s="519" t="s">
        <v>449</v>
      </c>
      <c r="C63" s="1295"/>
      <c r="D63" s="1201"/>
      <c r="E63" s="1201"/>
      <c r="F63" s="1173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418"/>
      <c r="S63" s="418"/>
      <c r="T63" s="418"/>
      <c r="U63" s="420"/>
      <c r="V63" s="701"/>
      <c r="W63" s="701"/>
      <c r="X63" s="701"/>
      <c r="Y63" s="701"/>
      <c r="Z63" s="701"/>
      <c r="AA63" s="701"/>
      <c r="AB63" s="634"/>
      <c r="AC63" s="549"/>
      <c r="AD63" s="549"/>
      <c r="AE63" s="532"/>
      <c r="AF63" s="593"/>
      <c r="AG63" s="593"/>
      <c r="AH63" s="668"/>
      <c r="AI63" s="572"/>
      <c r="AJ63" s="572"/>
      <c r="AK63" s="536">
        <f t="shared" si="0"/>
        <v>0</v>
      </c>
      <c r="AL63" s="416">
        <v>0</v>
      </c>
      <c r="AM63" s="410"/>
      <c r="AN63" s="410"/>
      <c r="AO63" s="410"/>
      <c r="AP63" s="411"/>
      <c r="AQ63" s="411"/>
    </row>
    <row r="64" spans="1:43" ht="18.75" customHeight="1" x14ac:dyDescent="0.25">
      <c r="A64" s="1164"/>
      <c r="B64" s="519" t="s">
        <v>455</v>
      </c>
      <c r="C64" s="1295"/>
      <c r="D64" s="1201"/>
      <c r="E64" s="1201"/>
      <c r="F64" s="1173"/>
      <c r="G64" s="518"/>
      <c r="H64" s="520"/>
      <c r="I64" s="520"/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701"/>
      <c r="W64" s="701"/>
      <c r="X64" s="701"/>
      <c r="Y64" s="701"/>
      <c r="Z64" s="701"/>
      <c r="AA64" s="701"/>
      <c r="AB64" s="634"/>
      <c r="AC64" s="549"/>
      <c r="AD64" s="549"/>
      <c r="AE64" s="532"/>
      <c r="AF64" s="593"/>
      <c r="AG64" s="593"/>
      <c r="AH64" s="668"/>
      <c r="AI64" s="572"/>
      <c r="AJ64" s="572"/>
      <c r="AK64" s="536">
        <f t="shared" si="0"/>
        <v>0</v>
      </c>
      <c r="AL64" s="416">
        <v>0</v>
      </c>
      <c r="AM64" s="410"/>
      <c r="AN64" s="410"/>
      <c r="AO64" s="410"/>
      <c r="AP64" s="411"/>
      <c r="AQ64" s="411"/>
    </row>
    <row r="65" spans="1:43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520"/>
      <c r="I65" s="520"/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701"/>
      <c r="W65" s="701"/>
      <c r="X65" s="701"/>
      <c r="Y65" s="701"/>
      <c r="Z65" s="701"/>
      <c r="AA65" s="701"/>
      <c r="AB65" s="634"/>
      <c r="AC65" s="549"/>
      <c r="AD65" s="549"/>
      <c r="AE65" s="532"/>
      <c r="AF65" s="593"/>
      <c r="AG65" s="593"/>
      <c r="AH65" s="668"/>
      <c r="AI65" s="572"/>
      <c r="AJ65" s="572"/>
      <c r="AK65" s="536">
        <f t="shared" si="0"/>
        <v>0</v>
      </c>
      <c r="AL65" s="416">
        <v>0</v>
      </c>
      <c r="AM65" s="410"/>
      <c r="AN65" s="410"/>
      <c r="AO65" s="410"/>
      <c r="AP65" s="411"/>
      <c r="AQ65" s="411"/>
    </row>
    <row r="66" spans="1:43" ht="18.75" customHeight="1" x14ac:dyDescent="0.25">
      <c r="A66" s="1165"/>
      <c r="B66" s="519" t="s">
        <v>457</v>
      </c>
      <c r="C66" s="1295"/>
      <c r="D66" s="1201"/>
      <c r="E66" s="1201"/>
      <c r="F66" s="1173"/>
      <c r="G66" s="418"/>
      <c r="H66" s="418"/>
      <c r="I66" s="418"/>
      <c r="J66" s="418"/>
      <c r="K66" s="520"/>
      <c r="L66" s="520"/>
      <c r="M66" s="418"/>
      <c r="N66" s="542"/>
      <c r="O66" s="418"/>
      <c r="P66" s="542"/>
      <c r="Q66" s="542"/>
      <c r="R66" s="542"/>
      <c r="S66" s="418"/>
      <c r="T66" s="418"/>
      <c r="U66" s="420"/>
      <c r="V66" s="701"/>
      <c r="W66" s="701"/>
      <c r="X66" s="701"/>
      <c r="Y66" s="701"/>
      <c r="Z66" s="701"/>
      <c r="AA66" s="701"/>
      <c r="AB66" s="634"/>
      <c r="AC66" s="549"/>
      <c r="AD66" s="549"/>
      <c r="AE66" s="532"/>
      <c r="AF66" s="593"/>
      <c r="AG66" s="593"/>
      <c r="AH66" s="668"/>
      <c r="AI66" s="572"/>
      <c r="AJ66" s="572"/>
      <c r="AK66" s="716">
        <f t="shared" si="0"/>
        <v>0</v>
      </c>
      <c r="AL66" s="416">
        <v>0</v>
      </c>
      <c r="AM66" s="410"/>
      <c r="AN66" s="410"/>
      <c r="AO66" s="410"/>
      <c r="AP66" s="411"/>
      <c r="AQ66" s="411"/>
    </row>
    <row r="67" spans="1:43" ht="30" customHeight="1" x14ac:dyDescent="0.3">
      <c r="A67" s="305"/>
      <c r="B67" s="717" t="s">
        <v>475</v>
      </c>
      <c r="C67" s="1295"/>
      <c r="D67" s="1201"/>
      <c r="E67" s="1201"/>
      <c r="F67" s="1173"/>
      <c r="G67" s="1334"/>
      <c r="H67" s="1288"/>
      <c r="I67" s="1288"/>
      <c r="J67" s="1288"/>
      <c r="K67" s="1288"/>
      <c r="L67" s="1288"/>
      <c r="M67" s="1288"/>
      <c r="N67" s="1288"/>
      <c r="O67" s="1288"/>
      <c r="P67" s="1288"/>
      <c r="Q67" s="1288"/>
      <c r="R67" s="1288"/>
      <c r="S67" s="1288"/>
      <c r="T67" s="1288"/>
      <c r="U67" s="1288"/>
      <c r="V67" s="1288"/>
      <c r="W67" s="1288"/>
      <c r="X67" s="1288"/>
      <c r="Y67" s="1288"/>
      <c r="Z67" s="1288"/>
      <c r="AA67" s="1288"/>
      <c r="AB67" s="1288"/>
      <c r="AC67" s="1288"/>
      <c r="AD67" s="1288"/>
      <c r="AE67" s="1288"/>
      <c r="AF67" s="1288"/>
      <c r="AG67" s="1288"/>
      <c r="AH67" s="1288"/>
      <c r="AI67" s="1288"/>
      <c r="AJ67" s="1289"/>
      <c r="AK67" s="718">
        <f>SUM(AK7+AK10+AK15+AK20)</f>
        <v>2175</v>
      </c>
      <c r="AL67" s="416">
        <v>2175</v>
      </c>
      <c r="AM67" s="410"/>
      <c r="AN67" s="410"/>
      <c r="AO67" s="410"/>
      <c r="AP67" s="411"/>
      <c r="AQ67" s="411"/>
    </row>
    <row r="68" spans="1:43" ht="23.25" customHeight="1" x14ac:dyDescent="0.3">
      <c r="A68" s="305"/>
      <c r="B68" s="305"/>
      <c r="C68" s="1296"/>
      <c r="D68" s="1288"/>
      <c r="E68" s="1288"/>
      <c r="F68" s="1289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719"/>
      <c r="AL68" s="410"/>
      <c r="AM68" s="410"/>
      <c r="AN68" s="410"/>
      <c r="AO68" s="410"/>
      <c r="AP68" s="411"/>
      <c r="AQ68" s="411"/>
    </row>
    <row r="69" spans="1:43" ht="56.25" customHeight="1" x14ac:dyDescent="0.35">
      <c r="A69" s="720" t="s">
        <v>476</v>
      </c>
      <c r="B69" s="642" t="s">
        <v>477</v>
      </c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719"/>
      <c r="AL69" s="410"/>
      <c r="AM69" s="410"/>
      <c r="AN69" s="410"/>
      <c r="AO69" s="410"/>
      <c r="AP69" s="411"/>
      <c r="AQ69" s="411"/>
    </row>
    <row r="70" spans="1:43" ht="63.75" customHeight="1" x14ac:dyDescent="0.25">
      <c r="A70" s="721" t="s">
        <v>478</v>
      </c>
      <c r="B70" s="722" t="s">
        <v>479</v>
      </c>
      <c r="AK70" s="719"/>
      <c r="AL70" s="522"/>
      <c r="AM70" s="522"/>
      <c r="AN70" s="522"/>
      <c r="AO70" s="522"/>
      <c r="AP70" s="522"/>
      <c r="AQ70" s="522"/>
    </row>
    <row r="71" spans="1:43" ht="79.5" customHeight="1" x14ac:dyDescent="0.25">
      <c r="A71" s="721" t="s">
        <v>480</v>
      </c>
      <c r="B71" s="723" t="s">
        <v>481</v>
      </c>
      <c r="AK71" s="719"/>
      <c r="AL71" s="522"/>
      <c r="AM71" s="522"/>
      <c r="AN71" s="522"/>
      <c r="AO71" s="522"/>
      <c r="AP71" s="522"/>
      <c r="AQ71" s="522"/>
    </row>
    <row r="72" spans="1:43" ht="12.75" customHeight="1" x14ac:dyDescent="0.25">
      <c r="AK72" s="269"/>
      <c r="AL72" s="522"/>
      <c r="AM72" s="522"/>
      <c r="AN72" s="522"/>
      <c r="AO72" s="522"/>
      <c r="AP72" s="522"/>
      <c r="AQ72" s="522"/>
    </row>
    <row r="73" spans="1:43" ht="12.75" customHeight="1" x14ac:dyDescent="0.25">
      <c r="AL73" s="522"/>
      <c r="AM73" s="522"/>
      <c r="AN73" s="522"/>
      <c r="AO73" s="522"/>
      <c r="AP73" s="522"/>
      <c r="AQ73" s="522"/>
    </row>
    <row r="74" spans="1:43" ht="12.75" customHeight="1" x14ac:dyDescent="0.25">
      <c r="AL74" s="522"/>
      <c r="AM74" s="522"/>
      <c r="AN74" s="522"/>
      <c r="AO74" s="522"/>
      <c r="AP74" s="522"/>
      <c r="AQ74" s="522"/>
    </row>
    <row r="75" spans="1:43" ht="12.75" customHeight="1" x14ac:dyDescent="0.25">
      <c r="AL75" s="522"/>
      <c r="AM75" s="522"/>
      <c r="AN75" s="522"/>
      <c r="AO75" s="522"/>
      <c r="AP75" s="522"/>
      <c r="AQ75" s="522"/>
    </row>
    <row r="76" spans="1:43" ht="12.75" customHeight="1" x14ac:dyDescent="0.25">
      <c r="AL76" s="522"/>
      <c r="AM76" s="522"/>
      <c r="AN76" s="522"/>
      <c r="AO76" s="522"/>
      <c r="AP76" s="522"/>
      <c r="AQ76" s="522"/>
    </row>
    <row r="77" spans="1:43" ht="12.75" customHeight="1" x14ac:dyDescent="0.25">
      <c r="AL77" s="522"/>
      <c r="AM77" s="522"/>
      <c r="AN77" s="522"/>
      <c r="AO77" s="522"/>
      <c r="AP77" s="522"/>
      <c r="AQ77" s="522"/>
    </row>
    <row r="78" spans="1:43" ht="12.75" customHeight="1" x14ac:dyDescent="0.25"/>
    <row r="79" spans="1:43" ht="12.75" customHeight="1" x14ac:dyDescent="0.25"/>
    <row r="80" spans="1:43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</sheetData>
  <mergeCells count="54">
    <mergeCell ref="G67:AJ67"/>
    <mergeCell ref="C27:F27"/>
    <mergeCell ref="C28:F28"/>
    <mergeCell ref="C29:F29"/>
    <mergeCell ref="C30:F30"/>
    <mergeCell ref="C31:F31"/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G1:AI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AA1"/>
    <mergeCell ref="AB1:AE1"/>
    <mergeCell ref="C21:F21"/>
    <mergeCell ref="C22:F22"/>
    <mergeCell ref="C23:F23"/>
    <mergeCell ref="C24:F24"/>
    <mergeCell ref="C25:F25"/>
    <mergeCell ref="C26:F26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8"/>
    <mergeCell ref="A37:A44"/>
    <mergeCell ref="B37:B38"/>
    <mergeCell ref="B39:B40"/>
    <mergeCell ref="B41:B42"/>
    <mergeCell ref="B43:B44"/>
    <mergeCell ref="C43:F43"/>
    <mergeCell ref="C44:F44"/>
  </mergeCells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20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1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8" width="10.109375" customWidth="1"/>
    <col min="29" max="29" width="9" customWidth="1"/>
    <col min="30" max="30" width="8.77734375" customWidth="1"/>
    <col min="31" max="31" width="9.6640625" customWidth="1"/>
    <col min="32" max="37" width="11.44140625" customWidth="1"/>
    <col min="38" max="43" width="8.6640625" customWidth="1"/>
  </cols>
  <sheetData>
    <row r="1" spans="1:43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473</v>
      </c>
      <c r="W1" s="1178"/>
      <c r="X1" s="1178"/>
      <c r="Y1" s="1178"/>
      <c r="Z1" s="1178"/>
      <c r="AA1" s="1179"/>
      <c r="AB1" s="1332" t="s">
        <v>458</v>
      </c>
      <c r="AC1" s="1178"/>
      <c r="AD1" s="1178"/>
      <c r="AE1" s="1178"/>
      <c r="AF1" s="670" t="s">
        <v>91</v>
      </c>
      <c r="AG1" s="1333" t="s">
        <v>459</v>
      </c>
      <c r="AH1" s="1178"/>
      <c r="AI1" s="1179"/>
      <c r="AJ1" s="671" t="s">
        <v>399</v>
      </c>
      <c r="AK1" s="644"/>
      <c r="AL1" s="644"/>
      <c r="AM1" s="399"/>
      <c r="AN1" s="399"/>
      <c r="AO1" s="399"/>
      <c r="AP1" s="399"/>
      <c r="AQ1" s="399"/>
    </row>
    <row r="2" spans="1:43" ht="33" customHeight="1" x14ac:dyDescent="0.3">
      <c r="A2" s="397"/>
      <c r="B2" s="398"/>
      <c r="C2" s="1312"/>
      <c r="D2" s="1201"/>
      <c r="E2" s="1201"/>
      <c r="F2" s="1201"/>
      <c r="G2" s="524" t="s">
        <v>99</v>
      </c>
      <c r="H2" s="525" t="s">
        <v>100</v>
      </c>
      <c r="I2" s="525" t="s">
        <v>198</v>
      </c>
      <c r="J2" s="525" t="s">
        <v>21</v>
      </c>
      <c r="K2" s="645" t="s">
        <v>102</v>
      </c>
      <c r="L2" s="646" t="s">
        <v>395</v>
      </c>
      <c r="M2" s="525" t="s">
        <v>396</v>
      </c>
      <c r="N2" s="525" t="s">
        <v>105</v>
      </c>
      <c r="O2" s="525" t="s">
        <v>106</v>
      </c>
      <c r="P2" s="525" t="s">
        <v>107</v>
      </c>
      <c r="Q2" s="527" t="s">
        <v>215</v>
      </c>
      <c r="R2" s="528" t="s">
        <v>34</v>
      </c>
      <c r="S2" s="647" t="s">
        <v>397</v>
      </c>
      <c r="T2" s="528" t="s">
        <v>110</v>
      </c>
      <c r="U2" s="530" t="s">
        <v>111</v>
      </c>
      <c r="V2" s="672" t="s">
        <v>45</v>
      </c>
      <c r="W2" s="672" t="s">
        <v>49</v>
      </c>
      <c r="X2" s="672" t="s">
        <v>399</v>
      </c>
      <c r="Y2" s="672" t="s">
        <v>341</v>
      </c>
      <c r="Z2" s="672" t="s">
        <v>321</v>
      </c>
      <c r="AA2" s="672" t="s">
        <v>474</v>
      </c>
      <c r="AB2" s="673" t="s">
        <v>115</v>
      </c>
      <c r="AC2" s="648" t="s">
        <v>116</v>
      </c>
      <c r="AD2" s="648" t="s">
        <v>80</v>
      </c>
      <c r="AE2" s="648" t="s">
        <v>117</v>
      </c>
      <c r="AF2" s="724" t="s">
        <v>460</v>
      </c>
      <c r="AG2" s="725" t="s">
        <v>347</v>
      </c>
      <c r="AH2" s="726" t="s">
        <v>70</v>
      </c>
      <c r="AI2" s="727" t="s">
        <v>72</v>
      </c>
      <c r="AJ2" s="728" t="s">
        <v>75</v>
      </c>
      <c r="AK2" s="534" t="s">
        <v>398</v>
      </c>
      <c r="AL2" s="409"/>
      <c r="AM2" s="409"/>
      <c r="AN2" s="729"/>
      <c r="AO2" s="410"/>
      <c r="AP2" s="411"/>
      <c r="AQ2" s="411"/>
    </row>
    <row r="3" spans="1:43" ht="22.5" customHeight="1" x14ac:dyDescent="0.3">
      <c r="A3" s="1248" t="s">
        <v>401</v>
      </c>
      <c r="B3" s="412" t="s">
        <v>402</v>
      </c>
      <c r="C3" s="1314"/>
      <c r="D3" s="1315"/>
      <c r="E3" s="1315"/>
      <c r="F3" s="1316"/>
      <c r="G3" s="677">
        <v>120</v>
      </c>
      <c r="H3" s="677">
        <v>120</v>
      </c>
      <c r="I3" s="677">
        <v>120</v>
      </c>
      <c r="J3" s="677">
        <v>120</v>
      </c>
      <c r="K3" s="677">
        <v>120</v>
      </c>
      <c r="L3" s="677">
        <v>120</v>
      </c>
      <c r="M3" s="677">
        <v>120</v>
      </c>
      <c r="N3" s="677">
        <v>120</v>
      </c>
      <c r="O3" s="677">
        <v>120</v>
      </c>
      <c r="P3" s="677">
        <v>120</v>
      </c>
      <c r="Q3" s="677">
        <v>120</v>
      </c>
      <c r="R3" s="677">
        <v>120</v>
      </c>
      <c r="S3" s="677">
        <v>120</v>
      </c>
      <c r="T3" s="677">
        <v>120</v>
      </c>
      <c r="U3" s="678">
        <v>0</v>
      </c>
      <c r="V3" s="679"/>
      <c r="W3" s="680">
        <v>120</v>
      </c>
      <c r="X3" s="679"/>
      <c r="Y3" s="679"/>
      <c r="Z3" s="679"/>
      <c r="AA3" s="679"/>
      <c r="AB3" s="681">
        <v>120</v>
      </c>
      <c r="AC3" s="682">
        <v>120</v>
      </c>
      <c r="AD3" s="682">
        <v>120</v>
      </c>
      <c r="AE3" s="682">
        <v>120</v>
      </c>
      <c r="AF3" s="730">
        <v>120</v>
      </c>
      <c r="AG3" s="678">
        <v>120</v>
      </c>
      <c r="AH3" s="682">
        <v>120</v>
      </c>
      <c r="AI3" s="682">
        <v>120</v>
      </c>
      <c r="AJ3" s="682">
        <v>120</v>
      </c>
      <c r="AK3" s="536">
        <f t="shared" ref="AK3:AK66" si="0">SUM(G3:AJ3)</f>
        <v>2880</v>
      </c>
      <c r="AL3" s="421"/>
      <c r="AM3" s="410"/>
      <c r="AN3" s="410"/>
      <c r="AO3" s="410"/>
      <c r="AP3" s="411"/>
      <c r="AQ3" s="411"/>
    </row>
    <row r="4" spans="1:43" ht="27" customHeight="1" x14ac:dyDescent="0.3">
      <c r="A4" s="1249"/>
      <c r="B4" s="417" t="s">
        <v>403</v>
      </c>
      <c r="C4" s="1295"/>
      <c r="D4" s="1201"/>
      <c r="E4" s="1201"/>
      <c r="F4" s="1240"/>
      <c r="G4" s="537">
        <v>80</v>
      </c>
      <c r="H4" s="418">
        <v>120</v>
      </c>
      <c r="I4" s="418">
        <v>81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683"/>
      <c r="W4" s="683">
        <v>120</v>
      </c>
      <c r="X4" s="683"/>
      <c r="Y4" s="683"/>
      <c r="Z4" s="683"/>
      <c r="AA4" s="683"/>
      <c r="AB4" s="684">
        <v>120</v>
      </c>
      <c r="AC4" s="538">
        <v>120</v>
      </c>
      <c r="AD4" s="538">
        <v>120</v>
      </c>
      <c r="AE4" s="539">
        <v>120</v>
      </c>
      <c r="AF4" s="731">
        <v>120</v>
      </c>
      <c r="AG4" s="542">
        <v>120</v>
      </c>
      <c r="AH4" s="418">
        <v>120</v>
      </c>
      <c r="AI4" s="418"/>
      <c r="AJ4" s="418"/>
      <c r="AK4" s="536">
        <f t="shared" si="0"/>
        <v>2451</v>
      </c>
      <c r="AL4" s="421">
        <v>2451</v>
      </c>
      <c r="AM4" s="422"/>
      <c r="AN4" s="422"/>
      <c r="AO4" s="422"/>
      <c r="AP4" s="422"/>
      <c r="AQ4" s="411"/>
    </row>
    <row r="5" spans="1:43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540">
        <v>50</v>
      </c>
      <c r="H5" s="541">
        <v>50</v>
      </c>
      <c r="I5" s="541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683"/>
      <c r="W5" s="683">
        <v>50</v>
      </c>
      <c r="X5" s="683"/>
      <c r="Y5" s="683"/>
      <c r="Z5" s="683"/>
      <c r="AA5" s="683"/>
      <c r="AB5" s="684">
        <v>50</v>
      </c>
      <c r="AC5" s="538">
        <v>50</v>
      </c>
      <c r="AD5" s="538">
        <v>50</v>
      </c>
      <c r="AE5" s="539">
        <v>50</v>
      </c>
      <c r="AF5" s="732">
        <v>50</v>
      </c>
      <c r="AG5" s="541">
        <v>50</v>
      </c>
      <c r="AH5" s="541">
        <v>50</v>
      </c>
      <c r="AI5" s="542"/>
      <c r="AJ5" s="542"/>
      <c r="AK5" s="536">
        <f t="shared" si="0"/>
        <v>1150</v>
      </c>
      <c r="AL5" s="421">
        <v>1150</v>
      </c>
      <c r="AM5" s="410"/>
      <c r="AN5" s="410"/>
      <c r="AO5" s="410"/>
      <c r="AP5" s="411"/>
      <c r="AQ5" s="411"/>
    </row>
    <row r="6" spans="1:43" ht="23.25" customHeight="1" x14ac:dyDescent="0.3">
      <c r="A6" s="1254"/>
      <c r="B6" s="428" t="s">
        <v>406</v>
      </c>
      <c r="C6" s="1295"/>
      <c r="D6" s="1201"/>
      <c r="E6" s="1201"/>
      <c r="F6" s="1240"/>
      <c r="G6" s="540">
        <v>2</v>
      </c>
      <c r="H6" s="544">
        <v>0</v>
      </c>
      <c r="I6" s="544">
        <v>1</v>
      </c>
      <c r="J6" s="544">
        <v>6</v>
      </c>
      <c r="K6" s="544">
        <v>3</v>
      </c>
      <c r="L6" s="544">
        <v>3</v>
      </c>
      <c r="M6" s="545">
        <v>3</v>
      </c>
      <c r="N6" s="545">
        <v>19</v>
      </c>
      <c r="O6" s="651">
        <v>3</v>
      </c>
      <c r="P6" s="430"/>
      <c r="Q6" s="546">
        <v>3</v>
      </c>
      <c r="R6" s="546">
        <v>9</v>
      </c>
      <c r="S6" s="548">
        <v>1</v>
      </c>
      <c r="T6" s="685">
        <v>6</v>
      </c>
      <c r="U6" s="434">
        <v>0</v>
      </c>
      <c r="V6" s="683">
        <v>1</v>
      </c>
      <c r="W6" s="683">
        <v>3</v>
      </c>
      <c r="X6" s="683">
        <v>21</v>
      </c>
      <c r="Y6" s="683">
        <v>30</v>
      </c>
      <c r="Z6" s="683">
        <v>9</v>
      </c>
      <c r="AA6" s="683">
        <v>15</v>
      </c>
      <c r="AB6" s="684">
        <v>0</v>
      </c>
      <c r="AC6" s="538">
        <v>1</v>
      </c>
      <c r="AD6" s="538">
        <v>7</v>
      </c>
      <c r="AE6" s="563">
        <v>0</v>
      </c>
      <c r="AF6" s="733">
        <v>1</v>
      </c>
      <c r="AG6" s="550">
        <v>18</v>
      </c>
      <c r="AH6" s="686">
        <v>26</v>
      </c>
      <c r="AI6" s="588">
        <v>40</v>
      </c>
      <c r="AJ6" s="588"/>
      <c r="AK6" s="536">
        <f t="shared" si="0"/>
        <v>231</v>
      </c>
      <c r="AL6" s="421">
        <v>231</v>
      </c>
      <c r="AM6" s="410"/>
      <c r="AN6" s="410"/>
      <c r="AO6" s="410"/>
      <c r="AP6" s="411"/>
      <c r="AQ6" s="411"/>
    </row>
    <row r="7" spans="1:43" ht="21.75" customHeight="1" x14ac:dyDescent="0.3">
      <c r="A7" s="1254"/>
      <c r="B7" s="428" t="s">
        <v>407</v>
      </c>
      <c r="C7" s="1295"/>
      <c r="D7" s="1201"/>
      <c r="E7" s="1201"/>
      <c r="F7" s="1240"/>
      <c r="G7" s="551">
        <v>0</v>
      </c>
      <c r="H7" s="552">
        <v>0</v>
      </c>
      <c r="I7" s="552">
        <v>2</v>
      </c>
      <c r="J7" s="734">
        <v>4</v>
      </c>
      <c r="K7" s="552">
        <v>1</v>
      </c>
      <c r="L7" s="552">
        <v>0</v>
      </c>
      <c r="M7" s="552">
        <v>1</v>
      </c>
      <c r="N7" s="552">
        <v>2</v>
      </c>
      <c r="O7" s="652">
        <v>1</v>
      </c>
      <c r="P7" s="553">
        <v>0</v>
      </c>
      <c r="Q7" s="553">
        <v>2</v>
      </c>
      <c r="R7" s="546">
        <v>0</v>
      </c>
      <c r="S7" s="554">
        <v>10</v>
      </c>
      <c r="T7" s="555">
        <v>0</v>
      </c>
      <c r="U7" s="441">
        <v>0</v>
      </c>
      <c r="V7" s="687">
        <v>1</v>
      </c>
      <c r="W7" s="687">
        <v>1</v>
      </c>
      <c r="X7" s="687">
        <v>0</v>
      </c>
      <c r="Y7" s="687">
        <v>0</v>
      </c>
      <c r="Z7" s="687">
        <v>0</v>
      </c>
      <c r="AA7" s="687">
        <v>0</v>
      </c>
      <c r="AB7" s="688">
        <v>5</v>
      </c>
      <c r="AC7" s="556">
        <v>6</v>
      </c>
      <c r="AD7" s="556">
        <v>0</v>
      </c>
      <c r="AE7" s="585">
        <v>7</v>
      </c>
      <c r="AF7" s="735">
        <v>0</v>
      </c>
      <c r="AG7" s="559">
        <v>0</v>
      </c>
      <c r="AH7" s="559">
        <v>0</v>
      </c>
      <c r="AI7" s="559">
        <v>0</v>
      </c>
      <c r="AJ7" s="559">
        <v>0</v>
      </c>
      <c r="AK7" s="689">
        <f t="shared" si="0"/>
        <v>43</v>
      </c>
      <c r="AL7" s="421">
        <v>45</v>
      </c>
      <c r="AM7" s="410"/>
      <c r="AN7" s="410"/>
      <c r="AO7" s="410"/>
      <c r="AP7" s="411"/>
      <c r="AQ7" s="411"/>
    </row>
    <row r="8" spans="1:43" ht="26.25" customHeight="1" x14ac:dyDescent="0.3">
      <c r="A8" s="1254"/>
      <c r="B8" s="428" t="s">
        <v>408</v>
      </c>
      <c r="C8" s="1295"/>
      <c r="D8" s="1201"/>
      <c r="E8" s="1201"/>
      <c r="F8" s="1240"/>
      <c r="G8" s="540">
        <v>11</v>
      </c>
      <c r="H8" s="541">
        <v>18</v>
      </c>
      <c r="I8" s="541">
        <v>10</v>
      </c>
      <c r="J8" s="544">
        <v>15</v>
      </c>
      <c r="K8" s="541">
        <v>12</v>
      </c>
      <c r="L8" s="626">
        <v>16</v>
      </c>
      <c r="M8" s="626">
        <v>29</v>
      </c>
      <c r="N8" s="736">
        <v>18</v>
      </c>
      <c r="O8" s="561">
        <v>20</v>
      </c>
      <c r="P8" s="542">
        <v>20</v>
      </c>
      <c r="Q8" s="546">
        <v>18</v>
      </c>
      <c r="R8" s="546">
        <v>41</v>
      </c>
      <c r="S8" s="546">
        <v>14</v>
      </c>
      <c r="T8" s="562">
        <v>14</v>
      </c>
      <c r="U8" s="419">
        <v>0</v>
      </c>
      <c r="V8" s="683">
        <v>17</v>
      </c>
      <c r="W8" s="683">
        <v>18</v>
      </c>
      <c r="X8" s="683">
        <v>15</v>
      </c>
      <c r="Y8" s="683">
        <v>20</v>
      </c>
      <c r="Z8" s="683">
        <v>20</v>
      </c>
      <c r="AA8" s="683">
        <v>7</v>
      </c>
      <c r="AB8" s="684">
        <v>20</v>
      </c>
      <c r="AC8" s="538">
        <v>19</v>
      </c>
      <c r="AD8" s="538">
        <v>20</v>
      </c>
      <c r="AE8" s="563">
        <v>10</v>
      </c>
      <c r="AF8" s="737">
        <v>15</v>
      </c>
      <c r="AG8" s="564">
        <v>21</v>
      </c>
      <c r="AH8" s="564">
        <v>33</v>
      </c>
      <c r="AI8" s="690">
        <v>27</v>
      </c>
      <c r="AJ8" s="690">
        <v>13</v>
      </c>
      <c r="AK8" s="536">
        <f t="shared" si="0"/>
        <v>531</v>
      </c>
      <c r="AL8" s="421">
        <v>531</v>
      </c>
      <c r="AM8" s="410"/>
      <c r="AN8" s="410"/>
      <c r="AO8" s="410"/>
      <c r="AP8" s="411"/>
      <c r="AQ8" s="411"/>
    </row>
    <row r="9" spans="1:43" ht="21.75" customHeight="1" x14ac:dyDescent="0.3">
      <c r="A9" s="1254"/>
      <c r="B9" s="428" t="s">
        <v>409</v>
      </c>
      <c r="C9" s="1295"/>
      <c r="D9" s="1201"/>
      <c r="E9" s="1201"/>
      <c r="F9" s="1240"/>
      <c r="G9" s="540">
        <v>11</v>
      </c>
      <c r="H9" s="541">
        <v>12</v>
      </c>
      <c r="I9" s="541">
        <v>11</v>
      </c>
      <c r="J9" s="544">
        <v>8</v>
      </c>
      <c r="K9" s="541">
        <v>6</v>
      </c>
      <c r="L9" s="626">
        <v>14</v>
      </c>
      <c r="M9" s="626">
        <v>5</v>
      </c>
      <c r="N9" s="736">
        <v>12</v>
      </c>
      <c r="O9" s="561">
        <v>10</v>
      </c>
      <c r="P9" s="542">
        <v>10</v>
      </c>
      <c r="Q9" s="546">
        <v>12</v>
      </c>
      <c r="R9" s="546">
        <v>26</v>
      </c>
      <c r="S9" s="546">
        <v>5</v>
      </c>
      <c r="T9" s="562">
        <v>9</v>
      </c>
      <c r="U9" s="419">
        <v>0</v>
      </c>
      <c r="V9" s="683">
        <v>3</v>
      </c>
      <c r="W9" s="683">
        <v>10</v>
      </c>
      <c r="X9" s="738">
        <v>6</v>
      </c>
      <c r="Y9" s="738">
        <v>10</v>
      </c>
      <c r="Z9" s="683">
        <v>21</v>
      </c>
      <c r="AA9" s="738">
        <v>8</v>
      </c>
      <c r="AB9" s="684">
        <v>10</v>
      </c>
      <c r="AC9" s="538">
        <v>11</v>
      </c>
      <c r="AD9" s="538">
        <v>10</v>
      </c>
      <c r="AE9" s="563">
        <v>10</v>
      </c>
      <c r="AF9" s="737">
        <v>14</v>
      </c>
      <c r="AG9" s="564">
        <v>14</v>
      </c>
      <c r="AH9" s="564">
        <v>28</v>
      </c>
      <c r="AI9" s="690">
        <v>13</v>
      </c>
      <c r="AJ9" s="690">
        <v>8</v>
      </c>
      <c r="AK9" s="536">
        <f t="shared" si="0"/>
        <v>327</v>
      </c>
      <c r="AL9" s="421">
        <v>327</v>
      </c>
      <c r="AM9" s="410"/>
      <c r="AN9" s="410"/>
      <c r="AO9" s="410"/>
      <c r="AP9" s="411"/>
      <c r="AQ9" s="411"/>
    </row>
    <row r="10" spans="1:43" ht="35.25" customHeight="1" x14ac:dyDescent="0.3">
      <c r="A10" s="1255"/>
      <c r="B10" s="442" t="s">
        <v>410</v>
      </c>
      <c r="C10" s="1295"/>
      <c r="D10" s="1201"/>
      <c r="E10" s="1201"/>
      <c r="F10" s="1240"/>
      <c r="G10" s="443">
        <f t="shared" ref="G10:AJ10" si="1">SUM(G8+G9)</f>
        <v>22</v>
      </c>
      <c r="H10" s="443">
        <f t="shared" si="1"/>
        <v>30</v>
      </c>
      <c r="I10" s="443">
        <f t="shared" si="1"/>
        <v>21</v>
      </c>
      <c r="J10" s="443">
        <f t="shared" si="1"/>
        <v>23</v>
      </c>
      <c r="K10" s="443">
        <f t="shared" si="1"/>
        <v>18</v>
      </c>
      <c r="L10" s="443">
        <f t="shared" si="1"/>
        <v>30</v>
      </c>
      <c r="M10" s="443">
        <f t="shared" si="1"/>
        <v>34</v>
      </c>
      <c r="N10" s="443">
        <f t="shared" si="1"/>
        <v>30</v>
      </c>
      <c r="O10" s="443">
        <f t="shared" si="1"/>
        <v>30</v>
      </c>
      <c r="P10" s="443">
        <f t="shared" si="1"/>
        <v>30</v>
      </c>
      <c r="Q10" s="443">
        <f t="shared" si="1"/>
        <v>30</v>
      </c>
      <c r="R10" s="739">
        <f t="shared" si="1"/>
        <v>67</v>
      </c>
      <c r="S10" s="443">
        <f t="shared" si="1"/>
        <v>19</v>
      </c>
      <c r="T10" s="443">
        <f t="shared" si="1"/>
        <v>23</v>
      </c>
      <c r="U10" s="443">
        <f t="shared" si="1"/>
        <v>0</v>
      </c>
      <c r="V10" s="443">
        <f t="shared" si="1"/>
        <v>20</v>
      </c>
      <c r="W10" s="565">
        <f t="shared" si="1"/>
        <v>28</v>
      </c>
      <c r="X10" s="740">
        <f t="shared" si="1"/>
        <v>21</v>
      </c>
      <c r="Y10" s="740">
        <f t="shared" si="1"/>
        <v>30</v>
      </c>
      <c r="Z10" s="740">
        <f t="shared" si="1"/>
        <v>41</v>
      </c>
      <c r="AA10" s="740">
        <f t="shared" si="1"/>
        <v>15</v>
      </c>
      <c r="AB10" s="691">
        <f t="shared" si="1"/>
        <v>30</v>
      </c>
      <c r="AC10" s="566">
        <f t="shared" si="1"/>
        <v>30</v>
      </c>
      <c r="AD10" s="566">
        <f t="shared" si="1"/>
        <v>30</v>
      </c>
      <c r="AE10" s="567">
        <f t="shared" si="1"/>
        <v>20</v>
      </c>
      <c r="AF10" s="567">
        <f t="shared" si="1"/>
        <v>29</v>
      </c>
      <c r="AG10" s="568">
        <f t="shared" si="1"/>
        <v>35</v>
      </c>
      <c r="AH10" s="567">
        <f t="shared" si="1"/>
        <v>61</v>
      </c>
      <c r="AI10" s="567">
        <f t="shared" si="1"/>
        <v>40</v>
      </c>
      <c r="AJ10" s="567">
        <f t="shared" si="1"/>
        <v>21</v>
      </c>
      <c r="AK10" s="689">
        <f t="shared" si="0"/>
        <v>858</v>
      </c>
      <c r="AL10" s="421">
        <v>858</v>
      </c>
      <c r="AM10" s="410"/>
      <c r="AN10" s="410"/>
      <c r="AO10" s="410"/>
      <c r="AP10" s="411"/>
      <c r="AQ10" s="411"/>
    </row>
    <row r="11" spans="1:43" ht="28.5" customHeight="1" x14ac:dyDescent="0.3">
      <c r="A11" s="1326" t="s">
        <v>461</v>
      </c>
      <c r="B11" s="692" t="s">
        <v>462</v>
      </c>
      <c r="C11" s="1295"/>
      <c r="D11" s="1201"/>
      <c r="E11" s="1201"/>
      <c r="F11" s="1240"/>
      <c r="G11" s="424"/>
      <c r="H11" s="454"/>
      <c r="I11" s="17"/>
      <c r="J11" s="570"/>
      <c r="K11" s="425"/>
      <c r="L11" s="454"/>
      <c r="M11" s="454"/>
      <c r="N11" s="541"/>
      <c r="O11" s="454"/>
      <c r="P11" s="418"/>
      <c r="Q11" s="425"/>
      <c r="R11" s="546"/>
      <c r="S11" s="418"/>
      <c r="T11" s="418"/>
      <c r="U11" s="455"/>
      <c r="V11" s="684"/>
      <c r="W11" s="634"/>
      <c r="X11" s="741"/>
      <c r="Y11" s="741"/>
      <c r="Z11" s="741"/>
      <c r="AA11" s="741"/>
      <c r="AB11" s="634"/>
      <c r="AC11" s="549"/>
      <c r="AD11" s="549"/>
      <c r="AE11" s="532"/>
      <c r="AF11" s="742"/>
      <c r="AG11" s="572"/>
      <c r="AH11" s="693"/>
      <c r="AI11" s="572"/>
      <c r="AJ11" s="572"/>
      <c r="AK11" s="536">
        <f t="shared" si="0"/>
        <v>0</v>
      </c>
      <c r="AL11" s="421"/>
      <c r="AM11" s="410"/>
      <c r="AN11" s="410"/>
      <c r="AO11" s="410"/>
      <c r="AP11" s="411"/>
      <c r="AQ11" s="411"/>
    </row>
    <row r="12" spans="1:43" ht="24" customHeight="1" x14ac:dyDescent="0.3">
      <c r="A12" s="1317"/>
      <c r="B12" s="694" t="s">
        <v>463</v>
      </c>
      <c r="C12" s="1295"/>
      <c r="D12" s="1201"/>
      <c r="E12" s="1201"/>
      <c r="F12" s="1240"/>
      <c r="G12" s="654"/>
      <c r="H12" s="655"/>
      <c r="I12" s="656"/>
      <c r="J12" s="655"/>
      <c r="K12" s="655"/>
      <c r="L12" s="655"/>
      <c r="M12" s="655"/>
      <c r="N12" s="657"/>
      <c r="O12" s="655"/>
      <c r="P12" s="658"/>
      <c r="Q12" s="655"/>
      <c r="R12" s="658"/>
      <c r="S12" s="658"/>
      <c r="T12" s="658"/>
      <c r="U12" s="659"/>
      <c r="V12" s="684"/>
      <c r="W12" s="634"/>
      <c r="X12" s="634"/>
      <c r="Y12" s="634"/>
      <c r="Z12" s="634"/>
      <c r="AA12" s="634"/>
      <c r="AB12" s="634"/>
      <c r="AC12" s="549"/>
      <c r="AD12" s="549"/>
      <c r="AE12" s="532"/>
      <c r="AF12" s="742"/>
      <c r="AG12" s="572"/>
      <c r="AH12" s="693"/>
      <c r="AI12" s="572"/>
      <c r="AJ12" s="572"/>
      <c r="AK12" s="536">
        <f t="shared" si="0"/>
        <v>0</v>
      </c>
      <c r="AL12" s="421"/>
      <c r="AM12" s="410"/>
      <c r="AN12" s="410"/>
      <c r="AO12" s="410"/>
      <c r="AP12" s="411"/>
      <c r="AQ12" s="411"/>
    </row>
    <row r="13" spans="1:43" ht="21.75" customHeight="1" x14ac:dyDescent="0.3">
      <c r="A13" s="1313" t="s">
        <v>411</v>
      </c>
      <c r="B13" s="453" t="s">
        <v>405</v>
      </c>
      <c r="C13" s="1295"/>
      <c r="D13" s="1201"/>
      <c r="E13" s="1201"/>
      <c r="F13" s="1240"/>
      <c r="G13" s="424"/>
      <c r="H13" s="542"/>
      <c r="I13" s="17"/>
      <c r="J13" s="425"/>
      <c r="K13" s="425"/>
      <c r="L13" s="425"/>
      <c r="M13" s="425"/>
      <c r="N13" s="425"/>
      <c r="O13" s="425"/>
      <c r="P13" s="17"/>
      <c r="Q13" s="541"/>
      <c r="R13" s="17"/>
      <c r="S13" s="17"/>
      <c r="T13" s="17"/>
      <c r="U13" s="455"/>
      <c r="V13" s="634"/>
      <c r="W13" s="634"/>
      <c r="X13" s="634"/>
      <c r="Y13" s="634"/>
      <c r="Z13" s="634"/>
      <c r="AA13" s="634"/>
      <c r="AB13" s="634"/>
      <c r="AC13" s="549"/>
      <c r="AD13" s="549"/>
      <c r="AE13" s="532"/>
      <c r="AF13" s="743"/>
      <c r="AG13" s="576"/>
      <c r="AH13" s="577"/>
      <c r="AI13" s="576"/>
      <c r="AJ13" s="576"/>
      <c r="AK13" s="536">
        <f t="shared" si="0"/>
        <v>0</v>
      </c>
      <c r="AL13" s="421"/>
      <c r="AM13" s="410"/>
      <c r="AN13" s="410"/>
      <c r="AO13" s="410"/>
      <c r="AP13" s="411"/>
      <c r="AQ13" s="411"/>
    </row>
    <row r="14" spans="1:43" ht="21.75" customHeight="1" x14ac:dyDescent="0.3">
      <c r="A14" s="1170"/>
      <c r="B14" s="578" t="s">
        <v>412</v>
      </c>
      <c r="C14" s="1295"/>
      <c r="D14" s="1201"/>
      <c r="E14" s="1201"/>
      <c r="F14" s="1240"/>
      <c r="G14" s="540">
        <v>25</v>
      </c>
      <c r="H14" s="542">
        <v>0</v>
      </c>
      <c r="I14" s="542">
        <v>0</v>
      </c>
      <c r="J14" s="425">
        <v>0</v>
      </c>
      <c r="K14" s="541">
        <v>37</v>
      </c>
      <c r="L14" s="425">
        <v>0</v>
      </c>
      <c r="M14" s="425">
        <v>0</v>
      </c>
      <c r="N14" s="541">
        <v>3</v>
      </c>
      <c r="O14" s="541">
        <v>32</v>
      </c>
      <c r="P14" s="542">
        <v>0</v>
      </c>
      <c r="Q14" s="541">
        <v>1</v>
      </c>
      <c r="R14" s="418">
        <v>0</v>
      </c>
      <c r="S14" s="542">
        <v>0</v>
      </c>
      <c r="T14" s="542">
        <v>12</v>
      </c>
      <c r="U14" s="419">
        <v>0</v>
      </c>
      <c r="V14" s="684">
        <v>2</v>
      </c>
      <c r="W14" s="634"/>
      <c r="X14" s="634">
        <v>56</v>
      </c>
      <c r="Y14" s="634"/>
      <c r="Z14" s="684">
        <v>102</v>
      </c>
      <c r="AA14" s="634"/>
      <c r="AB14" s="634"/>
      <c r="AC14" s="538">
        <v>0</v>
      </c>
      <c r="AD14" s="538">
        <v>36</v>
      </c>
      <c r="AE14" s="532"/>
      <c r="AF14" s="744">
        <v>1</v>
      </c>
      <c r="AG14" s="660"/>
      <c r="AH14" s="577"/>
      <c r="AI14" s="576"/>
      <c r="AJ14" s="690">
        <v>0</v>
      </c>
      <c r="AK14" s="536">
        <f t="shared" si="0"/>
        <v>307</v>
      </c>
      <c r="AL14" s="421">
        <v>307</v>
      </c>
      <c r="AM14" s="410"/>
      <c r="AN14" s="410"/>
      <c r="AO14" s="410"/>
      <c r="AP14" s="411"/>
      <c r="AQ14" s="411"/>
    </row>
    <row r="15" spans="1:43" ht="25.5" customHeight="1" x14ac:dyDescent="0.3">
      <c r="A15" s="1170"/>
      <c r="B15" s="579" t="s">
        <v>407</v>
      </c>
      <c r="C15" s="1295"/>
      <c r="D15" s="1201"/>
      <c r="E15" s="1201"/>
      <c r="F15" s="1240"/>
      <c r="G15" s="425">
        <v>0</v>
      </c>
      <c r="H15" s="581">
        <v>0</v>
      </c>
      <c r="I15" s="581">
        <v>0</v>
      </c>
      <c r="J15" s="580">
        <v>0</v>
      </c>
      <c r="K15" s="581">
        <v>0</v>
      </c>
      <c r="L15" s="580">
        <v>0</v>
      </c>
      <c r="M15" s="580">
        <v>0</v>
      </c>
      <c r="N15" s="695">
        <v>3</v>
      </c>
      <c r="O15" s="580">
        <v>0</v>
      </c>
      <c r="P15" s="581">
        <v>0</v>
      </c>
      <c r="Q15" s="695">
        <v>0</v>
      </c>
      <c r="R15" s="582">
        <v>0</v>
      </c>
      <c r="S15" s="542">
        <v>0</v>
      </c>
      <c r="T15" s="581">
        <v>10</v>
      </c>
      <c r="U15" s="583">
        <v>0</v>
      </c>
      <c r="V15" s="556">
        <v>2</v>
      </c>
      <c r="W15" s="556">
        <v>31</v>
      </c>
      <c r="X15" s="556">
        <v>0</v>
      </c>
      <c r="Y15" s="556"/>
      <c r="Z15" s="556">
        <v>0</v>
      </c>
      <c r="AA15" s="634"/>
      <c r="AB15" s="696"/>
      <c r="AC15" s="556">
        <v>0</v>
      </c>
      <c r="AD15" s="556">
        <v>0</v>
      </c>
      <c r="AE15" s="585">
        <v>0</v>
      </c>
      <c r="AF15" s="745">
        <v>0</v>
      </c>
      <c r="AG15" s="564"/>
      <c r="AH15" s="662">
        <v>0</v>
      </c>
      <c r="AI15" s="559"/>
      <c r="AJ15" s="559">
        <v>0</v>
      </c>
      <c r="AK15" s="689">
        <f t="shared" si="0"/>
        <v>46</v>
      </c>
      <c r="AL15" s="421">
        <v>46</v>
      </c>
      <c r="AM15" s="410"/>
      <c r="AN15" s="410"/>
      <c r="AO15" s="410"/>
      <c r="AP15" s="411"/>
      <c r="AQ15" s="411"/>
    </row>
    <row r="16" spans="1:43" ht="24" customHeight="1" x14ac:dyDescent="0.3">
      <c r="A16" s="1170"/>
      <c r="B16" s="579" t="s">
        <v>408</v>
      </c>
      <c r="C16" s="1295"/>
      <c r="D16" s="1201"/>
      <c r="E16" s="1201"/>
      <c r="F16" s="1240"/>
      <c r="G16" s="542">
        <v>13</v>
      </c>
      <c r="H16" s="542">
        <v>14</v>
      </c>
      <c r="I16" s="542">
        <v>20</v>
      </c>
      <c r="J16" s="425">
        <v>0</v>
      </c>
      <c r="K16" s="542">
        <v>4</v>
      </c>
      <c r="L16" s="542">
        <v>19</v>
      </c>
      <c r="M16" s="746">
        <v>3</v>
      </c>
      <c r="N16" s="541">
        <v>15</v>
      </c>
      <c r="O16" s="541">
        <v>17</v>
      </c>
      <c r="P16" s="418">
        <v>8</v>
      </c>
      <c r="Q16" s="418">
        <v>37</v>
      </c>
      <c r="R16" s="418">
        <v>0</v>
      </c>
      <c r="S16" s="418">
        <v>1</v>
      </c>
      <c r="T16" s="418">
        <v>30</v>
      </c>
      <c r="U16" s="419">
        <v>0</v>
      </c>
      <c r="V16" s="634">
        <v>22</v>
      </c>
      <c r="W16" s="634">
        <v>8</v>
      </c>
      <c r="X16" s="634">
        <v>9</v>
      </c>
      <c r="Y16" s="634">
        <v>8</v>
      </c>
      <c r="Z16" s="634">
        <v>26</v>
      </c>
      <c r="AA16" s="634">
        <v>3</v>
      </c>
      <c r="AB16" s="634">
        <v>42</v>
      </c>
      <c r="AC16" s="634">
        <v>5</v>
      </c>
      <c r="AD16" s="538">
        <v>10</v>
      </c>
      <c r="AE16" s="538">
        <v>28</v>
      </c>
      <c r="AF16" s="744">
        <v>22</v>
      </c>
      <c r="AG16" s="564">
        <v>13</v>
      </c>
      <c r="AH16" s="564">
        <v>14</v>
      </c>
      <c r="AI16" s="564">
        <v>15</v>
      </c>
      <c r="AJ16" s="577">
        <v>5</v>
      </c>
      <c r="AK16" s="536">
        <f t="shared" si="0"/>
        <v>411</v>
      </c>
      <c r="AL16" s="421">
        <v>411</v>
      </c>
      <c r="AM16" s="410"/>
      <c r="AN16" s="410"/>
      <c r="AO16" s="410"/>
      <c r="AP16" s="411"/>
      <c r="AQ16" s="411"/>
    </row>
    <row r="17" spans="1:43" ht="25.5" customHeight="1" x14ac:dyDescent="0.3">
      <c r="A17" s="1170"/>
      <c r="B17" s="579" t="s">
        <v>409</v>
      </c>
      <c r="C17" s="1295"/>
      <c r="D17" s="1201"/>
      <c r="E17" s="1201"/>
      <c r="F17" s="1240"/>
      <c r="G17" s="542">
        <v>16</v>
      </c>
      <c r="H17" s="542">
        <v>19</v>
      </c>
      <c r="I17" s="542">
        <v>18</v>
      </c>
      <c r="J17" s="425">
        <v>0</v>
      </c>
      <c r="K17" s="541">
        <v>1</v>
      </c>
      <c r="L17" s="542">
        <v>20</v>
      </c>
      <c r="M17" s="747">
        <v>5</v>
      </c>
      <c r="N17" s="541">
        <v>11</v>
      </c>
      <c r="O17" s="541">
        <v>9</v>
      </c>
      <c r="P17" s="418">
        <v>7</v>
      </c>
      <c r="Q17" s="542">
        <v>27</v>
      </c>
      <c r="R17" s="418">
        <v>0</v>
      </c>
      <c r="S17" s="418">
        <v>2</v>
      </c>
      <c r="T17" s="418">
        <v>20</v>
      </c>
      <c r="U17" s="419">
        <v>0</v>
      </c>
      <c r="V17" s="634">
        <v>10</v>
      </c>
      <c r="W17" s="634">
        <v>1</v>
      </c>
      <c r="X17" s="634">
        <v>7</v>
      </c>
      <c r="Y17" s="634">
        <v>18</v>
      </c>
      <c r="Z17" s="634">
        <v>20</v>
      </c>
      <c r="AA17" s="634">
        <v>7</v>
      </c>
      <c r="AB17" s="634">
        <v>23</v>
      </c>
      <c r="AC17" s="634">
        <v>5</v>
      </c>
      <c r="AD17" s="538">
        <v>8</v>
      </c>
      <c r="AE17" s="538">
        <v>12</v>
      </c>
      <c r="AF17" s="748">
        <v>15</v>
      </c>
      <c r="AG17" s="564">
        <v>6</v>
      </c>
      <c r="AH17" s="564">
        <v>14</v>
      </c>
      <c r="AI17" s="564">
        <v>16</v>
      </c>
      <c r="AJ17" s="577">
        <v>2</v>
      </c>
      <c r="AK17" s="536">
        <f t="shared" si="0"/>
        <v>319</v>
      </c>
      <c r="AL17" s="421">
        <v>319</v>
      </c>
      <c r="AM17" s="410"/>
      <c r="AN17" s="410"/>
      <c r="AO17" s="410"/>
      <c r="AP17" s="411"/>
      <c r="AQ17" s="411"/>
    </row>
    <row r="18" spans="1:43" ht="23.25" customHeight="1" x14ac:dyDescent="0.3">
      <c r="A18" s="1170"/>
      <c r="B18" s="579" t="s">
        <v>413</v>
      </c>
      <c r="C18" s="1295"/>
      <c r="D18" s="1201"/>
      <c r="E18" s="1201"/>
      <c r="F18" s="1240"/>
      <c r="G18" s="542">
        <v>13</v>
      </c>
      <c r="H18" s="542">
        <v>27</v>
      </c>
      <c r="I18" s="542">
        <v>34</v>
      </c>
      <c r="J18" s="425">
        <v>0</v>
      </c>
      <c r="K18" s="541">
        <v>57</v>
      </c>
      <c r="L18" s="542">
        <v>28</v>
      </c>
      <c r="M18" s="747">
        <v>33</v>
      </c>
      <c r="N18" s="541">
        <v>40</v>
      </c>
      <c r="O18" s="541">
        <v>29</v>
      </c>
      <c r="P18" s="418">
        <v>35</v>
      </c>
      <c r="Q18" s="418">
        <v>12</v>
      </c>
      <c r="R18" s="418">
        <v>0</v>
      </c>
      <c r="S18" s="418">
        <v>33</v>
      </c>
      <c r="T18" s="418">
        <v>22</v>
      </c>
      <c r="U18" s="419">
        <v>0</v>
      </c>
      <c r="V18" s="634">
        <v>13</v>
      </c>
      <c r="W18" s="634">
        <v>9</v>
      </c>
      <c r="X18" s="634">
        <v>17</v>
      </c>
      <c r="Y18" s="634">
        <v>24</v>
      </c>
      <c r="Z18" s="634">
        <v>36</v>
      </c>
      <c r="AA18" s="634">
        <v>10</v>
      </c>
      <c r="AB18" s="634">
        <v>15</v>
      </c>
      <c r="AC18" s="684">
        <v>41</v>
      </c>
      <c r="AD18" s="538">
        <v>15</v>
      </c>
      <c r="AE18" s="538">
        <v>24</v>
      </c>
      <c r="AF18" s="748">
        <v>13</v>
      </c>
      <c r="AG18" s="564">
        <v>4</v>
      </c>
      <c r="AH18" s="564">
        <v>5</v>
      </c>
      <c r="AI18" s="564">
        <v>0</v>
      </c>
      <c r="AJ18" s="564">
        <v>3</v>
      </c>
      <c r="AK18" s="536">
        <f t="shared" si="0"/>
        <v>592</v>
      </c>
      <c r="AL18" s="421">
        <v>592</v>
      </c>
      <c r="AM18" s="410"/>
      <c r="AN18" s="410"/>
      <c r="AO18" s="410"/>
      <c r="AP18" s="411"/>
      <c r="AQ18" s="411"/>
    </row>
    <row r="19" spans="1:43" ht="21" customHeight="1" x14ac:dyDescent="0.3">
      <c r="A19" s="1170"/>
      <c r="B19" s="579" t="s">
        <v>414</v>
      </c>
      <c r="C19" s="1295"/>
      <c r="D19" s="1201"/>
      <c r="E19" s="1201"/>
      <c r="F19" s="1240"/>
      <c r="G19" s="542">
        <v>41</v>
      </c>
      <c r="H19" s="542">
        <v>30</v>
      </c>
      <c r="I19" s="542">
        <v>21</v>
      </c>
      <c r="J19" s="425">
        <v>0</v>
      </c>
      <c r="K19" s="541">
        <v>67</v>
      </c>
      <c r="L19" s="542">
        <v>23</v>
      </c>
      <c r="M19" s="747">
        <v>49</v>
      </c>
      <c r="N19" s="541">
        <v>23</v>
      </c>
      <c r="O19" s="541">
        <v>35</v>
      </c>
      <c r="P19" s="418">
        <v>40</v>
      </c>
      <c r="Q19" s="418">
        <v>14</v>
      </c>
      <c r="R19" s="418">
        <v>0</v>
      </c>
      <c r="S19" s="418">
        <v>24</v>
      </c>
      <c r="T19" s="418">
        <v>18</v>
      </c>
      <c r="U19" s="419">
        <v>0</v>
      </c>
      <c r="V19" s="634">
        <v>15</v>
      </c>
      <c r="W19" s="634">
        <v>3</v>
      </c>
      <c r="X19" s="634">
        <v>23</v>
      </c>
      <c r="Y19" s="634">
        <v>40</v>
      </c>
      <c r="Z19" s="634">
        <v>20</v>
      </c>
      <c r="AA19" s="634">
        <v>10</v>
      </c>
      <c r="AB19" s="634">
        <v>10</v>
      </c>
      <c r="AC19" s="684">
        <v>32</v>
      </c>
      <c r="AD19" s="538">
        <v>29</v>
      </c>
      <c r="AE19" s="538">
        <v>21</v>
      </c>
      <c r="AF19" s="748">
        <v>12</v>
      </c>
      <c r="AG19" s="564">
        <v>18</v>
      </c>
      <c r="AH19" s="564">
        <v>13</v>
      </c>
      <c r="AI19" s="564">
        <v>9</v>
      </c>
      <c r="AJ19" s="564">
        <v>6</v>
      </c>
      <c r="AK19" s="536">
        <f t="shared" si="0"/>
        <v>646</v>
      </c>
      <c r="AL19" s="421">
        <v>646</v>
      </c>
      <c r="AM19" s="410"/>
      <c r="AN19" s="410"/>
      <c r="AO19" s="410"/>
      <c r="AP19" s="411"/>
      <c r="AQ19" s="411"/>
    </row>
    <row r="20" spans="1:43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f t="shared" ref="G20:AE20" si="2">SUM(G16:G19)</f>
        <v>83</v>
      </c>
      <c r="H20" s="590">
        <f t="shared" si="2"/>
        <v>90</v>
      </c>
      <c r="I20" s="590">
        <f t="shared" si="2"/>
        <v>93</v>
      </c>
      <c r="J20" s="590">
        <f t="shared" si="2"/>
        <v>0</v>
      </c>
      <c r="K20" s="590">
        <f t="shared" si="2"/>
        <v>129</v>
      </c>
      <c r="L20" s="590">
        <f t="shared" si="2"/>
        <v>90</v>
      </c>
      <c r="M20" s="590">
        <f t="shared" si="2"/>
        <v>90</v>
      </c>
      <c r="N20" s="590">
        <f t="shared" si="2"/>
        <v>89</v>
      </c>
      <c r="O20" s="590">
        <f t="shared" si="2"/>
        <v>90</v>
      </c>
      <c r="P20" s="590">
        <f t="shared" si="2"/>
        <v>90</v>
      </c>
      <c r="Q20" s="590">
        <f t="shared" si="2"/>
        <v>90</v>
      </c>
      <c r="R20" s="590">
        <f t="shared" si="2"/>
        <v>0</v>
      </c>
      <c r="S20" s="590">
        <f t="shared" si="2"/>
        <v>60</v>
      </c>
      <c r="T20" s="590">
        <f t="shared" si="2"/>
        <v>90</v>
      </c>
      <c r="U20" s="590">
        <f t="shared" si="2"/>
        <v>0</v>
      </c>
      <c r="V20" s="590">
        <f t="shared" si="2"/>
        <v>60</v>
      </c>
      <c r="W20" s="590">
        <f t="shared" si="2"/>
        <v>21</v>
      </c>
      <c r="X20" s="590">
        <f t="shared" si="2"/>
        <v>56</v>
      </c>
      <c r="Y20" s="590">
        <f t="shared" si="2"/>
        <v>90</v>
      </c>
      <c r="Z20" s="590">
        <f t="shared" si="2"/>
        <v>102</v>
      </c>
      <c r="AA20" s="590">
        <f t="shared" si="2"/>
        <v>30</v>
      </c>
      <c r="AB20" s="590">
        <f t="shared" si="2"/>
        <v>90</v>
      </c>
      <c r="AC20" s="590">
        <f t="shared" si="2"/>
        <v>83</v>
      </c>
      <c r="AD20" s="666">
        <f t="shared" si="2"/>
        <v>62</v>
      </c>
      <c r="AE20" s="666">
        <f t="shared" si="2"/>
        <v>85</v>
      </c>
      <c r="AF20" s="666">
        <f t="shared" ref="AF20:AJ20" si="3">SUM(AF16+AF17+AF18+AF19)</f>
        <v>62</v>
      </c>
      <c r="AG20" s="666">
        <f t="shared" si="3"/>
        <v>41</v>
      </c>
      <c r="AH20" s="666">
        <f t="shared" si="3"/>
        <v>46</v>
      </c>
      <c r="AI20" s="666">
        <f t="shared" si="3"/>
        <v>40</v>
      </c>
      <c r="AJ20" s="666">
        <f t="shared" si="3"/>
        <v>16</v>
      </c>
      <c r="AK20" s="689">
        <f t="shared" si="0"/>
        <v>1968</v>
      </c>
      <c r="AL20" s="421">
        <v>1968</v>
      </c>
      <c r="AM20" s="410"/>
      <c r="AN20" s="410"/>
      <c r="AO20" s="410"/>
      <c r="AP20" s="411"/>
      <c r="AQ20" s="410"/>
    </row>
    <row r="21" spans="1:43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467"/>
      <c r="H21" s="425"/>
      <c r="I21" s="425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701"/>
      <c r="W21" s="701"/>
      <c r="X21" s="701"/>
      <c r="Y21" s="701"/>
      <c r="Z21" s="701"/>
      <c r="AA21" s="701"/>
      <c r="AB21" s="634"/>
      <c r="AC21" s="549"/>
      <c r="AD21" s="538"/>
      <c r="AE21" s="532"/>
      <c r="AF21" s="593"/>
      <c r="AG21" s="668"/>
      <c r="AH21" s="668"/>
      <c r="AI21" s="572"/>
      <c r="AJ21" s="572"/>
      <c r="AK21" s="536">
        <f t="shared" si="0"/>
        <v>0</v>
      </c>
      <c r="AL21" s="421"/>
      <c r="AM21" s="410"/>
      <c r="AN21" s="410"/>
      <c r="AO21" s="410"/>
      <c r="AP21" s="411"/>
      <c r="AQ21" s="411"/>
    </row>
    <row r="22" spans="1:43" ht="18.75" customHeight="1" x14ac:dyDescent="0.3">
      <c r="A22" s="1170"/>
      <c r="B22" s="1329"/>
      <c r="C22" s="1257" t="s">
        <v>419</v>
      </c>
      <c r="D22" s="1247"/>
      <c r="E22" s="1247"/>
      <c r="F22" s="1247"/>
      <c r="G22" s="469"/>
      <c r="H22" s="470"/>
      <c r="I22" s="470"/>
      <c r="J22" s="470"/>
      <c r="K22" s="470">
        <v>0</v>
      </c>
      <c r="L22" s="425"/>
      <c r="M22" s="425"/>
      <c r="N22" s="425"/>
      <c r="O22" s="425"/>
      <c r="P22" s="425"/>
      <c r="Q22" s="425"/>
      <c r="R22" s="425"/>
      <c r="S22" s="425"/>
      <c r="T22" s="425"/>
      <c r="U22" s="425">
        <v>0</v>
      </c>
      <c r="V22" s="683"/>
      <c r="W22" s="683"/>
      <c r="X22" s="683"/>
      <c r="Y22" s="683"/>
      <c r="Z22" s="683"/>
      <c r="AA22" s="683"/>
      <c r="AB22" s="684">
        <v>5</v>
      </c>
      <c r="AC22" s="549"/>
      <c r="AD22" s="549"/>
      <c r="AE22" s="532"/>
      <c r="AF22" s="593"/>
      <c r="AG22" s="668"/>
      <c r="AH22" s="668"/>
      <c r="AI22" s="572"/>
      <c r="AJ22" s="588">
        <v>65</v>
      </c>
      <c r="AK22" s="536">
        <f t="shared" si="0"/>
        <v>70</v>
      </c>
      <c r="AL22" s="421"/>
      <c r="AM22" s="410"/>
      <c r="AN22" s="410"/>
      <c r="AO22" s="410"/>
      <c r="AP22" s="411"/>
      <c r="AQ22" s="411"/>
    </row>
    <row r="23" spans="1:43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595">
        <v>150</v>
      </c>
      <c r="I23" s="595">
        <v>100</v>
      </c>
      <c r="J23" s="596">
        <v>100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600">
        <v>0</v>
      </c>
      <c r="V23" s="702">
        <v>150</v>
      </c>
      <c r="W23" s="702">
        <v>150</v>
      </c>
      <c r="X23" s="702">
        <v>150</v>
      </c>
      <c r="Y23" s="702">
        <v>150</v>
      </c>
      <c r="Z23" s="702">
        <v>150</v>
      </c>
      <c r="AA23" s="702">
        <v>150</v>
      </c>
      <c r="AB23" s="599">
        <v>150</v>
      </c>
      <c r="AC23" s="599">
        <v>150</v>
      </c>
      <c r="AD23" s="599">
        <v>150</v>
      </c>
      <c r="AE23" s="601">
        <v>150</v>
      </c>
      <c r="AF23" s="602">
        <v>150</v>
      </c>
      <c r="AG23" s="602">
        <v>150</v>
      </c>
      <c r="AH23" s="601">
        <v>150</v>
      </c>
      <c r="AI23" s="601">
        <v>150</v>
      </c>
      <c r="AJ23" s="601">
        <v>150</v>
      </c>
      <c r="AK23" s="536">
        <f t="shared" si="0"/>
        <v>4350</v>
      </c>
      <c r="AL23" s="421"/>
      <c r="AM23" s="410"/>
      <c r="AN23" s="410"/>
      <c r="AO23" s="410"/>
      <c r="AP23" s="411"/>
      <c r="AQ23" s="411"/>
    </row>
    <row r="24" spans="1:43" ht="20.25" customHeight="1" x14ac:dyDescent="0.3">
      <c r="A24" s="1171"/>
      <c r="B24" s="1319"/>
      <c r="C24" s="1304" t="s">
        <v>419</v>
      </c>
      <c r="D24" s="1260"/>
      <c r="E24" s="1260"/>
      <c r="F24" s="1260"/>
      <c r="G24" s="603">
        <v>64</v>
      </c>
      <c r="H24" s="604">
        <v>150</v>
      </c>
      <c r="I24" s="605">
        <v>150</v>
      </c>
      <c r="J24" s="605">
        <v>140</v>
      </c>
      <c r="K24" s="606">
        <v>73</v>
      </c>
      <c r="L24" s="607">
        <v>110</v>
      </c>
      <c r="M24" s="608">
        <v>209</v>
      </c>
      <c r="N24" s="608">
        <v>163</v>
      </c>
      <c r="O24" s="608">
        <v>180</v>
      </c>
      <c r="P24" s="669">
        <v>156</v>
      </c>
      <c r="Q24" s="610">
        <v>91</v>
      </c>
      <c r="R24" s="610">
        <v>331</v>
      </c>
      <c r="S24" s="610">
        <v>85</v>
      </c>
      <c r="T24" s="610">
        <v>132</v>
      </c>
      <c r="U24" s="611">
        <v>0</v>
      </c>
      <c r="V24" s="702">
        <v>100</v>
      </c>
      <c r="W24" s="702">
        <v>208</v>
      </c>
      <c r="X24" s="702">
        <v>88</v>
      </c>
      <c r="Y24" s="702">
        <v>150</v>
      </c>
      <c r="Z24" s="702">
        <v>156</v>
      </c>
      <c r="AA24" s="702">
        <v>75</v>
      </c>
      <c r="AB24" s="703">
        <v>210</v>
      </c>
      <c r="AC24" s="612">
        <v>138</v>
      </c>
      <c r="AD24" s="612">
        <v>153</v>
      </c>
      <c r="AE24" s="612">
        <v>120</v>
      </c>
      <c r="AF24" s="612">
        <v>153</v>
      </c>
      <c r="AG24" s="612">
        <v>188</v>
      </c>
      <c r="AH24" s="704">
        <v>332</v>
      </c>
      <c r="AI24" s="704">
        <v>73</v>
      </c>
      <c r="AJ24" s="704">
        <v>65</v>
      </c>
      <c r="AK24" s="705">
        <f t="shared" si="0"/>
        <v>4243</v>
      </c>
      <c r="AL24" s="421"/>
      <c r="AM24" s="410"/>
      <c r="AN24" s="410"/>
      <c r="AO24" s="410"/>
      <c r="AP24" s="411"/>
      <c r="AQ24" s="411"/>
    </row>
    <row r="25" spans="1:43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541"/>
      <c r="H25" s="425"/>
      <c r="I25" s="418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701"/>
      <c r="W25" s="701"/>
      <c r="X25" s="701"/>
      <c r="Y25" s="701"/>
      <c r="Z25" s="701"/>
      <c r="AA25" s="701"/>
      <c r="AB25" s="634"/>
      <c r="AC25" s="549"/>
      <c r="AD25" s="549"/>
      <c r="AE25" s="532"/>
      <c r="AF25" s="593"/>
      <c r="AG25" s="593"/>
      <c r="AH25" s="668"/>
      <c r="AI25" s="572"/>
      <c r="AJ25" s="572"/>
      <c r="AK25" s="536">
        <f t="shared" si="0"/>
        <v>0</v>
      </c>
      <c r="AL25" s="421"/>
      <c r="AM25" s="410"/>
      <c r="AN25" s="410"/>
      <c r="AO25" s="410"/>
      <c r="AP25" s="411"/>
      <c r="AQ25" s="411"/>
    </row>
    <row r="26" spans="1:43" ht="18.75" customHeight="1" x14ac:dyDescent="0.3">
      <c r="A26" s="1273"/>
      <c r="B26" s="1263"/>
      <c r="C26" s="1291" t="s">
        <v>419</v>
      </c>
      <c r="D26" s="1178"/>
      <c r="E26" s="1178"/>
      <c r="F26" s="1179"/>
      <c r="G26" s="541"/>
      <c r="H26" s="541"/>
      <c r="I26" s="418"/>
      <c r="J26" s="467"/>
      <c r="K26" s="467"/>
      <c r="L26" s="467"/>
      <c r="M26" s="425"/>
      <c r="N26" s="541"/>
      <c r="O26" s="541"/>
      <c r="P26" s="540"/>
      <c r="Q26" s="541"/>
      <c r="R26" s="540"/>
      <c r="S26" s="492"/>
      <c r="T26" s="492"/>
      <c r="U26" s="419">
        <v>0</v>
      </c>
      <c r="V26" s="701"/>
      <c r="W26" s="701"/>
      <c r="X26" s="701"/>
      <c r="Y26" s="701"/>
      <c r="Z26" s="701"/>
      <c r="AA26" s="701"/>
      <c r="AB26" s="634"/>
      <c r="AC26" s="549"/>
      <c r="AD26" s="549"/>
      <c r="AE26" s="532"/>
      <c r="AF26" s="593"/>
      <c r="AG26" s="593"/>
      <c r="AH26" s="668"/>
      <c r="AI26" s="572"/>
      <c r="AJ26" s="572"/>
      <c r="AK26" s="536">
        <f t="shared" si="0"/>
        <v>0</v>
      </c>
      <c r="AL26" s="421"/>
      <c r="AM26" s="410"/>
      <c r="AN26" s="410"/>
      <c r="AO26" s="410"/>
      <c r="AP26" s="411"/>
      <c r="AQ26" s="411"/>
    </row>
    <row r="27" spans="1:43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541"/>
      <c r="H27" s="425"/>
      <c r="I27" s="418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701"/>
      <c r="W27" s="701"/>
      <c r="X27" s="701"/>
      <c r="Y27" s="701"/>
      <c r="Z27" s="701"/>
      <c r="AA27" s="701"/>
      <c r="AB27" s="634"/>
      <c r="AC27" s="549"/>
      <c r="AD27" s="549"/>
      <c r="AE27" s="532"/>
      <c r="AF27" s="593"/>
      <c r="AG27" s="593"/>
      <c r="AH27" s="668"/>
      <c r="AI27" s="572"/>
      <c r="AJ27" s="572"/>
      <c r="AK27" s="536">
        <f t="shared" si="0"/>
        <v>0</v>
      </c>
      <c r="AL27" s="421"/>
      <c r="AM27" s="410"/>
      <c r="AN27" s="410"/>
      <c r="AO27" s="410"/>
      <c r="AP27" s="411"/>
      <c r="AQ27" s="411"/>
    </row>
    <row r="28" spans="1:43" ht="18.75" customHeight="1" x14ac:dyDescent="0.3">
      <c r="A28" s="1273"/>
      <c r="B28" s="1167"/>
      <c r="C28" s="1291" t="s">
        <v>419</v>
      </c>
      <c r="D28" s="1178"/>
      <c r="E28" s="1178"/>
      <c r="F28" s="1179"/>
      <c r="G28" s="541"/>
      <c r="H28" s="541"/>
      <c r="I28" s="418"/>
      <c r="J28" s="467"/>
      <c r="K28" s="467"/>
      <c r="L28" s="541"/>
      <c r="M28" s="425"/>
      <c r="N28" s="541"/>
      <c r="O28" s="541"/>
      <c r="P28" s="540"/>
      <c r="Q28" s="425"/>
      <c r="R28" s="492"/>
      <c r="S28" s="492"/>
      <c r="T28" s="492"/>
      <c r="U28" s="419"/>
      <c r="V28" s="701"/>
      <c r="W28" s="701"/>
      <c r="X28" s="701"/>
      <c r="Y28" s="701"/>
      <c r="Z28" s="701"/>
      <c r="AA28" s="701"/>
      <c r="AB28" s="634"/>
      <c r="AC28" s="549"/>
      <c r="AD28" s="549"/>
      <c r="AE28" s="532"/>
      <c r="AF28" s="593"/>
      <c r="AG28" s="593"/>
      <c r="AH28" s="668"/>
      <c r="AI28" s="572"/>
      <c r="AJ28" s="572"/>
      <c r="AK28" s="536">
        <f t="shared" si="0"/>
        <v>0</v>
      </c>
      <c r="AL28" s="421"/>
      <c r="AM28" s="410"/>
      <c r="AN28" s="410"/>
      <c r="AO28" s="410"/>
      <c r="AP28" s="411"/>
      <c r="AQ28" s="411"/>
    </row>
    <row r="29" spans="1:43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541"/>
      <c r="H29" s="425"/>
      <c r="I29" s="418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701"/>
      <c r="W29" s="701"/>
      <c r="X29" s="701"/>
      <c r="Y29" s="701"/>
      <c r="Z29" s="701"/>
      <c r="AA29" s="701"/>
      <c r="AB29" s="634"/>
      <c r="AC29" s="549"/>
      <c r="AD29" s="549"/>
      <c r="AE29" s="532"/>
      <c r="AF29" s="593"/>
      <c r="AG29" s="593"/>
      <c r="AH29" s="668"/>
      <c r="AI29" s="572"/>
      <c r="AJ29" s="572"/>
      <c r="AK29" s="536">
        <f t="shared" si="0"/>
        <v>0</v>
      </c>
      <c r="AL29" s="421"/>
      <c r="AM29" s="410"/>
      <c r="AN29" s="410"/>
      <c r="AO29" s="410"/>
      <c r="AP29" s="411"/>
      <c r="AQ29" s="411"/>
    </row>
    <row r="30" spans="1:43" ht="31.5" customHeight="1" x14ac:dyDescent="0.3">
      <c r="A30" s="1273"/>
      <c r="B30" s="1189"/>
      <c r="C30" s="1291" t="s">
        <v>419</v>
      </c>
      <c r="D30" s="1178"/>
      <c r="E30" s="1178"/>
      <c r="F30" s="1179"/>
      <c r="G30" s="541"/>
      <c r="H30" s="541"/>
      <c r="I30" s="418"/>
      <c r="J30" s="467"/>
      <c r="K30" s="467"/>
      <c r="L30" s="467"/>
      <c r="M30" s="541"/>
      <c r="N30" s="541"/>
      <c r="O30" s="541"/>
      <c r="P30" s="540"/>
      <c r="Q30" s="541"/>
      <c r="R30" s="492"/>
      <c r="S30" s="492"/>
      <c r="T30" s="492"/>
      <c r="U30" s="419"/>
      <c r="V30" s="701"/>
      <c r="W30" s="701"/>
      <c r="X30" s="701"/>
      <c r="Y30" s="701"/>
      <c r="Z30" s="701"/>
      <c r="AA30" s="701"/>
      <c r="AB30" s="634"/>
      <c r="AC30" s="549"/>
      <c r="AD30" s="538"/>
      <c r="AE30" s="532"/>
      <c r="AF30" s="593"/>
      <c r="AG30" s="593"/>
      <c r="AH30" s="668"/>
      <c r="AI30" s="572"/>
      <c r="AJ30" s="572"/>
      <c r="AK30" s="536">
        <f t="shared" si="0"/>
        <v>0</v>
      </c>
      <c r="AL30" s="421"/>
      <c r="AM30" s="410"/>
      <c r="AN30" s="410"/>
      <c r="AO30" s="410"/>
      <c r="AP30" s="411"/>
      <c r="AQ30" s="411"/>
    </row>
    <row r="31" spans="1:43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541"/>
      <c r="H31" s="425"/>
      <c r="I31" s="418"/>
      <c r="J31" s="467"/>
      <c r="K31" s="467"/>
      <c r="L31" s="467"/>
      <c r="M31" s="425"/>
      <c r="N31" s="541"/>
      <c r="O31" s="541"/>
      <c r="P31" s="424"/>
      <c r="Q31" s="425"/>
      <c r="R31" s="492"/>
      <c r="S31" s="492"/>
      <c r="T31" s="492"/>
      <c r="U31" s="419">
        <v>0</v>
      </c>
      <c r="V31" s="701"/>
      <c r="W31" s="701"/>
      <c r="X31" s="701"/>
      <c r="Y31" s="701"/>
      <c r="Z31" s="701"/>
      <c r="AA31" s="701"/>
      <c r="AB31" s="634"/>
      <c r="AC31" s="549"/>
      <c r="AD31" s="549"/>
      <c r="AE31" s="532"/>
      <c r="AF31" s="593"/>
      <c r="AG31" s="593"/>
      <c r="AH31" s="668"/>
      <c r="AI31" s="572"/>
      <c r="AJ31" s="572"/>
      <c r="AK31" s="536">
        <f t="shared" si="0"/>
        <v>0</v>
      </c>
      <c r="AL31" s="421"/>
      <c r="AM31" s="410"/>
      <c r="AN31" s="410"/>
      <c r="AO31" s="410"/>
      <c r="AP31" s="411"/>
      <c r="AQ31" s="411"/>
    </row>
    <row r="32" spans="1:43" ht="18.75" customHeight="1" x14ac:dyDescent="0.3">
      <c r="A32" s="1273"/>
      <c r="B32" s="1189"/>
      <c r="C32" s="1291" t="s">
        <v>419</v>
      </c>
      <c r="D32" s="1178"/>
      <c r="E32" s="1178"/>
      <c r="F32" s="1179"/>
      <c r="G32" s="541"/>
      <c r="H32" s="541"/>
      <c r="I32" s="542"/>
      <c r="J32" s="467"/>
      <c r="K32" s="467"/>
      <c r="L32" s="467"/>
      <c r="M32" s="425"/>
      <c r="N32" s="541"/>
      <c r="O32" s="541"/>
      <c r="P32" s="424"/>
      <c r="Q32" s="541"/>
      <c r="R32" s="467"/>
      <c r="S32" s="468"/>
      <c r="T32" s="468"/>
      <c r="U32" s="419">
        <v>0</v>
      </c>
      <c r="V32" s="701"/>
      <c r="W32" s="701"/>
      <c r="X32" s="701"/>
      <c r="Y32" s="701"/>
      <c r="Z32" s="701"/>
      <c r="AA32" s="701"/>
      <c r="AB32" s="634"/>
      <c r="AC32" s="549"/>
      <c r="AD32" s="549"/>
      <c r="AE32" s="532"/>
      <c r="AF32" s="593"/>
      <c r="AG32" s="593"/>
      <c r="AH32" s="668"/>
      <c r="AI32" s="572"/>
      <c r="AJ32" s="572"/>
      <c r="AK32" s="536">
        <f t="shared" si="0"/>
        <v>0</v>
      </c>
      <c r="AL32" s="421"/>
      <c r="AM32" s="410"/>
      <c r="AN32" s="410"/>
      <c r="AO32" s="410"/>
      <c r="AP32" s="411"/>
      <c r="AQ32" s="411"/>
    </row>
    <row r="33" spans="1:43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60">
        <v>180</v>
      </c>
      <c r="H33" s="459">
        <v>180</v>
      </c>
      <c r="I33" s="460">
        <v>180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704">
        <v>0</v>
      </c>
      <c r="V33" s="458">
        <v>180</v>
      </c>
      <c r="W33" s="458">
        <v>180</v>
      </c>
      <c r="X33" s="458">
        <v>180</v>
      </c>
      <c r="Y33" s="458">
        <v>180</v>
      </c>
      <c r="Z33" s="458">
        <v>180</v>
      </c>
      <c r="AA33" s="458">
        <v>180</v>
      </c>
      <c r="AB33" s="703">
        <v>180</v>
      </c>
      <c r="AC33" s="612">
        <v>180</v>
      </c>
      <c r="AD33" s="612">
        <v>180</v>
      </c>
      <c r="AE33" s="612">
        <v>180</v>
      </c>
      <c r="AF33" s="612">
        <v>180</v>
      </c>
      <c r="AG33" s="612">
        <v>180</v>
      </c>
      <c r="AH33" s="704">
        <v>180</v>
      </c>
      <c r="AI33" s="704">
        <v>180</v>
      </c>
      <c r="AJ33" s="704">
        <v>180</v>
      </c>
      <c r="AK33" s="536">
        <f t="shared" si="0"/>
        <v>4860</v>
      </c>
      <c r="AL33" s="421"/>
      <c r="AM33" s="410"/>
      <c r="AN33" s="410"/>
      <c r="AO33" s="410"/>
      <c r="AP33" s="411"/>
      <c r="AQ33" s="411"/>
    </row>
    <row r="34" spans="1:43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>
        <v>125</v>
      </c>
      <c r="H34" s="615">
        <v>180</v>
      </c>
      <c r="I34" s="615">
        <v>181</v>
      </c>
      <c r="J34" s="615">
        <f>SUM(J26+J28+J30+J32)</f>
        <v>0</v>
      </c>
      <c r="K34" s="615">
        <v>188</v>
      </c>
      <c r="L34" s="615">
        <v>127</v>
      </c>
      <c r="M34" s="615">
        <v>220</v>
      </c>
      <c r="N34" s="615">
        <v>178</v>
      </c>
      <c r="O34" s="615">
        <v>180</v>
      </c>
      <c r="P34" s="615">
        <v>180</v>
      </c>
      <c r="Q34" s="615">
        <v>164</v>
      </c>
      <c r="R34" s="615">
        <f>SUM(R26+R28+R30+R32)</f>
        <v>0</v>
      </c>
      <c r="S34" s="615">
        <v>120</v>
      </c>
      <c r="T34" s="615">
        <v>180</v>
      </c>
      <c r="U34" s="704">
        <f>SUM(U26+U28+U30+U32)</f>
        <v>0</v>
      </c>
      <c r="V34" s="702">
        <v>120</v>
      </c>
      <c r="W34" s="702">
        <v>42</v>
      </c>
      <c r="X34" s="702">
        <v>193</v>
      </c>
      <c r="Y34" s="702">
        <v>180</v>
      </c>
      <c r="Z34" s="702">
        <v>204</v>
      </c>
      <c r="AA34" s="702">
        <v>62</v>
      </c>
      <c r="AB34" s="703">
        <v>180</v>
      </c>
      <c r="AC34" s="612">
        <v>145</v>
      </c>
      <c r="AD34" s="612">
        <v>140</v>
      </c>
      <c r="AE34" s="612">
        <v>150</v>
      </c>
      <c r="AF34" s="612">
        <v>164</v>
      </c>
      <c r="AG34" s="612">
        <v>125</v>
      </c>
      <c r="AH34" s="704">
        <v>122</v>
      </c>
      <c r="AI34" s="704">
        <v>129</v>
      </c>
      <c r="AJ34" s="704">
        <v>26</v>
      </c>
      <c r="AK34" s="705">
        <f t="shared" si="0"/>
        <v>4005</v>
      </c>
      <c r="AL34" s="421"/>
      <c r="AM34" s="410"/>
      <c r="AN34" s="410"/>
      <c r="AO34" s="410"/>
      <c r="AP34" s="411"/>
      <c r="AQ34" s="411"/>
    </row>
    <row r="35" spans="1:43" ht="25.5" customHeight="1" x14ac:dyDescent="0.25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541">
        <v>30</v>
      </c>
      <c r="H35" s="541">
        <v>30</v>
      </c>
      <c r="I35" s="541">
        <v>30</v>
      </c>
      <c r="J35" s="541">
        <v>30</v>
      </c>
      <c r="K35" s="541">
        <v>30</v>
      </c>
      <c r="L35" s="541">
        <v>30</v>
      </c>
      <c r="M35" s="541">
        <v>30</v>
      </c>
      <c r="N35" s="541">
        <v>30</v>
      </c>
      <c r="O35" s="541">
        <v>30</v>
      </c>
      <c r="P35" s="541">
        <v>30</v>
      </c>
      <c r="Q35" s="541">
        <v>30</v>
      </c>
      <c r="R35" s="541">
        <v>30</v>
      </c>
      <c r="S35" s="541">
        <v>30</v>
      </c>
      <c r="T35" s="541">
        <v>30</v>
      </c>
      <c r="U35" s="541">
        <v>30</v>
      </c>
      <c r="V35" s="541">
        <v>30</v>
      </c>
      <c r="W35" s="541">
        <v>30</v>
      </c>
      <c r="X35" s="541">
        <v>30</v>
      </c>
      <c r="Y35" s="541">
        <v>30</v>
      </c>
      <c r="Z35" s="541">
        <v>30</v>
      </c>
      <c r="AA35" s="541">
        <v>30</v>
      </c>
      <c r="AB35" s="541">
        <v>30</v>
      </c>
      <c r="AC35" s="541">
        <v>30</v>
      </c>
      <c r="AD35" s="541">
        <v>30</v>
      </c>
      <c r="AE35" s="541">
        <v>30</v>
      </c>
      <c r="AF35" s="541">
        <v>30</v>
      </c>
      <c r="AG35" s="541">
        <v>30</v>
      </c>
      <c r="AH35" s="541">
        <v>30</v>
      </c>
      <c r="AI35" s="541">
        <v>30</v>
      </c>
      <c r="AJ35" s="541">
        <v>30</v>
      </c>
      <c r="AK35" s="536">
        <f t="shared" si="0"/>
        <v>900</v>
      </c>
      <c r="AL35" s="416"/>
      <c r="AM35" s="410"/>
      <c r="AN35" s="410"/>
      <c r="AO35" s="410"/>
      <c r="AP35" s="411"/>
      <c r="AQ35" s="411"/>
    </row>
    <row r="36" spans="1:43" ht="28.5" customHeight="1" x14ac:dyDescent="0.25">
      <c r="A36" s="1249"/>
      <c r="B36" s="1265"/>
      <c r="C36" s="1278" t="s">
        <v>419</v>
      </c>
      <c r="D36" s="1279"/>
      <c r="E36" s="1279"/>
      <c r="F36" s="1279"/>
      <c r="G36" s="732">
        <v>8</v>
      </c>
      <c r="H36" s="617"/>
      <c r="I36" s="618">
        <v>7</v>
      </c>
      <c r="J36" s="618"/>
      <c r="K36" s="618">
        <v>13</v>
      </c>
      <c r="L36" s="618">
        <v>12</v>
      </c>
      <c r="M36" s="617"/>
      <c r="N36" s="618"/>
      <c r="O36" s="618">
        <v>12</v>
      </c>
      <c r="P36" s="617"/>
      <c r="Q36" s="618"/>
      <c r="R36" s="618"/>
      <c r="S36" s="617"/>
      <c r="T36" s="618">
        <v>10</v>
      </c>
      <c r="U36" s="619"/>
      <c r="V36" s="749">
        <v>5</v>
      </c>
      <c r="W36" s="749">
        <v>30</v>
      </c>
      <c r="X36" s="706"/>
      <c r="Y36" s="749">
        <v>12</v>
      </c>
      <c r="Z36" s="749">
        <v>16</v>
      </c>
      <c r="AA36" s="749">
        <v>13</v>
      </c>
      <c r="AB36" s="707">
        <v>0</v>
      </c>
      <c r="AC36" s="708">
        <v>12</v>
      </c>
      <c r="AD36" s="708">
        <v>7</v>
      </c>
      <c r="AE36" s="709">
        <v>9</v>
      </c>
      <c r="AF36" s="623"/>
      <c r="AG36" s="623"/>
      <c r="AH36" s="710"/>
      <c r="AI36" s="706"/>
      <c r="AJ36" s="749">
        <v>0</v>
      </c>
      <c r="AK36" s="536">
        <f t="shared" si="0"/>
        <v>166</v>
      </c>
      <c r="AL36" s="416"/>
      <c r="AM36" s="410"/>
      <c r="AN36" s="410"/>
      <c r="AO36" s="410"/>
      <c r="AP36" s="411"/>
      <c r="AQ36" s="411"/>
    </row>
    <row r="37" spans="1:43" ht="18.75" customHeight="1" x14ac:dyDescent="0.25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542"/>
      <c r="H37" s="501"/>
      <c r="I37" s="562"/>
      <c r="J37" s="501"/>
      <c r="K37" s="501"/>
      <c r="L37" s="501"/>
      <c r="M37" s="624"/>
      <c r="N37" s="562">
        <v>1</v>
      </c>
      <c r="O37" s="501"/>
      <c r="P37" s="501"/>
      <c r="Q37" s="562">
        <v>1</v>
      </c>
      <c r="R37" s="562"/>
      <c r="S37" s="562"/>
      <c r="T37" s="625"/>
      <c r="U37" s="626"/>
      <c r="V37" s="637">
        <v>1</v>
      </c>
      <c r="W37" s="637">
        <v>1</v>
      </c>
      <c r="X37" s="518"/>
      <c r="Y37" s="518"/>
      <c r="Z37" s="518"/>
      <c r="AA37" s="518"/>
      <c r="AB37" s="711"/>
      <c r="AC37" s="628"/>
      <c r="AD37" s="750">
        <v>1</v>
      </c>
      <c r="AE37" s="629"/>
      <c r="AF37" s="630"/>
      <c r="AG37" s="630"/>
      <c r="AH37" s="712"/>
      <c r="AI37" s="518"/>
      <c r="AJ37" s="637"/>
      <c r="AK37" s="536">
        <f t="shared" si="0"/>
        <v>5</v>
      </c>
      <c r="AL37" s="416"/>
      <c r="AM37" s="410"/>
      <c r="AN37" s="410"/>
      <c r="AO37" s="410"/>
      <c r="AP37" s="411"/>
      <c r="AQ37" s="411"/>
    </row>
    <row r="38" spans="1:43" ht="18.75" customHeight="1" x14ac:dyDescent="0.25">
      <c r="A38" s="1254"/>
      <c r="B38" s="1165"/>
      <c r="C38" s="1291" t="s">
        <v>419</v>
      </c>
      <c r="D38" s="1178"/>
      <c r="E38" s="1178"/>
      <c r="F38" s="1179"/>
      <c r="G38" s="542"/>
      <c r="H38" s="468"/>
      <c r="I38" s="542"/>
      <c r="J38" s="468"/>
      <c r="K38" s="468"/>
      <c r="L38" s="468"/>
      <c r="M38" s="418"/>
      <c r="N38" s="562">
        <v>1</v>
      </c>
      <c r="O38" s="468"/>
      <c r="P38" s="468"/>
      <c r="Q38" s="562">
        <v>1</v>
      </c>
      <c r="R38" s="562"/>
      <c r="S38" s="562"/>
      <c r="T38" s="562"/>
      <c r="U38" s="541"/>
      <c r="V38" s="683">
        <v>1</v>
      </c>
      <c r="W38" s="683">
        <v>1</v>
      </c>
      <c r="X38" s="701"/>
      <c r="Y38" s="701"/>
      <c r="Z38" s="701"/>
      <c r="AA38" s="701"/>
      <c r="AB38" s="634"/>
      <c r="AC38" s="549"/>
      <c r="AD38" s="538">
        <v>1</v>
      </c>
      <c r="AE38" s="532"/>
      <c r="AF38" s="593"/>
      <c r="AG38" s="593"/>
      <c r="AH38" s="668"/>
      <c r="AI38" s="588"/>
      <c r="AJ38" s="588"/>
      <c r="AK38" s="536">
        <f t="shared" si="0"/>
        <v>5</v>
      </c>
      <c r="AL38" s="416"/>
      <c r="AM38" s="410"/>
      <c r="AN38" s="410"/>
      <c r="AO38" s="410"/>
      <c r="AP38" s="411"/>
      <c r="AQ38" s="411"/>
    </row>
    <row r="39" spans="1:43" ht="18.75" customHeight="1" x14ac:dyDescent="0.25">
      <c r="A39" s="1254"/>
      <c r="B39" s="1270" t="s">
        <v>428</v>
      </c>
      <c r="C39" s="1291" t="s">
        <v>418</v>
      </c>
      <c r="D39" s="1178"/>
      <c r="E39" s="1178"/>
      <c r="F39" s="1179"/>
      <c r="G39" s="542">
        <v>1</v>
      </c>
      <c r="H39" s="542">
        <v>1</v>
      </c>
      <c r="I39" s="542">
        <v>1</v>
      </c>
      <c r="J39" s="542">
        <v>1</v>
      </c>
      <c r="K39" s="542">
        <v>1</v>
      </c>
      <c r="L39" s="542">
        <v>1</v>
      </c>
      <c r="M39" s="542">
        <v>1</v>
      </c>
      <c r="N39" s="542">
        <v>1</v>
      </c>
      <c r="O39" s="542">
        <v>1</v>
      </c>
      <c r="P39" s="542">
        <v>1</v>
      </c>
      <c r="Q39" s="562">
        <v>1</v>
      </c>
      <c r="R39" s="562">
        <v>1</v>
      </c>
      <c r="S39" s="562">
        <v>1</v>
      </c>
      <c r="T39" s="562">
        <v>1</v>
      </c>
      <c r="U39" s="541"/>
      <c r="V39" s="683">
        <v>1</v>
      </c>
      <c r="W39" s="683">
        <v>1</v>
      </c>
      <c r="X39" s="683">
        <v>1</v>
      </c>
      <c r="Y39" s="683">
        <v>1</v>
      </c>
      <c r="Z39" s="683">
        <v>1</v>
      </c>
      <c r="AA39" s="683">
        <v>1</v>
      </c>
      <c r="AB39" s="634"/>
      <c r="AC39" s="549"/>
      <c r="AD39" s="549"/>
      <c r="AE39" s="532"/>
      <c r="AF39" s="593"/>
      <c r="AG39" s="593"/>
      <c r="AH39" s="668"/>
      <c r="AI39" s="588"/>
      <c r="AJ39" s="588"/>
      <c r="AK39" s="536">
        <f t="shared" si="0"/>
        <v>20</v>
      </c>
      <c r="AL39" s="416"/>
      <c r="AM39" s="410"/>
      <c r="AN39" s="410"/>
      <c r="AO39" s="410"/>
      <c r="AP39" s="411"/>
      <c r="AQ39" s="411"/>
    </row>
    <row r="40" spans="1:43" ht="18.75" customHeight="1" x14ac:dyDescent="0.25">
      <c r="A40" s="1254"/>
      <c r="B40" s="1165"/>
      <c r="C40" s="1291" t="s">
        <v>419</v>
      </c>
      <c r="D40" s="1178"/>
      <c r="E40" s="1178"/>
      <c r="F40" s="1179"/>
      <c r="G40" s="542">
        <v>1</v>
      </c>
      <c r="H40" s="542">
        <v>1</v>
      </c>
      <c r="I40" s="542">
        <v>1</v>
      </c>
      <c r="J40" s="542">
        <v>0</v>
      </c>
      <c r="K40" s="542">
        <v>0</v>
      </c>
      <c r="L40" s="542">
        <v>0</v>
      </c>
      <c r="M40" s="542">
        <v>1</v>
      </c>
      <c r="N40" s="542">
        <v>1</v>
      </c>
      <c r="O40" s="542">
        <v>1</v>
      </c>
      <c r="P40" s="542">
        <v>1</v>
      </c>
      <c r="Q40" s="562">
        <v>1</v>
      </c>
      <c r="R40" s="562">
        <v>0</v>
      </c>
      <c r="S40" s="562">
        <v>1</v>
      </c>
      <c r="T40" s="562">
        <v>0</v>
      </c>
      <c r="U40" s="497"/>
      <c r="V40" s="683">
        <v>2</v>
      </c>
      <c r="W40" s="683">
        <v>1</v>
      </c>
      <c r="X40" s="683">
        <v>2</v>
      </c>
      <c r="Y40" s="683">
        <v>2</v>
      </c>
      <c r="Z40" s="683">
        <v>1</v>
      </c>
      <c r="AA40" s="683">
        <v>1</v>
      </c>
      <c r="AB40" s="634"/>
      <c r="AC40" s="549"/>
      <c r="AD40" s="549"/>
      <c r="AE40" s="532"/>
      <c r="AF40" s="593"/>
      <c r="AG40" s="593"/>
      <c r="AH40" s="668"/>
      <c r="AI40" s="572"/>
      <c r="AJ40" s="588"/>
      <c r="AK40" s="536">
        <f t="shared" si="0"/>
        <v>18</v>
      </c>
      <c r="AL40" s="416"/>
      <c r="AM40" s="410"/>
      <c r="AN40" s="410"/>
      <c r="AO40" s="410"/>
      <c r="AP40" s="411"/>
      <c r="AQ40" s="411"/>
    </row>
    <row r="41" spans="1:43" ht="18.75" customHeight="1" x14ac:dyDescent="0.25">
      <c r="A41" s="1254"/>
      <c r="B41" s="1270" t="s">
        <v>429</v>
      </c>
      <c r="C41" s="1291" t="s">
        <v>418</v>
      </c>
      <c r="D41" s="1178"/>
      <c r="E41" s="1178"/>
      <c r="F41" s="1179"/>
      <c r="G41" s="468"/>
      <c r="H41" s="468"/>
      <c r="I41" s="468"/>
      <c r="J41" s="418"/>
      <c r="K41" s="468"/>
      <c r="L41" s="468"/>
      <c r="M41" s="468"/>
      <c r="N41" s="468"/>
      <c r="O41" s="468"/>
      <c r="P41" s="468"/>
      <c r="Q41" s="468"/>
      <c r="R41" s="631"/>
      <c r="S41" s="472"/>
      <c r="T41" s="472"/>
      <c r="U41" s="631"/>
      <c r="V41" s="701"/>
      <c r="W41" s="701"/>
      <c r="X41" s="701"/>
      <c r="Y41" s="701"/>
      <c r="Z41" s="701"/>
      <c r="AA41" s="701"/>
      <c r="AB41" s="634"/>
      <c r="AC41" s="549"/>
      <c r="AD41" s="549"/>
      <c r="AE41" s="532"/>
      <c r="AF41" s="593"/>
      <c r="AG41" s="593"/>
      <c r="AH41" s="668"/>
      <c r="AI41" s="572"/>
      <c r="AJ41" s="588"/>
      <c r="AK41" s="536">
        <f t="shared" si="0"/>
        <v>0</v>
      </c>
      <c r="AL41" s="416"/>
      <c r="AM41" s="410"/>
      <c r="AN41" s="410"/>
      <c r="AO41" s="410"/>
      <c r="AP41" s="411"/>
      <c r="AQ41" s="411"/>
    </row>
    <row r="42" spans="1:43" ht="18.75" customHeight="1" x14ac:dyDescent="0.25">
      <c r="A42" s="1254"/>
      <c r="B42" s="1165"/>
      <c r="C42" s="1291" t="s">
        <v>419</v>
      </c>
      <c r="D42" s="1178"/>
      <c r="E42" s="1178"/>
      <c r="F42" s="1179"/>
      <c r="G42" s="468"/>
      <c r="H42" s="468"/>
      <c r="I42" s="468"/>
      <c r="J42" s="468"/>
      <c r="K42" s="468"/>
      <c r="L42" s="468"/>
      <c r="M42" s="468"/>
      <c r="N42" s="504"/>
      <c r="O42" s="468"/>
      <c r="P42" s="542"/>
      <c r="Q42" s="497"/>
      <c r="R42" s="632"/>
      <c r="S42" s="633"/>
      <c r="T42" s="632"/>
      <c r="U42" s="713"/>
      <c r="V42" s="701"/>
      <c r="W42" s="701"/>
      <c r="X42" s="701"/>
      <c r="Y42" s="701"/>
      <c r="Z42" s="701"/>
      <c r="AA42" s="701"/>
      <c r="AB42" s="634"/>
      <c r="AC42" s="549"/>
      <c r="AD42" s="549"/>
      <c r="AE42" s="532"/>
      <c r="AF42" s="593"/>
      <c r="AG42" s="593"/>
      <c r="AH42" s="668"/>
      <c r="AI42" s="572"/>
      <c r="AJ42" s="588"/>
      <c r="AK42" s="536">
        <f t="shared" si="0"/>
        <v>0</v>
      </c>
      <c r="AL42" s="416"/>
      <c r="AM42" s="410"/>
      <c r="AN42" s="410"/>
      <c r="AO42" s="410"/>
      <c r="AP42" s="411"/>
      <c r="AQ42" s="411"/>
    </row>
    <row r="43" spans="1:43" ht="18.75" customHeight="1" x14ac:dyDescent="0.25">
      <c r="A43" s="1254"/>
      <c r="B43" s="1270" t="s">
        <v>430</v>
      </c>
      <c r="C43" s="1291" t="s">
        <v>418</v>
      </c>
      <c r="D43" s="1178"/>
      <c r="E43" s="1178"/>
      <c r="F43" s="1179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97"/>
      <c r="R43" s="632"/>
      <c r="S43" s="632"/>
      <c r="T43" s="632"/>
      <c r="U43" s="713"/>
      <c r="V43" s="701"/>
      <c r="W43" s="701"/>
      <c r="X43" s="701"/>
      <c r="Y43" s="701"/>
      <c r="Z43" s="701"/>
      <c r="AA43" s="701"/>
      <c r="AB43" s="634"/>
      <c r="AC43" s="549"/>
      <c r="AD43" s="549"/>
      <c r="AE43" s="532"/>
      <c r="AF43" s="593"/>
      <c r="AG43" s="593"/>
      <c r="AH43" s="668"/>
      <c r="AI43" s="572"/>
      <c r="AJ43" s="588"/>
      <c r="AK43" s="536">
        <f t="shared" si="0"/>
        <v>0</v>
      </c>
      <c r="AL43" s="416"/>
      <c r="AM43" s="410"/>
      <c r="AN43" s="410"/>
      <c r="AO43" s="410"/>
      <c r="AP43" s="411"/>
      <c r="AQ43" s="411"/>
    </row>
    <row r="44" spans="1:43" ht="18.75" customHeight="1" x14ac:dyDescent="0.25">
      <c r="A44" s="1255"/>
      <c r="B44" s="1176"/>
      <c r="C44" s="1297" t="s">
        <v>419</v>
      </c>
      <c r="D44" s="1285"/>
      <c r="E44" s="1285"/>
      <c r="F44" s="1286"/>
      <c r="G44" s="506"/>
      <c r="H44" s="506"/>
      <c r="I44" s="506"/>
      <c r="J44" s="506"/>
      <c r="K44" s="506"/>
      <c r="L44" s="506"/>
      <c r="M44" s="506"/>
      <c r="N44" s="506"/>
      <c r="O44" s="506"/>
      <c r="P44" s="506"/>
      <c r="Q44" s="507"/>
      <c r="R44" s="635"/>
      <c r="S44" s="509"/>
      <c r="T44" s="499"/>
      <c r="U44" s="500"/>
      <c r="V44" s="701"/>
      <c r="W44" s="701"/>
      <c r="X44" s="701"/>
      <c r="Y44" s="701"/>
      <c r="Z44" s="701"/>
      <c r="AA44" s="701"/>
      <c r="AB44" s="634"/>
      <c r="AC44" s="549"/>
      <c r="AD44" s="549"/>
      <c r="AE44" s="532"/>
      <c r="AF44" s="593"/>
      <c r="AG44" s="593"/>
      <c r="AH44" s="668"/>
      <c r="AI44" s="572"/>
      <c r="AJ44" s="588"/>
      <c r="AK44" s="536">
        <f t="shared" si="0"/>
        <v>0</v>
      </c>
      <c r="AL44" s="416"/>
      <c r="AM44" s="410"/>
      <c r="AN44" s="410"/>
      <c r="AO44" s="410"/>
      <c r="AP44" s="411"/>
      <c r="AQ44" s="411"/>
    </row>
    <row r="45" spans="1:43" ht="18.75" customHeight="1" x14ac:dyDescent="0.3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307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513" t="s">
        <v>111</v>
      </c>
      <c r="V45" s="672" t="s">
        <v>45</v>
      </c>
      <c r="W45" s="672" t="s">
        <v>49</v>
      </c>
      <c r="X45" s="672" t="s">
        <v>399</v>
      </c>
      <c r="Y45" s="672" t="s">
        <v>341</v>
      </c>
      <c r="Z45" s="672" t="s">
        <v>321</v>
      </c>
      <c r="AA45" s="672" t="s">
        <v>474</v>
      </c>
      <c r="AB45" s="714" t="s">
        <v>454</v>
      </c>
      <c r="AC45" s="636" t="s">
        <v>116</v>
      </c>
      <c r="AD45" s="636" t="s">
        <v>80</v>
      </c>
      <c r="AE45" s="636" t="s">
        <v>117</v>
      </c>
      <c r="AF45" s="636" t="s">
        <v>106</v>
      </c>
      <c r="AG45" s="636" t="s">
        <v>347</v>
      </c>
      <c r="AH45" s="636" t="s">
        <v>70</v>
      </c>
      <c r="AI45" s="715" t="s">
        <v>72</v>
      </c>
      <c r="AJ45" s="715" t="s">
        <v>75</v>
      </c>
      <c r="AK45" s="536">
        <f t="shared" si="0"/>
        <v>0</v>
      </c>
      <c r="AL45" s="515"/>
      <c r="AM45" s="409"/>
      <c r="AN45" s="410"/>
      <c r="AO45" s="410"/>
      <c r="AP45" s="411"/>
      <c r="AQ45" s="411"/>
    </row>
    <row r="46" spans="1:43" ht="18.75" customHeight="1" x14ac:dyDescent="0.25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751"/>
      <c r="W46" s="701"/>
      <c r="X46" s="701"/>
      <c r="Y46" s="752"/>
      <c r="Z46" s="701"/>
      <c r="AA46" s="701"/>
      <c r="AB46" s="634"/>
      <c r="AC46" s="549"/>
      <c r="AD46" s="549"/>
      <c r="AE46" s="532"/>
      <c r="AF46" s="593"/>
      <c r="AG46" s="593"/>
      <c r="AH46" s="753"/>
      <c r="AI46" s="572"/>
      <c r="AJ46" s="588"/>
      <c r="AK46" s="536">
        <f t="shared" si="0"/>
        <v>0</v>
      </c>
      <c r="AL46" s="416"/>
      <c r="AM46" s="410"/>
      <c r="AN46" s="410"/>
      <c r="AO46" s="410"/>
      <c r="AP46" s="411"/>
      <c r="AQ46" s="411"/>
    </row>
    <row r="47" spans="1:43" ht="18.75" customHeight="1" x14ac:dyDescent="0.25">
      <c r="A47" s="1164"/>
      <c r="B47" s="519" t="s">
        <v>433</v>
      </c>
      <c r="C47" s="1295"/>
      <c r="D47" s="1201"/>
      <c r="E47" s="1201"/>
      <c r="F47" s="1173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754"/>
      <c r="W47" s="701"/>
      <c r="X47" s="701"/>
      <c r="Y47" s="755"/>
      <c r="Z47" s="701"/>
      <c r="AA47" s="701"/>
      <c r="AB47" s="634"/>
      <c r="AC47" s="549"/>
      <c r="AD47" s="549"/>
      <c r="AE47" s="532"/>
      <c r="AF47" s="593"/>
      <c r="AG47" s="593"/>
      <c r="AH47" s="756"/>
      <c r="AI47" s="572"/>
      <c r="AJ47" s="588"/>
      <c r="AK47" s="536">
        <f t="shared" si="0"/>
        <v>0</v>
      </c>
      <c r="AL47" s="416"/>
      <c r="AM47" s="410"/>
      <c r="AN47" s="410"/>
      <c r="AO47" s="410"/>
      <c r="AP47" s="411"/>
      <c r="AQ47" s="411"/>
    </row>
    <row r="48" spans="1:43" ht="18.75" customHeight="1" x14ac:dyDescent="0.3">
      <c r="A48" s="1164"/>
      <c r="B48" s="519" t="s">
        <v>434</v>
      </c>
      <c r="C48" s="1295"/>
      <c r="D48" s="1201"/>
      <c r="E48" s="1201"/>
      <c r="F48" s="1173"/>
      <c r="G48" s="518"/>
      <c r="H48" s="518"/>
      <c r="I48" s="518"/>
      <c r="J48" s="518"/>
      <c r="K48" s="637"/>
      <c r="L48" s="637">
        <v>1</v>
      </c>
      <c r="M48" s="637">
        <v>6</v>
      </c>
      <c r="N48" s="637"/>
      <c r="O48" s="518"/>
      <c r="P48" s="637"/>
      <c r="Q48" s="518"/>
      <c r="R48" s="418"/>
      <c r="S48" s="418"/>
      <c r="T48" s="418"/>
      <c r="U48" s="420"/>
      <c r="V48" s="754"/>
      <c r="W48" s="701"/>
      <c r="X48" s="683">
        <v>2</v>
      </c>
      <c r="Y48" s="757">
        <v>1</v>
      </c>
      <c r="Z48" s="683">
        <v>6</v>
      </c>
      <c r="AA48" s="701"/>
      <c r="AB48" s="634"/>
      <c r="AC48" s="549"/>
      <c r="AD48" s="549"/>
      <c r="AE48" s="532"/>
      <c r="AF48" s="593"/>
      <c r="AG48" s="593"/>
      <c r="AH48" s="756"/>
      <c r="AI48" s="572"/>
      <c r="AJ48" s="588"/>
      <c r="AK48" s="536">
        <f t="shared" si="0"/>
        <v>16</v>
      </c>
      <c r="AL48" s="416"/>
      <c r="AM48" s="410"/>
      <c r="AN48" s="410"/>
      <c r="AO48" s="410"/>
      <c r="AP48" s="411"/>
      <c r="AQ48" s="411"/>
    </row>
    <row r="49" spans="1:43" ht="18.75" customHeight="1" x14ac:dyDescent="0.25">
      <c r="A49" s="1164"/>
      <c r="B49" s="519" t="s">
        <v>435</v>
      </c>
      <c r="C49" s="1295"/>
      <c r="D49" s="1201"/>
      <c r="E49" s="1201"/>
      <c r="F49" s="1173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418"/>
      <c r="S49" s="418"/>
      <c r="T49" s="418"/>
      <c r="U49" s="420"/>
      <c r="V49" s="754"/>
      <c r="W49" s="701"/>
      <c r="X49" s="701"/>
      <c r="Y49" s="755"/>
      <c r="Z49" s="701"/>
      <c r="AA49" s="701"/>
      <c r="AB49" s="634"/>
      <c r="AC49" s="549"/>
      <c r="AD49" s="549"/>
      <c r="AE49" s="532"/>
      <c r="AF49" s="593"/>
      <c r="AG49" s="593"/>
      <c r="AH49" s="756"/>
      <c r="AI49" s="572"/>
      <c r="AJ49" s="588"/>
      <c r="AK49" s="536">
        <f t="shared" si="0"/>
        <v>0</v>
      </c>
      <c r="AL49" s="416"/>
      <c r="AM49" s="410"/>
      <c r="AN49" s="410"/>
      <c r="AO49" s="410"/>
      <c r="AP49" s="411"/>
      <c r="AQ49" s="411"/>
    </row>
    <row r="50" spans="1:43" ht="18.75" customHeight="1" x14ac:dyDescent="0.25">
      <c r="A50" s="1164"/>
      <c r="B50" s="519" t="s">
        <v>436</v>
      </c>
      <c r="C50" s="1295"/>
      <c r="D50" s="1201"/>
      <c r="E50" s="1201"/>
      <c r="F50" s="1173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754"/>
      <c r="W50" s="701"/>
      <c r="X50" s="701"/>
      <c r="Y50" s="755"/>
      <c r="Z50" s="701"/>
      <c r="AA50" s="701"/>
      <c r="AB50" s="634"/>
      <c r="AC50" s="549"/>
      <c r="AD50" s="549"/>
      <c r="AE50" s="532"/>
      <c r="AF50" s="593"/>
      <c r="AG50" s="593"/>
      <c r="AH50" s="756"/>
      <c r="AI50" s="572"/>
      <c r="AJ50" s="588"/>
      <c r="AK50" s="536">
        <f t="shared" si="0"/>
        <v>0</v>
      </c>
      <c r="AL50" s="416"/>
      <c r="AM50" s="410"/>
      <c r="AN50" s="410"/>
      <c r="AO50" s="410"/>
      <c r="AP50" s="411"/>
      <c r="AQ50" s="411"/>
    </row>
    <row r="51" spans="1:43" ht="18.75" customHeight="1" x14ac:dyDescent="0.25">
      <c r="A51" s="1164"/>
      <c r="B51" s="519" t="s">
        <v>437</v>
      </c>
      <c r="C51" s="1295"/>
      <c r="D51" s="1201"/>
      <c r="E51" s="1201"/>
      <c r="F51" s="1173"/>
      <c r="G51" s="518"/>
      <c r="H51" s="518"/>
      <c r="I51" s="637">
        <v>1</v>
      </c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754"/>
      <c r="W51" s="701"/>
      <c r="X51" s="701"/>
      <c r="Y51" s="755"/>
      <c r="Z51" s="701"/>
      <c r="AA51" s="701"/>
      <c r="AB51" s="634"/>
      <c r="AC51" s="549"/>
      <c r="AD51" s="549"/>
      <c r="AE51" s="532"/>
      <c r="AF51" s="593"/>
      <c r="AG51" s="593"/>
      <c r="AH51" s="756"/>
      <c r="AI51" s="572"/>
      <c r="AJ51" s="588"/>
      <c r="AK51" s="536">
        <f t="shared" si="0"/>
        <v>1</v>
      </c>
      <c r="AL51" s="416"/>
      <c r="AM51" s="410"/>
      <c r="AN51" s="410"/>
      <c r="AO51" s="410"/>
      <c r="AP51" s="411"/>
      <c r="AQ51" s="411"/>
    </row>
    <row r="52" spans="1:43" ht="18.75" customHeight="1" x14ac:dyDescent="0.25">
      <c r="A52" s="1164"/>
      <c r="B52" s="519" t="s">
        <v>438</v>
      </c>
      <c r="C52" s="1295"/>
      <c r="D52" s="1201"/>
      <c r="E52" s="1201"/>
      <c r="F52" s="1173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758">
        <v>1</v>
      </c>
      <c r="W52" s="683">
        <v>3</v>
      </c>
      <c r="X52" s="701"/>
      <c r="Y52" s="755"/>
      <c r="Z52" s="683">
        <v>3</v>
      </c>
      <c r="AA52" s="701"/>
      <c r="AB52" s="634"/>
      <c r="AC52" s="549"/>
      <c r="AD52" s="549"/>
      <c r="AE52" s="532"/>
      <c r="AF52" s="593"/>
      <c r="AG52" s="593"/>
      <c r="AH52" s="756"/>
      <c r="AI52" s="572"/>
      <c r="AJ52" s="588"/>
      <c r="AK52" s="536">
        <f t="shared" si="0"/>
        <v>7</v>
      </c>
      <c r="AL52" s="416"/>
      <c r="AM52" s="410"/>
      <c r="AN52" s="410"/>
      <c r="AO52" s="410"/>
      <c r="AP52" s="411"/>
      <c r="AQ52" s="411"/>
    </row>
    <row r="53" spans="1:43" ht="18.75" customHeight="1" x14ac:dyDescent="0.25">
      <c r="A53" s="1164"/>
      <c r="B53" s="519" t="s">
        <v>439</v>
      </c>
      <c r="C53" s="1295"/>
      <c r="D53" s="1201"/>
      <c r="E53" s="1201"/>
      <c r="F53" s="1173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754"/>
      <c r="W53" s="701"/>
      <c r="X53" s="701"/>
      <c r="Y53" s="755"/>
      <c r="Z53" s="701"/>
      <c r="AA53" s="701"/>
      <c r="AB53" s="634"/>
      <c r="AC53" s="549"/>
      <c r="AD53" s="549"/>
      <c r="AE53" s="532"/>
      <c r="AF53" s="593"/>
      <c r="AG53" s="593"/>
      <c r="AH53" s="756"/>
      <c r="AI53" s="572"/>
      <c r="AJ53" s="572"/>
      <c r="AK53" s="536">
        <f t="shared" si="0"/>
        <v>0</v>
      </c>
      <c r="AL53" s="416"/>
      <c r="AM53" s="410"/>
      <c r="AN53" s="410"/>
      <c r="AO53" s="410"/>
      <c r="AP53" s="411"/>
      <c r="AQ53" s="411"/>
    </row>
    <row r="54" spans="1:43" ht="18.75" customHeight="1" x14ac:dyDescent="0.25">
      <c r="A54" s="1164"/>
      <c r="B54" s="519" t="s">
        <v>440</v>
      </c>
      <c r="C54" s="1295"/>
      <c r="D54" s="1201"/>
      <c r="E54" s="1201"/>
      <c r="F54" s="1173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754"/>
      <c r="W54" s="701"/>
      <c r="X54" s="701"/>
      <c r="Y54" s="755"/>
      <c r="Z54" s="701"/>
      <c r="AA54" s="701"/>
      <c r="AB54" s="634"/>
      <c r="AC54" s="549"/>
      <c r="AD54" s="549"/>
      <c r="AE54" s="532"/>
      <c r="AF54" s="593"/>
      <c r="AG54" s="593"/>
      <c r="AH54" s="756"/>
      <c r="AI54" s="572"/>
      <c r="AJ54" s="572"/>
      <c r="AK54" s="536">
        <f t="shared" si="0"/>
        <v>0</v>
      </c>
      <c r="AL54" s="416"/>
      <c r="AM54" s="410"/>
      <c r="AN54" s="410"/>
      <c r="AO54" s="410"/>
      <c r="AP54" s="411"/>
      <c r="AQ54" s="411"/>
    </row>
    <row r="55" spans="1:43" ht="18.75" customHeight="1" x14ac:dyDescent="0.25">
      <c r="A55" s="1164"/>
      <c r="B55" s="519" t="s">
        <v>441</v>
      </c>
      <c r="C55" s="1295"/>
      <c r="D55" s="1201"/>
      <c r="E55" s="1201"/>
      <c r="F55" s="1173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754"/>
      <c r="W55" s="701"/>
      <c r="X55" s="701"/>
      <c r="Y55" s="755"/>
      <c r="Z55" s="701"/>
      <c r="AA55" s="701"/>
      <c r="AB55" s="634"/>
      <c r="AC55" s="549"/>
      <c r="AD55" s="549"/>
      <c r="AE55" s="532"/>
      <c r="AF55" s="593"/>
      <c r="AG55" s="593"/>
      <c r="AH55" s="756"/>
      <c r="AI55" s="572"/>
      <c r="AJ55" s="572"/>
      <c r="AK55" s="536">
        <f t="shared" si="0"/>
        <v>0</v>
      </c>
      <c r="AL55" s="416"/>
      <c r="AM55" s="410"/>
      <c r="AN55" s="410"/>
      <c r="AO55" s="410"/>
      <c r="AP55" s="411"/>
      <c r="AQ55" s="411"/>
    </row>
    <row r="56" spans="1:43" ht="18.75" customHeight="1" x14ac:dyDescent="0.25">
      <c r="A56" s="1164"/>
      <c r="B56" s="519" t="s">
        <v>442</v>
      </c>
      <c r="C56" s="1295"/>
      <c r="D56" s="1201"/>
      <c r="E56" s="1201"/>
      <c r="F56" s="1173"/>
      <c r="G56" s="518"/>
      <c r="H56" s="518"/>
      <c r="I56" s="518"/>
      <c r="J56" s="518"/>
      <c r="K56" s="518"/>
      <c r="L56" s="518"/>
      <c r="M56" s="518"/>
      <c r="N56" s="518"/>
      <c r="O56" s="518"/>
      <c r="P56" s="637"/>
      <c r="Q56" s="518"/>
      <c r="R56" s="418"/>
      <c r="S56" s="418"/>
      <c r="T56" s="418"/>
      <c r="U56" s="420"/>
      <c r="V56" s="754"/>
      <c r="W56" s="701"/>
      <c r="X56" s="701"/>
      <c r="Y56" s="755"/>
      <c r="Z56" s="701"/>
      <c r="AA56" s="701"/>
      <c r="AB56" s="634"/>
      <c r="AC56" s="549"/>
      <c r="AD56" s="549"/>
      <c r="AE56" s="532"/>
      <c r="AF56" s="593"/>
      <c r="AG56" s="593"/>
      <c r="AH56" s="756"/>
      <c r="AI56" s="572"/>
      <c r="AJ56" s="572"/>
      <c r="AK56" s="536">
        <f t="shared" si="0"/>
        <v>0</v>
      </c>
      <c r="AL56" s="416"/>
      <c r="AM56" s="410"/>
      <c r="AN56" s="410"/>
      <c r="AO56" s="410"/>
      <c r="AP56" s="411"/>
      <c r="AQ56" s="411"/>
    </row>
    <row r="57" spans="1:43" ht="18.75" customHeight="1" x14ac:dyDescent="0.25">
      <c r="A57" s="1164"/>
      <c r="B57" s="519" t="s">
        <v>443</v>
      </c>
      <c r="C57" s="1295"/>
      <c r="D57" s="1201"/>
      <c r="E57" s="1201"/>
      <c r="F57" s="1173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754"/>
      <c r="W57" s="701"/>
      <c r="X57" s="701"/>
      <c r="Y57" s="755"/>
      <c r="Z57" s="701"/>
      <c r="AA57" s="701"/>
      <c r="AB57" s="634"/>
      <c r="AC57" s="549"/>
      <c r="AD57" s="549"/>
      <c r="AE57" s="532"/>
      <c r="AF57" s="593"/>
      <c r="AG57" s="593"/>
      <c r="AH57" s="756"/>
      <c r="AI57" s="572"/>
      <c r="AJ57" s="572"/>
      <c r="AK57" s="536">
        <f t="shared" si="0"/>
        <v>0</v>
      </c>
      <c r="AL57" s="416"/>
      <c r="AM57" s="410"/>
      <c r="AN57" s="410"/>
      <c r="AO57" s="410"/>
      <c r="AP57" s="411"/>
      <c r="AQ57" s="411"/>
    </row>
    <row r="58" spans="1:43" ht="18.75" customHeight="1" x14ac:dyDescent="0.25">
      <c r="A58" s="1164"/>
      <c r="B58" s="519" t="s">
        <v>444</v>
      </c>
      <c r="C58" s="1295"/>
      <c r="D58" s="1201"/>
      <c r="E58" s="1201"/>
      <c r="F58" s="1173"/>
      <c r="G58" s="518"/>
      <c r="H58" s="518"/>
      <c r="I58" s="518"/>
      <c r="J58" s="518"/>
      <c r="K58" s="518"/>
      <c r="L58" s="518"/>
      <c r="M58" s="518"/>
      <c r="N58" s="518"/>
      <c r="O58" s="518"/>
      <c r="P58" s="637"/>
      <c r="Q58" s="518"/>
      <c r="R58" s="418"/>
      <c r="S58" s="418"/>
      <c r="T58" s="418"/>
      <c r="U58" s="420"/>
      <c r="V58" s="754"/>
      <c r="W58" s="701"/>
      <c r="X58" s="701"/>
      <c r="Y58" s="755"/>
      <c r="Z58" s="701"/>
      <c r="AA58" s="701"/>
      <c r="AB58" s="634"/>
      <c r="AC58" s="549"/>
      <c r="AD58" s="549"/>
      <c r="AE58" s="532"/>
      <c r="AF58" s="593"/>
      <c r="AG58" s="593"/>
      <c r="AH58" s="756"/>
      <c r="AI58" s="572"/>
      <c r="AJ58" s="572"/>
      <c r="AK58" s="536">
        <f t="shared" si="0"/>
        <v>0</v>
      </c>
      <c r="AL58" s="416"/>
      <c r="AM58" s="410"/>
      <c r="AN58" s="410"/>
      <c r="AO58" s="410"/>
      <c r="AP58" s="411"/>
      <c r="AQ58" s="411"/>
    </row>
    <row r="59" spans="1:43" ht="18.75" customHeight="1" x14ac:dyDescent="0.3">
      <c r="A59" s="1164"/>
      <c r="B59" s="519" t="s">
        <v>445</v>
      </c>
      <c r="C59" s="1295"/>
      <c r="D59" s="1201"/>
      <c r="E59" s="1201"/>
      <c r="F59" s="1173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754"/>
      <c r="W59" s="701"/>
      <c r="X59" s="701"/>
      <c r="Y59" s="757">
        <v>104</v>
      </c>
      <c r="Z59" s="701"/>
      <c r="AA59" s="701"/>
      <c r="AB59" s="634"/>
      <c r="AC59" s="549"/>
      <c r="AD59" s="549"/>
      <c r="AE59" s="532"/>
      <c r="AF59" s="593"/>
      <c r="AG59" s="593"/>
      <c r="AH59" s="756"/>
      <c r="AI59" s="572"/>
      <c r="AJ59" s="572"/>
      <c r="AK59" s="536">
        <f t="shared" si="0"/>
        <v>104</v>
      </c>
      <c r="AL59" s="416"/>
      <c r="AM59" s="410"/>
      <c r="AN59" s="410"/>
      <c r="AO59" s="410"/>
      <c r="AP59" s="411"/>
      <c r="AQ59" s="411"/>
    </row>
    <row r="60" spans="1:43" ht="18.75" customHeight="1" x14ac:dyDescent="0.25">
      <c r="A60" s="1164"/>
      <c r="B60" s="519" t="s">
        <v>446</v>
      </c>
      <c r="C60" s="1295"/>
      <c r="D60" s="1201"/>
      <c r="E60" s="1201"/>
      <c r="F60" s="1173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637"/>
      <c r="R60" s="418"/>
      <c r="S60" s="418"/>
      <c r="T60" s="418"/>
      <c r="U60" s="420"/>
      <c r="V60" s="754"/>
      <c r="W60" s="701"/>
      <c r="X60" s="701"/>
      <c r="Y60" s="755"/>
      <c r="Z60" s="701"/>
      <c r="AA60" s="701"/>
      <c r="AB60" s="634"/>
      <c r="AC60" s="549"/>
      <c r="AD60" s="549"/>
      <c r="AE60" s="532"/>
      <c r="AF60" s="593"/>
      <c r="AG60" s="593"/>
      <c r="AH60" s="756"/>
      <c r="AI60" s="572"/>
      <c r="AJ60" s="572"/>
      <c r="AK60" s="536">
        <f t="shared" si="0"/>
        <v>0</v>
      </c>
      <c r="AL60" s="416"/>
      <c r="AM60" s="410"/>
      <c r="AN60" s="410"/>
      <c r="AO60" s="410"/>
      <c r="AP60" s="411"/>
      <c r="AQ60" s="411"/>
    </row>
    <row r="61" spans="1:43" ht="18.75" customHeight="1" x14ac:dyDescent="0.25">
      <c r="A61" s="1164"/>
      <c r="B61" s="519" t="s">
        <v>447</v>
      </c>
      <c r="C61" s="1295"/>
      <c r="D61" s="1201"/>
      <c r="E61" s="1201"/>
      <c r="F61" s="1173"/>
      <c r="G61" s="518"/>
      <c r="H61" s="637"/>
      <c r="I61" s="518"/>
      <c r="J61" s="637"/>
      <c r="K61" s="518"/>
      <c r="L61" s="518"/>
      <c r="M61" s="518"/>
      <c r="N61" s="637"/>
      <c r="O61" s="518"/>
      <c r="P61" s="637"/>
      <c r="Q61" s="637"/>
      <c r="R61" s="542"/>
      <c r="S61" s="418"/>
      <c r="T61" s="418"/>
      <c r="U61" s="420"/>
      <c r="V61" s="759"/>
      <c r="W61" s="683"/>
      <c r="X61" s="701"/>
      <c r="Y61" s="755"/>
      <c r="Z61" s="683">
        <v>74</v>
      </c>
      <c r="AA61" s="701"/>
      <c r="AB61" s="634"/>
      <c r="AC61" s="549"/>
      <c r="AD61" s="549"/>
      <c r="AE61" s="532"/>
      <c r="AF61" s="593"/>
      <c r="AG61" s="593"/>
      <c r="AH61" s="756"/>
      <c r="AI61" s="588">
        <v>2</v>
      </c>
      <c r="AJ61" s="572"/>
      <c r="AK61" s="536">
        <f t="shared" si="0"/>
        <v>76</v>
      </c>
      <c r="AL61" s="416"/>
      <c r="AM61" s="410"/>
      <c r="AN61" s="410"/>
      <c r="AO61" s="410"/>
      <c r="AP61" s="411"/>
      <c r="AQ61" s="411"/>
    </row>
    <row r="62" spans="1:43" ht="18.75" customHeight="1" x14ac:dyDescent="0.3">
      <c r="A62" s="1164"/>
      <c r="B62" s="519" t="s">
        <v>448</v>
      </c>
      <c r="C62" s="1295"/>
      <c r="D62" s="1201"/>
      <c r="E62" s="1201"/>
      <c r="F62" s="1173"/>
      <c r="G62" s="518"/>
      <c r="H62" s="637"/>
      <c r="I62" s="518"/>
      <c r="J62" s="518"/>
      <c r="K62" s="518"/>
      <c r="L62" s="518"/>
      <c r="M62" s="518"/>
      <c r="N62" s="637"/>
      <c r="O62" s="518"/>
      <c r="P62" s="518"/>
      <c r="Q62" s="518"/>
      <c r="R62" s="418"/>
      <c r="S62" s="418"/>
      <c r="T62" s="418"/>
      <c r="U62" s="420"/>
      <c r="V62" s="754"/>
      <c r="W62" s="701"/>
      <c r="X62" s="701"/>
      <c r="Y62" s="757"/>
      <c r="Z62" s="701"/>
      <c r="AA62" s="683">
        <v>2</v>
      </c>
      <c r="AB62" s="634"/>
      <c r="AC62" s="549"/>
      <c r="AD62" s="549"/>
      <c r="AE62" s="532"/>
      <c r="AF62" s="593"/>
      <c r="AG62" s="593"/>
      <c r="AH62" s="760">
        <v>2</v>
      </c>
      <c r="AI62" s="572"/>
      <c r="AJ62" s="572"/>
      <c r="AK62" s="536">
        <f t="shared" si="0"/>
        <v>4</v>
      </c>
      <c r="AL62" s="416"/>
      <c r="AM62" s="410"/>
      <c r="AN62" s="410"/>
      <c r="AO62" s="410"/>
      <c r="AP62" s="411"/>
      <c r="AQ62" s="411"/>
    </row>
    <row r="63" spans="1:43" ht="18.75" customHeight="1" x14ac:dyDescent="0.25">
      <c r="A63" s="1164"/>
      <c r="B63" s="519" t="s">
        <v>449</v>
      </c>
      <c r="C63" s="1295"/>
      <c r="D63" s="1201"/>
      <c r="E63" s="1201"/>
      <c r="F63" s="1173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637">
        <v>1</v>
      </c>
      <c r="R63" s="418"/>
      <c r="S63" s="418"/>
      <c r="T63" s="418"/>
      <c r="U63" s="420"/>
      <c r="V63" s="754"/>
      <c r="W63" s="701"/>
      <c r="X63" s="701"/>
      <c r="Y63" s="755"/>
      <c r="Z63" s="701"/>
      <c r="AA63" s="701"/>
      <c r="AB63" s="634"/>
      <c r="AC63" s="549"/>
      <c r="AD63" s="549"/>
      <c r="AE63" s="532"/>
      <c r="AF63" s="593"/>
      <c r="AG63" s="593"/>
      <c r="AH63" s="760">
        <v>15</v>
      </c>
      <c r="AI63" s="572"/>
      <c r="AJ63" s="572"/>
      <c r="AK63" s="536">
        <f t="shared" si="0"/>
        <v>16</v>
      </c>
      <c r="AL63" s="416"/>
      <c r="AM63" s="410"/>
      <c r="AN63" s="410"/>
      <c r="AO63" s="410"/>
      <c r="AP63" s="411"/>
      <c r="AQ63" s="411"/>
    </row>
    <row r="64" spans="1:43" ht="18.75" customHeight="1" x14ac:dyDescent="0.3">
      <c r="A64" s="1164"/>
      <c r="B64" s="519" t="s">
        <v>455</v>
      </c>
      <c r="C64" s="1295"/>
      <c r="D64" s="1201"/>
      <c r="E64" s="1201"/>
      <c r="F64" s="1173"/>
      <c r="G64" s="518"/>
      <c r="H64" s="520"/>
      <c r="I64" s="520"/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758">
        <v>2</v>
      </c>
      <c r="W64" s="701"/>
      <c r="X64" s="701"/>
      <c r="Y64" s="757">
        <v>4</v>
      </c>
      <c r="Z64" s="701"/>
      <c r="AA64" s="701"/>
      <c r="AB64" s="634"/>
      <c r="AC64" s="549"/>
      <c r="AD64" s="549"/>
      <c r="AE64" s="532"/>
      <c r="AF64" s="593"/>
      <c r="AG64" s="593"/>
      <c r="AH64" s="760"/>
      <c r="AI64" s="572"/>
      <c r="AJ64" s="572"/>
      <c r="AK64" s="536">
        <f t="shared" si="0"/>
        <v>6</v>
      </c>
      <c r="AL64" s="416"/>
      <c r="AM64" s="410"/>
      <c r="AN64" s="410"/>
      <c r="AO64" s="410"/>
      <c r="AP64" s="411"/>
      <c r="AQ64" s="411"/>
    </row>
    <row r="65" spans="1:43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520"/>
      <c r="I65" s="520"/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701"/>
      <c r="W65" s="701"/>
      <c r="X65" s="701"/>
      <c r="Y65" s="755"/>
      <c r="Z65" s="701"/>
      <c r="AA65" s="701"/>
      <c r="AB65" s="634"/>
      <c r="AC65" s="549"/>
      <c r="AD65" s="549"/>
      <c r="AE65" s="532"/>
      <c r="AF65" s="593"/>
      <c r="AG65" s="593"/>
      <c r="AH65" s="668"/>
      <c r="AI65" s="572"/>
      <c r="AJ65" s="572"/>
      <c r="AK65" s="536">
        <f t="shared" si="0"/>
        <v>0</v>
      </c>
      <c r="AL65" s="416"/>
      <c r="AM65" s="410"/>
      <c r="AN65" s="410"/>
      <c r="AO65" s="410"/>
      <c r="AP65" s="411"/>
      <c r="AQ65" s="411"/>
    </row>
    <row r="66" spans="1:43" ht="18.75" customHeight="1" x14ac:dyDescent="0.25">
      <c r="A66" s="1165"/>
      <c r="B66" s="519" t="s">
        <v>457</v>
      </c>
      <c r="C66" s="1295"/>
      <c r="D66" s="1201"/>
      <c r="E66" s="1201"/>
      <c r="F66" s="1173"/>
      <c r="G66" s="418"/>
      <c r="H66" s="418"/>
      <c r="I66" s="418"/>
      <c r="J66" s="418"/>
      <c r="K66" s="520"/>
      <c r="L66" s="520"/>
      <c r="M66" s="418"/>
      <c r="N66" s="542"/>
      <c r="O66" s="418"/>
      <c r="P66" s="542"/>
      <c r="Q66" s="637">
        <v>26</v>
      </c>
      <c r="R66" s="542"/>
      <c r="S66" s="418"/>
      <c r="T66" s="418"/>
      <c r="U66" s="420"/>
      <c r="V66" s="701"/>
      <c r="W66" s="701"/>
      <c r="X66" s="701"/>
      <c r="Y66" s="701"/>
      <c r="Z66" s="701"/>
      <c r="AA66" s="683">
        <v>1</v>
      </c>
      <c r="AB66" s="634"/>
      <c r="AC66" s="549"/>
      <c r="AD66" s="549"/>
      <c r="AE66" s="532"/>
      <c r="AF66" s="593"/>
      <c r="AG66" s="593"/>
      <c r="AH66" s="760">
        <v>11</v>
      </c>
      <c r="AI66" s="761">
        <v>5</v>
      </c>
      <c r="AJ66" s="572"/>
      <c r="AK66" s="716">
        <f t="shared" si="0"/>
        <v>43</v>
      </c>
      <c r="AL66" s="416"/>
      <c r="AM66" s="410"/>
      <c r="AN66" s="410"/>
      <c r="AO66" s="410"/>
      <c r="AP66" s="411"/>
      <c r="AQ66" s="411"/>
    </row>
    <row r="67" spans="1:43" ht="30" customHeight="1" x14ac:dyDescent="0.3">
      <c r="A67" s="305"/>
      <c r="B67" s="717" t="s">
        <v>482</v>
      </c>
      <c r="C67" s="1295"/>
      <c r="D67" s="1201"/>
      <c r="E67" s="1201"/>
      <c r="F67" s="1173"/>
      <c r="G67" s="1334"/>
      <c r="H67" s="1288"/>
      <c r="I67" s="1288"/>
      <c r="J67" s="1288"/>
      <c r="K67" s="1288"/>
      <c r="L67" s="1288"/>
      <c r="M67" s="1288"/>
      <c r="N67" s="1288"/>
      <c r="O67" s="1288"/>
      <c r="P67" s="1288"/>
      <c r="Q67" s="1288"/>
      <c r="R67" s="1288"/>
      <c r="S67" s="1288"/>
      <c r="T67" s="1288"/>
      <c r="U67" s="1288"/>
      <c r="V67" s="1288"/>
      <c r="W67" s="1288"/>
      <c r="X67" s="1288"/>
      <c r="Y67" s="1288"/>
      <c r="Z67" s="1288"/>
      <c r="AA67" s="1288"/>
      <c r="AB67" s="1288"/>
      <c r="AC67" s="1288"/>
      <c r="AD67" s="1288"/>
      <c r="AE67" s="1288"/>
      <c r="AF67" s="1288"/>
      <c r="AG67" s="1288"/>
      <c r="AH67" s="1288"/>
      <c r="AI67" s="1288"/>
      <c r="AJ67" s="1289"/>
      <c r="AK67" s="718">
        <f>SUM(AK7+AK10+AK15+AK20)</f>
        <v>2915</v>
      </c>
      <c r="AL67" s="416"/>
      <c r="AM67" s="410"/>
      <c r="AN67" s="410"/>
      <c r="AO67" s="410"/>
      <c r="AP67" s="411"/>
      <c r="AQ67" s="411"/>
    </row>
    <row r="68" spans="1:43" ht="23.25" customHeight="1" x14ac:dyDescent="0.3">
      <c r="A68" s="305"/>
      <c r="B68" s="305"/>
      <c r="C68" s="1296"/>
      <c r="D68" s="1288"/>
      <c r="E68" s="1288"/>
      <c r="F68" s="1289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719"/>
      <c r="AL68" s="410"/>
      <c r="AM68" s="410"/>
      <c r="AN68" s="410"/>
      <c r="AO68" s="410"/>
      <c r="AP68" s="411"/>
      <c r="AQ68" s="411"/>
    </row>
    <row r="69" spans="1:43" ht="27" customHeight="1" x14ac:dyDescent="0.25">
      <c r="AQ69" s="411"/>
    </row>
    <row r="70" spans="1:43" ht="18.75" customHeight="1" x14ac:dyDescent="0.25">
      <c r="AQ70" s="522"/>
    </row>
    <row r="71" spans="1:43" ht="15.75" customHeight="1" x14ac:dyDescent="0.25">
      <c r="AQ71" s="522"/>
    </row>
    <row r="72" spans="1:43" ht="12.75" customHeight="1" x14ac:dyDescent="0.25">
      <c r="AQ72" s="522"/>
    </row>
    <row r="73" spans="1:43" ht="12.75" customHeight="1" x14ac:dyDescent="0.25">
      <c r="AQ73" s="522"/>
    </row>
    <row r="74" spans="1:43" ht="12.75" customHeight="1" x14ac:dyDescent="0.25">
      <c r="AQ74" s="522"/>
    </row>
    <row r="75" spans="1:43" ht="12.75" customHeight="1" x14ac:dyDescent="0.25">
      <c r="AQ75" s="522"/>
    </row>
    <row r="76" spans="1:43" ht="12.75" customHeight="1" x14ac:dyDescent="0.25">
      <c r="AQ76" s="522"/>
    </row>
    <row r="77" spans="1:43" ht="12.75" customHeight="1" x14ac:dyDescent="0.25">
      <c r="AQ77" s="522"/>
    </row>
    <row r="78" spans="1:43" ht="12.75" customHeight="1" x14ac:dyDescent="0.25"/>
    <row r="79" spans="1:43" ht="12.75" customHeight="1" x14ac:dyDescent="0.25"/>
    <row r="80" spans="1:43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</sheetData>
  <mergeCells count="54">
    <mergeCell ref="G67:AJ67"/>
    <mergeCell ref="C27:F27"/>
    <mergeCell ref="C28:F28"/>
    <mergeCell ref="C29:F29"/>
    <mergeCell ref="C30:F30"/>
    <mergeCell ref="C31:F31"/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G1:AI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AA1"/>
    <mergeCell ref="AB1:AE1"/>
    <mergeCell ref="C21:F21"/>
    <mergeCell ref="C22:F22"/>
    <mergeCell ref="C23:F23"/>
    <mergeCell ref="C24:F24"/>
    <mergeCell ref="C25:F25"/>
    <mergeCell ref="C26:F26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8"/>
    <mergeCell ref="A37:A44"/>
    <mergeCell ref="B37:B38"/>
    <mergeCell ref="B39:B40"/>
    <mergeCell ref="B41:B42"/>
    <mergeCell ref="B43:B44"/>
    <mergeCell ref="C43:F43"/>
    <mergeCell ref="C44:F44"/>
  </mergeCells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2.21875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8" width="10.109375" customWidth="1"/>
    <col min="29" max="29" width="9" customWidth="1"/>
    <col min="30" max="30" width="8.77734375" customWidth="1"/>
    <col min="31" max="31" width="9.6640625" customWidth="1"/>
    <col min="32" max="37" width="11.44140625" customWidth="1"/>
    <col min="38" max="43" width="8.6640625" customWidth="1"/>
  </cols>
  <sheetData>
    <row r="1" spans="1:43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473</v>
      </c>
      <c r="W1" s="1178"/>
      <c r="X1" s="1178"/>
      <c r="Y1" s="1178"/>
      <c r="Z1" s="1178"/>
      <c r="AA1" s="1179"/>
      <c r="AB1" s="1332" t="s">
        <v>458</v>
      </c>
      <c r="AC1" s="1178"/>
      <c r="AD1" s="1178"/>
      <c r="AE1" s="1178"/>
      <c r="AF1" s="670" t="s">
        <v>91</v>
      </c>
      <c r="AG1" s="1333" t="s">
        <v>459</v>
      </c>
      <c r="AH1" s="1178"/>
      <c r="AI1" s="1179"/>
      <c r="AJ1" s="671" t="s">
        <v>399</v>
      </c>
      <c r="AK1" s="644"/>
      <c r="AL1" s="644"/>
      <c r="AM1" s="399"/>
      <c r="AN1" s="399"/>
      <c r="AO1" s="399"/>
      <c r="AP1" s="399"/>
      <c r="AQ1" s="399"/>
    </row>
    <row r="2" spans="1:43" ht="33" customHeight="1" x14ac:dyDescent="0.3">
      <c r="A2" s="397"/>
      <c r="B2" s="398"/>
      <c r="C2" s="1312"/>
      <c r="D2" s="1201"/>
      <c r="E2" s="1201"/>
      <c r="F2" s="1201"/>
      <c r="G2" s="524" t="s">
        <v>99</v>
      </c>
      <c r="H2" s="525" t="s">
        <v>100</v>
      </c>
      <c r="I2" s="525" t="s">
        <v>198</v>
      </c>
      <c r="J2" s="525" t="s">
        <v>21</v>
      </c>
      <c r="K2" s="645" t="s">
        <v>102</v>
      </c>
      <c r="L2" s="646" t="s">
        <v>395</v>
      </c>
      <c r="M2" s="525" t="s">
        <v>396</v>
      </c>
      <c r="N2" s="525" t="s">
        <v>105</v>
      </c>
      <c r="O2" s="525" t="s">
        <v>106</v>
      </c>
      <c r="P2" s="525" t="s">
        <v>107</v>
      </c>
      <c r="Q2" s="527" t="s">
        <v>215</v>
      </c>
      <c r="R2" s="528" t="s">
        <v>34</v>
      </c>
      <c r="S2" s="647" t="s">
        <v>397</v>
      </c>
      <c r="T2" s="528" t="s">
        <v>110</v>
      </c>
      <c r="U2" s="530" t="s">
        <v>111</v>
      </c>
      <c r="V2" s="762" t="s">
        <v>45</v>
      </c>
      <c r="W2" s="763" t="s">
        <v>49</v>
      </c>
      <c r="X2" s="764" t="s">
        <v>399</v>
      </c>
      <c r="Y2" s="765" t="s">
        <v>341</v>
      </c>
      <c r="Z2" s="765" t="s">
        <v>321</v>
      </c>
      <c r="AA2" s="765" t="s">
        <v>474</v>
      </c>
      <c r="AB2" s="673" t="s">
        <v>115</v>
      </c>
      <c r="AC2" s="648" t="s">
        <v>116</v>
      </c>
      <c r="AD2" s="648" t="s">
        <v>80</v>
      </c>
      <c r="AE2" s="648" t="s">
        <v>117</v>
      </c>
      <c r="AF2" s="724" t="s">
        <v>460</v>
      </c>
      <c r="AG2" s="766" t="s">
        <v>347</v>
      </c>
      <c r="AH2" s="767" t="s">
        <v>70</v>
      </c>
      <c r="AI2" s="768" t="s">
        <v>72</v>
      </c>
      <c r="AJ2" s="728" t="s">
        <v>75</v>
      </c>
      <c r="AK2" s="534" t="s">
        <v>398</v>
      </c>
      <c r="AL2" s="409"/>
      <c r="AM2" s="409"/>
      <c r="AN2" s="729"/>
      <c r="AO2" s="410"/>
      <c r="AP2" s="411"/>
      <c r="AQ2" s="411"/>
    </row>
    <row r="3" spans="1:43" ht="22.5" customHeight="1" x14ac:dyDescent="0.3">
      <c r="A3" s="1248" t="s">
        <v>401</v>
      </c>
      <c r="B3" s="412" t="s">
        <v>402</v>
      </c>
      <c r="C3" s="1314"/>
      <c r="D3" s="1315"/>
      <c r="E3" s="1315"/>
      <c r="F3" s="1316"/>
      <c r="G3" s="677">
        <v>120</v>
      </c>
      <c r="H3" s="677">
        <v>120</v>
      </c>
      <c r="I3" s="677">
        <v>120</v>
      </c>
      <c r="J3" s="677">
        <v>120</v>
      </c>
      <c r="K3" s="677">
        <v>120</v>
      </c>
      <c r="L3" s="677">
        <v>120</v>
      </c>
      <c r="M3" s="677">
        <v>120</v>
      </c>
      <c r="N3" s="677">
        <v>120</v>
      </c>
      <c r="O3" s="677">
        <v>120</v>
      </c>
      <c r="P3" s="677">
        <v>120</v>
      </c>
      <c r="Q3" s="677">
        <v>120</v>
      </c>
      <c r="R3" s="677">
        <v>120</v>
      </c>
      <c r="S3" s="677">
        <v>120</v>
      </c>
      <c r="T3" s="677">
        <v>120</v>
      </c>
      <c r="U3" s="678">
        <v>0</v>
      </c>
      <c r="V3" s="680">
        <v>120</v>
      </c>
      <c r="W3" s="680">
        <v>120</v>
      </c>
      <c r="X3" s="680">
        <v>120</v>
      </c>
      <c r="Y3" s="680">
        <v>120</v>
      </c>
      <c r="Z3" s="680">
        <v>120</v>
      </c>
      <c r="AA3" s="680">
        <v>120</v>
      </c>
      <c r="AB3" s="681">
        <v>120</v>
      </c>
      <c r="AC3" s="682">
        <v>120</v>
      </c>
      <c r="AD3" s="682">
        <v>120</v>
      </c>
      <c r="AE3" s="682">
        <v>120</v>
      </c>
      <c r="AF3" s="730">
        <v>120</v>
      </c>
      <c r="AG3" s="678">
        <v>120</v>
      </c>
      <c r="AH3" s="682">
        <v>120</v>
      </c>
      <c r="AI3" s="682">
        <v>120</v>
      </c>
      <c r="AJ3" s="682">
        <v>120</v>
      </c>
      <c r="AK3" s="536">
        <f t="shared" ref="AK3:AK66" si="0">SUM(G3:AJ3)</f>
        <v>3480</v>
      </c>
      <c r="AL3" s="421">
        <v>3480</v>
      </c>
      <c r="AM3" s="410"/>
      <c r="AN3" s="410"/>
      <c r="AO3" s="410"/>
      <c r="AP3" s="411"/>
      <c r="AQ3" s="411"/>
    </row>
    <row r="4" spans="1:43" ht="27" customHeight="1" x14ac:dyDescent="0.3">
      <c r="A4" s="1249"/>
      <c r="B4" s="417" t="s">
        <v>403</v>
      </c>
      <c r="C4" s="1295"/>
      <c r="D4" s="1201"/>
      <c r="E4" s="1201"/>
      <c r="F4" s="1240"/>
      <c r="G4" s="537">
        <v>80</v>
      </c>
      <c r="H4" s="418">
        <v>120</v>
      </c>
      <c r="I4" s="418">
        <v>81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683">
        <v>91</v>
      </c>
      <c r="W4" s="683">
        <v>49</v>
      </c>
      <c r="X4" s="683">
        <v>85</v>
      </c>
      <c r="Y4" s="683">
        <v>124</v>
      </c>
      <c r="Z4" s="683"/>
      <c r="AA4" s="683">
        <v>45</v>
      </c>
      <c r="AB4" s="684">
        <v>120</v>
      </c>
      <c r="AC4" s="538">
        <v>120</v>
      </c>
      <c r="AD4" s="538">
        <v>120</v>
      </c>
      <c r="AE4" s="539">
        <v>120</v>
      </c>
      <c r="AF4" s="731">
        <v>120</v>
      </c>
      <c r="AG4" s="542">
        <v>96</v>
      </c>
      <c r="AH4" s="542">
        <v>130</v>
      </c>
      <c r="AI4" s="542">
        <v>83</v>
      </c>
      <c r="AJ4" s="542">
        <v>39</v>
      </c>
      <c r="AK4" s="536">
        <f t="shared" si="0"/>
        <v>2833</v>
      </c>
      <c r="AL4" s="421">
        <v>2833</v>
      </c>
      <c r="AM4" s="422"/>
      <c r="AN4" s="422"/>
      <c r="AO4" s="422"/>
      <c r="AP4" s="422"/>
      <c r="AQ4" s="411"/>
    </row>
    <row r="5" spans="1:43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540">
        <v>50</v>
      </c>
      <c r="H5" s="541">
        <v>50</v>
      </c>
      <c r="I5" s="541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683">
        <v>50</v>
      </c>
      <c r="W5" s="683">
        <v>50</v>
      </c>
      <c r="X5" s="683">
        <v>50</v>
      </c>
      <c r="Y5" s="683">
        <v>50</v>
      </c>
      <c r="Z5" s="683">
        <v>50</v>
      </c>
      <c r="AA5" s="683">
        <v>50</v>
      </c>
      <c r="AB5" s="684">
        <v>50</v>
      </c>
      <c r="AC5" s="538">
        <v>50</v>
      </c>
      <c r="AD5" s="538">
        <v>50</v>
      </c>
      <c r="AE5" s="539">
        <v>50</v>
      </c>
      <c r="AF5" s="732">
        <v>50</v>
      </c>
      <c r="AG5" s="541">
        <v>50</v>
      </c>
      <c r="AH5" s="541">
        <v>50</v>
      </c>
      <c r="AI5" s="542">
        <v>50</v>
      </c>
      <c r="AJ5" s="542">
        <v>50</v>
      </c>
      <c r="AK5" s="536">
        <f t="shared" si="0"/>
        <v>1500</v>
      </c>
      <c r="AL5" s="421">
        <v>1500</v>
      </c>
      <c r="AM5" s="410"/>
      <c r="AN5" s="410"/>
      <c r="AO5" s="410"/>
      <c r="AP5" s="411"/>
      <c r="AQ5" s="411"/>
    </row>
    <row r="6" spans="1:43" ht="23.25" customHeight="1" x14ac:dyDescent="0.3">
      <c r="A6" s="1254"/>
      <c r="B6" s="428" t="s">
        <v>406</v>
      </c>
      <c r="C6" s="1295"/>
      <c r="D6" s="1201"/>
      <c r="E6" s="1201"/>
      <c r="F6" s="1240"/>
      <c r="G6" s="540">
        <v>2</v>
      </c>
      <c r="H6" s="544">
        <v>0</v>
      </c>
      <c r="I6" s="544">
        <v>5</v>
      </c>
      <c r="J6" s="544">
        <v>12</v>
      </c>
      <c r="K6" s="544">
        <v>2</v>
      </c>
      <c r="L6" s="544">
        <v>0</v>
      </c>
      <c r="M6" s="545">
        <v>1</v>
      </c>
      <c r="N6" s="545">
        <v>0</v>
      </c>
      <c r="O6" s="545">
        <v>4</v>
      </c>
      <c r="P6" s="430"/>
      <c r="Q6" s="545">
        <v>6</v>
      </c>
      <c r="R6" s="546">
        <v>5</v>
      </c>
      <c r="S6" s="548">
        <v>0</v>
      </c>
      <c r="T6" s="685">
        <v>6</v>
      </c>
      <c r="U6" s="434">
        <v>0</v>
      </c>
      <c r="V6" s="683">
        <v>7</v>
      </c>
      <c r="W6" s="683">
        <v>0</v>
      </c>
      <c r="X6" s="683">
        <v>2</v>
      </c>
      <c r="Y6" s="683">
        <v>0</v>
      </c>
      <c r="Z6" s="683">
        <v>2</v>
      </c>
      <c r="AA6" s="683">
        <v>0</v>
      </c>
      <c r="AB6" s="684">
        <v>0</v>
      </c>
      <c r="AC6" s="538">
        <v>1</v>
      </c>
      <c r="AD6" s="538">
        <v>7</v>
      </c>
      <c r="AE6" s="563">
        <v>0</v>
      </c>
      <c r="AF6" s="733">
        <v>4</v>
      </c>
      <c r="AG6" s="550">
        <v>1</v>
      </c>
      <c r="AH6" s="686">
        <v>6</v>
      </c>
      <c r="AI6" s="588">
        <v>3</v>
      </c>
      <c r="AJ6" s="588">
        <v>0</v>
      </c>
      <c r="AK6" s="536">
        <f t="shared" si="0"/>
        <v>76</v>
      </c>
      <c r="AL6" s="421">
        <v>76</v>
      </c>
      <c r="AM6" s="410"/>
      <c r="AN6" s="410"/>
      <c r="AO6" s="410"/>
      <c r="AP6" s="411"/>
      <c r="AQ6" s="411"/>
    </row>
    <row r="7" spans="1:43" ht="21.75" customHeight="1" x14ac:dyDescent="0.3">
      <c r="A7" s="1254"/>
      <c r="B7" s="428" t="s">
        <v>407</v>
      </c>
      <c r="C7" s="1295"/>
      <c r="D7" s="1201"/>
      <c r="E7" s="1201"/>
      <c r="F7" s="1240"/>
      <c r="G7" s="551">
        <v>0</v>
      </c>
      <c r="H7" s="552">
        <v>0</v>
      </c>
      <c r="I7" s="552">
        <v>0</v>
      </c>
      <c r="J7" s="734">
        <v>5</v>
      </c>
      <c r="K7" s="552">
        <v>2</v>
      </c>
      <c r="L7" s="552">
        <v>0</v>
      </c>
      <c r="M7" s="552">
        <v>3</v>
      </c>
      <c r="N7" s="552">
        <v>0</v>
      </c>
      <c r="O7" s="769">
        <v>4</v>
      </c>
      <c r="P7" s="553">
        <v>0</v>
      </c>
      <c r="Q7" s="769">
        <v>6</v>
      </c>
      <c r="R7" s="770">
        <v>7</v>
      </c>
      <c r="S7" s="554">
        <v>0</v>
      </c>
      <c r="T7" s="555">
        <v>0</v>
      </c>
      <c r="U7" s="441">
        <v>0</v>
      </c>
      <c r="V7" s="687">
        <v>3</v>
      </c>
      <c r="W7" s="687">
        <v>0</v>
      </c>
      <c r="X7" s="687">
        <v>5</v>
      </c>
      <c r="Y7" s="687">
        <v>0</v>
      </c>
      <c r="Z7" s="687">
        <v>3</v>
      </c>
      <c r="AA7" s="687">
        <v>0</v>
      </c>
      <c r="AB7" s="688">
        <v>0</v>
      </c>
      <c r="AC7" s="556">
        <v>0</v>
      </c>
      <c r="AD7" s="556">
        <v>0</v>
      </c>
      <c r="AE7" s="585">
        <v>0</v>
      </c>
      <c r="AF7" s="735">
        <v>7</v>
      </c>
      <c r="AG7" s="559">
        <v>7</v>
      </c>
      <c r="AH7" s="559">
        <v>11</v>
      </c>
      <c r="AI7" s="559">
        <v>1</v>
      </c>
      <c r="AJ7" s="559">
        <v>0</v>
      </c>
      <c r="AK7" s="689">
        <f t="shared" si="0"/>
        <v>64</v>
      </c>
      <c r="AL7" s="421">
        <v>64</v>
      </c>
      <c r="AM7" s="410"/>
      <c r="AN7" s="410"/>
      <c r="AO7" s="410"/>
      <c r="AP7" s="411"/>
      <c r="AQ7" s="411"/>
    </row>
    <row r="8" spans="1:43" ht="26.25" customHeight="1" x14ac:dyDescent="0.3">
      <c r="A8" s="1254"/>
      <c r="B8" s="428" t="s">
        <v>408</v>
      </c>
      <c r="C8" s="1295"/>
      <c r="D8" s="1201"/>
      <c r="E8" s="1201"/>
      <c r="F8" s="1240"/>
      <c r="G8" s="540">
        <v>11</v>
      </c>
      <c r="H8" s="541">
        <v>18</v>
      </c>
      <c r="I8" s="541">
        <v>17</v>
      </c>
      <c r="J8" s="544">
        <v>27</v>
      </c>
      <c r="K8" s="541">
        <v>11</v>
      </c>
      <c r="L8" s="626">
        <v>16</v>
      </c>
      <c r="M8" s="626">
        <v>26</v>
      </c>
      <c r="N8" s="736">
        <v>18</v>
      </c>
      <c r="O8" s="545">
        <v>18</v>
      </c>
      <c r="P8" s="542">
        <v>20</v>
      </c>
      <c r="Q8" s="545">
        <v>18</v>
      </c>
      <c r="R8" s="546">
        <v>41</v>
      </c>
      <c r="S8" s="546">
        <v>14</v>
      </c>
      <c r="T8" s="562">
        <v>15</v>
      </c>
      <c r="U8" s="419">
        <v>0</v>
      </c>
      <c r="V8" s="683">
        <v>19</v>
      </c>
      <c r="W8" s="683">
        <v>18</v>
      </c>
      <c r="X8" s="683">
        <v>15</v>
      </c>
      <c r="Y8" s="683">
        <v>23</v>
      </c>
      <c r="Z8" s="683">
        <v>22</v>
      </c>
      <c r="AA8" s="683">
        <v>7</v>
      </c>
      <c r="AB8" s="684">
        <v>20</v>
      </c>
      <c r="AC8" s="538">
        <v>19</v>
      </c>
      <c r="AD8" s="538">
        <v>20</v>
      </c>
      <c r="AE8" s="563">
        <v>17</v>
      </c>
      <c r="AF8" s="737">
        <v>15</v>
      </c>
      <c r="AG8" s="564">
        <v>23</v>
      </c>
      <c r="AH8" s="564">
        <v>28</v>
      </c>
      <c r="AI8" s="690">
        <v>28</v>
      </c>
      <c r="AJ8" s="690">
        <v>12</v>
      </c>
      <c r="AK8" s="536">
        <f t="shared" si="0"/>
        <v>556</v>
      </c>
      <c r="AL8" s="421">
        <v>556</v>
      </c>
      <c r="AM8" s="410"/>
      <c r="AN8" s="410"/>
      <c r="AO8" s="410"/>
      <c r="AP8" s="411"/>
      <c r="AQ8" s="411"/>
    </row>
    <row r="9" spans="1:43" ht="21.75" customHeight="1" x14ac:dyDescent="0.3">
      <c r="A9" s="1254"/>
      <c r="B9" s="428" t="s">
        <v>409</v>
      </c>
      <c r="C9" s="1295"/>
      <c r="D9" s="1201"/>
      <c r="E9" s="1201"/>
      <c r="F9" s="1240"/>
      <c r="G9" s="540">
        <v>11</v>
      </c>
      <c r="H9" s="541">
        <v>12</v>
      </c>
      <c r="I9" s="541">
        <v>9</v>
      </c>
      <c r="J9" s="544">
        <v>7</v>
      </c>
      <c r="K9" s="541">
        <v>7</v>
      </c>
      <c r="L9" s="626">
        <v>14</v>
      </c>
      <c r="M9" s="626">
        <v>6</v>
      </c>
      <c r="N9" s="736">
        <v>12</v>
      </c>
      <c r="O9" s="545">
        <v>12</v>
      </c>
      <c r="P9" s="542">
        <v>10</v>
      </c>
      <c r="Q9" s="545">
        <v>12</v>
      </c>
      <c r="R9" s="546">
        <v>24</v>
      </c>
      <c r="S9" s="546">
        <v>5</v>
      </c>
      <c r="T9" s="562">
        <v>14</v>
      </c>
      <c r="U9" s="419">
        <v>0</v>
      </c>
      <c r="V9" s="683">
        <v>6</v>
      </c>
      <c r="W9" s="683">
        <v>10</v>
      </c>
      <c r="X9" s="738">
        <v>5</v>
      </c>
      <c r="Y9" s="738">
        <v>10</v>
      </c>
      <c r="Z9" s="683">
        <v>22</v>
      </c>
      <c r="AA9" s="738">
        <v>8</v>
      </c>
      <c r="AB9" s="684">
        <v>10</v>
      </c>
      <c r="AC9" s="538">
        <v>11</v>
      </c>
      <c r="AD9" s="538">
        <v>10</v>
      </c>
      <c r="AE9" s="563">
        <v>13</v>
      </c>
      <c r="AF9" s="737">
        <v>11</v>
      </c>
      <c r="AG9" s="564">
        <v>22</v>
      </c>
      <c r="AH9" s="564">
        <v>28</v>
      </c>
      <c r="AI9" s="690">
        <v>21</v>
      </c>
      <c r="AJ9" s="690">
        <v>9</v>
      </c>
      <c r="AK9" s="536">
        <f t="shared" si="0"/>
        <v>351</v>
      </c>
      <c r="AL9" s="421">
        <v>351</v>
      </c>
      <c r="AM9" s="410"/>
      <c r="AN9" s="410"/>
      <c r="AO9" s="410"/>
      <c r="AP9" s="411"/>
      <c r="AQ9" s="411"/>
    </row>
    <row r="10" spans="1:43" ht="35.25" customHeight="1" x14ac:dyDescent="0.3">
      <c r="A10" s="1255"/>
      <c r="B10" s="442" t="s">
        <v>410</v>
      </c>
      <c r="C10" s="1295"/>
      <c r="D10" s="1201"/>
      <c r="E10" s="1201"/>
      <c r="F10" s="1240"/>
      <c r="G10" s="443">
        <f t="shared" ref="G10:AF10" si="1">SUM(G8+G9)</f>
        <v>22</v>
      </c>
      <c r="H10" s="443">
        <f t="shared" si="1"/>
        <v>30</v>
      </c>
      <c r="I10" s="443">
        <f t="shared" si="1"/>
        <v>26</v>
      </c>
      <c r="J10" s="443">
        <f t="shared" si="1"/>
        <v>34</v>
      </c>
      <c r="K10" s="443">
        <f t="shared" si="1"/>
        <v>18</v>
      </c>
      <c r="L10" s="443">
        <f t="shared" si="1"/>
        <v>30</v>
      </c>
      <c r="M10" s="443">
        <f t="shared" si="1"/>
        <v>32</v>
      </c>
      <c r="N10" s="443">
        <f t="shared" si="1"/>
        <v>30</v>
      </c>
      <c r="O10" s="443">
        <f t="shared" si="1"/>
        <v>30</v>
      </c>
      <c r="P10" s="443">
        <f t="shared" si="1"/>
        <v>30</v>
      </c>
      <c r="Q10" s="443">
        <f t="shared" si="1"/>
        <v>30</v>
      </c>
      <c r="R10" s="739">
        <f t="shared" si="1"/>
        <v>65</v>
      </c>
      <c r="S10" s="443">
        <f t="shared" si="1"/>
        <v>19</v>
      </c>
      <c r="T10" s="443">
        <f t="shared" si="1"/>
        <v>29</v>
      </c>
      <c r="U10" s="443">
        <f t="shared" si="1"/>
        <v>0</v>
      </c>
      <c r="V10" s="443">
        <f t="shared" si="1"/>
        <v>25</v>
      </c>
      <c r="W10" s="565">
        <f t="shared" si="1"/>
        <v>28</v>
      </c>
      <c r="X10" s="740">
        <f t="shared" si="1"/>
        <v>20</v>
      </c>
      <c r="Y10" s="740">
        <f t="shared" si="1"/>
        <v>33</v>
      </c>
      <c r="Z10" s="740">
        <f t="shared" si="1"/>
        <v>44</v>
      </c>
      <c r="AA10" s="740">
        <f t="shared" si="1"/>
        <v>15</v>
      </c>
      <c r="AB10" s="691">
        <f t="shared" si="1"/>
        <v>30</v>
      </c>
      <c r="AC10" s="566">
        <f t="shared" si="1"/>
        <v>30</v>
      </c>
      <c r="AD10" s="566">
        <f t="shared" si="1"/>
        <v>30</v>
      </c>
      <c r="AE10" s="567">
        <f t="shared" si="1"/>
        <v>30</v>
      </c>
      <c r="AF10" s="567">
        <f t="shared" si="1"/>
        <v>26</v>
      </c>
      <c r="AG10" s="771">
        <v>54</v>
      </c>
      <c r="AH10" s="772">
        <v>49</v>
      </c>
      <c r="AI10" s="567">
        <f t="shared" ref="AI10:AJ10" si="2">SUM(AI8+AI9)</f>
        <v>49</v>
      </c>
      <c r="AJ10" s="567">
        <f t="shared" si="2"/>
        <v>21</v>
      </c>
      <c r="AK10" s="689">
        <f t="shared" si="0"/>
        <v>909</v>
      </c>
      <c r="AL10" s="421">
        <v>909</v>
      </c>
      <c r="AM10" s="410"/>
      <c r="AN10" s="410"/>
      <c r="AO10" s="410"/>
      <c r="AP10" s="411"/>
      <c r="AQ10" s="411"/>
    </row>
    <row r="11" spans="1:43" ht="28.5" customHeight="1" x14ac:dyDescent="0.3">
      <c r="A11" s="1326" t="s">
        <v>461</v>
      </c>
      <c r="B11" s="692" t="s">
        <v>462</v>
      </c>
      <c r="C11" s="1295"/>
      <c r="D11" s="1201"/>
      <c r="E11" s="1201"/>
      <c r="F11" s="1240"/>
      <c r="G11" s="424"/>
      <c r="H11" s="454"/>
      <c r="I11" s="17"/>
      <c r="J11" s="570"/>
      <c r="K11" s="425"/>
      <c r="L11" s="454"/>
      <c r="M11" s="454"/>
      <c r="N11" s="541"/>
      <c r="O11" s="454"/>
      <c r="P11" s="418"/>
      <c r="Q11" s="425"/>
      <c r="R11" s="546"/>
      <c r="S11" s="418"/>
      <c r="T11" s="418"/>
      <c r="U11" s="455"/>
      <c r="V11" s="684">
        <v>333</v>
      </c>
      <c r="W11" s="684">
        <v>336</v>
      </c>
      <c r="X11" s="773">
        <v>314</v>
      </c>
      <c r="Y11" s="773">
        <v>207</v>
      </c>
      <c r="Z11" s="773">
        <v>355</v>
      </c>
      <c r="AA11" s="773">
        <v>277</v>
      </c>
      <c r="AB11" s="634"/>
      <c r="AC11" s="549"/>
      <c r="AD11" s="549"/>
      <c r="AE11" s="532"/>
      <c r="AF11" s="742"/>
      <c r="AG11" s="588">
        <v>284</v>
      </c>
      <c r="AH11" s="774">
        <v>216</v>
      </c>
      <c r="AI11" s="588">
        <v>94</v>
      </c>
      <c r="AJ11" s="572"/>
      <c r="AK11" s="536">
        <f t="shared" si="0"/>
        <v>2416</v>
      </c>
      <c r="AL11" s="421">
        <v>2416</v>
      </c>
      <c r="AM11" s="410"/>
      <c r="AN11" s="410"/>
      <c r="AO11" s="410"/>
      <c r="AP11" s="411"/>
      <c r="AQ11" s="411"/>
    </row>
    <row r="12" spans="1:43" ht="24" customHeight="1" x14ac:dyDescent="0.3">
      <c r="A12" s="1317"/>
      <c r="B12" s="694" t="s">
        <v>463</v>
      </c>
      <c r="C12" s="1295"/>
      <c r="D12" s="1201"/>
      <c r="E12" s="1201"/>
      <c r="F12" s="1240"/>
      <c r="G12" s="654"/>
      <c r="H12" s="655"/>
      <c r="I12" s="656"/>
      <c r="J12" s="655"/>
      <c r="K12" s="655"/>
      <c r="L12" s="655"/>
      <c r="M12" s="655"/>
      <c r="N12" s="657"/>
      <c r="O12" s="655"/>
      <c r="P12" s="658"/>
      <c r="Q12" s="655"/>
      <c r="R12" s="658"/>
      <c r="S12" s="658"/>
      <c r="T12" s="658"/>
      <c r="U12" s="659"/>
      <c r="V12" s="684">
        <v>5</v>
      </c>
      <c r="W12" s="684">
        <v>0</v>
      </c>
      <c r="X12" s="684">
        <v>4</v>
      </c>
      <c r="Y12" s="684">
        <v>0</v>
      </c>
      <c r="Z12" s="684">
        <v>2</v>
      </c>
      <c r="AA12" s="684">
        <v>0</v>
      </c>
      <c r="AB12" s="634"/>
      <c r="AC12" s="549"/>
      <c r="AD12" s="549"/>
      <c r="AE12" s="532"/>
      <c r="AF12" s="742"/>
      <c r="AG12" s="588">
        <v>0</v>
      </c>
      <c r="AH12" s="774">
        <v>0</v>
      </c>
      <c r="AI12" s="588">
        <v>0</v>
      </c>
      <c r="AJ12" s="572"/>
      <c r="AK12" s="536">
        <f t="shared" si="0"/>
        <v>11</v>
      </c>
      <c r="AL12" s="421">
        <v>11</v>
      </c>
      <c r="AM12" s="410"/>
      <c r="AN12" s="410"/>
      <c r="AO12" s="410"/>
      <c r="AP12" s="411"/>
      <c r="AQ12" s="411"/>
    </row>
    <row r="13" spans="1:43" ht="21.75" customHeight="1" x14ac:dyDescent="0.3">
      <c r="A13" s="1313" t="s">
        <v>411</v>
      </c>
      <c r="B13" s="453" t="s">
        <v>405</v>
      </c>
      <c r="C13" s="1295"/>
      <c r="D13" s="1201"/>
      <c r="E13" s="1201"/>
      <c r="F13" s="1240"/>
      <c r="G13" s="424"/>
      <c r="H13" s="542"/>
      <c r="I13" s="17"/>
      <c r="J13" s="425"/>
      <c r="K13" s="425"/>
      <c r="L13" s="425"/>
      <c r="M13" s="425"/>
      <c r="N13" s="425"/>
      <c r="O13" s="425"/>
      <c r="P13" s="17"/>
      <c r="Q13" s="541"/>
      <c r="R13" s="17"/>
      <c r="S13" s="17"/>
      <c r="T13" s="17"/>
      <c r="U13" s="455"/>
      <c r="V13" s="634"/>
      <c r="W13" s="634"/>
      <c r="X13" s="634"/>
      <c r="Y13" s="634"/>
      <c r="Z13" s="634"/>
      <c r="AA13" s="634"/>
      <c r="AB13" s="634"/>
      <c r="AC13" s="549"/>
      <c r="AD13" s="549"/>
      <c r="AE13" s="532"/>
      <c r="AF13" s="743"/>
      <c r="AG13" s="576"/>
      <c r="AH13" s="577"/>
      <c r="AI13" s="576"/>
      <c r="AJ13" s="576"/>
      <c r="AK13" s="536">
        <f t="shared" si="0"/>
        <v>0</v>
      </c>
      <c r="AL13" s="421">
        <v>0</v>
      </c>
      <c r="AM13" s="410"/>
      <c r="AN13" s="410"/>
      <c r="AO13" s="410"/>
      <c r="AP13" s="411"/>
      <c r="AQ13" s="411"/>
    </row>
    <row r="14" spans="1:43" ht="21.75" customHeight="1" x14ac:dyDescent="0.3">
      <c r="A14" s="1170"/>
      <c r="B14" s="578" t="s">
        <v>412</v>
      </c>
      <c r="C14" s="1295"/>
      <c r="D14" s="1201"/>
      <c r="E14" s="1201"/>
      <c r="F14" s="1240"/>
      <c r="G14" s="540">
        <v>25</v>
      </c>
      <c r="H14" s="542">
        <v>0</v>
      </c>
      <c r="I14" s="542">
        <v>0</v>
      </c>
      <c r="J14" s="425">
        <v>0</v>
      </c>
      <c r="K14" s="541">
        <v>37</v>
      </c>
      <c r="L14" s="425">
        <v>0</v>
      </c>
      <c r="M14" s="425">
        <v>0</v>
      </c>
      <c r="N14" s="541">
        <v>2</v>
      </c>
      <c r="O14" s="541">
        <v>32</v>
      </c>
      <c r="P14" s="542">
        <v>0</v>
      </c>
      <c r="Q14" s="542">
        <v>2</v>
      </c>
      <c r="R14" s="542">
        <v>0</v>
      </c>
      <c r="S14" s="542">
        <v>0</v>
      </c>
      <c r="T14" s="542">
        <v>12</v>
      </c>
      <c r="U14" s="419">
        <v>0</v>
      </c>
      <c r="V14" s="684">
        <v>1</v>
      </c>
      <c r="W14" s="684">
        <v>0</v>
      </c>
      <c r="X14" s="684">
        <v>0</v>
      </c>
      <c r="Y14" s="684">
        <v>0</v>
      </c>
      <c r="Z14" s="684">
        <v>2</v>
      </c>
      <c r="AA14" s="684">
        <v>0</v>
      </c>
      <c r="AB14" s="634"/>
      <c r="AC14" s="538">
        <v>0</v>
      </c>
      <c r="AD14" s="538">
        <v>36</v>
      </c>
      <c r="AE14" s="532"/>
      <c r="AF14" s="744">
        <v>0</v>
      </c>
      <c r="AG14" s="775">
        <v>0</v>
      </c>
      <c r="AH14" s="564">
        <v>1</v>
      </c>
      <c r="AI14" s="690">
        <v>2</v>
      </c>
      <c r="AJ14" s="690">
        <v>0</v>
      </c>
      <c r="AK14" s="536">
        <f t="shared" si="0"/>
        <v>152</v>
      </c>
      <c r="AL14" s="421">
        <v>152</v>
      </c>
      <c r="AM14" s="410"/>
      <c r="AN14" s="410"/>
      <c r="AO14" s="410"/>
      <c r="AP14" s="411"/>
      <c r="AQ14" s="411"/>
    </row>
    <row r="15" spans="1:43" ht="25.5" customHeight="1" x14ac:dyDescent="0.3">
      <c r="A15" s="1170"/>
      <c r="B15" s="579" t="s">
        <v>407</v>
      </c>
      <c r="C15" s="1295"/>
      <c r="D15" s="1201"/>
      <c r="E15" s="1201"/>
      <c r="F15" s="1240"/>
      <c r="G15" s="425">
        <v>0</v>
      </c>
      <c r="H15" s="581">
        <v>0</v>
      </c>
      <c r="I15" s="581">
        <v>0</v>
      </c>
      <c r="J15" s="580">
        <v>0</v>
      </c>
      <c r="K15" s="581">
        <v>0</v>
      </c>
      <c r="L15" s="580">
        <v>0</v>
      </c>
      <c r="M15" s="580">
        <v>0</v>
      </c>
      <c r="N15" s="695">
        <v>1</v>
      </c>
      <c r="O15" s="580">
        <v>0</v>
      </c>
      <c r="P15" s="581">
        <v>0</v>
      </c>
      <c r="Q15" s="581">
        <v>2</v>
      </c>
      <c r="R15" s="581">
        <v>0</v>
      </c>
      <c r="S15" s="581">
        <v>30</v>
      </c>
      <c r="T15" s="581">
        <v>11</v>
      </c>
      <c r="U15" s="583">
        <v>0</v>
      </c>
      <c r="V15" s="556">
        <v>2</v>
      </c>
      <c r="W15" s="556">
        <v>0</v>
      </c>
      <c r="X15" s="556">
        <v>2</v>
      </c>
      <c r="Y15" s="556">
        <v>0</v>
      </c>
      <c r="Z15" s="556">
        <v>2</v>
      </c>
      <c r="AA15" s="684">
        <v>0</v>
      </c>
      <c r="AB15" s="696"/>
      <c r="AC15" s="556">
        <v>0</v>
      </c>
      <c r="AD15" s="556">
        <v>0</v>
      </c>
      <c r="AE15" s="585">
        <v>0</v>
      </c>
      <c r="AF15" s="745">
        <v>0</v>
      </c>
      <c r="AG15" s="564">
        <v>0</v>
      </c>
      <c r="AH15" s="662">
        <v>4</v>
      </c>
      <c r="AI15" s="559">
        <v>1</v>
      </c>
      <c r="AJ15" s="559">
        <v>0</v>
      </c>
      <c r="AK15" s="689">
        <f t="shared" si="0"/>
        <v>55</v>
      </c>
      <c r="AL15" s="421">
        <v>55</v>
      </c>
      <c r="AM15" s="410"/>
      <c r="AN15" s="410"/>
      <c r="AO15" s="410"/>
      <c r="AP15" s="411"/>
      <c r="AQ15" s="411"/>
    </row>
    <row r="16" spans="1:43" ht="24" customHeight="1" x14ac:dyDescent="0.3">
      <c r="A16" s="1170"/>
      <c r="B16" s="579" t="s">
        <v>408</v>
      </c>
      <c r="C16" s="1295"/>
      <c r="D16" s="1201"/>
      <c r="E16" s="1201"/>
      <c r="F16" s="1240"/>
      <c r="G16" s="542">
        <v>13</v>
      </c>
      <c r="H16" s="542">
        <v>14</v>
      </c>
      <c r="I16" s="542">
        <v>20</v>
      </c>
      <c r="J16" s="425">
        <v>0</v>
      </c>
      <c r="K16" s="425">
        <v>6</v>
      </c>
      <c r="L16" s="542">
        <v>19</v>
      </c>
      <c r="M16" s="746">
        <v>3</v>
      </c>
      <c r="N16" s="746">
        <v>15</v>
      </c>
      <c r="O16" s="541">
        <v>17</v>
      </c>
      <c r="P16" s="418">
        <v>8</v>
      </c>
      <c r="Q16" s="542">
        <v>38</v>
      </c>
      <c r="R16" s="418">
        <v>0</v>
      </c>
      <c r="S16" s="418">
        <v>1</v>
      </c>
      <c r="T16" s="542">
        <v>29</v>
      </c>
      <c r="U16" s="419">
        <v>0</v>
      </c>
      <c r="V16" s="684">
        <v>21</v>
      </c>
      <c r="W16" s="634">
        <v>8</v>
      </c>
      <c r="X16" s="684">
        <v>14</v>
      </c>
      <c r="Y16" s="634">
        <v>8</v>
      </c>
      <c r="Z16" s="684">
        <v>24</v>
      </c>
      <c r="AA16" s="634">
        <v>3</v>
      </c>
      <c r="AB16" s="634">
        <v>42</v>
      </c>
      <c r="AC16" s="634">
        <v>5</v>
      </c>
      <c r="AD16" s="634">
        <v>18</v>
      </c>
      <c r="AE16" s="634">
        <v>33</v>
      </c>
      <c r="AF16" s="744">
        <v>22</v>
      </c>
      <c r="AG16" s="564">
        <v>13</v>
      </c>
      <c r="AH16" s="564">
        <v>12</v>
      </c>
      <c r="AI16" s="564">
        <v>12</v>
      </c>
      <c r="AJ16" s="564">
        <v>3</v>
      </c>
      <c r="AK16" s="536">
        <f t="shared" si="0"/>
        <v>421</v>
      </c>
      <c r="AL16" s="421">
        <v>421</v>
      </c>
      <c r="AM16" s="410"/>
      <c r="AN16" s="410"/>
      <c r="AO16" s="410"/>
      <c r="AP16" s="411"/>
      <c r="AQ16" s="411"/>
    </row>
    <row r="17" spans="1:43" ht="25.5" customHeight="1" x14ac:dyDescent="0.3">
      <c r="A17" s="1170"/>
      <c r="B17" s="579" t="s">
        <v>409</v>
      </c>
      <c r="C17" s="1295"/>
      <c r="D17" s="1201"/>
      <c r="E17" s="1201"/>
      <c r="F17" s="1240"/>
      <c r="G17" s="542">
        <v>16</v>
      </c>
      <c r="H17" s="542">
        <v>19</v>
      </c>
      <c r="I17" s="542">
        <v>18</v>
      </c>
      <c r="J17" s="425">
        <v>0</v>
      </c>
      <c r="K17" s="425">
        <v>1</v>
      </c>
      <c r="L17" s="542">
        <v>20</v>
      </c>
      <c r="M17" s="747">
        <v>5</v>
      </c>
      <c r="N17" s="746">
        <v>12</v>
      </c>
      <c r="O17" s="541">
        <v>9</v>
      </c>
      <c r="P17" s="418">
        <v>7</v>
      </c>
      <c r="Q17" s="542">
        <v>28</v>
      </c>
      <c r="R17" s="418">
        <v>0</v>
      </c>
      <c r="S17" s="418">
        <v>2</v>
      </c>
      <c r="T17" s="542">
        <v>17</v>
      </c>
      <c r="U17" s="419">
        <v>0</v>
      </c>
      <c r="V17" s="684">
        <v>11</v>
      </c>
      <c r="W17" s="634">
        <v>1</v>
      </c>
      <c r="X17" s="684">
        <v>9</v>
      </c>
      <c r="Y17" s="634">
        <v>18</v>
      </c>
      <c r="Z17" s="634">
        <v>20</v>
      </c>
      <c r="AA17" s="634">
        <v>7</v>
      </c>
      <c r="AB17" s="634">
        <v>23</v>
      </c>
      <c r="AC17" s="634">
        <v>5</v>
      </c>
      <c r="AD17" s="634">
        <v>16</v>
      </c>
      <c r="AE17" s="634">
        <v>12</v>
      </c>
      <c r="AF17" s="748">
        <v>15</v>
      </c>
      <c r="AG17" s="564">
        <v>6</v>
      </c>
      <c r="AH17" s="564">
        <v>13</v>
      </c>
      <c r="AI17" s="564">
        <v>13</v>
      </c>
      <c r="AJ17" s="577">
        <v>2</v>
      </c>
      <c r="AK17" s="536">
        <f t="shared" si="0"/>
        <v>325</v>
      </c>
      <c r="AL17" s="421">
        <v>325</v>
      </c>
      <c r="AM17" s="410"/>
      <c r="AN17" s="410"/>
      <c r="AO17" s="410"/>
      <c r="AP17" s="411"/>
      <c r="AQ17" s="411"/>
    </row>
    <row r="18" spans="1:43" ht="23.25" customHeight="1" x14ac:dyDescent="0.3">
      <c r="A18" s="1170"/>
      <c r="B18" s="579" t="s">
        <v>413</v>
      </c>
      <c r="C18" s="1295"/>
      <c r="D18" s="1201"/>
      <c r="E18" s="1201"/>
      <c r="F18" s="1240"/>
      <c r="G18" s="542">
        <v>13</v>
      </c>
      <c r="H18" s="542">
        <v>27</v>
      </c>
      <c r="I18" s="542">
        <v>34</v>
      </c>
      <c r="J18" s="425">
        <v>0</v>
      </c>
      <c r="K18" s="425">
        <v>56</v>
      </c>
      <c r="L18" s="542">
        <v>28</v>
      </c>
      <c r="M18" s="747">
        <v>33</v>
      </c>
      <c r="N18" s="746">
        <v>41</v>
      </c>
      <c r="O18" s="541">
        <v>29</v>
      </c>
      <c r="P18" s="418">
        <v>35</v>
      </c>
      <c r="Q18" s="542">
        <v>11</v>
      </c>
      <c r="R18" s="418">
        <v>0</v>
      </c>
      <c r="S18" s="418">
        <v>33</v>
      </c>
      <c r="T18" s="542">
        <v>25</v>
      </c>
      <c r="U18" s="419">
        <v>0</v>
      </c>
      <c r="V18" s="684">
        <v>18</v>
      </c>
      <c r="W18" s="634">
        <v>9</v>
      </c>
      <c r="X18" s="634">
        <v>17</v>
      </c>
      <c r="Y18" s="634">
        <v>24</v>
      </c>
      <c r="Z18" s="634">
        <v>36</v>
      </c>
      <c r="AA18" s="634">
        <v>10</v>
      </c>
      <c r="AB18" s="634">
        <v>15</v>
      </c>
      <c r="AC18" s="634">
        <v>44</v>
      </c>
      <c r="AD18" s="634">
        <v>15</v>
      </c>
      <c r="AE18" s="634">
        <v>22</v>
      </c>
      <c r="AF18" s="748">
        <v>13</v>
      </c>
      <c r="AG18" s="564">
        <v>4</v>
      </c>
      <c r="AH18" s="564">
        <v>5</v>
      </c>
      <c r="AI18" s="564">
        <v>5</v>
      </c>
      <c r="AJ18" s="564">
        <v>2</v>
      </c>
      <c r="AK18" s="536">
        <f t="shared" si="0"/>
        <v>604</v>
      </c>
      <c r="AL18" s="421">
        <v>604</v>
      </c>
      <c r="AM18" s="410"/>
      <c r="AN18" s="410"/>
      <c r="AO18" s="410"/>
      <c r="AP18" s="411"/>
      <c r="AQ18" s="411"/>
    </row>
    <row r="19" spans="1:43" ht="21" customHeight="1" x14ac:dyDescent="0.3">
      <c r="A19" s="1170"/>
      <c r="B19" s="579" t="s">
        <v>414</v>
      </c>
      <c r="C19" s="1295"/>
      <c r="D19" s="1201"/>
      <c r="E19" s="1201"/>
      <c r="F19" s="1240"/>
      <c r="G19" s="542">
        <v>41</v>
      </c>
      <c r="H19" s="542">
        <v>30</v>
      </c>
      <c r="I19" s="542">
        <v>21</v>
      </c>
      <c r="J19" s="425">
        <v>0</v>
      </c>
      <c r="K19" s="425">
        <v>70</v>
      </c>
      <c r="L19" s="542">
        <v>23</v>
      </c>
      <c r="M19" s="747">
        <v>49</v>
      </c>
      <c r="N19" s="746">
        <v>22</v>
      </c>
      <c r="O19" s="541">
        <v>35</v>
      </c>
      <c r="P19" s="418">
        <v>40</v>
      </c>
      <c r="Q19" s="542">
        <v>13</v>
      </c>
      <c r="R19" s="418">
        <v>0</v>
      </c>
      <c r="S19" s="418">
        <v>24</v>
      </c>
      <c r="T19" s="542">
        <v>19</v>
      </c>
      <c r="U19" s="419">
        <v>0</v>
      </c>
      <c r="V19" s="684">
        <v>16</v>
      </c>
      <c r="W19" s="634">
        <v>3</v>
      </c>
      <c r="X19" s="684">
        <v>25</v>
      </c>
      <c r="Y19" s="684">
        <v>41</v>
      </c>
      <c r="Z19" s="634">
        <v>20</v>
      </c>
      <c r="AA19" s="634">
        <v>10</v>
      </c>
      <c r="AB19" s="634">
        <v>10</v>
      </c>
      <c r="AC19" s="634">
        <v>36</v>
      </c>
      <c r="AD19" s="634">
        <v>41</v>
      </c>
      <c r="AE19" s="634">
        <v>23</v>
      </c>
      <c r="AF19" s="748">
        <v>12</v>
      </c>
      <c r="AG19" s="564">
        <v>18</v>
      </c>
      <c r="AH19" s="564">
        <v>23</v>
      </c>
      <c r="AI19" s="564">
        <v>13</v>
      </c>
      <c r="AJ19" s="564">
        <v>4</v>
      </c>
      <c r="AK19" s="536">
        <f t="shared" si="0"/>
        <v>682</v>
      </c>
      <c r="AL19" s="421">
        <v>682</v>
      </c>
      <c r="AM19" s="410"/>
      <c r="AN19" s="410"/>
      <c r="AO19" s="410"/>
      <c r="AP19" s="411"/>
      <c r="AQ19" s="411"/>
    </row>
    <row r="20" spans="1:43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f t="shared" ref="G20:X20" si="3">SUM(G16:G19)</f>
        <v>83</v>
      </c>
      <c r="H20" s="590">
        <f t="shared" si="3"/>
        <v>90</v>
      </c>
      <c r="I20" s="590">
        <f t="shared" si="3"/>
        <v>93</v>
      </c>
      <c r="J20" s="590">
        <f t="shared" si="3"/>
        <v>0</v>
      </c>
      <c r="K20" s="590">
        <f t="shared" si="3"/>
        <v>133</v>
      </c>
      <c r="L20" s="590">
        <f t="shared" si="3"/>
        <v>90</v>
      </c>
      <c r="M20" s="590">
        <f t="shared" si="3"/>
        <v>90</v>
      </c>
      <c r="N20" s="590">
        <f t="shared" si="3"/>
        <v>90</v>
      </c>
      <c r="O20" s="590">
        <f t="shared" si="3"/>
        <v>90</v>
      </c>
      <c r="P20" s="590">
        <f t="shared" si="3"/>
        <v>90</v>
      </c>
      <c r="Q20" s="590">
        <f t="shared" si="3"/>
        <v>90</v>
      </c>
      <c r="R20" s="590">
        <f t="shared" si="3"/>
        <v>0</v>
      </c>
      <c r="S20" s="590">
        <f t="shared" si="3"/>
        <v>60</v>
      </c>
      <c r="T20" s="590">
        <f t="shared" si="3"/>
        <v>90</v>
      </c>
      <c r="U20" s="590">
        <f t="shared" si="3"/>
        <v>0</v>
      </c>
      <c r="V20" s="590">
        <f t="shared" si="3"/>
        <v>66</v>
      </c>
      <c r="W20" s="590">
        <f t="shared" si="3"/>
        <v>21</v>
      </c>
      <c r="X20" s="590">
        <f t="shared" si="3"/>
        <v>65</v>
      </c>
      <c r="Y20" s="590">
        <v>91</v>
      </c>
      <c r="Z20" s="590">
        <f t="shared" ref="Z20:AE20" si="4">SUM(Z16:Z19)</f>
        <v>100</v>
      </c>
      <c r="AA20" s="590">
        <f t="shared" si="4"/>
        <v>30</v>
      </c>
      <c r="AB20" s="590">
        <f t="shared" si="4"/>
        <v>90</v>
      </c>
      <c r="AC20" s="590">
        <f t="shared" si="4"/>
        <v>90</v>
      </c>
      <c r="AD20" s="666">
        <f t="shared" si="4"/>
        <v>90</v>
      </c>
      <c r="AE20" s="666">
        <f t="shared" si="4"/>
        <v>90</v>
      </c>
      <c r="AF20" s="666">
        <f t="shared" ref="AF20:AG20" si="5">SUM(AF16+AF17+AF18+AF19)</f>
        <v>62</v>
      </c>
      <c r="AG20" s="666">
        <f t="shared" si="5"/>
        <v>41</v>
      </c>
      <c r="AH20" s="666">
        <v>53</v>
      </c>
      <c r="AI20" s="666">
        <v>43</v>
      </c>
      <c r="AJ20" s="666">
        <f>SUM(AJ16+AJ17+AJ18+AJ19)</f>
        <v>11</v>
      </c>
      <c r="AK20" s="689">
        <f t="shared" si="0"/>
        <v>2032</v>
      </c>
      <c r="AL20" s="421">
        <v>2032</v>
      </c>
      <c r="AM20" s="410"/>
      <c r="AN20" s="410"/>
      <c r="AO20" s="410"/>
      <c r="AP20" s="411"/>
      <c r="AQ20" s="410"/>
    </row>
    <row r="21" spans="1:43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467"/>
      <c r="H21" s="425"/>
      <c r="I21" s="425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701"/>
      <c r="W21" s="701"/>
      <c r="X21" s="701"/>
      <c r="Y21" s="701"/>
      <c r="Z21" s="701"/>
      <c r="AA21" s="701"/>
      <c r="AB21" s="634"/>
      <c r="AC21" s="549"/>
      <c r="AD21" s="538"/>
      <c r="AE21" s="532"/>
      <c r="AF21" s="593"/>
      <c r="AG21" s="668"/>
      <c r="AH21" s="668"/>
      <c r="AI21" s="572"/>
      <c r="AJ21" s="572"/>
      <c r="AK21" s="536">
        <f t="shared" si="0"/>
        <v>0</v>
      </c>
      <c r="AL21" s="421">
        <v>0</v>
      </c>
      <c r="AM21" s="410"/>
      <c r="AN21" s="410"/>
      <c r="AO21" s="410"/>
      <c r="AP21" s="411"/>
      <c r="AQ21" s="411"/>
    </row>
    <row r="22" spans="1:43" ht="18.75" customHeight="1" x14ac:dyDescent="0.3">
      <c r="A22" s="1170"/>
      <c r="B22" s="1329"/>
      <c r="C22" s="1257" t="s">
        <v>419</v>
      </c>
      <c r="D22" s="1247"/>
      <c r="E22" s="1247"/>
      <c r="F22" s="1247"/>
      <c r="G22" s="469"/>
      <c r="H22" s="470"/>
      <c r="I22" s="470"/>
      <c r="J22" s="470"/>
      <c r="K22" s="470">
        <v>0</v>
      </c>
      <c r="L22" s="425"/>
      <c r="M22" s="425"/>
      <c r="N22" s="425"/>
      <c r="O22" s="425"/>
      <c r="P22" s="425"/>
      <c r="Q22" s="425"/>
      <c r="R22" s="425"/>
      <c r="S22" s="425"/>
      <c r="T22" s="425"/>
      <c r="U22" s="425">
        <v>0</v>
      </c>
      <c r="V22" s="683"/>
      <c r="W22" s="683"/>
      <c r="X22" s="683"/>
      <c r="Y22" s="683"/>
      <c r="Z22" s="683"/>
      <c r="AA22" s="683"/>
      <c r="AB22" s="684"/>
      <c r="AC22" s="549"/>
      <c r="AD22" s="549"/>
      <c r="AE22" s="532"/>
      <c r="AF22" s="593"/>
      <c r="AG22" s="668"/>
      <c r="AH22" s="668"/>
      <c r="AI22" s="572"/>
      <c r="AJ22" s="572"/>
      <c r="AK22" s="536">
        <f t="shared" si="0"/>
        <v>0</v>
      </c>
      <c r="AL22" s="421">
        <v>0</v>
      </c>
      <c r="AM22" s="410"/>
      <c r="AN22" s="410"/>
      <c r="AO22" s="410"/>
      <c r="AP22" s="411"/>
      <c r="AQ22" s="411"/>
    </row>
    <row r="23" spans="1:43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595">
        <v>150</v>
      </c>
      <c r="I23" s="595">
        <v>100</v>
      </c>
      <c r="J23" s="596">
        <v>100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600">
        <v>0</v>
      </c>
      <c r="V23" s="702">
        <v>150</v>
      </c>
      <c r="W23" s="702">
        <v>150</v>
      </c>
      <c r="X23" s="702">
        <v>150</v>
      </c>
      <c r="Y23" s="702">
        <v>150</v>
      </c>
      <c r="Z23" s="702">
        <v>150</v>
      </c>
      <c r="AA23" s="702">
        <v>150</v>
      </c>
      <c r="AB23" s="599">
        <v>150</v>
      </c>
      <c r="AC23" s="599">
        <v>150</v>
      </c>
      <c r="AD23" s="599">
        <v>150</v>
      </c>
      <c r="AE23" s="601">
        <v>150</v>
      </c>
      <c r="AF23" s="602">
        <v>150</v>
      </c>
      <c r="AG23" s="602">
        <v>150</v>
      </c>
      <c r="AH23" s="601">
        <v>150</v>
      </c>
      <c r="AI23" s="601">
        <v>150</v>
      </c>
      <c r="AJ23" s="601">
        <v>150</v>
      </c>
      <c r="AK23" s="536">
        <f t="shared" si="0"/>
        <v>4350</v>
      </c>
      <c r="AL23" s="421">
        <v>4350</v>
      </c>
      <c r="AM23" s="410"/>
      <c r="AN23" s="410"/>
      <c r="AO23" s="410"/>
      <c r="AP23" s="411"/>
      <c r="AQ23" s="411"/>
    </row>
    <row r="24" spans="1:43" ht="20.25" customHeight="1" x14ac:dyDescent="0.3">
      <c r="A24" s="1171"/>
      <c r="B24" s="1319"/>
      <c r="C24" s="1304" t="s">
        <v>419</v>
      </c>
      <c r="D24" s="1260"/>
      <c r="E24" s="1260"/>
      <c r="F24" s="1260"/>
      <c r="G24" s="603">
        <v>10</v>
      </c>
      <c r="H24" s="604">
        <v>150</v>
      </c>
      <c r="I24" s="605">
        <v>132</v>
      </c>
      <c r="J24" s="605">
        <v>125</v>
      </c>
      <c r="K24" s="606">
        <v>48</v>
      </c>
      <c r="L24" s="607">
        <v>159</v>
      </c>
      <c r="M24" s="608">
        <v>186</v>
      </c>
      <c r="N24" s="608">
        <v>155</v>
      </c>
      <c r="O24" s="608">
        <v>150</v>
      </c>
      <c r="P24" s="669">
        <v>133</v>
      </c>
      <c r="Q24" s="610">
        <v>71</v>
      </c>
      <c r="R24" s="610">
        <v>225</v>
      </c>
      <c r="S24" s="610">
        <v>95</v>
      </c>
      <c r="T24" s="610">
        <v>95</v>
      </c>
      <c r="U24" s="776">
        <v>60</v>
      </c>
      <c r="V24" s="702">
        <v>110</v>
      </c>
      <c r="W24" s="702">
        <v>221</v>
      </c>
      <c r="X24" s="702">
        <v>63</v>
      </c>
      <c r="Y24" s="702">
        <v>145</v>
      </c>
      <c r="Z24" s="702">
        <v>150</v>
      </c>
      <c r="AA24" s="702">
        <v>68</v>
      </c>
      <c r="AB24" s="703">
        <v>180</v>
      </c>
      <c r="AC24" s="612">
        <v>115</v>
      </c>
      <c r="AD24" s="612">
        <v>157</v>
      </c>
      <c r="AE24" s="612">
        <v>147</v>
      </c>
      <c r="AF24" s="612">
        <v>153</v>
      </c>
      <c r="AG24" s="612">
        <v>186</v>
      </c>
      <c r="AH24" s="704">
        <v>195</v>
      </c>
      <c r="AI24" s="704">
        <v>142</v>
      </c>
      <c r="AJ24" s="704">
        <v>65</v>
      </c>
      <c r="AK24" s="705">
        <f t="shared" si="0"/>
        <v>3891</v>
      </c>
      <c r="AL24" s="421">
        <v>3831</v>
      </c>
      <c r="AM24" s="410"/>
      <c r="AN24" s="410"/>
      <c r="AO24" s="410"/>
      <c r="AP24" s="411"/>
      <c r="AQ24" s="411"/>
    </row>
    <row r="25" spans="1:43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541"/>
      <c r="H25" s="425"/>
      <c r="I25" s="418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701"/>
      <c r="W25" s="701"/>
      <c r="X25" s="683"/>
      <c r="Y25" s="701"/>
      <c r="Z25" s="701"/>
      <c r="AA25" s="701"/>
      <c r="AB25" s="634"/>
      <c r="AC25" s="549"/>
      <c r="AD25" s="549"/>
      <c r="AE25" s="532"/>
      <c r="AF25" s="593"/>
      <c r="AG25" s="593"/>
      <c r="AH25" s="668"/>
      <c r="AI25" s="572"/>
      <c r="AJ25" s="572"/>
      <c r="AK25" s="536">
        <f t="shared" si="0"/>
        <v>0</v>
      </c>
      <c r="AL25" s="421">
        <v>0</v>
      </c>
      <c r="AM25" s="410"/>
      <c r="AN25" s="410"/>
      <c r="AO25" s="410"/>
      <c r="AP25" s="411"/>
      <c r="AQ25" s="411"/>
    </row>
    <row r="26" spans="1:43" ht="18.75" customHeight="1" x14ac:dyDescent="0.3">
      <c r="A26" s="1273"/>
      <c r="B26" s="1263"/>
      <c r="C26" s="1291" t="s">
        <v>419</v>
      </c>
      <c r="D26" s="1178"/>
      <c r="E26" s="1178"/>
      <c r="F26" s="1179"/>
      <c r="G26" s="541"/>
      <c r="H26" s="541"/>
      <c r="I26" s="418"/>
      <c r="J26" s="467"/>
      <c r="K26" s="467"/>
      <c r="L26" s="467"/>
      <c r="M26" s="425"/>
      <c r="N26" s="541"/>
      <c r="O26" s="541"/>
      <c r="P26" s="540"/>
      <c r="Q26" s="541"/>
      <c r="R26" s="540"/>
      <c r="S26" s="492"/>
      <c r="T26" s="492"/>
      <c r="U26" s="419">
        <v>0</v>
      </c>
      <c r="V26" s="683">
        <v>27</v>
      </c>
      <c r="W26" s="683">
        <v>6</v>
      </c>
      <c r="X26" s="683">
        <v>52</v>
      </c>
      <c r="Y26" s="683">
        <v>90</v>
      </c>
      <c r="Z26" s="683">
        <v>42</v>
      </c>
      <c r="AA26" s="683">
        <v>20</v>
      </c>
      <c r="AB26" s="634"/>
      <c r="AC26" s="549"/>
      <c r="AD26" s="549"/>
      <c r="AE26" s="532"/>
      <c r="AF26" s="593"/>
      <c r="AG26" s="550">
        <v>0</v>
      </c>
      <c r="AH26" s="668"/>
      <c r="AI26" s="572"/>
      <c r="AJ26" s="588">
        <v>0</v>
      </c>
      <c r="AK26" s="536">
        <f t="shared" si="0"/>
        <v>237</v>
      </c>
      <c r="AL26" s="421">
        <v>237</v>
      </c>
      <c r="AM26" s="410"/>
      <c r="AN26" s="410"/>
      <c r="AO26" s="410"/>
      <c r="AP26" s="411"/>
      <c r="AQ26" s="411"/>
    </row>
    <row r="27" spans="1:43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541"/>
      <c r="H27" s="425"/>
      <c r="I27" s="418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701"/>
      <c r="W27" s="701"/>
      <c r="X27" s="701"/>
      <c r="Y27" s="701"/>
      <c r="Z27" s="701"/>
      <c r="AA27" s="701"/>
      <c r="AB27" s="634"/>
      <c r="AC27" s="549"/>
      <c r="AD27" s="549"/>
      <c r="AE27" s="532"/>
      <c r="AF27" s="593"/>
      <c r="AG27" s="593"/>
      <c r="AH27" s="668"/>
      <c r="AI27" s="572"/>
      <c r="AJ27" s="572"/>
      <c r="AK27" s="536">
        <f t="shared" si="0"/>
        <v>0</v>
      </c>
      <c r="AL27" s="421">
        <v>0</v>
      </c>
      <c r="AM27" s="410"/>
      <c r="AN27" s="410"/>
      <c r="AO27" s="410"/>
      <c r="AP27" s="411"/>
      <c r="AQ27" s="411"/>
    </row>
    <row r="28" spans="1:43" ht="18.75" customHeight="1" x14ac:dyDescent="0.3">
      <c r="A28" s="1273"/>
      <c r="B28" s="1167"/>
      <c r="C28" s="1291" t="s">
        <v>419</v>
      </c>
      <c r="D28" s="1178"/>
      <c r="E28" s="1178"/>
      <c r="F28" s="1179"/>
      <c r="G28" s="541"/>
      <c r="H28" s="541"/>
      <c r="I28" s="418"/>
      <c r="J28" s="467"/>
      <c r="K28" s="467"/>
      <c r="L28" s="541"/>
      <c r="M28" s="425"/>
      <c r="N28" s="541"/>
      <c r="O28" s="541"/>
      <c r="P28" s="540"/>
      <c r="Q28" s="425"/>
      <c r="R28" s="492"/>
      <c r="S28" s="492"/>
      <c r="T28" s="492"/>
      <c r="U28" s="419"/>
      <c r="V28" s="683">
        <v>50</v>
      </c>
      <c r="W28" s="683">
        <v>16</v>
      </c>
      <c r="X28" s="683">
        <v>50</v>
      </c>
      <c r="Y28" s="683">
        <v>48</v>
      </c>
      <c r="Z28" s="683">
        <v>48</v>
      </c>
      <c r="AA28" s="683">
        <v>14</v>
      </c>
      <c r="AB28" s="634"/>
      <c r="AC28" s="549"/>
      <c r="AD28" s="549"/>
      <c r="AE28" s="532"/>
      <c r="AF28" s="593"/>
      <c r="AG28" s="550">
        <v>0</v>
      </c>
      <c r="AH28" s="668"/>
      <c r="AI28" s="572"/>
      <c r="AJ28" s="588">
        <v>0</v>
      </c>
      <c r="AK28" s="536">
        <f t="shared" si="0"/>
        <v>226</v>
      </c>
      <c r="AL28" s="421">
        <v>226</v>
      </c>
      <c r="AM28" s="410"/>
      <c r="AN28" s="410"/>
      <c r="AO28" s="410"/>
      <c r="AP28" s="411"/>
      <c r="AQ28" s="411"/>
    </row>
    <row r="29" spans="1:43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541"/>
      <c r="H29" s="425"/>
      <c r="I29" s="418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701"/>
      <c r="W29" s="701"/>
      <c r="X29" s="701"/>
      <c r="Y29" s="701"/>
      <c r="Z29" s="701"/>
      <c r="AA29" s="701"/>
      <c r="AB29" s="634"/>
      <c r="AC29" s="549"/>
      <c r="AD29" s="549"/>
      <c r="AE29" s="532"/>
      <c r="AF29" s="593"/>
      <c r="AG29" s="550">
        <v>90</v>
      </c>
      <c r="AH29" s="668"/>
      <c r="AI29" s="572"/>
      <c r="AJ29" s="572"/>
      <c r="AK29" s="536">
        <f t="shared" si="0"/>
        <v>90</v>
      </c>
      <c r="AL29" s="421">
        <v>90</v>
      </c>
      <c r="AM29" s="410"/>
      <c r="AN29" s="410"/>
      <c r="AO29" s="410"/>
      <c r="AP29" s="411"/>
      <c r="AQ29" s="411"/>
    </row>
    <row r="30" spans="1:43" ht="31.5" customHeight="1" x14ac:dyDescent="0.3">
      <c r="A30" s="1273"/>
      <c r="B30" s="1189"/>
      <c r="C30" s="1291" t="s">
        <v>419</v>
      </c>
      <c r="D30" s="1178"/>
      <c r="E30" s="1178"/>
      <c r="F30" s="1179"/>
      <c r="G30" s="541"/>
      <c r="H30" s="541"/>
      <c r="I30" s="418"/>
      <c r="J30" s="467"/>
      <c r="K30" s="467"/>
      <c r="L30" s="467"/>
      <c r="M30" s="541"/>
      <c r="N30" s="541"/>
      <c r="O30" s="541"/>
      <c r="P30" s="540"/>
      <c r="Q30" s="541"/>
      <c r="R30" s="492"/>
      <c r="S30" s="492"/>
      <c r="T30" s="492"/>
      <c r="U30" s="419"/>
      <c r="V30" s="683">
        <v>50</v>
      </c>
      <c r="W30" s="683">
        <v>12</v>
      </c>
      <c r="X30" s="683">
        <v>2</v>
      </c>
      <c r="Y30" s="683">
        <v>42</v>
      </c>
      <c r="Z30" s="683">
        <v>82</v>
      </c>
      <c r="AA30" s="683">
        <v>14</v>
      </c>
      <c r="AB30" s="634"/>
      <c r="AC30" s="549"/>
      <c r="AD30" s="538"/>
      <c r="AE30" s="532"/>
      <c r="AF30" s="593"/>
      <c r="AG30" s="550">
        <v>120</v>
      </c>
      <c r="AH30" s="668"/>
      <c r="AI30" s="572"/>
      <c r="AJ30" s="588">
        <v>26</v>
      </c>
      <c r="AK30" s="536">
        <f t="shared" si="0"/>
        <v>348</v>
      </c>
      <c r="AL30" s="421">
        <v>348</v>
      </c>
      <c r="AM30" s="410"/>
      <c r="AN30" s="410"/>
      <c r="AO30" s="410"/>
      <c r="AP30" s="411"/>
      <c r="AQ30" s="411"/>
    </row>
    <row r="31" spans="1:43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541"/>
      <c r="H31" s="425"/>
      <c r="I31" s="418"/>
      <c r="J31" s="467"/>
      <c r="K31" s="467"/>
      <c r="L31" s="467"/>
      <c r="M31" s="425"/>
      <c r="N31" s="541"/>
      <c r="O31" s="541"/>
      <c r="P31" s="424"/>
      <c r="Q31" s="425"/>
      <c r="R31" s="492"/>
      <c r="S31" s="492"/>
      <c r="T31" s="492"/>
      <c r="U31" s="419">
        <v>0</v>
      </c>
      <c r="V31" s="701"/>
      <c r="W31" s="701"/>
      <c r="X31" s="701"/>
      <c r="Y31" s="701"/>
      <c r="Z31" s="701"/>
      <c r="AA31" s="701"/>
      <c r="AB31" s="634"/>
      <c r="AC31" s="549"/>
      <c r="AD31" s="549"/>
      <c r="AE31" s="532"/>
      <c r="AF31" s="593"/>
      <c r="AG31" s="550">
        <v>90</v>
      </c>
      <c r="AH31" s="668"/>
      <c r="AI31" s="572"/>
      <c r="AJ31" s="572"/>
      <c r="AK31" s="536">
        <f t="shared" si="0"/>
        <v>90</v>
      </c>
      <c r="AL31" s="421">
        <v>90</v>
      </c>
      <c r="AM31" s="410"/>
      <c r="AN31" s="410"/>
      <c r="AO31" s="410"/>
      <c r="AP31" s="411"/>
      <c r="AQ31" s="411"/>
    </row>
    <row r="32" spans="1:43" ht="18.75" customHeight="1" x14ac:dyDescent="0.3">
      <c r="A32" s="1273"/>
      <c r="B32" s="1189"/>
      <c r="C32" s="1291" t="s">
        <v>419</v>
      </c>
      <c r="D32" s="1178"/>
      <c r="E32" s="1178"/>
      <c r="F32" s="1179"/>
      <c r="G32" s="541"/>
      <c r="H32" s="541"/>
      <c r="I32" s="542"/>
      <c r="J32" s="467"/>
      <c r="K32" s="467"/>
      <c r="L32" s="467"/>
      <c r="M32" s="425"/>
      <c r="N32" s="541"/>
      <c r="O32" s="541"/>
      <c r="P32" s="424"/>
      <c r="Q32" s="541"/>
      <c r="R32" s="467"/>
      <c r="S32" s="468"/>
      <c r="T32" s="468"/>
      <c r="U32" s="419">
        <v>0</v>
      </c>
      <c r="V32" s="683">
        <v>8</v>
      </c>
      <c r="W32" s="683">
        <v>8</v>
      </c>
      <c r="X32" s="683">
        <v>0</v>
      </c>
      <c r="Y32" s="683">
        <v>0</v>
      </c>
      <c r="Z32" s="683">
        <v>32</v>
      </c>
      <c r="AA32" s="683">
        <v>12</v>
      </c>
      <c r="AB32" s="634"/>
      <c r="AC32" s="549"/>
      <c r="AD32" s="549"/>
      <c r="AE32" s="532"/>
      <c r="AF32" s="593"/>
      <c r="AG32" s="550">
        <v>90</v>
      </c>
      <c r="AH32" s="668"/>
      <c r="AI32" s="572"/>
      <c r="AJ32" s="588">
        <v>1</v>
      </c>
      <c r="AK32" s="536">
        <f t="shared" si="0"/>
        <v>151</v>
      </c>
      <c r="AL32" s="421">
        <v>151</v>
      </c>
      <c r="AM32" s="410"/>
      <c r="AN32" s="410"/>
      <c r="AO32" s="410"/>
      <c r="AP32" s="411"/>
      <c r="AQ32" s="411"/>
    </row>
    <row r="33" spans="1:43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60">
        <v>180</v>
      </c>
      <c r="H33" s="459">
        <v>180</v>
      </c>
      <c r="I33" s="460">
        <v>180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704">
        <v>0</v>
      </c>
      <c r="V33" s="458">
        <v>180</v>
      </c>
      <c r="W33" s="458">
        <v>180</v>
      </c>
      <c r="X33" s="458">
        <v>180</v>
      </c>
      <c r="Y33" s="458">
        <v>180</v>
      </c>
      <c r="Z33" s="458">
        <v>180</v>
      </c>
      <c r="AA33" s="458">
        <v>180</v>
      </c>
      <c r="AB33" s="703">
        <v>180</v>
      </c>
      <c r="AC33" s="612">
        <v>180</v>
      </c>
      <c r="AD33" s="612">
        <v>180</v>
      </c>
      <c r="AE33" s="612">
        <v>180</v>
      </c>
      <c r="AF33" s="612">
        <v>180</v>
      </c>
      <c r="AG33" s="612">
        <v>180</v>
      </c>
      <c r="AH33" s="704">
        <v>180</v>
      </c>
      <c r="AI33" s="704">
        <v>180</v>
      </c>
      <c r="AJ33" s="704">
        <v>180</v>
      </c>
      <c r="AK33" s="536">
        <f t="shared" si="0"/>
        <v>4860</v>
      </c>
      <c r="AL33" s="421">
        <v>4860</v>
      </c>
      <c r="AM33" s="410"/>
      <c r="AN33" s="410"/>
      <c r="AO33" s="410"/>
      <c r="AP33" s="411"/>
      <c r="AQ33" s="411"/>
    </row>
    <row r="34" spans="1:43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>
        <v>150</v>
      </c>
      <c r="H34" s="615">
        <v>180</v>
      </c>
      <c r="I34" s="615">
        <v>163</v>
      </c>
      <c r="J34" s="615">
        <f>SUM(J26+J28+J30+J32)</f>
        <v>0</v>
      </c>
      <c r="K34" s="615">
        <v>188</v>
      </c>
      <c r="L34" s="615">
        <v>155</v>
      </c>
      <c r="M34" s="615">
        <v>180</v>
      </c>
      <c r="N34" s="615">
        <v>180</v>
      </c>
      <c r="O34" s="615">
        <v>140</v>
      </c>
      <c r="P34" s="615">
        <v>155</v>
      </c>
      <c r="Q34" s="615">
        <v>180</v>
      </c>
      <c r="R34" s="615">
        <f>SUM(R26+R28+R30+R32)</f>
        <v>0</v>
      </c>
      <c r="S34" s="615">
        <v>120</v>
      </c>
      <c r="T34" s="615">
        <v>170</v>
      </c>
      <c r="U34" s="704">
        <v>57</v>
      </c>
      <c r="V34" s="702">
        <v>135</v>
      </c>
      <c r="W34" s="702">
        <v>42</v>
      </c>
      <c r="X34" s="702">
        <v>104</v>
      </c>
      <c r="Y34" s="702">
        <v>180</v>
      </c>
      <c r="Z34" s="702">
        <v>204</v>
      </c>
      <c r="AA34" s="702">
        <v>60</v>
      </c>
      <c r="AB34" s="703">
        <v>180</v>
      </c>
      <c r="AC34" s="612">
        <v>170</v>
      </c>
      <c r="AD34" s="612">
        <v>180</v>
      </c>
      <c r="AE34" s="612">
        <v>180</v>
      </c>
      <c r="AF34" s="612">
        <v>164</v>
      </c>
      <c r="AG34" s="612">
        <v>210</v>
      </c>
      <c r="AH34" s="704">
        <v>165</v>
      </c>
      <c r="AI34" s="704">
        <v>166</v>
      </c>
      <c r="AJ34" s="704">
        <v>27</v>
      </c>
      <c r="AK34" s="705">
        <f t="shared" si="0"/>
        <v>4185</v>
      </c>
      <c r="AL34" s="421">
        <v>4128</v>
      </c>
      <c r="AM34" s="410"/>
      <c r="AN34" s="410"/>
      <c r="AO34" s="410"/>
      <c r="AP34" s="411"/>
      <c r="AQ34" s="411"/>
    </row>
    <row r="35" spans="1:43" ht="25.5" customHeight="1" x14ac:dyDescent="0.25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541">
        <v>30</v>
      </c>
      <c r="H35" s="541">
        <v>30</v>
      </c>
      <c r="I35" s="541">
        <v>30</v>
      </c>
      <c r="J35" s="541">
        <v>30</v>
      </c>
      <c r="K35" s="541">
        <v>30</v>
      </c>
      <c r="L35" s="541">
        <v>30</v>
      </c>
      <c r="M35" s="541">
        <v>30</v>
      </c>
      <c r="N35" s="541">
        <v>30</v>
      </c>
      <c r="O35" s="541">
        <v>30</v>
      </c>
      <c r="P35" s="541">
        <v>30</v>
      </c>
      <c r="Q35" s="541">
        <v>30</v>
      </c>
      <c r="R35" s="541">
        <v>30</v>
      </c>
      <c r="S35" s="541">
        <v>30</v>
      </c>
      <c r="T35" s="541">
        <v>30</v>
      </c>
      <c r="U35" s="541">
        <v>30</v>
      </c>
      <c r="V35" s="541">
        <v>30</v>
      </c>
      <c r="W35" s="541">
        <v>30</v>
      </c>
      <c r="X35" s="541">
        <v>30</v>
      </c>
      <c r="Y35" s="541">
        <v>30</v>
      </c>
      <c r="Z35" s="541">
        <v>30</v>
      </c>
      <c r="AA35" s="541">
        <v>30</v>
      </c>
      <c r="AB35" s="541">
        <v>30</v>
      </c>
      <c r="AC35" s="541">
        <v>30</v>
      </c>
      <c r="AD35" s="541">
        <v>30</v>
      </c>
      <c r="AE35" s="541">
        <v>30</v>
      </c>
      <c r="AF35" s="541">
        <v>30</v>
      </c>
      <c r="AG35" s="541">
        <v>30</v>
      </c>
      <c r="AH35" s="541"/>
      <c r="AI35" s="541">
        <v>30</v>
      </c>
      <c r="AJ35" s="541">
        <v>30</v>
      </c>
      <c r="AK35" s="536">
        <f t="shared" si="0"/>
        <v>870</v>
      </c>
      <c r="AL35" s="416">
        <v>870</v>
      </c>
      <c r="AM35" s="410"/>
      <c r="AN35" s="410"/>
      <c r="AO35" s="410"/>
      <c r="AP35" s="411"/>
      <c r="AQ35" s="411"/>
    </row>
    <row r="36" spans="1:43" ht="28.5" customHeight="1" x14ac:dyDescent="0.25">
      <c r="A36" s="1249"/>
      <c r="B36" s="1265"/>
      <c r="C36" s="1278" t="s">
        <v>419</v>
      </c>
      <c r="D36" s="1279"/>
      <c r="E36" s="1279"/>
      <c r="F36" s="1279"/>
      <c r="G36" s="732">
        <v>8</v>
      </c>
      <c r="H36" s="618">
        <v>15</v>
      </c>
      <c r="I36" s="618">
        <v>7</v>
      </c>
      <c r="J36" s="618">
        <v>6</v>
      </c>
      <c r="K36" s="618">
        <v>13</v>
      </c>
      <c r="L36" s="618">
        <v>12</v>
      </c>
      <c r="M36" s="618">
        <v>8</v>
      </c>
      <c r="N36" s="618">
        <v>15</v>
      </c>
      <c r="O36" s="618">
        <v>12</v>
      </c>
      <c r="P36" s="618">
        <v>0</v>
      </c>
      <c r="Q36" s="618">
        <v>11</v>
      </c>
      <c r="R36" s="618">
        <v>7</v>
      </c>
      <c r="S36" s="618">
        <v>0</v>
      </c>
      <c r="T36" s="618">
        <v>10</v>
      </c>
      <c r="U36" s="777">
        <v>0</v>
      </c>
      <c r="V36" s="749">
        <v>14</v>
      </c>
      <c r="W36" s="749">
        <v>0</v>
      </c>
      <c r="X36" s="749">
        <v>0</v>
      </c>
      <c r="Y36" s="749">
        <v>0</v>
      </c>
      <c r="Z36" s="749">
        <v>0</v>
      </c>
      <c r="AA36" s="749">
        <v>13</v>
      </c>
      <c r="AB36" s="707">
        <v>13</v>
      </c>
      <c r="AC36" s="708">
        <v>0</v>
      </c>
      <c r="AD36" s="708">
        <v>11</v>
      </c>
      <c r="AE36" s="709">
        <v>5</v>
      </c>
      <c r="AF36" s="778">
        <v>11</v>
      </c>
      <c r="AG36" s="778">
        <v>0</v>
      </c>
      <c r="AH36" s="779">
        <v>0</v>
      </c>
      <c r="AI36" s="749">
        <v>0</v>
      </c>
      <c r="AJ36" s="749">
        <v>0</v>
      </c>
      <c r="AK36" s="536">
        <f t="shared" si="0"/>
        <v>191</v>
      </c>
      <c r="AL36" s="416">
        <v>158</v>
      </c>
      <c r="AM36" s="410"/>
      <c r="AN36" s="410"/>
      <c r="AO36" s="410"/>
      <c r="AP36" s="411"/>
      <c r="AQ36" s="411"/>
    </row>
    <row r="37" spans="1:43" ht="18.75" customHeight="1" x14ac:dyDescent="0.25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542"/>
      <c r="H37" s="501"/>
      <c r="I37" s="562">
        <v>0</v>
      </c>
      <c r="J37" s="501"/>
      <c r="K37" s="501"/>
      <c r="L37" s="501"/>
      <c r="M37" s="780">
        <v>1</v>
      </c>
      <c r="N37" s="562">
        <v>1</v>
      </c>
      <c r="O37" s="501"/>
      <c r="P37" s="501"/>
      <c r="Q37" s="562">
        <v>0</v>
      </c>
      <c r="R37" s="562"/>
      <c r="S37" s="562"/>
      <c r="T37" s="625"/>
      <c r="U37" s="626"/>
      <c r="V37" s="637">
        <v>1</v>
      </c>
      <c r="W37" s="637">
        <v>1</v>
      </c>
      <c r="X37" s="637">
        <v>1</v>
      </c>
      <c r="Y37" s="637">
        <v>1</v>
      </c>
      <c r="Z37" s="637">
        <v>1</v>
      </c>
      <c r="AA37" s="637">
        <v>1</v>
      </c>
      <c r="AB37" s="711"/>
      <c r="AC37" s="750">
        <v>0</v>
      </c>
      <c r="AD37" s="750">
        <v>1</v>
      </c>
      <c r="AE37" s="781">
        <v>1</v>
      </c>
      <c r="AF37" s="630"/>
      <c r="AG37" s="782">
        <v>1</v>
      </c>
      <c r="AH37" s="783">
        <v>1</v>
      </c>
      <c r="AI37" s="637">
        <v>1</v>
      </c>
      <c r="AJ37" s="637">
        <v>1</v>
      </c>
      <c r="AK37" s="536">
        <f t="shared" si="0"/>
        <v>14</v>
      </c>
      <c r="AL37" s="416">
        <v>14</v>
      </c>
      <c r="AM37" s="410"/>
      <c r="AN37" s="410"/>
      <c r="AO37" s="410"/>
      <c r="AP37" s="411"/>
      <c r="AQ37" s="411"/>
    </row>
    <row r="38" spans="1:43" ht="18.75" customHeight="1" x14ac:dyDescent="0.25">
      <c r="A38" s="1254"/>
      <c r="B38" s="1165"/>
      <c r="C38" s="1291" t="s">
        <v>419</v>
      </c>
      <c r="D38" s="1178"/>
      <c r="E38" s="1178"/>
      <c r="F38" s="1179"/>
      <c r="G38" s="542"/>
      <c r="H38" s="468"/>
      <c r="I38" s="542"/>
      <c r="J38" s="468"/>
      <c r="K38" s="468"/>
      <c r="L38" s="468"/>
      <c r="M38" s="542">
        <v>1</v>
      </c>
      <c r="N38" s="562">
        <v>1</v>
      </c>
      <c r="O38" s="468"/>
      <c r="P38" s="468"/>
      <c r="Q38" s="562">
        <v>0</v>
      </c>
      <c r="R38" s="562"/>
      <c r="S38" s="562"/>
      <c r="T38" s="562"/>
      <c r="U38" s="541"/>
      <c r="V38" s="683">
        <v>0</v>
      </c>
      <c r="W38" s="683">
        <v>1</v>
      </c>
      <c r="X38" s="683">
        <v>0</v>
      </c>
      <c r="Y38" s="683">
        <v>0</v>
      </c>
      <c r="Z38" s="683">
        <v>1</v>
      </c>
      <c r="AA38" s="683">
        <v>1</v>
      </c>
      <c r="AB38" s="634"/>
      <c r="AC38" s="538">
        <v>0</v>
      </c>
      <c r="AD38" s="538">
        <v>1</v>
      </c>
      <c r="AE38" s="563">
        <v>1</v>
      </c>
      <c r="AF38" s="593"/>
      <c r="AG38" s="550">
        <v>0</v>
      </c>
      <c r="AH38" s="686">
        <v>0</v>
      </c>
      <c r="AI38" s="588">
        <v>0</v>
      </c>
      <c r="AJ38" s="588">
        <v>0</v>
      </c>
      <c r="AK38" s="536">
        <f t="shared" si="0"/>
        <v>7</v>
      </c>
      <c r="AL38" s="416">
        <v>7</v>
      </c>
      <c r="AM38" s="410"/>
      <c r="AN38" s="410"/>
      <c r="AO38" s="410"/>
      <c r="AP38" s="411"/>
      <c r="AQ38" s="411"/>
    </row>
    <row r="39" spans="1:43" ht="18.75" customHeight="1" x14ac:dyDescent="0.25">
      <c r="A39" s="1254"/>
      <c r="B39" s="1270" t="s">
        <v>428</v>
      </c>
      <c r="C39" s="1291" t="s">
        <v>418</v>
      </c>
      <c r="D39" s="1178"/>
      <c r="E39" s="1178"/>
      <c r="F39" s="1179"/>
      <c r="G39" s="542">
        <v>1</v>
      </c>
      <c r="H39" s="542">
        <v>1</v>
      </c>
      <c r="I39" s="542">
        <v>1</v>
      </c>
      <c r="J39" s="542">
        <v>1</v>
      </c>
      <c r="K39" s="542">
        <v>1</v>
      </c>
      <c r="L39" s="542">
        <v>1</v>
      </c>
      <c r="M39" s="542">
        <v>1</v>
      </c>
      <c r="N39" s="542">
        <v>1</v>
      </c>
      <c r="O39" s="542">
        <v>1</v>
      </c>
      <c r="P39" s="542">
        <v>1</v>
      </c>
      <c r="Q39" s="562">
        <v>1</v>
      </c>
      <c r="R39" s="562">
        <v>1</v>
      </c>
      <c r="S39" s="562">
        <v>1</v>
      </c>
      <c r="T39" s="562">
        <v>1</v>
      </c>
      <c r="U39" s="541"/>
      <c r="V39" s="683">
        <v>1</v>
      </c>
      <c r="W39" s="683">
        <v>1</v>
      </c>
      <c r="X39" s="683">
        <v>1</v>
      </c>
      <c r="Y39" s="683">
        <v>1</v>
      </c>
      <c r="Z39" s="683">
        <v>1</v>
      </c>
      <c r="AA39" s="683">
        <v>1</v>
      </c>
      <c r="AB39" s="684">
        <v>1</v>
      </c>
      <c r="AC39" s="549"/>
      <c r="AD39" s="538">
        <v>1</v>
      </c>
      <c r="AE39" s="563">
        <v>1</v>
      </c>
      <c r="AF39" s="593"/>
      <c r="AG39" s="550">
        <v>1</v>
      </c>
      <c r="AH39" s="686">
        <v>1</v>
      </c>
      <c r="AI39" s="588">
        <v>1</v>
      </c>
      <c r="AJ39" s="588">
        <v>1</v>
      </c>
      <c r="AK39" s="536">
        <f t="shared" si="0"/>
        <v>27</v>
      </c>
      <c r="AL39" s="416">
        <v>27</v>
      </c>
      <c r="AM39" s="410"/>
      <c r="AN39" s="410"/>
      <c r="AO39" s="410"/>
      <c r="AP39" s="411"/>
      <c r="AQ39" s="411"/>
    </row>
    <row r="40" spans="1:43" ht="18.75" customHeight="1" x14ac:dyDescent="0.25">
      <c r="A40" s="1254"/>
      <c r="B40" s="1165"/>
      <c r="C40" s="1291" t="s">
        <v>419</v>
      </c>
      <c r="D40" s="1178"/>
      <c r="E40" s="1178"/>
      <c r="F40" s="1179"/>
      <c r="G40" s="542">
        <v>1</v>
      </c>
      <c r="H40" s="542">
        <v>1</v>
      </c>
      <c r="I40" s="542">
        <v>2</v>
      </c>
      <c r="J40" s="542">
        <v>1</v>
      </c>
      <c r="K40" s="542">
        <v>1</v>
      </c>
      <c r="L40" s="542">
        <v>0</v>
      </c>
      <c r="M40" s="542">
        <v>1</v>
      </c>
      <c r="N40" s="542">
        <v>1</v>
      </c>
      <c r="O40" s="542">
        <v>0</v>
      </c>
      <c r="P40" s="542">
        <v>1</v>
      </c>
      <c r="Q40" s="562">
        <v>1</v>
      </c>
      <c r="R40" s="562">
        <v>0</v>
      </c>
      <c r="S40" s="562">
        <v>0</v>
      </c>
      <c r="T40" s="562">
        <v>0</v>
      </c>
      <c r="U40" s="497"/>
      <c r="V40" s="683">
        <v>1</v>
      </c>
      <c r="W40" s="683">
        <v>1</v>
      </c>
      <c r="X40" s="683">
        <v>0</v>
      </c>
      <c r="Y40" s="683">
        <v>1</v>
      </c>
      <c r="Z40" s="683">
        <v>1</v>
      </c>
      <c r="AA40" s="683">
        <v>2</v>
      </c>
      <c r="AB40" s="684">
        <v>2</v>
      </c>
      <c r="AC40" s="549"/>
      <c r="AD40" s="538">
        <v>2</v>
      </c>
      <c r="AE40" s="563">
        <v>2</v>
      </c>
      <c r="AF40" s="593"/>
      <c r="AG40" s="550">
        <v>0</v>
      </c>
      <c r="AH40" s="686">
        <v>0</v>
      </c>
      <c r="AI40" s="588">
        <v>3</v>
      </c>
      <c r="AJ40" s="588">
        <v>5</v>
      </c>
      <c r="AK40" s="536">
        <f t="shared" si="0"/>
        <v>30</v>
      </c>
      <c r="AL40" s="416">
        <v>30</v>
      </c>
      <c r="AM40" s="410"/>
      <c r="AN40" s="410"/>
      <c r="AO40" s="410"/>
      <c r="AP40" s="411"/>
      <c r="AQ40" s="411"/>
    </row>
    <row r="41" spans="1:43" ht="18.75" customHeight="1" x14ac:dyDescent="0.25">
      <c r="A41" s="1254"/>
      <c r="B41" s="1270" t="s">
        <v>429</v>
      </c>
      <c r="C41" s="1291" t="s">
        <v>418</v>
      </c>
      <c r="D41" s="1178"/>
      <c r="E41" s="1178"/>
      <c r="F41" s="1179"/>
      <c r="G41" s="468"/>
      <c r="H41" s="468"/>
      <c r="I41" s="468"/>
      <c r="J41" s="418"/>
      <c r="K41" s="468"/>
      <c r="L41" s="468"/>
      <c r="M41" s="542">
        <v>1</v>
      </c>
      <c r="N41" s="468"/>
      <c r="O41" s="468"/>
      <c r="P41" s="542">
        <v>1</v>
      </c>
      <c r="Q41" s="468"/>
      <c r="R41" s="631"/>
      <c r="S41" s="472"/>
      <c r="T41" s="472"/>
      <c r="U41" s="631"/>
      <c r="V41" s="683">
        <v>1</v>
      </c>
      <c r="W41" s="683">
        <v>1</v>
      </c>
      <c r="X41" s="683">
        <v>1</v>
      </c>
      <c r="Y41" s="683">
        <v>1</v>
      </c>
      <c r="Z41" s="683">
        <v>1</v>
      </c>
      <c r="AA41" s="683">
        <v>1</v>
      </c>
      <c r="AB41" s="684"/>
      <c r="AC41" s="538"/>
      <c r="AD41" s="538"/>
      <c r="AE41" s="563"/>
      <c r="AF41" s="593"/>
      <c r="AG41" s="550">
        <v>1</v>
      </c>
      <c r="AH41" s="686">
        <v>1</v>
      </c>
      <c r="AI41" s="588">
        <v>1</v>
      </c>
      <c r="AJ41" s="588">
        <v>1</v>
      </c>
      <c r="AK41" s="536">
        <f t="shared" si="0"/>
        <v>12</v>
      </c>
      <c r="AL41" s="416">
        <v>12</v>
      </c>
      <c r="AM41" s="410"/>
      <c r="AN41" s="410"/>
      <c r="AO41" s="410"/>
      <c r="AP41" s="411"/>
      <c r="AQ41" s="411"/>
    </row>
    <row r="42" spans="1:43" ht="18.75" customHeight="1" x14ac:dyDescent="0.25">
      <c r="A42" s="1254"/>
      <c r="B42" s="1165"/>
      <c r="C42" s="1291" t="s">
        <v>419</v>
      </c>
      <c r="D42" s="1178"/>
      <c r="E42" s="1178"/>
      <c r="F42" s="1179"/>
      <c r="G42" s="468"/>
      <c r="H42" s="468"/>
      <c r="I42" s="468"/>
      <c r="J42" s="468"/>
      <c r="K42" s="468"/>
      <c r="L42" s="468"/>
      <c r="M42" s="542">
        <v>1</v>
      </c>
      <c r="N42" s="504"/>
      <c r="O42" s="468"/>
      <c r="P42" s="542">
        <v>1</v>
      </c>
      <c r="Q42" s="497"/>
      <c r="R42" s="632"/>
      <c r="S42" s="633"/>
      <c r="T42" s="632"/>
      <c r="U42" s="713"/>
      <c r="V42" s="683">
        <v>0</v>
      </c>
      <c r="W42" s="683">
        <v>0</v>
      </c>
      <c r="X42" s="683">
        <v>0</v>
      </c>
      <c r="Y42" s="683">
        <v>1</v>
      </c>
      <c r="Z42" s="683">
        <v>1</v>
      </c>
      <c r="AA42" s="683">
        <v>1</v>
      </c>
      <c r="AB42" s="634"/>
      <c r="AC42" s="549"/>
      <c r="AD42" s="549"/>
      <c r="AE42" s="532"/>
      <c r="AF42" s="593"/>
      <c r="AG42" s="550">
        <v>0</v>
      </c>
      <c r="AH42" s="686">
        <v>0</v>
      </c>
      <c r="AI42" s="588">
        <v>0</v>
      </c>
      <c r="AJ42" s="588">
        <v>0</v>
      </c>
      <c r="AK42" s="536">
        <f t="shared" si="0"/>
        <v>5</v>
      </c>
      <c r="AL42" s="416">
        <v>5</v>
      </c>
      <c r="AM42" s="410"/>
      <c r="AN42" s="410"/>
      <c r="AO42" s="410"/>
      <c r="AP42" s="411"/>
      <c r="AQ42" s="411"/>
    </row>
    <row r="43" spans="1:43" ht="18.75" customHeight="1" x14ac:dyDescent="0.25">
      <c r="A43" s="1254"/>
      <c r="B43" s="1270" t="s">
        <v>430</v>
      </c>
      <c r="C43" s="1291" t="s">
        <v>418</v>
      </c>
      <c r="D43" s="1178"/>
      <c r="E43" s="1178"/>
      <c r="F43" s="1179"/>
      <c r="G43" s="468"/>
      <c r="H43" s="468"/>
      <c r="I43" s="468"/>
      <c r="J43" s="468"/>
      <c r="K43" s="468"/>
      <c r="L43" s="468"/>
      <c r="M43" s="468"/>
      <c r="N43" s="468"/>
      <c r="O43" s="468"/>
      <c r="P43" s="468"/>
      <c r="Q43" s="497"/>
      <c r="R43" s="632"/>
      <c r="S43" s="632"/>
      <c r="T43" s="632"/>
      <c r="U43" s="713"/>
      <c r="V43" s="683">
        <v>1</v>
      </c>
      <c r="W43" s="683">
        <v>1</v>
      </c>
      <c r="X43" s="683">
        <v>1</v>
      </c>
      <c r="Y43" s="683">
        <v>1</v>
      </c>
      <c r="Z43" s="683">
        <v>1</v>
      </c>
      <c r="AA43" s="683">
        <v>1</v>
      </c>
      <c r="AB43" s="634"/>
      <c r="AC43" s="549"/>
      <c r="AD43" s="549"/>
      <c r="AE43" s="532"/>
      <c r="AF43" s="593"/>
      <c r="AG43" s="550">
        <v>1</v>
      </c>
      <c r="AH43" s="686">
        <v>1</v>
      </c>
      <c r="AI43" s="588">
        <v>1</v>
      </c>
      <c r="AJ43" s="588">
        <v>1</v>
      </c>
      <c r="AK43" s="536">
        <f t="shared" si="0"/>
        <v>10</v>
      </c>
      <c r="AL43" s="416">
        <v>10</v>
      </c>
      <c r="AM43" s="410"/>
      <c r="AN43" s="410"/>
      <c r="AO43" s="410"/>
      <c r="AP43" s="411"/>
      <c r="AQ43" s="411"/>
    </row>
    <row r="44" spans="1:43" ht="18.75" customHeight="1" x14ac:dyDescent="0.25">
      <c r="A44" s="1255"/>
      <c r="B44" s="1176"/>
      <c r="C44" s="1297" t="s">
        <v>419</v>
      </c>
      <c r="D44" s="1285"/>
      <c r="E44" s="1285"/>
      <c r="F44" s="1286"/>
      <c r="G44" s="506"/>
      <c r="H44" s="506"/>
      <c r="I44" s="506"/>
      <c r="J44" s="506"/>
      <c r="K44" s="506"/>
      <c r="L44" s="506"/>
      <c r="M44" s="506"/>
      <c r="N44" s="506"/>
      <c r="O44" s="506"/>
      <c r="P44" s="506"/>
      <c r="Q44" s="507"/>
      <c r="R44" s="635"/>
      <c r="S44" s="509"/>
      <c r="T44" s="499"/>
      <c r="U44" s="500"/>
      <c r="V44" s="683">
        <v>0</v>
      </c>
      <c r="W44" s="683">
        <v>0</v>
      </c>
      <c r="X44" s="683">
        <v>0</v>
      </c>
      <c r="Y44" s="683">
        <v>0</v>
      </c>
      <c r="Z44" s="683">
        <v>0</v>
      </c>
      <c r="AA44" s="683">
        <v>0</v>
      </c>
      <c r="AB44" s="634"/>
      <c r="AC44" s="549"/>
      <c r="AD44" s="549"/>
      <c r="AE44" s="532"/>
      <c r="AF44" s="593"/>
      <c r="AG44" s="550">
        <v>0</v>
      </c>
      <c r="AH44" s="686">
        <v>0</v>
      </c>
      <c r="AI44" s="588">
        <v>0</v>
      </c>
      <c r="AJ44" s="588">
        <v>0</v>
      </c>
      <c r="AK44" s="536">
        <f t="shared" si="0"/>
        <v>0</v>
      </c>
      <c r="AL44" s="416">
        <v>0</v>
      </c>
      <c r="AM44" s="410"/>
      <c r="AN44" s="410"/>
      <c r="AO44" s="410"/>
      <c r="AP44" s="411"/>
      <c r="AQ44" s="411"/>
    </row>
    <row r="45" spans="1:43" ht="18.75" customHeight="1" x14ac:dyDescent="0.3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307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513" t="s">
        <v>111</v>
      </c>
      <c r="V45" s="672" t="s">
        <v>45</v>
      </c>
      <c r="W45" s="672" t="s">
        <v>49</v>
      </c>
      <c r="X45" s="672" t="s">
        <v>399</v>
      </c>
      <c r="Y45" s="672" t="s">
        <v>341</v>
      </c>
      <c r="Z45" s="672" t="s">
        <v>321</v>
      </c>
      <c r="AA45" s="672" t="s">
        <v>474</v>
      </c>
      <c r="AB45" s="714" t="s">
        <v>454</v>
      </c>
      <c r="AC45" s="636" t="s">
        <v>116</v>
      </c>
      <c r="AD45" s="636" t="s">
        <v>80</v>
      </c>
      <c r="AE45" s="636" t="s">
        <v>117</v>
      </c>
      <c r="AF45" s="636" t="s">
        <v>106</v>
      </c>
      <c r="AG45" s="636" t="s">
        <v>347</v>
      </c>
      <c r="AH45" s="636" t="s">
        <v>70</v>
      </c>
      <c r="AI45" s="715" t="s">
        <v>72</v>
      </c>
      <c r="AJ45" s="715" t="s">
        <v>75</v>
      </c>
      <c r="AK45" s="536">
        <f t="shared" si="0"/>
        <v>0</v>
      </c>
      <c r="AL45" s="515">
        <v>0</v>
      </c>
      <c r="AM45" s="409"/>
      <c r="AN45" s="410"/>
      <c r="AO45" s="410"/>
      <c r="AP45" s="411"/>
      <c r="AQ45" s="411"/>
    </row>
    <row r="46" spans="1:43" ht="18.75" customHeight="1" x14ac:dyDescent="0.25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784">
        <v>0</v>
      </c>
      <c r="W46" s="683">
        <v>0</v>
      </c>
      <c r="X46" s="683">
        <v>0</v>
      </c>
      <c r="Y46" s="785">
        <v>0</v>
      </c>
      <c r="Z46" s="683">
        <v>0</v>
      </c>
      <c r="AA46" s="683">
        <v>0</v>
      </c>
      <c r="AB46" s="634"/>
      <c r="AC46" s="549"/>
      <c r="AD46" s="549"/>
      <c r="AE46" s="532"/>
      <c r="AF46" s="593"/>
      <c r="AG46" s="550">
        <v>0</v>
      </c>
      <c r="AH46" s="588">
        <v>0</v>
      </c>
      <c r="AI46" s="588">
        <v>0</v>
      </c>
      <c r="AJ46" s="588">
        <v>0</v>
      </c>
      <c r="AK46" s="536">
        <f t="shared" si="0"/>
        <v>0</v>
      </c>
      <c r="AL46" s="416">
        <v>0</v>
      </c>
      <c r="AM46" s="410"/>
      <c r="AN46" s="410"/>
      <c r="AO46" s="410"/>
      <c r="AP46" s="411"/>
      <c r="AQ46" s="411"/>
    </row>
    <row r="47" spans="1:43" ht="18.75" customHeight="1" x14ac:dyDescent="0.25">
      <c r="A47" s="1164"/>
      <c r="B47" s="519" t="s">
        <v>433</v>
      </c>
      <c r="C47" s="1295"/>
      <c r="D47" s="1201"/>
      <c r="E47" s="1201"/>
      <c r="F47" s="1173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786">
        <v>0</v>
      </c>
      <c r="W47" s="683">
        <v>0</v>
      </c>
      <c r="X47" s="683">
        <v>0</v>
      </c>
      <c r="Y47" s="787">
        <v>0</v>
      </c>
      <c r="Z47" s="683">
        <v>1</v>
      </c>
      <c r="AA47" s="683">
        <v>0</v>
      </c>
      <c r="AB47" s="634"/>
      <c r="AC47" s="549"/>
      <c r="AD47" s="549"/>
      <c r="AE47" s="532"/>
      <c r="AF47" s="593"/>
      <c r="AG47" s="550">
        <v>0</v>
      </c>
      <c r="AH47" s="588">
        <v>0</v>
      </c>
      <c r="AI47" s="588">
        <v>0</v>
      </c>
      <c r="AJ47" s="588">
        <v>0</v>
      </c>
      <c r="AK47" s="536">
        <f t="shared" si="0"/>
        <v>1</v>
      </c>
      <c r="AL47" s="416">
        <v>1</v>
      </c>
      <c r="AM47" s="410"/>
      <c r="AN47" s="410"/>
      <c r="AO47" s="410"/>
      <c r="AP47" s="411"/>
      <c r="AQ47" s="411"/>
    </row>
    <row r="48" spans="1:43" ht="18.75" customHeight="1" x14ac:dyDescent="0.3">
      <c r="A48" s="1164"/>
      <c r="B48" s="519" t="s">
        <v>434</v>
      </c>
      <c r="C48" s="1295"/>
      <c r="D48" s="1201"/>
      <c r="E48" s="1201"/>
      <c r="F48" s="1173"/>
      <c r="G48" s="518"/>
      <c r="H48" s="518"/>
      <c r="I48" s="518"/>
      <c r="J48" s="518"/>
      <c r="K48" s="637">
        <v>6</v>
      </c>
      <c r="L48" s="637"/>
      <c r="M48" s="637"/>
      <c r="N48" s="637"/>
      <c r="O48" s="518"/>
      <c r="P48" s="637"/>
      <c r="Q48" s="518"/>
      <c r="R48" s="418"/>
      <c r="S48" s="418"/>
      <c r="T48" s="418"/>
      <c r="U48" s="420"/>
      <c r="V48" s="786">
        <v>0</v>
      </c>
      <c r="W48" s="683">
        <v>1</v>
      </c>
      <c r="X48" s="683">
        <v>1</v>
      </c>
      <c r="Y48" s="788">
        <v>0</v>
      </c>
      <c r="Z48" s="683">
        <v>0</v>
      </c>
      <c r="AA48" s="683">
        <v>0</v>
      </c>
      <c r="AB48" s="634"/>
      <c r="AC48" s="549"/>
      <c r="AD48" s="549"/>
      <c r="AE48" s="532"/>
      <c r="AF48" s="593"/>
      <c r="AG48" s="550">
        <v>1</v>
      </c>
      <c r="AH48" s="588">
        <v>0</v>
      </c>
      <c r="AI48" s="588">
        <v>0</v>
      </c>
      <c r="AJ48" s="588">
        <v>0</v>
      </c>
      <c r="AK48" s="536">
        <f t="shared" si="0"/>
        <v>9</v>
      </c>
      <c r="AL48" s="416">
        <v>9</v>
      </c>
      <c r="AM48" s="410"/>
      <c r="AN48" s="410"/>
      <c r="AO48" s="410"/>
      <c r="AP48" s="411"/>
      <c r="AQ48" s="411"/>
    </row>
    <row r="49" spans="1:43" ht="18.75" customHeight="1" x14ac:dyDescent="0.25">
      <c r="A49" s="1164"/>
      <c r="B49" s="519" t="s">
        <v>435</v>
      </c>
      <c r="C49" s="1295"/>
      <c r="D49" s="1201"/>
      <c r="E49" s="1201"/>
      <c r="F49" s="1173"/>
      <c r="G49" s="518"/>
      <c r="H49" s="518"/>
      <c r="I49" s="518"/>
      <c r="J49" s="518"/>
      <c r="K49" s="518"/>
      <c r="L49" s="518"/>
      <c r="M49" s="518"/>
      <c r="N49" s="518"/>
      <c r="O49" s="518"/>
      <c r="P49" s="518"/>
      <c r="Q49" s="518"/>
      <c r="R49" s="418"/>
      <c r="S49" s="418"/>
      <c r="T49" s="418"/>
      <c r="U49" s="420"/>
      <c r="V49" s="786">
        <v>0</v>
      </c>
      <c r="W49" s="683">
        <v>0</v>
      </c>
      <c r="X49" s="683">
        <v>0</v>
      </c>
      <c r="Y49" s="787">
        <v>0</v>
      </c>
      <c r="Z49" s="683">
        <v>0</v>
      </c>
      <c r="AA49" s="683">
        <v>0</v>
      </c>
      <c r="AB49" s="634"/>
      <c r="AC49" s="549"/>
      <c r="AD49" s="549"/>
      <c r="AE49" s="532"/>
      <c r="AF49" s="593"/>
      <c r="AG49" s="550">
        <v>0</v>
      </c>
      <c r="AH49" s="588">
        <v>0</v>
      </c>
      <c r="AI49" s="588">
        <v>0</v>
      </c>
      <c r="AJ49" s="588">
        <v>0</v>
      </c>
      <c r="AK49" s="536">
        <f t="shared" si="0"/>
        <v>0</v>
      </c>
      <c r="AL49" s="416">
        <v>0</v>
      </c>
      <c r="AM49" s="410"/>
      <c r="AN49" s="410"/>
      <c r="AO49" s="410"/>
      <c r="AP49" s="411"/>
      <c r="AQ49" s="411"/>
    </row>
    <row r="50" spans="1:43" ht="18.75" customHeight="1" x14ac:dyDescent="0.25">
      <c r="A50" s="1164"/>
      <c r="B50" s="519" t="s">
        <v>436</v>
      </c>
      <c r="C50" s="1295"/>
      <c r="D50" s="1201"/>
      <c r="E50" s="1201"/>
      <c r="F50" s="1173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786">
        <v>0</v>
      </c>
      <c r="W50" s="683">
        <v>1</v>
      </c>
      <c r="X50" s="683">
        <v>0</v>
      </c>
      <c r="Y50" s="787">
        <v>0</v>
      </c>
      <c r="Z50" s="683">
        <v>0</v>
      </c>
      <c r="AA50" s="683">
        <v>0</v>
      </c>
      <c r="AB50" s="634"/>
      <c r="AC50" s="549"/>
      <c r="AD50" s="549"/>
      <c r="AE50" s="532"/>
      <c r="AF50" s="593"/>
      <c r="AG50" s="550">
        <v>0</v>
      </c>
      <c r="AH50" s="588">
        <v>0</v>
      </c>
      <c r="AI50" s="588">
        <v>0</v>
      </c>
      <c r="AJ50" s="588">
        <v>0</v>
      </c>
      <c r="AK50" s="536">
        <f t="shared" si="0"/>
        <v>1</v>
      </c>
      <c r="AL50" s="416">
        <v>1</v>
      </c>
      <c r="AM50" s="410"/>
      <c r="AN50" s="410"/>
      <c r="AO50" s="410"/>
      <c r="AP50" s="411"/>
      <c r="AQ50" s="411"/>
    </row>
    <row r="51" spans="1:43" ht="18.75" customHeight="1" x14ac:dyDescent="0.25">
      <c r="A51" s="1164"/>
      <c r="B51" s="519" t="s">
        <v>437</v>
      </c>
      <c r="C51" s="1295"/>
      <c r="D51" s="1201"/>
      <c r="E51" s="1201"/>
      <c r="F51" s="1173"/>
      <c r="G51" s="518"/>
      <c r="H51" s="518"/>
      <c r="I51" s="637">
        <v>1</v>
      </c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786">
        <v>0</v>
      </c>
      <c r="W51" s="683">
        <v>0</v>
      </c>
      <c r="X51" s="683">
        <v>0</v>
      </c>
      <c r="Y51" s="787">
        <v>0</v>
      </c>
      <c r="Z51" s="683">
        <v>0</v>
      </c>
      <c r="AA51" s="683">
        <v>0</v>
      </c>
      <c r="AB51" s="634"/>
      <c r="AC51" s="549"/>
      <c r="AD51" s="549"/>
      <c r="AE51" s="532"/>
      <c r="AF51" s="593"/>
      <c r="AG51" s="550">
        <v>0</v>
      </c>
      <c r="AH51" s="588">
        <v>0</v>
      </c>
      <c r="AI51" s="588">
        <v>0</v>
      </c>
      <c r="AJ51" s="588">
        <v>0</v>
      </c>
      <c r="AK51" s="536">
        <f t="shared" si="0"/>
        <v>1</v>
      </c>
      <c r="AL51" s="416">
        <v>1</v>
      </c>
      <c r="AM51" s="410"/>
      <c r="AN51" s="410"/>
      <c r="AO51" s="410"/>
      <c r="AP51" s="411"/>
      <c r="AQ51" s="411"/>
    </row>
    <row r="52" spans="1:43" ht="18.75" customHeight="1" x14ac:dyDescent="0.25">
      <c r="A52" s="1164"/>
      <c r="B52" s="519" t="s">
        <v>438</v>
      </c>
      <c r="C52" s="1295"/>
      <c r="D52" s="1201"/>
      <c r="E52" s="1201"/>
      <c r="F52" s="1173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786">
        <v>0</v>
      </c>
      <c r="W52" s="683">
        <v>0</v>
      </c>
      <c r="X52" s="683">
        <v>0</v>
      </c>
      <c r="Y52" s="787">
        <v>0</v>
      </c>
      <c r="Z52" s="683">
        <v>1</v>
      </c>
      <c r="AA52" s="683">
        <v>0</v>
      </c>
      <c r="AB52" s="634"/>
      <c r="AC52" s="549"/>
      <c r="AD52" s="549"/>
      <c r="AE52" s="532"/>
      <c r="AF52" s="593"/>
      <c r="AG52" s="550">
        <v>0</v>
      </c>
      <c r="AH52" s="588">
        <v>0</v>
      </c>
      <c r="AI52" s="588">
        <v>0</v>
      </c>
      <c r="AJ52" s="588">
        <v>0</v>
      </c>
      <c r="AK52" s="536">
        <f t="shared" si="0"/>
        <v>1</v>
      </c>
      <c r="AL52" s="416">
        <v>1</v>
      </c>
      <c r="AM52" s="410"/>
      <c r="AN52" s="410"/>
      <c r="AO52" s="410"/>
      <c r="AP52" s="411"/>
      <c r="AQ52" s="411"/>
    </row>
    <row r="53" spans="1:43" ht="18.75" customHeight="1" x14ac:dyDescent="0.25">
      <c r="A53" s="1164"/>
      <c r="B53" s="519" t="s">
        <v>439</v>
      </c>
      <c r="C53" s="1295"/>
      <c r="D53" s="1201"/>
      <c r="E53" s="1201"/>
      <c r="F53" s="1173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786">
        <v>0</v>
      </c>
      <c r="W53" s="683">
        <v>0</v>
      </c>
      <c r="X53" s="683">
        <v>1</v>
      </c>
      <c r="Y53" s="787">
        <v>0</v>
      </c>
      <c r="Z53" s="683">
        <v>0</v>
      </c>
      <c r="AA53" s="683">
        <v>0</v>
      </c>
      <c r="AB53" s="634"/>
      <c r="AC53" s="549"/>
      <c r="AD53" s="549"/>
      <c r="AE53" s="532"/>
      <c r="AF53" s="593"/>
      <c r="AG53" s="550">
        <v>0</v>
      </c>
      <c r="AH53" s="588">
        <v>0</v>
      </c>
      <c r="AI53" s="588">
        <v>0</v>
      </c>
      <c r="AJ53" s="588">
        <v>0</v>
      </c>
      <c r="AK53" s="536">
        <f t="shared" si="0"/>
        <v>1</v>
      </c>
      <c r="AL53" s="416">
        <v>1</v>
      </c>
      <c r="AM53" s="410"/>
      <c r="AN53" s="410"/>
      <c r="AO53" s="410"/>
      <c r="AP53" s="411"/>
      <c r="AQ53" s="411"/>
    </row>
    <row r="54" spans="1:43" ht="18.75" customHeight="1" x14ac:dyDescent="0.25">
      <c r="A54" s="1164"/>
      <c r="B54" s="519" t="s">
        <v>440</v>
      </c>
      <c r="C54" s="1295"/>
      <c r="D54" s="1201"/>
      <c r="E54" s="1201"/>
      <c r="F54" s="1173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786">
        <v>0</v>
      </c>
      <c r="W54" s="683">
        <v>0</v>
      </c>
      <c r="X54" s="683">
        <v>0</v>
      </c>
      <c r="Y54" s="787">
        <v>0</v>
      </c>
      <c r="Z54" s="683">
        <v>0</v>
      </c>
      <c r="AA54" s="683">
        <v>0</v>
      </c>
      <c r="AB54" s="634"/>
      <c r="AC54" s="549"/>
      <c r="AD54" s="549"/>
      <c r="AE54" s="532"/>
      <c r="AF54" s="593"/>
      <c r="AG54" s="550">
        <v>0</v>
      </c>
      <c r="AH54" s="588">
        <v>0</v>
      </c>
      <c r="AI54" s="588">
        <v>0</v>
      </c>
      <c r="AJ54" s="588">
        <v>0</v>
      </c>
      <c r="AK54" s="536">
        <f t="shared" si="0"/>
        <v>0</v>
      </c>
      <c r="AL54" s="416">
        <v>0</v>
      </c>
      <c r="AM54" s="410"/>
      <c r="AN54" s="410"/>
      <c r="AO54" s="410"/>
      <c r="AP54" s="411"/>
      <c r="AQ54" s="411"/>
    </row>
    <row r="55" spans="1:43" ht="18.75" customHeight="1" x14ac:dyDescent="0.25">
      <c r="A55" s="1164"/>
      <c r="B55" s="519" t="s">
        <v>441</v>
      </c>
      <c r="C55" s="1295"/>
      <c r="D55" s="1201"/>
      <c r="E55" s="1201"/>
      <c r="F55" s="1173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786">
        <v>0</v>
      </c>
      <c r="W55" s="683">
        <v>0</v>
      </c>
      <c r="X55" s="683">
        <v>0</v>
      </c>
      <c r="Y55" s="787">
        <v>0</v>
      </c>
      <c r="Z55" s="683">
        <v>0</v>
      </c>
      <c r="AA55" s="683">
        <v>0</v>
      </c>
      <c r="AB55" s="634"/>
      <c r="AC55" s="549"/>
      <c r="AD55" s="549"/>
      <c r="AE55" s="532"/>
      <c r="AF55" s="593"/>
      <c r="AG55" s="550">
        <v>0</v>
      </c>
      <c r="AH55" s="588">
        <v>0</v>
      </c>
      <c r="AI55" s="588">
        <v>0</v>
      </c>
      <c r="AJ55" s="588">
        <v>0</v>
      </c>
      <c r="AK55" s="536">
        <f t="shared" si="0"/>
        <v>0</v>
      </c>
      <c r="AL55" s="416">
        <v>0</v>
      </c>
      <c r="AM55" s="410"/>
      <c r="AN55" s="410"/>
      <c r="AO55" s="410"/>
      <c r="AP55" s="411"/>
      <c r="AQ55" s="411"/>
    </row>
    <row r="56" spans="1:43" ht="18.75" customHeight="1" x14ac:dyDescent="0.25">
      <c r="A56" s="1164"/>
      <c r="B56" s="519" t="s">
        <v>442</v>
      </c>
      <c r="C56" s="1295"/>
      <c r="D56" s="1201"/>
      <c r="E56" s="1201"/>
      <c r="F56" s="1173"/>
      <c r="G56" s="518"/>
      <c r="H56" s="518"/>
      <c r="I56" s="518"/>
      <c r="J56" s="518"/>
      <c r="K56" s="518"/>
      <c r="L56" s="518"/>
      <c r="M56" s="518"/>
      <c r="N56" s="518"/>
      <c r="O56" s="518"/>
      <c r="P56" s="637"/>
      <c r="Q56" s="518"/>
      <c r="R56" s="418"/>
      <c r="S56" s="418"/>
      <c r="T56" s="418"/>
      <c r="U56" s="420"/>
      <c r="V56" s="786">
        <v>0</v>
      </c>
      <c r="W56" s="683">
        <v>0</v>
      </c>
      <c r="X56" s="683">
        <v>0</v>
      </c>
      <c r="Y56" s="787">
        <v>0</v>
      </c>
      <c r="Z56" s="683">
        <v>0</v>
      </c>
      <c r="AA56" s="683">
        <v>0</v>
      </c>
      <c r="AB56" s="634"/>
      <c r="AC56" s="549"/>
      <c r="AD56" s="549"/>
      <c r="AE56" s="532"/>
      <c r="AF56" s="593"/>
      <c r="AG56" s="550">
        <v>0</v>
      </c>
      <c r="AH56" s="588">
        <v>0</v>
      </c>
      <c r="AI56" s="588">
        <v>0</v>
      </c>
      <c r="AJ56" s="588">
        <v>0</v>
      </c>
      <c r="AK56" s="536">
        <f t="shared" si="0"/>
        <v>0</v>
      </c>
      <c r="AL56" s="416">
        <v>0</v>
      </c>
      <c r="AM56" s="410"/>
      <c r="AN56" s="410"/>
      <c r="AO56" s="410"/>
      <c r="AP56" s="411"/>
      <c r="AQ56" s="411"/>
    </row>
    <row r="57" spans="1:43" ht="18.75" customHeight="1" x14ac:dyDescent="0.25">
      <c r="A57" s="1164"/>
      <c r="B57" s="519" t="s">
        <v>443</v>
      </c>
      <c r="C57" s="1295"/>
      <c r="D57" s="1201"/>
      <c r="E57" s="1201"/>
      <c r="F57" s="1173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786">
        <v>0</v>
      </c>
      <c r="W57" s="683">
        <v>0</v>
      </c>
      <c r="X57" s="683">
        <v>0</v>
      </c>
      <c r="Y57" s="787">
        <v>0</v>
      </c>
      <c r="Z57" s="683">
        <v>0</v>
      </c>
      <c r="AA57" s="683">
        <v>0</v>
      </c>
      <c r="AB57" s="634"/>
      <c r="AC57" s="549"/>
      <c r="AD57" s="549"/>
      <c r="AE57" s="532"/>
      <c r="AF57" s="593"/>
      <c r="AG57" s="550">
        <v>0</v>
      </c>
      <c r="AH57" s="588">
        <v>0</v>
      </c>
      <c r="AI57" s="588">
        <v>0</v>
      </c>
      <c r="AJ57" s="588">
        <v>0</v>
      </c>
      <c r="AK57" s="536">
        <f t="shared" si="0"/>
        <v>0</v>
      </c>
      <c r="AL57" s="416">
        <v>0</v>
      </c>
      <c r="AM57" s="410"/>
      <c r="AN57" s="410"/>
      <c r="AO57" s="410"/>
      <c r="AP57" s="411"/>
      <c r="AQ57" s="411"/>
    </row>
    <row r="58" spans="1:43" ht="18.75" customHeight="1" x14ac:dyDescent="0.25">
      <c r="A58" s="1164"/>
      <c r="B58" s="519" t="s">
        <v>444</v>
      </c>
      <c r="C58" s="1295"/>
      <c r="D58" s="1201"/>
      <c r="E58" s="1201"/>
      <c r="F58" s="1173"/>
      <c r="G58" s="518"/>
      <c r="H58" s="518"/>
      <c r="I58" s="518"/>
      <c r="J58" s="518"/>
      <c r="K58" s="518"/>
      <c r="L58" s="518"/>
      <c r="M58" s="518"/>
      <c r="N58" s="518"/>
      <c r="O58" s="518"/>
      <c r="P58" s="637"/>
      <c r="Q58" s="518"/>
      <c r="R58" s="418"/>
      <c r="S58" s="418"/>
      <c r="T58" s="418"/>
      <c r="U58" s="420"/>
      <c r="V58" s="786">
        <v>0</v>
      </c>
      <c r="W58" s="683">
        <v>0</v>
      </c>
      <c r="X58" s="683">
        <v>0</v>
      </c>
      <c r="Y58" s="787">
        <v>0</v>
      </c>
      <c r="Z58" s="683">
        <v>0</v>
      </c>
      <c r="AA58" s="683">
        <v>0</v>
      </c>
      <c r="AB58" s="634"/>
      <c r="AC58" s="549"/>
      <c r="AD58" s="549"/>
      <c r="AE58" s="532"/>
      <c r="AF58" s="593"/>
      <c r="AG58" s="550">
        <v>0</v>
      </c>
      <c r="AH58" s="588">
        <v>0</v>
      </c>
      <c r="AI58" s="588">
        <v>0</v>
      </c>
      <c r="AJ58" s="588">
        <v>0</v>
      </c>
      <c r="AK58" s="536">
        <f t="shared" si="0"/>
        <v>0</v>
      </c>
      <c r="AL58" s="416">
        <v>0</v>
      </c>
      <c r="AM58" s="410"/>
      <c r="AN58" s="410"/>
      <c r="AO58" s="410"/>
      <c r="AP58" s="411"/>
      <c r="AQ58" s="411"/>
    </row>
    <row r="59" spans="1:43" ht="18.75" customHeight="1" x14ac:dyDescent="0.3">
      <c r="A59" s="1164"/>
      <c r="B59" s="519" t="s">
        <v>445</v>
      </c>
      <c r="C59" s="1295"/>
      <c r="D59" s="1201"/>
      <c r="E59" s="1201"/>
      <c r="F59" s="1173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786">
        <v>0</v>
      </c>
      <c r="W59" s="683">
        <v>0</v>
      </c>
      <c r="X59" s="683">
        <v>0</v>
      </c>
      <c r="Y59" s="788">
        <v>0</v>
      </c>
      <c r="Z59" s="683">
        <v>0</v>
      </c>
      <c r="AA59" s="683">
        <v>0</v>
      </c>
      <c r="AB59" s="634"/>
      <c r="AC59" s="549"/>
      <c r="AD59" s="549"/>
      <c r="AE59" s="532"/>
      <c r="AF59" s="593"/>
      <c r="AG59" s="550">
        <v>0</v>
      </c>
      <c r="AH59" s="588">
        <v>0</v>
      </c>
      <c r="AI59" s="588">
        <v>0</v>
      </c>
      <c r="AJ59" s="588">
        <v>0</v>
      </c>
      <c r="AK59" s="536">
        <f t="shared" si="0"/>
        <v>0</v>
      </c>
      <c r="AL59" s="416">
        <v>0</v>
      </c>
      <c r="AM59" s="410"/>
      <c r="AN59" s="410"/>
      <c r="AO59" s="410"/>
      <c r="AP59" s="411"/>
      <c r="AQ59" s="411"/>
    </row>
    <row r="60" spans="1:43" ht="18.75" customHeight="1" x14ac:dyDescent="0.25">
      <c r="A60" s="1164"/>
      <c r="B60" s="519" t="s">
        <v>446</v>
      </c>
      <c r="C60" s="1295"/>
      <c r="D60" s="1201"/>
      <c r="E60" s="1201"/>
      <c r="F60" s="1173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637"/>
      <c r="R60" s="418"/>
      <c r="S60" s="418"/>
      <c r="T60" s="542">
        <v>4</v>
      </c>
      <c r="U60" s="420"/>
      <c r="V60" s="786">
        <v>0</v>
      </c>
      <c r="W60" s="683">
        <v>0</v>
      </c>
      <c r="X60" s="683">
        <v>0</v>
      </c>
      <c r="Y60" s="787">
        <v>0</v>
      </c>
      <c r="Z60" s="683">
        <v>0</v>
      </c>
      <c r="AA60" s="683">
        <v>2</v>
      </c>
      <c r="AB60" s="634"/>
      <c r="AC60" s="549"/>
      <c r="AD60" s="549"/>
      <c r="AE60" s="532"/>
      <c r="AF60" s="593"/>
      <c r="AG60" s="550">
        <v>0</v>
      </c>
      <c r="AH60" s="588">
        <v>0</v>
      </c>
      <c r="AI60" s="588">
        <v>0</v>
      </c>
      <c r="AJ60" s="588">
        <v>0</v>
      </c>
      <c r="AK60" s="536">
        <f t="shared" si="0"/>
        <v>6</v>
      </c>
      <c r="AL60" s="416">
        <v>6</v>
      </c>
      <c r="AM60" s="410"/>
      <c r="AN60" s="410"/>
      <c r="AO60" s="410"/>
      <c r="AP60" s="411"/>
      <c r="AQ60" s="411"/>
    </row>
    <row r="61" spans="1:43" ht="18.75" customHeight="1" x14ac:dyDescent="0.25">
      <c r="A61" s="1164"/>
      <c r="B61" s="519" t="s">
        <v>447</v>
      </c>
      <c r="C61" s="1295"/>
      <c r="D61" s="1201"/>
      <c r="E61" s="1201"/>
      <c r="F61" s="1173"/>
      <c r="G61" s="518"/>
      <c r="H61" s="637"/>
      <c r="I61" s="518"/>
      <c r="J61" s="637"/>
      <c r="K61" s="518"/>
      <c r="L61" s="518"/>
      <c r="M61" s="518"/>
      <c r="N61" s="637"/>
      <c r="O61" s="518"/>
      <c r="P61" s="637"/>
      <c r="Q61" s="637"/>
      <c r="R61" s="542"/>
      <c r="S61" s="418"/>
      <c r="T61" s="418"/>
      <c r="U61" s="420"/>
      <c r="V61" s="786">
        <v>0</v>
      </c>
      <c r="W61" s="683">
        <v>5</v>
      </c>
      <c r="X61" s="683">
        <v>37</v>
      </c>
      <c r="Y61" s="787">
        <v>0</v>
      </c>
      <c r="Z61" s="683">
        <v>30</v>
      </c>
      <c r="AA61" s="683">
        <v>0</v>
      </c>
      <c r="AB61" s="634"/>
      <c r="AC61" s="549"/>
      <c r="AD61" s="549"/>
      <c r="AE61" s="532"/>
      <c r="AF61" s="593"/>
      <c r="AG61" s="550">
        <v>0</v>
      </c>
      <c r="AH61" s="588">
        <v>0</v>
      </c>
      <c r="AI61" s="588">
        <v>0</v>
      </c>
      <c r="AJ61" s="588">
        <v>0</v>
      </c>
      <c r="AK61" s="536">
        <f t="shared" si="0"/>
        <v>72</v>
      </c>
      <c r="AL61" s="416">
        <v>72</v>
      </c>
      <c r="AM61" s="410"/>
      <c r="AN61" s="410"/>
      <c r="AO61" s="410"/>
      <c r="AP61" s="411"/>
      <c r="AQ61" s="411"/>
    </row>
    <row r="62" spans="1:43" ht="18.75" customHeight="1" x14ac:dyDescent="0.3">
      <c r="A62" s="1164"/>
      <c r="B62" s="519" t="s">
        <v>448</v>
      </c>
      <c r="C62" s="1295"/>
      <c r="D62" s="1201"/>
      <c r="E62" s="1201"/>
      <c r="F62" s="1173"/>
      <c r="G62" s="518"/>
      <c r="H62" s="637"/>
      <c r="I62" s="518"/>
      <c r="J62" s="518"/>
      <c r="K62" s="518"/>
      <c r="L62" s="518"/>
      <c r="M62" s="518"/>
      <c r="N62" s="637"/>
      <c r="O62" s="518"/>
      <c r="P62" s="518"/>
      <c r="Q62" s="518"/>
      <c r="R62" s="418"/>
      <c r="S62" s="418"/>
      <c r="T62" s="418"/>
      <c r="U62" s="420"/>
      <c r="V62" s="786">
        <v>0</v>
      </c>
      <c r="W62" s="683">
        <v>0</v>
      </c>
      <c r="X62" s="683">
        <v>0</v>
      </c>
      <c r="Y62" s="788">
        <v>0</v>
      </c>
      <c r="Z62" s="683">
        <v>0</v>
      </c>
      <c r="AA62" s="683">
        <v>2</v>
      </c>
      <c r="AB62" s="634"/>
      <c r="AC62" s="549"/>
      <c r="AD62" s="549"/>
      <c r="AE62" s="532"/>
      <c r="AF62" s="593"/>
      <c r="AG62" s="550">
        <v>0</v>
      </c>
      <c r="AH62" s="588">
        <v>0</v>
      </c>
      <c r="AI62" s="588">
        <v>0</v>
      </c>
      <c r="AJ62" s="588">
        <v>0</v>
      </c>
      <c r="AK62" s="536">
        <f t="shared" si="0"/>
        <v>2</v>
      </c>
      <c r="AL62" s="416">
        <v>2</v>
      </c>
      <c r="AM62" s="410"/>
      <c r="AN62" s="410"/>
      <c r="AO62" s="410"/>
      <c r="AP62" s="411"/>
      <c r="AQ62" s="411"/>
    </row>
    <row r="63" spans="1:43" ht="18.75" customHeight="1" x14ac:dyDescent="0.25">
      <c r="A63" s="1164"/>
      <c r="B63" s="519" t="s">
        <v>449</v>
      </c>
      <c r="C63" s="1295"/>
      <c r="D63" s="1201"/>
      <c r="E63" s="1201"/>
      <c r="F63" s="1173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637">
        <v>1</v>
      </c>
      <c r="R63" s="418"/>
      <c r="S63" s="418"/>
      <c r="T63" s="418"/>
      <c r="U63" s="420"/>
      <c r="V63" s="786">
        <v>0</v>
      </c>
      <c r="W63" s="683">
        <v>0</v>
      </c>
      <c r="X63" s="683">
        <v>0</v>
      </c>
      <c r="Y63" s="787">
        <v>0</v>
      </c>
      <c r="Z63" s="683">
        <v>0</v>
      </c>
      <c r="AA63" s="683">
        <v>0</v>
      </c>
      <c r="AB63" s="634"/>
      <c r="AC63" s="549"/>
      <c r="AD63" s="549"/>
      <c r="AE63" s="532"/>
      <c r="AF63" s="593"/>
      <c r="AG63" s="550">
        <v>0</v>
      </c>
      <c r="AH63" s="588">
        <v>0</v>
      </c>
      <c r="AI63" s="588">
        <v>0</v>
      </c>
      <c r="AJ63" s="588">
        <v>0</v>
      </c>
      <c r="AK63" s="536">
        <f t="shared" si="0"/>
        <v>1</v>
      </c>
      <c r="AL63" s="416">
        <v>1</v>
      </c>
      <c r="AM63" s="410"/>
      <c r="AN63" s="410"/>
      <c r="AO63" s="410"/>
      <c r="AP63" s="411"/>
      <c r="AQ63" s="411"/>
    </row>
    <row r="64" spans="1:43" ht="18.75" customHeight="1" x14ac:dyDescent="0.3">
      <c r="A64" s="1164"/>
      <c r="B64" s="519" t="s">
        <v>455</v>
      </c>
      <c r="C64" s="1295"/>
      <c r="D64" s="1201"/>
      <c r="E64" s="1201"/>
      <c r="F64" s="1173"/>
      <c r="G64" s="518"/>
      <c r="H64" s="520"/>
      <c r="I64" s="520"/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786">
        <v>0</v>
      </c>
      <c r="W64" s="683">
        <v>0</v>
      </c>
      <c r="X64" s="683">
        <v>0</v>
      </c>
      <c r="Y64" s="788">
        <v>0</v>
      </c>
      <c r="Z64" s="683">
        <v>0</v>
      </c>
      <c r="AA64" s="683">
        <v>0</v>
      </c>
      <c r="AB64" s="634"/>
      <c r="AC64" s="549"/>
      <c r="AD64" s="549"/>
      <c r="AE64" s="532"/>
      <c r="AF64" s="593"/>
      <c r="AG64" s="550">
        <v>0</v>
      </c>
      <c r="AH64" s="588">
        <v>0</v>
      </c>
      <c r="AI64" s="588">
        <v>0</v>
      </c>
      <c r="AJ64" s="588">
        <v>0</v>
      </c>
      <c r="AK64" s="536">
        <f t="shared" si="0"/>
        <v>0</v>
      </c>
      <c r="AL64" s="416">
        <v>0</v>
      </c>
      <c r="AM64" s="410"/>
      <c r="AN64" s="410"/>
      <c r="AO64" s="410"/>
      <c r="AP64" s="411"/>
      <c r="AQ64" s="411"/>
    </row>
    <row r="65" spans="1:43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520"/>
      <c r="I65" s="520"/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683">
        <v>0</v>
      </c>
      <c r="W65" s="683">
        <v>0</v>
      </c>
      <c r="X65" s="683">
        <v>0</v>
      </c>
      <c r="Y65" s="787">
        <v>0</v>
      </c>
      <c r="Z65" s="683">
        <v>0</v>
      </c>
      <c r="AA65" s="683">
        <v>0</v>
      </c>
      <c r="AB65" s="634"/>
      <c r="AC65" s="549"/>
      <c r="AD65" s="549"/>
      <c r="AE65" s="532"/>
      <c r="AF65" s="593"/>
      <c r="AG65" s="550">
        <v>0</v>
      </c>
      <c r="AH65" s="588">
        <v>0</v>
      </c>
      <c r="AI65" s="789">
        <v>0</v>
      </c>
      <c r="AJ65" s="588">
        <v>0</v>
      </c>
      <c r="AK65" s="536">
        <f t="shared" si="0"/>
        <v>0</v>
      </c>
      <c r="AL65" s="416">
        <v>0</v>
      </c>
      <c r="AM65" s="410"/>
      <c r="AN65" s="410"/>
      <c r="AO65" s="410"/>
      <c r="AP65" s="411"/>
      <c r="AQ65" s="411"/>
    </row>
    <row r="66" spans="1:43" ht="18.75" customHeight="1" x14ac:dyDescent="0.25">
      <c r="A66" s="1165"/>
      <c r="B66" s="519" t="s">
        <v>457</v>
      </c>
      <c r="C66" s="1295"/>
      <c r="D66" s="1201"/>
      <c r="E66" s="1201"/>
      <c r="F66" s="1173"/>
      <c r="G66" s="418"/>
      <c r="H66" s="418"/>
      <c r="I66" s="418"/>
      <c r="J66" s="418"/>
      <c r="K66" s="520"/>
      <c r="L66" s="520"/>
      <c r="M66" s="418"/>
      <c r="N66" s="542"/>
      <c r="O66" s="418"/>
      <c r="P66" s="542"/>
      <c r="Q66" s="637">
        <v>26</v>
      </c>
      <c r="R66" s="542"/>
      <c r="S66" s="418"/>
      <c r="T66" s="418"/>
      <c r="U66" s="420"/>
      <c r="V66" s="683">
        <v>10</v>
      </c>
      <c r="W66" s="790" t="s">
        <v>483</v>
      </c>
      <c r="X66" s="683">
        <v>5</v>
      </c>
      <c r="Y66" s="683">
        <v>44</v>
      </c>
      <c r="Z66" s="683">
        <v>0</v>
      </c>
      <c r="AA66" s="790" t="s">
        <v>484</v>
      </c>
      <c r="AB66" s="634"/>
      <c r="AC66" s="549"/>
      <c r="AD66" s="549"/>
      <c r="AE66" s="532"/>
      <c r="AF66" s="593"/>
      <c r="AG66" s="791">
        <v>90</v>
      </c>
      <c r="AH66" s="792">
        <v>50</v>
      </c>
      <c r="AI66" s="761">
        <v>30</v>
      </c>
      <c r="AJ66" s="588">
        <v>0</v>
      </c>
      <c r="AK66" s="716">
        <f t="shared" si="0"/>
        <v>255</v>
      </c>
      <c r="AL66" s="416">
        <v>255</v>
      </c>
      <c r="AM66" s="410"/>
      <c r="AN66" s="410"/>
      <c r="AO66" s="410"/>
      <c r="AP66" s="411"/>
      <c r="AQ66" s="411"/>
    </row>
    <row r="67" spans="1:43" ht="30" customHeight="1" x14ac:dyDescent="0.3">
      <c r="A67" s="305"/>
      <c r="B67" s="717" t="s">
        <v>482</v>
      </c>
      <c r="C67" s="1295"/>
      <c r="D67" s="1201"/>
      <c r="E67" s="1201"/>
      <c r="F67" s="1173"/>
      <c r="G67" s="1334"/>
      <c r="H67" s="1288"/>
      <c r="I67" s="1288"/>
      <c r="J67" s="1288"/>
      <c r="K67" s="1288"/>
      <c r="L67" s="1288"/>
      <c r="M67" s="1288"/>
      <c r="N67" s="1288"/>
      <c r="O67" s="1288"/>
      <c r="P67" s="1288"/>
      <c r="Q67" s="1288"/>
      <c r="R67" s="1288"/>
      <c r="S67" s="1288"/>
      <c r="T67" s="1288"/>
      <c r="U67" s="1288"/>
      <c r="V67" s="1288"/>
      <c r="W67" s="1288"/>
      <c r="X67" s="1288"/>
      <c r="Y67" s="1288"/>
      <c r="Z67" s="1288"/>
      <c r="AA67" s="1288"/>
      <c r="AB67" s="1288"/>
      <c r="AC67" s="1288"/>
      <c r="AD67" s="1288"/>
      <c r="AE67" s="1288"/>
      <c r="AF67" s="1288"/>
      <c r="AG67" s="1288"/>
      <c r="AH67" s="1288"/>
      <c r="AI67" s="1288"/>
      <c r="AJ67" s="1289"/>
      <c r="AK67" s="718">
        <f>SUM(AK7+AK10+AK15+AK20)</f>
        <v>3060</v>
      </c>
      <c r="AL67" s="416"/>
      <c r="AM67" s="410"/>
      <c r="AN67" s="410"/>
      <c r="AO67" s="410"/>
      <c r="AP67" s="411"/>
      <c r="AQ67" s="411"/>
    </row>
    <row r="68" spans="1:43" ht="23.25" customHeight="1" x14ac:dyDescent="0.3">
      <c r="A68" s="305"/>
      <c r="B68" s="305"/>
      <c r="C68" s="1296"/>
      <c r="D68" s="1288"/>
      <c r="E68" s="1288"/>
      <c r="F68" s="1289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719"/>
      <c r="AL68" s="410"/>
      <c r="AM68" s="410"/>
      <c r="AN68" s="410"/>
      <c r="AO68" s="410"/>
      <c r="AP68" s="411"/>
      <c r="AQ68" s="411"/>
    </row>
    <row r="69" spans="1:43" ht="27" customHeight="1" x14ac:dyDescent="0.25">
      <c r="AQ69" s="411"/>
    </row>
    <row r="70" spans="1:43" ht="18.75" customHeight="1" x14ac:dyDescent="0.25">
      <c r="AQ70" s="522"/>
    </row>
    <row r="71" spans="1:43" ht="15.75" customHeight="1" x14ac:dyDescent="0.25">
      <c r="AQ71" s="522"/>
    </row>
    <row r="72" spans="1:43" ht="12.75" customHeight="1" x14ac:dyDescent="0.25">
      <c r="AQ72" s="522"/>
    </row>
    <row r="73" spans="1:43" ht="12.75" customHeight="1" x14ac:dyDescent="0.25">
      <c r="AQ73" s="522"/>
    </row>
    <row r="74" spans="1:43" ht="12.75" customHeight="1" x14ac:dyDescent="0.25">
      <c r="AQ74" s="522"/>
    </row>
    <row r="75" spans="1:43" ht="12.75" customHeight="1" x14ac:dyDescent="0.25">
      <c r="AQ75" s="522"/>
    </row>
    <row r="76" spans="1:43" ht="12.75" customHeight="1" x14ac:dyDescent="0.25">
      <c r="AQ76" s="522"/>
    </row>
    <row r="77" spans="1:43" ht="12.75" customHeight="1" x14ac:dyDescent="0.25">
      <c r="AQ77" s="522"/>
    </row>
    <row r="78" spans="1:43" ht="12.75" customHeight="1" x14ac:dyDescent="0.25"/>
    <row r="79" spans="1:43" ht="12.75" customHeight="1" x14ac:dyDescent="0.25"/>
    <row r="80" spans="1:43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</sheetData>
  <mergeCells count="54">
    <mergeCell ref="G67:AJ67"/>
    <mergeCell ref="C27:F27"/>
    <mergeCell ref="C28:F28"/>
    <mergeCell ref="C29:F29"/>
    <mergeCell ref="C30:F30"/>
    <mergeCell ref="C31:F31"/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G1:AI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AA1"/>
    <mergeCell ref="AB1:AE1"/>
    <mergeCell ref="C21:F21"/>
    <mergeCell ref="C22:F22"/>
    <mergeCell ref="C23:F23"/>
    <mergeCell ref="C24:F24"/>
    <mergeCell ref="C25:F25"/>
    <mergeCell ref="C26:F26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8"/>
    <mergeCell ref="A37:A44"/>
    <mergeCell ref="B37:B38"/>
    <mergeCell ref="B39:B40"/>
    <mergeCell ref="B41:B42"/>
    <mergeCell ref="B43:B44"/>
    <mergeCell ref="C43:F43"/>
    <mergeCell ref="C44:F44"/>
  </mergeCells>
  <conditionalFormatting sqref="X2">
    <cfRule type="notContainsBlanks" dxfId="3" priority="1">
      <formula>LEN(TRIM(X2))&gt;0</formula>
    </cfRule>
  </conditionalFormatting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004"/>
  <sheetViews>
    <sheetView rightToLeft="1" tabSelected="1" zoomScale="60" zoomScaleNormal="6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C12" sqref="AC12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2.21875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8" width="10.109375" customWidth="1"/>
    <col min="29" max="29" width="9" customWidth="1"/>
    <col min="30" max="30" width="8.77734375" customWidth="1"/>
    <col min="31" max="31" width="9.6640625" customWidth="1"/>
    <col min="32" max="37" width="11.44140625" customWidth="1"/>
    <col min="38" max="38" width="0.88671875" customWidth="1"/>
  </cols>
  <sheetData>
    <row r="1" spans="1:39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473</v>
      </c>
      <c r="W1" s="1178"/>
      <c r="X1" s="1178"/>
      <c r="Y1" s="1178"/>
      <c r="Z1" s="1178"/>
      <c r="AA1" s="1179"/>
      <c r="AB1" s="1332" t="s">
        <v>458</v>
      </c>
      <c r="AC1" s="1178"/>
      <c r="AD1" s="1178"/>
      <c r="AE1" s="1178"/>
      <c r="AF1" s="670" t="s">
        <v>91</v>
      </c>
      <c r="AG1" s="1335" t="s">
        <v>459</v>
      </c>
      <c r="AH1" s="1178"/>
      <c r="AI1" s="1179"/>
      <c r="AJ1" s="671" t="s">
        <v>399</v>
      </c>
      <c r="AK1" s="644"/>
      <c r="AL1" s="399"/>
    </row>
    <row r="2" spans="1:39" ht="33" customHeight="1" x14ac:dyDescent="0.3">
      <c r="A2" s="397"/>
      <c r="B2" s="398"/>
      <c r="C2" s="1312"/>
      <c r="D2" s="1201"/>
      <c r="E2" s="1201"/>
      <c r="F2" s="1201"/>
      <c r="G2" s="793" t="s">
        <v>99</v>
      </c>
      <c r="H2" s="794" t="s">
        <v>100</v>
      </c>
      <c r="I2" s="794" t="s">
        <v>198</v>
      </c>
      <c r="J2" s="795" t="s">
        <v>21</v>
      </c>
      <c r="K2" s="796" t="s">
        <v>102</v>
      </c>
      <c r="L2" s="797" t="s">
        <v>395</v>
      </c>
      <c r="M2" s="795" t="s">
        <v>396</v>
      </c>
      <c r="N2" s="795" t="s">
        <v>105</v>
      </c>
      <c r="O2" s="795" t="s">
        <v>106</v>
      </c>
      <c r="P2" s="795" t="s">
        <v>107</v>
      </c>
      <c r="Q2" s="798" t="s">
        <v>215</v>
      </c>
      <c r="R2" s="799" t="s">
        <v>34</v>
      </c>
      <c r="S2" s="800" t="s">
        <v>397</v>
      </c>
      <c r="T2" s="799" t="s">
        <v>110</v>
      </c>
      <c r="U2" s="801" t="s">
        <v>111</v>
      </c>
      <c r="V2" s="802" t="s">
        <v>45</v>
      </c>
      <c r="W2" s="802" t="s">
        <v>49</v>
      </c>
      <c r="X2" s="803" t="s">
        <v>399</v>
      </c>
      <c r="Y2" s="802" t="s">
        <v>341</v>
      </c>
      <c r="Z2" s="802" t="s">
        <v>321</v>
      </c>
      <c r="AA2" s="802" t="s">
        <v>474</v>
      </c>
      <c r="AB2" s="804" t="s">
        <v>115</v>
      </c>
      <c r="AC2" s="805" t="s">
        <v>116</v>
      </c>
      <c r="AD2" s="805" t="s">
        <v>80</v>
      </c>
      <c r="AE2" s="805" t="s">
        <v>117</v>
      </c>
      <c r="AF2" s="806" t="s">
        <v>460</v>
      </c>
      <c r="AG2" s="807" t="s">
        <v>347</v>
      </c>
      <c r="AH2" s="808" t="s">
        <v>70</v>
      </c>
      <c r="AI2" s="809" t="s">
        <v>72</v>
      </c>
      <c r="AJ2" s="809" t="s">
        <v>75</v>
      </c>
      <c r="AK2" s="534" t="s">
        <v>398</v>
      </c>
      <c r="AL2" s="409"/>
    </row>
    <row r="3" spans="1:39" ht="22.5" customHeight="1" x14ac:dyDescent="0.25">
      <c r="A3" s="1248" t="s">
        <v>401</v>
      </c>
      <c r="B3" s="412" t="s">
        <v>402</v>
      </c>
      <c r="C3" s="1314"/>
      <c r="D3" s="1315"/>
      <c r="E3" s="1315"/>
      <c r="F3" s="1316"/>
      <c r="G3" s="810">
        <v>120</v>
      </c>
      <c r="H3" s="810">
        <v>120</v>
      </c>
      <c r="I3" s="810">
        <v>120</v>
      </c>
      <c r="J3" s="677">
        <v>120</v>
      </c>
      <c r="K3" s="677">
        <v>120</v>
      </c>
      <c r="L3" s="677">
        <v>120</v>
      </c>
      <c r="M3" s="677">
        <v>120</v>
      </c>
      <c r="N3" s="677">
        <v>120</v>
      </c>
      <c r="O3" s="677">
        <v>120</v>
      </c>
      <c r="P3" s="677">
        <v>120</v>
      </c>
      <c r="Q3" s="677">
        <v>120</v>
      </c>
      <c r="R3" s="677">
        <v>120</v>
      </c>
      <c r="S3" s="677">
        <v>120</v>
      </c>
      <c r="T3" s="677">
        <v>120</v>
      </c>
      <c r="U3" s="678">
        <v>0</v>
      </c>
      <c r="V3" s="680">
        <v>120</v>
      </c>
      <c r="W3" s="680">
        <v>120</v>
      </c>
      <c r="X3" s="680">
        <v>120</v>
      </c>
      <c r="Y3" s="680">
        <v>120</v>
      </c>
      <c r="Z3" s="680">
        <v>120</v>
      </c>
      <c r="AA3" s="680">
        <v>120</v>
      </c>
      <c r="AB3" s="681">
        <v>120</v>
      </c>
      <c r="AC3" s="682">
        <v>120</v>
      </c>
      <c r="AD3" s="682">
        <v>120</v>
      </c>
      <c r="AE3" s="682">
        <v>120</v>
      </c>
      <c r="AF3" s="730">
        <v>120</v>
      </c>
      <c r="AG3" s="811">
        <v>120</v>
      </c>
      <c r="AH3" s="812">
        <v>120</v>
      </c>
      <c r="AI3" s="812">
        <v>120</v>
      </c>
      <c r="AJ3" s="812">
        <v>120</v>
      </c>
      <c r="AK3" s="536">
        <f t="shared" ref="AK3:AK66" si="0">SUM(G3:AJ3)</f>
        <v>3480</v>
      </c>
      <c r="AL3" s="410"/>
      <c r="AM3" s="1337">
        <v>3480</v>
      </c>
    </row>
    <row r="4" spans="1:39" ht="27" customHeight="1" x14ac:dyDescent="0.3">
      <c r="A4" s="1249"/>
      <c r="B4" s="417" t="s">
        <v>403</v>
      </c>
      <c r="C4" s="1295"/>
      <c r="D4" s="1201"/>
      <c r="E4" s="1201"/>
      <c r="F4" s="1240"/>
      <c r="G4" s="813">
        <v>80</v>
      </c>
      <c r="H4" s="814">
        <v>120</v>
      </c>
      <c r="I4" s="814">
        <v>123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637">
        <v>126</v>
      </c>
      <c r="W4" s="637">
        <v>50</v>
      </c>
      <c r="X4" s="637">
        <v>99</v>
      </c>
      <c r="Y4" s="637">
        <v>120</v>
      </c>
      <c r="Z4" s="637">
        <v>131</v>
      </c>
      <c r="AA4" s="637">
        <v>181</v>
      </c>
      <c r="AB4" s="684">
        <v>120</v>
      </c>
      <c r="AC4" s="538">
        <v>120</v>
      </c>
      <c r="AD4" s="538">
        <v>120</v>
      </c>
      <c r="AE4" s="539">
        <v>120</v>
      </c>
      <c r="AF4" s="731">
        <v>120</v>
      </c>
      <c r="AG4" s="815">
        <v>80</v>
      </c>
      <c r="AH4" s="815">
        <v>96</v>
      </c>
      <c r="AI4" s="815">
        <v>80</v>
      </c>
      <c r="AJ4" s="815">
        <v>28</v>
      </c>
      <c r="AK4" s="536">
        <f t="shared" si="0"/>
        <v>3124</v>
      </c>
      <c r="AL4" s="422"/>
      <c r="AM4" s="1337">
        <v>3124</v>
      </c>
    </row>
    <row r="5" spans="1:39" ht="24.75" customHeight="1" x14ac:dyDescent="0.25">
      <c r="A5" s="1253" t="s">
        <v>404</v>
      </c>
      <c r="B5" s="423" t="s">
        <v>405</v>
      </c>
      <c r="C5" s="1295"/>
      <c r="D5" s="1201"/>
      <c r="E5" s="1201"/>
      <c r="F5" s="1240"/>
      <c r="G5" s="816">
        <v>50</v>
      </c>
      <c r="H5" s="817">
        <v>50</v>
      </c>
      <c r="I5" s="817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814">
        <v>50</v>
      </c>
      <c r="W5" s="814">
        <v>50</v>
      </c>
      <c r="X5" s="814">
        <v>50</v>
      </c>
      <c r="Y5" s="814">
        <v>50</v>
      </c>
      <c r="Z5" s="814">
        <v>50</v>
      </c>
      <c r="AA5" s="814">
        <v>50</v>
      </c>
      <c r="AB5" s="684">
        <v>50</v>
      </c>
      <c r="AC5" s="538">
        <v>50</v>
      </c>
      <c r="AD5" s="538">
        <v>50</v>
      </c>
      <c r="AE5" s="539">
        <v>50</v>
      </c>
      <c r="AF5" s="732">
        <v>50</v>
      </c>
      <c r="AG5" s="818">
        <v>50</v>
      </c>
      <c r="AH5" s="818">
        <v>50</v>
      </c>
      <c r="AI5" s="815">
        <v>50</v>
      </c>
      <c r="AJ5" s="815">
        <v>50</v>
      </c>
      <c r="AK5" s="536">
        <f t="shared" si="0"/>
        <v>1500</v>
      </c>
      <c r="AL5" s="410"/>
      <c r="AM5" s="1337">
        <v>1500</v>
      </c>
    </row>
    <row r="6" spans="1:39" ht="23.25" customHeight="1" x14ac:dyDescent="0.35">
      <c r="A6" s="1254"/>
      <c r="B6" s="428" t="s">
        <v>406</v>
      </c>
      <c r="C6" s="1295"/>
      <c r="D6" s="1201"/>
      <c r="E6" s="1201"/>
      <c r="F6" s="1240"/>
      <c r="G6" s="816"/>
      <c r="H6" s="819">
        <v>1</v>
      </c>
      <c r="I6" s="819">
        <v>5</v>
      </c>
      <c r="J6" s="544">
        <v>9</v>
      </c>
      <c r="K6" s="544">
        <v>1</v>
      </c>
      <c r="L6" s="544">
        <v>0</v>
      </c>
      <c r="M6" s="544">
        <v>1</v>
      </c>
      <c r="N6" s="545">
        <v>0</v>
      </c>
      <c r="O6" s="545">
        <v>2</v>
      </c>
      <c r="P6" s="546">
        <v>0</v>
      </c>
      <c r="Q6" s="545">
        <v>7</v>
      </c>
      <c r="R6" s="545">
        <v>9</v>
      </c>
      <c r="S6" s="548">
        <v>0</v>
      </c>
      <c r="T6" s="685">
        <v>6</v>
      </c>
      <c r="U6" s="434">
        <v>0</v>
      </c>
      <c r="V6" s="820">
        <v>2</v>
      </c>
      <c r="W6" s="821">
        <v>0</v>
      </c>
      <c r="X6" s="822">
        <v>0</v>
      </c>
      <c r="Y6" s="821">
        <v>1</v>
      </c>
      <c r="Z6" s="819">
        <v>3</v>
      </c>
      <c r="AA6" s="819">
        <v>5</v>
      </c>
      <c r="AB6" s="684">
        <v>0</v>
      </c>
      <c r="AC6" s="538">
        <v>1</v>
      </c>
      <c r="AD6" s="538">
        <v>0</v>
      </c>
      <c r="AE6" s="563">
        <v>0</v>
      </c>
      <c r="AF6" s="733">
        <v>6</v>
      </c>
      <c r="AG6" s="823">
        <v>0</v>
      </c>
      <c r="AH6" s="824">
        <v>4</v>
      </c>
      <c r="AI6" s="824">
        <v>4</v>
      </c>
      <c r="AJ6" s="825">
        <v>0</v>
      </c>
      <c r="AK6" s="536">
        <f t="shared" si="0"/>
        <v>67</v>
      </c>
      <c r="AL6" s="410"/>
      <c r="AM6" s="1337">
        <v>67</v>
      </c>
    </row>
    <row r="7" spans="1:39" ht="21.75" customHeight="1" x14ac:dyDescent="0.35">
      <c r="A7" s="1254"/>
      <c r="B7" s="428" t="s">
        <v>407</v>
      </c>
      <c r="C7" s="1295"/>
      <c r="D7" s="1201"/>
      <c r="E7" s="1201"/>
      <c r="F7" s="1240"/>
      <c r="G7" s="826"/>
      <c r="H7" s="827">
        <v>1</v>
      </c>
      <c r="I7" s="827">
        <v>0</v>
      </c>
      <c r="J7" s="828">
        <v>4</v>
      </c>
      <c r="K7" s="734">
        <v>0</v>
      </c>
      <c r="L7" s="829">
        <v>0</v>
      </c>
      <c r="M7" s="829">
        <v>2</v>
      </c>
      <c r="N7" s="829">
        <v>0</v>
      </c>
      <c r="O7" s="829">
        <v>2</v>
      </c>
      <c r="P7" s="829">
        <v>0</v>
      </c>
      <c r="Q7" s="829">
        <v>7</v>
      </c>
      <c r="R7" s="829">
        <v>9</v>
      </c>
      <c r="S7" s="554">
        <v>0</v>
      </c>
      <c r="T7" s="555">
        <v>0</v>
      </c>
      <c r="U7" s="441">
        <v>0</v>
      </c>
      <c r="V7" s="830">
        <v>2</v>
      </c>
      <c r="W7" s="830">
        <v>0</v>
      </c>
      <c r="X7" s="831">
        <v>0</v>
      </c>
      <c r="Y7" s="820">
        <v>3</v>
      </c>
      <c r="Z7" s="820">
        <v>7</v>
      </c>
      <c r="AA7" s="830">
        <v>5</v>
      </c>
      <c r="AB7" s="688">
        <v>0</v>
      </c>
      <c r="AC7" s="556">
        <v>0</v>
      </c>
      <c r="AD7" s="538">
        <v>0</v>
      </c>
      <c r="AE7" s="585">
        <v>0</v>
      </c>
      <c r="AF7" s="735">
        <v>9</v>
      </c>
      <c r="AG7" s="824">
        <v>1</v>
      </c>
      <c r="AH7" s="665">
        <v>2</v>
      </c>
      <c r="AI7" s="665">
        <v>7</v>
      </c>
      <c r="AJ7" s="832">
        <v>3</v>
      </c>
      <c r="AK7" s="689">
        <f t="shared" si="0"/>
        <v>64</v>
      </c>
      <c r="AL7" s="410"/>
      <c r="AM7" s="1337">
        <v>64</v>
      </c>
    </row>
    <row r="8" spans="1:39" ht="26.25" customHeight="1" x14ac:dyDescent="0.35">
      <c r="A8" s="1254"/>
      <c r="B8" s="428" t="s">
        <v>408</v>
      </c>
      <c r="C8" s="1295"/>
      <c r="D8" s="1201"/>
      <c r="E8" s="1201"/>
      <c r="F8" s="1240"/>
      <c r="G8" s="816"/>
      <c r="H8" s="830">
        <v>19</v>
      </c>
      <c r="I8" s="830">
        <v>19</v>
      </c>
      <c r="J8" s="544">
        <v>27</v>
      </c>
      <c r="K8" s="544">
        <v>15</v>
      </c>
      <c r="L8" s="626">
        <v>16</v>
      </c>
      <c r="M8" s="626">
        <v>26</v>
      </c>
      <c r="N8" s="736">
        <v>18</v>
      </c>
      <c r="O8" s="545">
        <v>18</v>
      </c>
      <c r="P8" s="542">
        <v>20</v>
      </c>
      <c r="Q8" s="545">
        <v>18</v>
      </c>
      <c r="R8" s="545">
        <v>36</v>
      </c>
      <c r="S8" s="546">
        <v>14</v>
      </c>
      <c r="T8" s="562">
        <v>16</v>
      </c>
      <c r="U8" s="833">
        <v>13</v>
      </c>
      <c r="V8" s="830">
        <v>25</v>
      </c>
      <c r="W8" s="820">
        <v>17</v>
      </c>
      <c r="X8" s="831">
        <v>14</v>
      </c>
      <c r="Y8" s="830">
        <v>14</v>
      </c>
      <c r="Z8" s="820">
        <v>21</v>
      </c>
      <c r="AA8" s="830">
        <v>20</v>
      </c>
      <c r="AB8" s="684">
        <v>19</v>
      </c>
      <c r="AC8" s="538">
        <v>20</v>
      </c>
      <c r="AD8" s="538">
        <v>20</v>
      </c>
      <c r="AE8" s="563">
        <v>19</v>
      </c>
      <c r="AF8" s="737">
        <v>12</v>
      </c>
      <c r="AG8" s="665">
        <v>27</v>
      </c>
      <c r="AH8" s="665">
        <v>26</v>
      </c>
      <c r="AI8" s="665">
        <v>29</v>
      </c>
      <c r="AJ8" s="832">
        <v>8</v>
      </c>
      <c r="AK8" s="536">
        <f t="shared" si="0"/>
        <v>566</v>
      </c>
      <c r="AL8" s="410"/>
      <c r="AM8" s="1337">
        <v>566</v>
      </c>
    </row>
    <row r="9" spans="1:39" ht="21.75" customHeight="1" x14ac:dyDescent="0.35">
      <c r="A9" s="1254"/>
      <c r="B9" s="428" t="s">
        <v>409</v>
      </c>
      <c r="C9" s="1295"/>
      <c r="D9" s="1201"/>
      <c r="E9" s="1201"/>
      <c r="F9" s="1240"/>
      <c r="G9" s="816"/>
      <c r="H9" s="830">
        <v>11</v>
      </c>
      <c r="I9" s="830">
        <v>12</v>
      </c>
      <c r="J9" s="544">
        <v>10</v>
      </c>
      <c r="K9" s="544">
        <v>5</v>
      </c>
      <c r="L9" s="626">
        <v>14</v>
      </c>
      <c r="M9" s="626">
        <v>6</v>
      </c>
      <c r="N9" s="736">
        <v>12</v>
      </c>
      <c r="O9" s="545">
        <v>12</v>
      </c>
      <c r="P9" s="542">
        <v>10</v>
      </c>
      <c r="Q9" s="545">
        <v>12</v>
      </c>
      <c r="R9" s="545">
        <v>28</v>
      </c>
      <c r="S9" s="546">
        <v>5</v>
      </c>
      <c r="T9" s="562">
        <v>17</v>
      </c>
      <c r="U9" s="833">
        <v>5</v>
      </c>
      <c r="V9" s="820">
        <v>11</v>
      </c>
      <c r="W9" s="820">
        <v>10</v>
      </c>
      <c r="X9" s="831">
        <v>6</v>
      </c>
      <c r="Y9" s="830">
        <v>15</v>
      </c>
      <c r="Z9" s="830">
        <v>20</v>
      </c>
      <c r="AA9" s="830">
        <v>10</v>
      </c>
      <c r="AB9" s="684">
        <v>9</v>
      </c>
      <c r="AC9" s="538">
        <v>13</v>
      </c>
      <c r="AD9" s="538">
        <v>10</v>
      </c>
      <c r="AE9" s="563">
        <v>11</v>
      </c>
      <c r="AF9" s="737">
        <v>5</v>
      </c>
      <c r="AG9" s="665">
        <v>14</v>
      </c>
      <c r="AH9" s="665">
        <v>24</v>
      </c>
      <c r="AI9" s="665">
        <v>8</v>
      </c>
      <c r="AJ9" s="832">
        <v>5</v>
      </c>
      <c r="AK9" s="536">
        <f t="shared" si="0"/>
        <v>330</v>
      </c>
      <c r="AL9" s="410"/>
      <c r="AM9" s="1337">
        <v>330</v>
      </c>
    </row>
    <row r="10" spans="1:39" ht="35.25" customHeight="1" x14ac:dyDescent="0.35">
      <c r="A10" s="1255"/>
      <c r="B10" s="834" t="s">
        <v>410</v>
      </c>
      <c r="C10" s="1295"/>
      <c r="D10" s="1201"/>
      <c r="E10" s="1201"/>
      <c r="F10" s="1240"/>
      <c r="G10" s="835">
        <f>SUM(G8+G9)</f>
        <v>0</v>
      </c>
      <c r="H10" s="836">
        <v>30</v>
      </c>
      <c r="I10" s="836">
        <v>31</v>
      </c>
      <c r="J10" s="443">
        <f t="shared" ref="J10:U10" si="1">SUM(J8+J9)</f>
        <v>37</v>
      </c>
      <c r="K10" s="443">
        <f t="shared" si="1"/>
        <v>20</v>
      </c>
      <c r="L10" s="443">
        <f t="shared" si="1"/>
        <v>30</v>
      </c>
      <c r="M10" s="443">
        <f t="shared" si="1"/>
        <v>32</v>
      </c>
      <c r="N10" s="443">
        <f t="shared" si="1"/>
        <v>30</v>
      </c>
      <c r="O10" s="443">
        <f t="shared" si="1"/>
        <v>30</v>
      </c>
      <c r="P10" s="443">
        <f t="shared" si="1"/>
        <v>30</v>
      </c>
      <c r="Q10" s="443">
        <f t="shared" si="1"/>
        <v>30</v>
      </c>
      <c r="R10" s="739">
        <f t="shared" si="1"/>
        <v>64</v>
      </c>
      <c r="S10" s="443">
        <f t="shared" si="1"/>
        <v>19</v>
      </c>
      <c r="T10" s="443">
        <f t="shared" si="1"/>
        <v>33</v>
      </c>
      <c r="U10" s="443">
        <f t="shared" si="1"/>
        <v>18</v>
      </c>
      <c r="V10" s="837">
        <v>36</v>
      </c>
      <c r="W10" s="837">
        <v>27</v>
      </c>
      <c r="X10" s="838">
        <v>20</v>
      </c>
      <c r="Y10" s="836">
        <v>29</v>
      </c>
      <c r="Z10" s="837">
        <v>41</v>
      </c>
      <c r="AA10" s="836">
        <v>30</v>
      </c>
      <c r="AB10" s="691">
        <f t="shared" ref="AB10:AF10" si="2">SUM(AB8+AB9)</f>
        <v>28</v>
      </c>
      <c r="AC10" s="566">
        <f t="shared" si="2"/>
        <v>33</v>
      </c>
      <c r="AD10" s="566">
        <f t="shared" si="2"/>
        <v>30</v>
      </c>
      <c r="AE10" s="567">
        <f t="shared" si="2"/>
        <v>30</v>
      </c>
      <c r="AF10" s="567">
        <f t="shared" si="2"/>
        <v>17</v>
      </c>
      <c r="AG10" s="839">
        <v>41</v>
      </c>
      <c r="AH10" s="839">
        <f>AH8+AH9</f>
        <v>50</v>
      </c>
      <c r="AI10" s="839">
        <v>37</v>
      </c>
      <c r="AJ10" s="840">
        <v>13</v>
      </c>
      <c r="AK10" s="841">
        <f t="shared" si="0"/>
        <v>896</v>
      </c>
      <c r="AL10" s="410"/>
      <c r="AM10" s="1337">
        <v>896</v>
      </c>
    </row>
    <row r="11" spans="1:39" ht="28.5" customHeight="1" x14ac:dyDescent="0.3">
      <c r="A11" s="1326" t="s">
        <v>461</v>
      </c>
      <c r="B11" s="692" t="s">
        <v>462</v>
      </c>
      <c r="C11" s="1295"/>
      <c r="D11" s="1201"/>
      <c r="E11" s="1201"/>
      <c r="F11" s="1240"/>
      <c r="G11" s="842"/>
      <c r="H11" s="843"/>
      <c r="I11" s="843"/>
      <c r="J11" s="570"/>
      <c r="K11" s="425"/>
      <c r="L11" s="454"/>
      <c r="M11" s="454"/>
      <c r="N11" s="541"/>
      <c r="O11" s="454"/>
      <c r="P11" s="418"/>
      <c r="Q11" s="425"/>
      <c r="R11" s="546"/>
      <c r="S11" s="418"/>
      <c r="T11" s="418"/>
      <c r="U11" s="455"/>
      <c r="V11" s="830">
        <v>422</v>
      </c>
      <c r="W11" s="830"/>
      <c r="X11" s="844"/>
      <c r="Y11" s="820"/>
      <c r="Z11" s="830"/>
      <c r="AA11" s="830">
        <v>409</v>
      </c>
      <c r="AB11" s="634"/>
      <c r="AC11" s="549"/>
      <c r="AD11" s="549"/>
      <c r="AE11" s="532"/>
      <c r="AF11" s="742"/>
      <c r="AG11" s="665"/>
      <c r="AH11" s="845">
        <v>216</v>
      </c>
      <c r="AI11" s="845">
        <v>94</v>
      </c>
      <c r="AJ11" s="832">
        <v>314</v>
      </c>
      <c r="AK11" s="536">
        <f t="shared" si="0"/>
        <v>1455</v>
      </c>
      <c r="AL11" s="410"/>
      <c r="AM11" s="1337">
        <v>1455</v>
      </c>
    </row>
    <row r="12" spans="1:39" ht="24" customHeight="1" x14ac:dyDescent="0.3">
      <c r="A12" s="1317"/>
      <c r="B12" s="694" t="s">
        <v>463</v>
      </c>
      <c r="C12" s="1295"/>
      <c r="D12" s="1201"/>
      <c r="E12" s="1201"/>
      <c r="F12" s="1240"/>
      <c r="G12" s="846"/>
      <c r="H12" s="847"/>
      <c r="I12" s="847"/>
      <c r="J12" s="655"/>
      <c r="K12" s="655"/>
      <c r="L12" s="655"/>
      <c r="M12" s="655"/>
      <c r="N12" s="657"/>
      <c r="O12" s="655"/>
      <c r="P12" s="658"/>
      <c r="Q12" s="655"/>
      <c r="R12" s="658"/>
      <c r="S12" s="658"/>
      <c r="T12" s="658"/>
      <c r="U12" s="659"/>
      <c r="V12" s="848">
        <v>15</v>
      </c>
      <c r="W12" s="848"/>
      <c r="X12" s="849"/>
      <c r="Y12" s="848"/>
      <c r="Z12" s="848"/>
      <c r="AA12" s="848">
        <v>3</v>
      </c>
      <c r="AB12" s="634"/>
      <c r="AC12" s="549"/>
      <c r="AD12" s="549"/>
      <c r="AE12" s="532"/>
      <c r="AF12" s="742"/>
      <c r="AG12" s="850"/>
      <c r="AH12" s="850"/>
      <c r="AI12" s="850"/>
      <c r="AJ12" s="851">
        <v>0</v>
      </c>
      <c r="AK12" s="536">
        <f t="shared" si="0"/>
        <v>18</v>
      </c>
      <c r="AL12" s="410"/>
      <c r="AM12" s="1337">
        <v>18</v>
      </c>
    </row>
    <row r="13" spans="1:39" ht="21.75" customHeight="1" x14ac:dyDescent="0.3">
      <c r="A13" s="1313" t="s">
        <v>411</v>
      </c>
      <c r="B13" s="453" t="s">
        <v>405</v>
      </c>
      <c r="C13" s="1295"/>
      <c r="D13" s="1201"/>
      <c r="E13" s="1201"/>
      <c r="F13" s="1240"/>
      <c r="G13" s="842"/>
      <c r="H13" s="830"/>
      <c r="I13" s="843"/>
      <c r="J13" s="425"/>
      <c r="K13" s="425"/>
      <c r="L13" s="425"/>
      <c r="M13" s="425"/>
      <c r="N13" s="425"/>
      <c r="O13" s="425"/>
      <c r="P13" s="17"/>
      <c r="Q13" s="541"/>
      <c r="R13" s="17"/>
      <c r="S13" s="17"/>
      <c r="T13" s="17"/>
      <c r="U13" s="455"/>
      <c r="V13" s="843"/>
      <c r="W13" s="843"/>
      <c r="X13" s="852"/>
      <c r="Y13" s="843"/>
      <c r="Z13" s="843"/>
      <c r="AA13" s="843"/>
      <c r="AB13" s="634"/>
      <c r="AC13" s="549"/>
      <c r="AD13" s="549"/>
      <c r="AE13" s="532"/>
      <c r="AF13" s="743"/>
      <c r="AG13" s="664"/>
      <c r="AH13" s="664"/>
      <c r="AI13" s="664"/>
      <c r="AJ13" s="853"/>
      <c r="AK13" s="536">
        <f t="shared" si="0"/>
        <v>0</v>
      </c>
      <c r="AL13" s="410"/>
      <c r="AM13" s="1337">
        <v>0</v>
      </c>
    </row>
    <row r="14" spans="1:39" ht="21.75" customHeight="1" x14ac:dyDescent="0.35">
      <c r="A14" s="1170"/>
      <c r="B14" s="578" t="s">
        <v>412</v>
      </c>
      <c r="C14" s="1295"/>
      <c r="D14" s="1201"/>
      <c r="E14" s="1201"/>
      <c r="F14" s="1240"/>
      <c r="G14" s="816"/>
      <c r="H14" s="820">
        <v>0</v>
      </c>
      <c r="I14" s="830">
        <v>0</v>
      </c>
      <c r="J14" s="425">
        <v>0</v>
      </c>
      <c r="K14" s="541">
        <v>0</v>
      </c>
      <c r="L14" s="425">
        <v>0</v>
      </c>
      <c r="M14" s="425">
        <v>0</v>
      </c>
      <c r="N14" s="541">
        <v>2</v>
      </c>
      <c r="O14" s="541">
        <v>0</v>
      </c>
      <c r="P14" s="542">
        <v>0</v>
      </c>
      <c r="Q14" s="542">
        <v>11</v>
      </c>
      <c r="R14" s="542">
        <v>0</v>
      </c>
      <c r="S14" s="542">
        <v>0</v>
      </c>
      <c r="T14" s="542">
        <v>12</v>
      </c>
      <c r="U14" s="419">
        <v>0</v>
      </c>
      <c r="V14" s="820">
        <v>0</v>
      </c>
      <c r="W14" s="820">
        <v>0</v>
      </c>
      <c r="X14" s="831">
        <v>0</v>
      </c>
      <c r="Y14" s="820">
        <v>0</v>
      </c>
      <c r="Z14" s="830"/>
      <c r="AA14" s="830">
        <v>1</v>
      </c>
      <c r="AB14" s="634"/>
      <c r="AC14" s="538">
        <v>0</v>
      </c>
      <c r="AD14" s="538">
        <v>36</v>
      </c>
      <c r="AE14" s="532"/>
      <c r="AF14" s="744">
        <v>0</v>
      </c>
      <c r="AG14" s="845">
        <v>0</v>
      </c>
      <c r="AH14" s="665">
        <v>0</v>
      </c>
      <c r="AI14" s="665">
        <v>0</v>
      </c>
      <c r="AJ14" s="832">
        <v>0</v>
      </c>
      <c r="AK14" s="536">
        <f t="shared" si="0"/>
        <v>62</v>
      </c>
      <c r="AL14" s="410"/>
      <c r="AM14" s="1337">
        <v>62</v>
      </c>
    </row>
    <row r="15" spans="1:39" ht="25.5" customHeight="1" x14ac:dyDescent="0.35">
      <c r="A15" s="1170"/>
      <c r="B15" s="579" t="s">
        <v>407</v>
      </c>
      <c r="C15" s="1295"/>
      <c r="D15" s="1201"/>
      <c r="E15" s="1201"/>
      <c r="F15" s="1240"/>
      <c r="G15" s="854"/>
      <c r="H15" s="830">
        <v>0</v>
      </c>
      <c r="I15" s="830">
        <v>1</v>
      </c>
      <c r="J15" s="580">
        <v>0</v>
      </c>
      <c r="K15" s="581">
        <v>0</v>
      </c>
      <c r="L15" s="580">
        <v>0</v>
      </c>
      <c r="M15" s="580">
        <v>0</v>
      </c>
      <c r="N15" s="695">
        <v>1</v>
      </c>
      <c r="O15" s="580">
        <v>0</v>
      </c>
      <c r="P15" s="581">
        <v>0</v>
      </c>
      <c r="Q15" s="581">
        <v>11</v>
      </c>
      <c r="R15" s="581">
        <v>0</v>
      </c>
      <c r="S15" s="581">
        <v>0</v>
      </c>
      <c r="T15" s="581">
        <v>11</v>
      </c>
      <c r="U15" s="583">
        <v>0</v>
      </c>
      <c r="V15" s="830">
        <v>1</v>
      </c>
      <c r="W15" s="820">
        <v>0</v>
      </c>
      <c r="X15" s="831">
        <v>0</v>
      </c>
      <c r="Y15" s="830">
        <v>1</v>
      </c>
      <c r="Z15" s="830"/>
      <c r="AA15" s="830">
        <v>0</v>
      </c>
      <c r="AB15" s="696"/>
      <c r="AC15" s="556">
        <v>0</v>
      </c>
      <c r="AD15" s="556">
        <v>0</v>
      </c>
      <c r="AE15" s="585">
        <v>0</v>
      </c>
      <c r="AF15" s="745">
        <v>0</v>
      </c>
      <c r="AG15" s="665">
        <v>3</v>
      </c>
      <c r="AH15" s="665">
        <v>0</v>
      </c>
      <c r="AI15" s="665">
        <v>1</v>
      </c>
      <c r="AJ15" s="832">
        <v>0</v>
      </c>
      <c r="AK15" s="689">
        <f t="shared" si="0"/>
        <v>30</v>
      </c>
      <c r="AL15" s="410"/>
      <c r="AM15" s="1337">
        <v>30</v>
      </c>
    </row>
    <row r="16" spans="1:39" ht="24" customHeight="1" x14ac:dyDescent="0.35">
      <c r="A16" s="1170"/>
      <c r="B16" s="579" t="s">
        <v>408</v>
      </c>
      <c r="C16" s="1295"/>
      <c r="D16" s="1201"/>
      <c r="E16" s="1201"/>
      <c r="F16" s="1240"/>
      <c r="G16" s="814"/>
      <c r="H16" s="830">
        <v>14</v>
      </c>
      <c r="I16" s="830">
        <v>19</v>
      </c>
      <c r="J16" s="425">
        <v>0</v>
      </c>
      <c r="K16" s="541">
        <v>4</v>
      </c>
      <c r="L16" s="542">
        <v>19</v>
      </c>
      <c r="M16" s="746">
        <v>3</v>
      </c>
      <c r="N16" s="746">
        <v>15</v>
      </c>
      <c r="O16" s="541">
        <v>17</v>
      </c>
      <c r="P16" s="418">
        <v>8</v>
      </c>
      <c r="Q16" s="542">
        <v>40</v>
      </c>
      <c r="R16" s="418">
        <v>0</v>
      </c>
      <c r="S16" s="418">
        <v>1</v>
      </c>
      <c r="T16" s="542">
        <v>29</v>
      </c>
      <c r="U16" s="833">
        <v>6</v>
      </c>
      <c r="V16" s="830">
        <v>29</v>
      </c>
      <c r="W16" s="820">
        <v>8</v>
      </c>
      <c r="X16" s="831">
        <v>14</v>
      </c>
      <c r="Y16" s="820">
        <v>6</v>
      </c>
      <c r="Z16" s="830">
        <v>23</v>
      </c>
      <c r="AA16" s="830">
        <v>25</v>
      </c>
      <c r="AB16" s="684">
        <v>41</v>
      </c>
      <c r="AC16" s="634">
        <v>5</v>
      </c>
      <c r="AD16" s="634">
        <v>18</v>
      </c>
      <c r="AE16" s="634">
        <v>33</v>
      </c>
      <c r="AF16" s="855">
        <v>20</v>
      </c>
      <c r="AG16" s="665">
        <v>12</v>
      </c>
      <c r="AH16" s="665">
        <v>13</v>
      </c>
      <c r="AI16" s="665">
        <v>15</v>
      </c>
      <c r="AJ16" s="832">
        <v>3</v>
      </c>
      <c r="AK16" s="536">
        <f t="shared" si="0"/>
        <v>440</v>
      </c>
      <c r="AL16" s="410"/>
      <c r="AM16" s="1337">
        <v>440</v>
      </c>
    </row>
    <row r="17" spans="1:39" ht="25.5" customHeight="1" x14ac:dyDescent="0.35">
      <c r="A17" s="1170"/>
      <c r="B17" s="579" t="s">
        <v>409</v>
      </c>
      <c r="C17" s="1295"/>
      <c r="D17" s="1201"/>
      <c r="E17" s="1201"/>
      <c r="F17" s="1240"/>
      <c r="G17" s="814"/>
      <c r="H17" s="830">
        <v>19</v>
      </c>
      <c r="I17" s="830">
        <v>18</v>
      </c>
      <c r="J17" s="425">
        <v>0</v>
      </c>
      <c r="K17" s="425">
        <v>1</v>
      </c>
      <c r="L17" s="542">
        <v>20</v>
      </c>
      <c r="M17" s="747">
        <v>5</v>
      </c>
      <c r="N17" s="746">
        <v>12</v>
      </c>
      <c r="O17" s="541">
        <v>9</v>
      </c>
      <c r="P17" s="418">
        <v>7</v>
      </c>
      <c r="Q17" s="542">
        <v>24</v>
      </c>
      <c r="R17" s="418">
        <v>0</v>
      </c>
      <c r="S17" s="418">
        <v>2</v>
      </c>
      <c r="T17" s="542">
        <v>17</v>
      </c>
      <c r="U17" s="833">
        <v>4</v>
      </c>
      <c r="V17" s="830">
        <v>21</v>
      </c>
      <c r="W17" s="820">
        <v>4</v>
      </c>
      <c r="X17" s="831">
        <v>7</v>
      </c>
      <c r="Y17" s="843">
        <v>17</v>
      </c>
      <c r="Z17" s="843">
        <v>12</v>
      </c>
      <c r="AA17" s="830">
        <v>24</v>
      </c>
      <c r="AB17" s="684">
        <v>22</v>
      </c>
      <c r="AC17" s="634">
        <v>5</v>
      </c>
      <c r="AD17" s="634">
        <v>16</v>
      </c>
      <c r="AE17" s="634">
        <v>12</v>
      </c>
      <c r="AF17" s="856">
        <v>16</v>
      </c>
      <c r="AG17" s="665">
        <v>3</v>
      </c>
      <c r="AH17" s="665">
        <v>15</v>
      </c>
      <c r="AI17" s="665">
        <v>19</v>
      </c>
      <c r="AJ17" s="832">
        <v>4</v>
      </c>
      <c r="AK17" s="536">
        <f t="shared" si="0"/>
        <v>335</v>
      </c>
      <c r="AL17" s="410"/>
      <c r="AM17" s="1337">
        <v>335</v>
      </c>
    </row>
    <row r="18" spans="1:39" ht="23.25" customHeight="1" x14ac:dyDescent="0.35">
      <c r="A18" s="1170"/>
      <c r="B18" s="579" t="s">
        <v>413</v>
      </c>
      <c r="C18" s="1295"/>
      <c r="D18" s="1201"/>
      <c r="E18" s="1201"/>
      <c r="F18" s="1240"/>
      <c r="G18" s="814"/>
      <c r="H18" s="830">
        <v>27</v>
      </c>
      <c r="I18" s="848">
        <v>34</v>
      </c>
      <c r="J18" s="425">
        <v>0</v>
      </c>
      <c r="K18" s="541">
        <v>59</v>
      </c>
      <c r="L18" s="542">
        <v>28</v>
      </c>
      <c r="M18" s="747">
        <v>33</v>
      </c>
      <c r="N18" s="746">
        <v>41</v>
      </c>
      <c r="O18" s="541">
        <v>29</v>
      </c>
      <c r="P18" s="418">
        <v>35</v>
      </c>
      <c r="Q18" s="418">
        <v>11</v>
      </c>
      <c r="R18" s="418">
        <v>0</v>
      </c>
      <c r="S18" s="418">
        <v>33</v>
      </c>
      <c r="T18" s="542">
        <v>25</v>
      </c>
      <c r="U18" s="833">
        <v>31</v>
      </c>
      <c r="V18" s="830">
        <v>23</v>
      </c>
      <c r="W18" s="820">
        <v>7</v>
      </c>
      <c r="X18" s="857">
        <v>18</v>
      </c>
      <c r="Y18" s="843">
        <v>25</v>
      </c>
      <c r="Z18" s="843">
        <v>33</v>
      </c>
      <c r="AA18" s="830">
        <v>45</v>
      </c>
      <c r="AB18" s="634">
        <v>15</v>
      </c>
      <c r="AC18" s="634">
        <v>44</v>
      </c>
      <c r="AD18" s="634">
        <v>15</v>
      </c>
      <c r="AE18" s="634">
        <v>22</v>
      </c>
      <c r="AF18" s="856">
        <v>4</v>
      </c>
      <c r="AG18" s="665">
        <v>4</v>
      </c>
      <c r="AH18" s="665">
        <v>5</v>
      </c>
      <c r="AI18" s="665">
        <v>0</v>
      </c>
      <c r="AJ18" s="832">
        <v>3</v>
      </c>
      <c r="AK18" s="536">
        <f t="shared" si="0"/>
        <v>649</v>
      </c>
      <c r="AL18" s="410"/>
      <c r="AM18" s="1337">
        <v>649</v>
      </c>
    </row>
    <row r="19" spans="1:39" ht="21" customHeight="1" x14ac:dyDescent="0.35">
      <c r="A19" s="1170"/>
      <c r="B19" s="579" t="s">
        <v>414</v>
      </c>
      <c r="C19" s="1295"/>
      <c r="D19" s="1201"/>
      <c r="E19" s="1201"/>
      <c r="F19" s="1240"/>
      <c r="G19" s="814"/>
      <c r="H19" s="830">
        <v>30</v>
      </c>
      <c r="I19" s="848">
        <v>21</v>
      </c>
      <c r="J19" s="425">
        <v>0</v>
      </c>
      <c r="K19" s="541">
        <v>72</v>
      </c>
      <c r="L19" s="542">
        <v>23</v>
      </c>
      <c r="M19" s="747">
        <v>49</v>
      </c>
      <c r="N19" s="858">
        <v>23</v>
      </c>
      <c r="O19" s="541">
        <v>35</v>
      </c>
      <c r="P19" s="418">
        <v>40</v>
      </c>
      <c r="Q19" s="542">
        <v>15</v>
      </c>
      <c r="R19" s="418">
        <v>0</v>
      </c>
      <c r="S19" s="418">
        <v>24</v>
      </c>
      <c r="T19" s="542">
        <v>19</v>
      </c>
      <c r="U19" s="833">
        <v>18</v>
      </c>
      <c r="V19" s="820">
        <v>17</v>
      </c>
      <c r="W19" s="820">
        <v>4</v>
      </c>
      <c r="X19" s="831">
        <v>40</v>
      </c>
      <c r="Y19" s="830">
        <v>43</v>
      </c>
      <c r="Z19" s="843">
        <v>22</v>
      </c>
      <c r="AA19" s="830">
        <v>57</v>
      </c>
      <c r="AB19" s="634">
        <v>10</v>
      </c>
      <c r="AC19" s="634">
        <v>36</v>
      </c>
      <c r="AD19" s="634">
        <v>41</v>
      </c>
      <c r="AE19" s="634">
        <v>23</v>
      </c>
      <c r="AF19" s="856">
        <v>3</v>
      </c>
      <c r="AG19" s="665">
        <v>20</v>
      </c>
      <c r="AH19" s="665">
        <v>13</v>
      </c>
      <c r="AI19" s="665">
        <v>9</v>
      </c>
      <c r="AJ19" s="832">
        <v>5</v>
      </c>
      <c r="AK19" s="536">
        <f t="shared" si="0"/>
        <v>712</v>
      </c>
      <c r="AL19" s="410"/>
      <c r="AM19" s="1337">
        <v>712</v>
      </c>
    </row>
    <row r="20" spans="1:39" ht="22.5" customHeight="1" x14ac:dyDescent="0.35">
      <c r="A20" s="1171"/>
      <c r="B20" s="589" t="s">
        <v>415</v>
      </c>
      <c r="C20" s="1317"/>
      <c r="D20" s="1318"/>
      <c r="E20" s="1318"/>
      <c r="F20" s="1319"/>
      <c r="G20" s="859">
        <f>SUM(G16:G19)</f>
        <v>0</v>
      </c>
      <c r="H20" s="860">
        <v>90</v>
      </c>
      <c r="I20" s="860">
        <v>92</v>
      </c>
      <c r="J20" s="590">
        <f t="shared" ref="J20:U20" si="3">SUM(J16:J19)</f>
        <v>0</v>
      </c>
      <c r="K20" s="590">
        <f t="shared" si="3"/>
        <v>136</v>
      </c>
      <c r="L20" s="590">
        <f t="shared" si="3"/>
        <v>90</v>
      </c>
      <c r="M20" s="590">
        <f t="shared" si="3"/>
        <v>90</v>
      </c>
      <c r="N20" s="590">
        <f t="shared" si="3"/>
        <v>91</v>
      </c>
      <c r="O20" s="590">
        <f t="shared" si="3"/>
        <v>90</v>
      </c>
      <c r="P20" s="590">
        <f t="shared" si="3"/>
        <v>90</v>
      </c>
      <c r="Q20" s="590">
        <f t="shared" si="3"/>
        <v>90</v>
      </c>
      <c r="R20" s="590">
        <f t="shared" si="3"/>
        <v>0</v>
      </c>
      <c r="S20" s="590">
        <f t="shared" si="3"/>
        <v>60</v>
      </c>
      <c r="T20" s="590">
        <f t="shared" si="3"/>
        <v>90</v>
      </c>
      <c r="U20" s="590">
        <f t="shared" si="3"/>
        <v>59</v>
      </c>
      <c r="V20" s="837">
        <v>90</v>
      </c>
      <c r="W20" s="837">
        <v>23</v>
      </c>
      <c r="X20" s="861">
        <v>79</v>
      </c>
      <c r="Y20" s="860">
        <v>91</v>
      </c>
      <c r="Z20" s="860">
        <v>90</v>
      </c>
      <c r="AA20" s="860">
        <v>151</v>
      </c>
      <c r="AB20" s="590">
        <f t="shared" ref="AB20:AE20" si="4">SUM(AB16:AB19)</f>
        <v>88</v>
      </c>
      <c r="AC20" s="590">
        <f t="shared" si="4"/>
        <v>90</v>
      </c>
      <c r="AD20" s="666">
        <f t="shared" si="4"/>
        <v>90</v>
      </c>
      <c r="AE20" s="666">
        <f t="shared" si="4"/>
        <v>90</v>
      </c>
      <c r="AF20" s="612">
        <f>SUM(AF16+AF17+AF18+AF19)</f>
        <v>43</v>
      </c>
      <c r="AG20" s="862">
        <v>39</v>
      </c>
      <c r="AH20" s="839">
        <f t="shared" ref="AH20:AI20" si="5">SUM(AH16:AH19)</f>
        <v>46</v>
      </c>
      <c r="AI20" s="863">
        <f t="shared" si="5"/>
        <v>43</v>
      </c>
      <c r="AJ20" s="840">
        <v>15</v>
      </c>
      <c r="AK20" s="689">
        <f t="shared" si="0"/>
        <v>2136</v>
      </c>
      <c r="AL20" s="410"/>
      <c r="AM20" s="1337">
        <v>2136</v>
      </c>
    </row>
    <row r="21" spans="1:39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854"/>
      <c r="H21" s="843"/>
      <c r="I21" s="843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864"/>
      <c r="W21" s="864"/>
      <c r="X21" s="865"/>
      <c r="Y21" s="864"/>
      <c r="Z21" s="864"/>
      <c r="AA21" s="864"/>
      <c r="AB21" s="634"/>
      <c r="AC21" s="549"/>
      <c r="AD21" s="538"/>
      <c r="AE21" s="532"/>
      <c r="AF21" s="593"/>
      <c r="AG21" s="866"/>
      <c r="AH21" s="866"/>
      <c r="AI21" s="866"/>
      <c r="AJ21" s="867"/>
      <c r="AK21" s="536">
        <f t="shared" si="0"/>
        <v>0</v>
      </c>
      <c r="AL21" s="410"/>
      <c r="AM21" s="1337">
        <v>0</v>
      </c>
    </row>
    <row r="22" spans="1:39" ht="18.75" customHeight="1" x14ac:dyDescent="0.3">
      <c r="A22" s="1170"/>
      <c r="B22" s="1329"/>
      <c r="C22" s="1257" t="s">
        <v>419</v>
      </c>
      <c r="D22" s="1247"/>
      <c r="E22" s="1247"/>
      <c r="F22" s="1247"/>
      <c r="G22" s="868"/>
      <c r="H22" s="820"/>
      <c r="I22" s="843"/>
      <c r="J22" s="470"/>
      <c r="K22" s="470">
        <v>0</v>
      </c>
      <c r="L22" s="425"/>
      <c r="M22" s="425"/>
      <c r="N22" s="425"/>
      <c r="O22" s="425"/>
      <c r="P22" s="425"/>
      <c r="Q22" s="869"/>
      <c r="R22" s="425"/>
      <c r="S22" s="425"/>
      <c r="T22" s="425"/>
      <c r="U22" s="425">
        <v>0</v>
      </c>
      <c r="V22" s="870"/>
      <c r="W22" s="870"/>
      <c r="X22" s="871"/>
      <c r="Y22" s="870"/>
      <c r="Z22" s="870"/>
      <c r="AA22" s="870"/>
      <c r="AB22" s="684"/>
      <c r="AC22" s="549"/>
      <c r="AD22" s="549"/>
      <c r="AE22" s="532"/>
      <c r="AF22" s="593"/>
      <c r="AG22" s="866"/>
      <c r="AH22" s="866"/>
      <c r="AI22" s="866"/>
      <c r="AJ22" s="872"/>
      <c r="AK22" s="536">
        <f t="shared" si="0"/>
        <v>0</v>
      </c>
      <c r="AL22" s="410"/>
      <c r="AM22" s="1337">
        <v>0</v>
      </c>
    </row>
    <row r="23" spans="1:39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873">
        <v>100</v>
      </c>
      <c r="H23" s="874">
        <v>150</v>
      </c>
      <c r="I23" s="874">
        <v>150</v>
      </c>
      <c r="J23" s="875">
        <v>200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876">
        <v>100</v>
      </c>
      <c r="V23" s="877">
        <v>150</v>
      </c>
      <c r="W23" s="878">
        <v>150</v>
      </c>
      <c r="X23" s="879"/>
      <c r="Y23" s="880">
        <v>150</v>
      </c>
      <c r="Z23" s="880">
        <v>150</v>
      </c>
      <c r="AA23" s="880">
        <v>150</v>
      </c>
      <c r="AB23" s="599">
        <v>150</v>
      </c>
      <c r="AC23" s="599">
        <v>150</v>
      </c>
      <c r="AD23" s="599">
        <v>150</v>
      </c>
      <c r="AE23" s="601">
        <v>150</v>
      </c>
      <c r="AF23" s="602">
        <v>150</v>
      </c>
      <c r="AG23" s="881">
        <v>120</v>
      </c>
      <c r="AH23" s="882">
        <v>150</v>
      </c>
      <c r="AI23" s="883">
        <v>150</v>
      </c>
      <c r="AJ23" s="884">
        <v>150</v>
      </c>
      <c r="AK23" s="536">
        <f t="shared" si="0"/>
        <v>4420</v>
      </c>
      <c r="AL23" s="410"/>
      <c r="AM23" s="1337">
        <v>4420</v>
      </c>
    </row>
    <row r="24" spans="1:39" ht="20.25" customHeight="1" x14ac:dyDescent="0.35">
      <c r="A24" s="1171"/>
      <c r="B24" s="1319"/>
      <c r="C24" s="1304" t="s">
        <v>419</v>
      </c>
      <c r="D24" s="1260"/>
      <c r="E24" s="1260"/>
      <c r="F24" s="1260"/>
      <c r="G24" s="885"/>
      <c r="H24" s="878">
        <v>165</v>
      </c>
      <c r="I24" s="878">
        <v>162</v>
      </c>
      <c r="J24" s="605">
        <v>203</v>
      </c>
      <c r="K24" s="606">
        <v>77</v>
      </c>
      <c r="L24" s="607">
        <v>149</v>
      </c>
      <c r="M24" s="608">
        <v>183</v>
      </c>
      <c r="N24" s="608">
        <v>133</v>
      </c>
      <c r="O24" s="608">
        <v>150</v>
      </c>
      <c r="P24" s="669">
        <v>170</v>
      </c>
      <c r="Q24" s="610">
        <v>105</v>
      </c>
      <c r="R24" s="610">
        <v>335</v>
      </c>
      <c r="S24" s="610">
        <v>75</v>
      </c>
      <c r="T24" s="610">
        <v>116</v>
      </c>
      <c r="U24" s="776">
        <v>60</v>
      </c>
      <c r="V24" s="877">
        <v>195</v>
      </c>
      <c r="W24" s="886">
        <v>208</v>
      </c>
      <c r="X24" s="887">
        <v>44</v>
      </c>
      <c r="Y24" s="880">
        <v>120</v>
      </c>
      <c r="Z24" s="888">
        <v>150</v>
      </c>
      <c r="AA24" s="888">
        <v>150</v>
      </c>
      <c r="AB24" s="703">
        <v>254</v>
      </c>
      <c r="AC24" s="612">
        <v>97</v>
      </c>
      <c r="AD24" s="612">
        <v>98</v>
      </c>
      <c r="AE24" s="612">
        <v>180</v>
      </c>
      <c r="AF24" s="612">
        <v>105</v>
      </c>
      <c r="AG24" s="881">
        <f>46+56+59</f>
        <v>161</v>
      </c>
      <c r="AH24" s="881">
        <f>69+80+68</f>
        <v>217</v>
      </c>
      <c r="AI24" s="889">
        <f>41+55+62</f>
        <v>158</v>
      </c>
      <c r="AJ24" s="884">
        <v>69</v>
      </c>
      <c r="AK24" s="705">
        <f t="shared" si="0"/>
        <v>4289</v>
      </c>
      <c r="AL24" s="410"/>
      <c r="AM24" s="1337">
        <v>4289</v>
      </c>
    </row>
    <row r="25" spans="1:39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817"/>
      <c r="H25" s="843"/>
      <c r="I25" s="843"/>
      <c r="J25" s="890"/>
      <c r="K25" s="890"/>
      <c r="L25" s="433"/>
      <c r="M25" s="433"/>
      <c r="N25" s="541"/>
      <c r="O25" s="541"/>
      <c r="P25" s="491"/>
      <c r="Q25" s="425"/>
      <c r="R25" s="891"/>
      <c r="S25" s="891"/>
      <c r="T25" s="891"/>
      <c r="U25" s="455">
        <v>0</v>
      </c>
      <c r="V25" s="820">
        <v>0</v>
      </c>
      <c r="W25" s="843"/>
      <c r="X25" s="844"/>
      <c r="Y25" s="843"/>
      <c r="Z25" s="843"/>
      <c r="AA25" s="843"/>
      <c r="AB25" s="634"/>
      <c r="AC25" s="549"/>
      <c r="AD25" s="549"/>
      <c r="AE25" s="532"/>
      <c r="AF25" s="593"/>
      <c r="AG25" s="664"/>
      <c r="AH25" s="664"/>
      <c r="AI25" s="664"/>
      <c r="AJ25" s="832">
        <v>0</v>
      </c>
      <c r="AK25" s="536">
        <f t="shared" si="0"/>
        <v>0</v>
      </c>
      <c r="AL25" s="410"/>
      <c r="AM25" s="1337">
        <v>0</v>
      </c>
    </row>
    <row r="26" spans="1:39" ht="18.75" customHeight="1" x14ac:dyDescent="0.35">
      <c r="A26" s="1273"/>
      <c r="B26" s="1263"/>
      <c r="C26" s="1291" t="s">
        <v>419</v>
      </c>
      <c r="D26" s="1178"/>
      <c r="E26" s="1178"/>
      <c r="F26" s="1179"/>
      <c r="G26" s="817"/>
      <c r="H26" s="830">
        <v>53</v>
      </c>
      <c r="I26" s="843">
        <v>78</v>
      </c>
      <c r="J26" s="892"/>
      <c r="K26" s="892"/>
      <c r="L26" s="892"/>
      <c r="M26" s="425"/>
      <c r="N26" s="541"/>
      <c r="O26" s="541"/>
      <c r="P26" s="540"/>
      <c r="Q26" s="541"/>
      <c r="R26" s="540"/>
      <c r="S26" s="891"/>
      <c r="T26" s="891"/>
      <c r="U26" s="833">
        <v>100</v>
      </c>
      <c r="V26" s="820">
        <v>30</v>
      </c>
      <c r="W26" s="830">
        <v>9</v>
      </c>
      <c r="X26" s="831">
        <v>50</v>
      </c>
      <c r="Y26" s="820">
        <v>80</v>
      </c>
      <c r="Z26" s="830">
        <v>55</v>
      </c>
      <c r="AA26" s="893">
        <v>96</v>
      </c>
      <c r="AB26" s="634"/>
      <c r="AC26" s="549"/>
      <c r="AD26" s="549"/>
      <c r="AE26" s="532"/>
      <c r="AF26" s="550"/>
      <c r="AG26" s="665"/>
      <c r="AH26" s="665"/>
      <c r="AI26" s="665"/>
      <c r="AJ26" s="832">
        <v>0</v>
      </c>
      <c r="AK26" s="536">
        <f t="shared" si="0"/>
        <v>551</v>
      </c>
      <c r="AL26" s="410"/>
      <c r="AM26" s="1337">
        <v>551</v>
      </c>
    </row>
    <row r="27" spans="1:39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817"/>
      <c r="H27" s="843"/>
      <c r="I27" s="843"/>
      <c r="J27" s="892"/>
      <c r="K27" s="892"/>
      <c r="L27" s="892"/>
      <c r="M27" s="425"/>
      <c r="N27" s="541"/>
      <c r="O27" s="541"/>
      <c r="P27" s="424"/>
      <c r="Q27" s="425"/>
      <c r="R27" s="891"/>
      <c r="S27" s="891"/>
      <c r="T27" s="891"/>
      <c r="U27" s="419"/>
      <c r="V27" s="830"/>
      <c r="W27" s="843"/>
      <c r="X27" s="852"/>
      <c r="Y27" s="843"/>
      <c r="Z27" s="843"/>
      <c r="AA27" s="843"/>
      <c r="AB27" s="634"/>
      <c r="AC27" s="549"/>
      <c r="AD27" s="549"/>
      <c r="AE27" s="532"/>
      <c r="AF27" s="593"/>
      <c r="AG27" s="664"/>
      <c r="AH27" s="664"/>
      <c r="AI27" s="664"/>
      <c r="AJ27" s="832">
        <v>0</v>
      </c>
      <c r="AK27" s="536">
        <f t="shared" si="0"/>
        <v>0</v>
      </c>
      <c r="AL27" s="410"/>
      <c r="AM27" s="1337">
        <v>0</v>
      </c>
    </row>
    <row r="28" spans="1:39" ht="18.75" customHeight="1" x14ac:dyDescent="0.35">
      <c r="A28" s="1273"/>
      <c r="B28" s="1167"/>
      <c r="C28" s="1291" t="s">
        <v>419</v>
      </c>
      <c r="D28" s="1178"/>
      <c r="E28" s="1178"/>
      <c r="F28" s="1179"/>
      <c r="G28" s="817"/>
      <c r="H28" s="830">
        <v>52</v>
      </c>
      <c r="I28" s="843">
        <v>101</v>
      </c>
      <c r="J28" s="892"/>
      <c r="K28" s="892"/>
      <c r="L28" s="541"/>
      <c r="M28" s="425"/>
      <c r="N28" s="541"/>
      <c r="O28" s="541"/>
      <c r="P28" s="540"/>
      <c r="Q28" s="425"/>
      <c r="R28" s="891"/>
      <c r="S28" s="891"/>
      <c r="T28" s="891"/>
      <c r="U28" s="833">
        <v>10</v>
      </c>
      <c r="V28" s="820">
        <v>60</v>
      </c>
      <c r="W28" s="820">
        <v>41</v>
      </c>
      <c r="X28" s="831">
        <v>46</v>
      </c>
      <c r="Y28" s="820">
        <v>29</v>
      </c>
      <c r="Z28" s="830">
        <v>33</v>
      </c>
      <c r="AA28" s="893">
        <v>150</v>
      </c>
      <c r="AB28" s="634"/>
      <c r="AC28" s="549"/>
      <c r="AD28" s="549"/>
      <c r="AE28" s="532"/>
      <c r="AF28" s="593"/>
      <c r="AG28" s="665"/>
      <c r="AH28" s="665"/>
      <c r="AI28" s="665"/>
      <c r="AJ28" s="832">
        <v>0</v>
      </c>
      <c r="AK28" s="536">
        <f t="shared" si="0"/>
        <v>522</v>
      </c>
      <c r="AL28" s="410"/>
      <c r="AM28" s="1337">
        <v>522</v>
      </c>
    </row>
    <row r="29" spans="1:39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817"/>
      <c r="H29" s="843"/>
      <c r="I29" s="843"/>
      <c r="J29" s="892"/>
      <c r="K29" s="892"/>
      <c r="L29" s="892"/>
      <c r="M29" s="425"/>
      <c r="N29" s="541"/>
      <c r="O29" s="541"/>
      <c r="P29" s="424"/>
      <c r="Q29" s="425"/>
      <c r="R29" s="891"/>
      <c r="S29" s="891"/>
      <c r="T29" s="891"/>
      <c r="U29" s="419"/>
      <c r="V29" s="830"/>
      <c r="W29" s="843"/>
      <c r="X29" s="852"/>
      <c r="Y29" s="843">
        <v>43</v>
      </c>
      <c r="Z29" s="843"/>
      <c r="AA29" s="843"/>
      <c r="AB29" s="634"/>
      <c r="AC29" s="549"/>
      <c r="AD29" s="549"/>
      <c r="AE29" s="532"/>
      <c r="AF29" s="593"/>
      <c r="AG29" s="665">
        <v>90</v>
      </c>
      <c r="AH29" s="665">
        <v>120</v>
      </c>
      <c r="AI29" s="665">
        <v>120</v>
      </c>
      <c r="AJ29" s="832">
        <v>0</v>
      </c>
      <c r="AK29" s="536">
        <f t="shared" si="0"/>
        <v>373</v>
      </c>
      <c r="AL29" s="410"/>
      <c r="AM29" s="1337">
        <v>373</v>
      </c>
    </row>
    <row r="30" spans="1:39" ht="31.5" customHeight="1" x14ac:dyDescent="0.35">
      <c r="A30" s="1273"/>
      <c r="B30" s="1189"/>
      <c r="C30" s="1291" t="s">
        <v>419</v>
      </c>
      <c r="D30" s="1178"/>
      <c r="E30" s="1178"/>
      <c r="F30" s="1179"/>
      <c r="G30" s="817"/>
      <c r="H30" s="830">
        <v>60</v>
      </c>
      <c r="I30" s="820">
        <v>0</v>
      </c>
      <c r="J30" s="892"/>
      <c r="K30" s="892"/>
      <c r="L30" s="892"/>
      <c r="M30" s="541"/>
      <c r="N30" s="541"/>
      <c r="O30" s="541"/>
      <c r="P30" s="540"/>
      <c r="Q30" s="541"/>
      <c r="R30" s="891"/>
      <c r="S30" s="891"/>
      <c r="T30" s="891"/>
      <c r="U30" s="419"/>
      <c r="V30" s="820">
        <v>40</v>
      </c>
      <c r="W30" s="830"/>
      <c r="X30" s="844"/>
      <c r="Y30" s="830"/>
      <c r="Z30" s="830">
        <v>53</v>
      </c>
      <c r="AA30" s="893">
        <v>60</v>
      </c>
      <c r="AB30" s="634"/>
      <c r="AC30" s="549"/>
      <c r="AD30" s="538"/>
      <c r="AE30" s="532"/>
      <c r="AF30" s="593"/>
      <c r="AG30" s="665">
        <f>28+20</f>
        <v>48</v>
      </c>
      <c r="AH30" s="664">
        <v>162</v>
      </c>
      <c r="AI30" s="665">
        <f>43+54+51</f>
        <v>148</v>
      </c>
      <c r="AJ30" s="832">
        <v>0</v>
      </c>
      <c r="AK30" s="536">
        <f t="shared" si="0"/>
        <v>571</v>
      </c>
      <c r="AL30" s="410"/>
      <c r="AM30" s="1337">
        <v>571</v>
      </c>
    </row>
    <row r="31" spans="1:39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817"/>
      <c r="H31" s="843"/>
      <c r="I31" s="843"/>
      <c r="J31" s="892"/>
      <c r="K31" s="892"/>
      <c r="L31" s="892"/>
      <c r="M31" s="425"/>
      <c r="N31" s="541"/>
      <c r="O31" s="541"/>
      <c r="P31" s="424"/>
      <c r="Q31" s="425"/>
      <c r="R31" s="891"/>
      <c r="S31" s="891"/>
      <c r="T31" s="891"/>
      <c r="U31" s="419">
        <v>0</v>
      </c>
      <c r="V31" s="843"/>
      <c r="W31" s="843"/>
      <c r="X31" s="852"/>
      <c r="Y31" s="843"/>
      <c r="Z31" s="843"/>
      <c r="AA31" s="843"/>
      <c r="AB31" s="634"/>
      <c r="AC31" s="549"/>
      <c r="AD31" s="549"/>
      <c r="AE31" s="532"/>
      <c r="AF31" s="593"/>
      <c r="AG31" s="665"/>
      <c r="AH31" s="664"/>
      <c r="AI31" s="664"/>
      <c r="AJ31" s="832">
        <v>0</v>
      </c>
      <c r="AK31" s="536">
        <f t="shared" si="0"/>
        <v>0</v>
      </c>
      <c r="AL31" s="410"/>
      <c r="AM31" s="1337">
        <v>0</v>
      </c>
    </row>
    <row r="32" spans="1:39" ht="18.75" customHeight="1" x14ac:dyDescent="0.3">
      <c r="A32" s="1273"/>
      <c r="B32" s="1189"/>
      <c r="C32" s="1291" t="s">
        <v>419</v>
      </c>
      <c r="D32" s="1178"/>
      <c r="E32" s="1178"/>
      <c r="F32" s="1179"/>
      <c r="G32" s="817"/>
      <c r="H32" s="830">
        <v>15</v>
      </c>
      <c r="I32" s="830"/>
      <c r="J32" s="892"/>
      <c r="K32" s="892"/>
      <c r="L32" s="892"/>
      <c r="M32" s="425"/>
      <c r="N32" s="541"/>
      <c r="O32" s="541"/>
      <c r="P32" s="424"/>
      <c r="Q32" s="541"/>
      <c r="R32" s="892"/>
      <c r="S32" s="894"/>
      <c r="T32" s="894"/>
      <c r="U32" s="419">
        <v>0</v>
      </c>
      <c r="V32" s="820">
        <v>50</v>
      </c>
      <c r="W32" s="830"/>
      <c r="X32" s="844"/>
      <c r="Y32" s="830"/>
      <c r="Z32" s="830">
        <v>39</v>
      </c>
      <c r="AA32" s="830">
        <v>9</v>
      </c>
      <c r="AB32" s="634"/>
      <c r="AC32" s="549"/>
      <c r="AD32" s="549"/>
      <c r="AE32" s="532"/>
      <c r="AF32" s="593"/>
      <c r="AG32" s="665"/>
      <c r="AH32" s="664"/>
      <c r="AI32" s="665"/>
      <c r="AJ32" s="832">
        <v>0</v>
      </c>
      <c r="AK32" s="536">
        <f t="shared" si="0"/>
        <v>113</v>
      </c>
      <c r="AL32" s="410"/>
      <c r="AM32" s="1337">
        <v>113</v>
      </c>
    </row>
    <row r="33" spans="1:39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895">
        <v>180</v>
      </c>
      <c r="H33" s="896">
        <v>180</v>
      </c>
      <c r="I33" s="888">
        <v>180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704">
        <v>0</v>
      </c>
      <c r="V33" s="877">
        <v>180</v>
      </c>
      <c r="W33" s="874">
        <v>180</v>
      </c>
      <c r="X33" s="897">
        <v>120</v>
      </c>
      <c r="Y33" s="880">
        <v>180</v>
      </c>
      <c r="Z33" s="880">
        <v>180</v>
      </c>
      <c r="AA33" s="880">
        <v>180</v>
      </c>
      <c r="AB33" s="898">
        <v>180</v>
      </c>
      <c r="AC33" s="612">
        <v>180</v>
      </c>
      <c r="AD33" s="612">
        <v>180</v>
      </c>
      <c r="AE33" s="612">
        <v>180</v>
      </c>
      <c r="AF33" s="612">
        <v>180</v>
      </c>
      <c r="AG33" s="881"/>
      <c r="AH33" s="882">
        <v>180</v>
      </c>
      <c r="AI33" s="882">
        <v>180</v>
      </c>
      <c r="AJ33" s="884">
        <v>180</v>
      </c>
      <c r="AK33" s="536">
        <f t="shared" si="0"/>
        <v>4620</v>
      </c>
      <c r="AL33" s="410"/>
      <c r="AM33" s="1337">
        <v>4620</v>
      </c>
    </row>
    <row r="34" spans="1:39" ht="18.75" customHeight="1" x14ac:dyDescent="0.35">
      <c r="A34" s="1249"/>
      <c r="B34" s="1324"/>
      <c r="C34" s="1307" t="s">
        <v>419</v>
      </c>
      <c r="D34" s="1260"/>
      <c r="E34" s="1260"/>
      <c r="F34" s="1260"/>
      <c r="G34" s="899"/>
      <c r="H34" s="860">
        <v>180</v>
      </c>
      <c r="I34" s="860">
        <v>179</v>
      </c>
      <c r="J34" s="615">
        <f>SUM(J26+J28+J30+J32)</f>
        <v>0</v>
      </c>
      <c r="K34" s="615">
        <v>196</v>
      </c>
      <c r="L34" s="615">
        <v>170</v>
      </c>
      <c r="M34" s="615">
        <v>180</v>
      </c>
      <c r="N34" s="615">
        <v>154</v>
      </c>
      <c r="O34" s="615">
        <v>175</v>
      </c>
      <c r="P34" s="615">
        <v>180</v>
      </c>
      <c r="Q34" s="615">
        <v>180</v>
      </c>
      <c r="R34" s="615">
        <f>SUM(R26+R28+R30+R32)</f>
        <v>0</v>
      </c>
      <c r="S34" s="615">
        <v>75</v>
      </c>
      <c r="T34" s="615">
        <v>95</v>
      </c>
      <c r="U34" s="704">
        <v>110</v>
      </c>
      <c r="V34" s="877">
        <v>180</v>
      </c>
      <c r="W34" s="878">
        <v>50</v>
      </c>
      <c r="X34" s="900">
        <v>96</v>
      </c>
      <c r="Y34" s="860">
        <v>152</v>
      </c>
      <c r="Z34" s="860">
        <v>180</v>
      </c>
      <c r="AA34" s="860">
        <v>315</v>
      </c>
      <c r="AB34" s="898">
        <v>176</v>
      </c>
      <c r="AC34" s="612">
        <v>158</v>
      </c>
      <c r="AD34" s="612">
        <v>120</v>
      </c>
      <c r="AE34" s="612">
        <v>180</v>
      </c>
      <c r="AF34" s="612">
        <v>82</v>
      </c>
      <c r="AG34" s="862">
        <v>48</v>
      </c>
      <c r="AH34" s="862">
        <v>162</v>
      </c>
      <c r="AI34" s="862">
        <v>148</v>
      </c>
      <c r="AJ34" s="901">
        <v>34</v>
      </c>
      <c r="AK34" s="705">
        <f t="shared" si="0"/>
        <v>3955</v>
      </c>
      <c r="AL34" s="410"/>
      <c r="AM34" s="1337">
        <v>3955</v>
      </c>
    </row>
    <row r="35" spans="1:39" ht="25.5" customHeight="1" x14ac:dyDescent="0.3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817">
        <v>30</v>
      </c>
      <c r="H35" s="748">
        <v>30</v>
      </c>
      <c r="I35" s="748">
        <v>30</v>
      </c>
      <c r="J35" s="541">
        <v>30</v>
      </c>
      <c r="K35" s="541">
        <v>30</v>
      </c>
      <c r="L35" s="541">
        <v>30</v>
      </c>
      <c r="M35" s="541">
        <v>30</v>
      </c>
      <c r="N35" s="541">
        <v>30</v>
      </c>
      <c r="O35" s="541">
        <v>30</v>
      </c>
      <c r="P35" s="541">
        <v>30</v>
      </c>
      <c r="Q35" s="541">
        <v>30</v>
      </c>
      <c r="R35" s="541">
        <v>30</v>
      </c>
      <c r="S35" s="541">
        <v>30</v>
      </c>
      <c r="T35" s="541">
        <v>30</v>
      </c>
      <c r="U35" s="541">
        <v>30</v>
      </c>
      <c r="V35" s="902">
        <v>30</v>
      </c>
      <c r="W35" s="748">
        <v>30</v>
      </c>
      <c r="X35" s="903">
        <v>30</v>
      </c>
      <c r="Y35" s="748">
        <v>30</v>
      </c>
      <c r="Z35" s="748">
        <v>30</v>
      </c>
      <c r="AA35" s="748">
        <v>30</v>
      </c>
      <c r="AB35" s="541">
        <v>30</v>
      </c>
      <c r="AC35" s="541">
        <v>30</v>
      </c>
      <c r="AD35" s="541">
        <v>30</v>
      </c>
      <c r="AE35" s="541">
        <v>30</v>
      </c>
      <c r="AF35" s="541">
        <v>30</v>
      </c>
      <c r="AG35" s="904"/>
      <c r="AH35" s="905">
        <v>30</v>
      </c>
      <c r="AI35" s="905">
        <v>30</v>
      </c>
      <c r="AJ35" s="905">
        <v>30</v>
      </c>
      <c r="AK35" s="536">
        <f t="shared" si="0"/>
        <v>870</v>
      </c>
      <c r="AL35" s="410"/>
      <c r="AM35" s="1337">
        <v>870</v>
      </c>
    </row>
    <row r="36" spans="1:39" ht="28.5" customHeight="1" x14ac:dyDescent="0.3">
      <c r="A36" s="1249"/>
      <c r="B36" s="1265"/>
      <c r="C36" s="1278" t="s">
        <v>419</v>
      </c>
      <c r="D36" s="1279"/>
      <c r="E36" s="1279"/>
      <c r="F36" s="1279"/>
      <c r="G36" s="906">
        <v>0</v>
      </c>
      <c r="H36" s="907">
        <v>0</v>
      </c>
      <c r="I36" s="908">
        <v>0</v>
      </c>
      <c r="J36" s="777">
        <v>15</v>
      </c>
      <c r="K36" s="777">
        <v>13</v>
      </c>
      <c r="L36" s="618">
        <v>11</v>
      </c>
      <c r="M36" s="618">
        <v>15</v>
      </c>
      <c r="N36" s="618">
        <v>15</v>
      </c>
      <c r="O36" s="618">
        <v>16</v>
      </c>
      <c r="P36" s="618">
        <v>15</v>
      </c>
      <c r="Q36" s="618">
        <v>22</v>
      </c>
      <c r="R36" s="618">
        <v>18</v>
      </c>
      <c r="S36" s="618">
        <v>7</v>
      </c>
      <c r="T36" s="618">
        <v>11</v>
      </c>
      <c r="U36" s="777">
        <v>9</v>
      </c>
      <c r="V36" s="909">
        <v>4</v>
      </c>
      <c r="W36" s="907">
        <v>0</v>
      </c>
      <c r="X36" s="910"/>
      <c r="Y36" s="911">
        <v>0</v>
      </c>
      <c r="Z36" s="907">
        <v>0</v>
      </c>
      <c r="AA36" s="907">
        <v>0</v>
      </c>
      <c r="AB36" s="707">
        <v>15</v>
      </c>
      <c r="AC36" s="708">
        <v>15</v>
      </c>
      <c r="AD36" s="708">
        <v>11</v>
      </c>
      <c r="AE36" s="709">
        <v>15</v>
      </c>
      <c r="AF36" s="778">
        <v>12</v>
      </c>
      <c r="AG36" s="912"/>
      <c r="AH36" s="913">
        <v>12</v>
      </c>
      <c r="AI36" s="913">
        <v>8</v>
      </c>
      <c r="AJ36" s="914">
        <v>12</v>
      </c>
      <c r="AK36" s="536">
        <f t="shared" si="0"/>
        <v>271</v>
      </c>
      <c r="AL36" s="410"/>
      <c r="AM36" s="1337">
        <v>271</v>
      </c>
    </row>
    <row r="37" spans="1:39" ht="18.75" customHeight="1" x14ac:dyDescent="0.3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814"/>
      <c r="H37" s="820">
        <v>1</v>
      </c>
      <c r="I37" s="830"/>
      <c r="J37" s="915">
        <v>1</v>
      </c>
      <c r="K37" s="916"/>
      <c r="L37" s="917"/>
      <c r="M37" s="780">
        <v>1</v>
      </c>
      <c r="N37" s="562">
        <v>1</v>
      </c>
      <c r="O37" s="780">
        <v>1</v>
      </c>
      <c r="P37" s="918">
        <v>2</v>
      </c>
      <c r="Q37" s="562">
        <v>2</v>
      </c>
      <c r="R37" s="562">
        <v>1</v>
      </c>
      <c r="S37" s="562"/>
      <c r="T37" s="625">
        <v>1</v>
      </c>
      <c r="U37" s="626">
        <v>1</v>
      </c>
      <c r="V37" s="907">
        <v>1</v>
      </c>
      <c r="W37" s="830"/>
      <c r="X37" s="919">
        <v>1</v>
      </c>
      <c r="Y37" s="830">
        <v>1</v>
      </c>
      <c r="Z37" s="920"/>
      <c r="AA37" s="830"/>
      <c r="AB37" s="684">
        <v>1</v>
      </c>
      <c r="AC37" s="538">
        <v>1</v>
      </c>
      <c r="AD37" s="538"/>
      <c r="AE37" s="563">
        <v>1</v>
      </c>
      <c r="AF37" s="550">
        <v>1</v>
      </c>
      <c r="AG37" s="665"/>
      <c r="AH37" s="845">
        <v>1</v>
      </c>
      <c r="AI37" s="845">
        <v>0</v>
      </c>
      <c r="AJ37" s="832">
        <v>1</v>
      </c>
      <c r="AK37" s="536">
        <f t="shared" si="0"/>
        <v>21</v>
      </c>
      <c r="AL37" s="410"/>
      <c r="AM37" s="1337">
        <v>21</v>
      </c>
    </row>
    <row r="38" spans="1:39" ht="18.75" customHeight="1" x14ac:dyDescent="0.35">
      <c r="A38" s="1254"/>
      <c r="B38" s="1165"/>
      <c r="C38" s="1291" t="s">
        <v>419</v>
      </c>
      <c r="D38" s="1178"/>
      <c r="E38" s="1178"/>
      <c r="F38" s="1179"/>
      <c r="G38" s="814"/>
      <c r="H38" s="843">
        <v>2</v>
      </c>
      <c r="I38" s="830">
        <v>1</v>
      </c>
      <c r="J38" s="918">
        <v>2</v>
      </c>
      <c r="K38" s="921"/>
      <c r="L38" s="637"/>
      <c r="M38" s="637">
        <v>1</v>
      </c>
      <c r="N38" s="625">
        <v>2</v>
      </c>
      <c r="O38" s="637">
        <v>3</v>
      </c>
      <c r="P38" s="915">
        <v>2</v>
      </c>
      <c r="Q38" s="625">
        <v>2</v>
      </c>
      <c r="R38" s="625">
        <v>1</v>
      </c>
      <c r="S38" s="625"/>
      <c r="T38" s="625">
        <v>1</v>
      </c>
      <c r="U38" s="626">
        <v>1</v>
      </c>
      <c r="V38" s="830">
        <v>1</v>
      </c>
      <c r="W38" s="820">
        <v>6</v>
      </c>
      <c r="X38" s="922">
        <v>0</v>
      </c>
      <c r="Y38" s="830">
        <v>1</v>
      </c>
      <c r="Z38" s="830"/>
      <c r="AA38" s="830">
        <v>1</v>
      </c>
      <c r="AB38" s="923">
        <v>0</v>
      </c>
      <c r="AC38" s="750">
        <v>0</v>
      </c>
      <c r="AD38" s="750">
        <v>1</v>
      </c>
      <c r="AE38" s="781">
        <v>0</v>
      </c>
      <c r="AF38" s="782">
        <v>0</v>
      </c>
      <c r="AG38" s="845">
        <v>1</v>
      </c>
      <c r="AH38" s="845">
        <v>1</v>
      </c>
      <c r="AI38" s="845">
        <v>0</v>
      </c>
      <c r="AJ38" s="924">
        <v>1</v>
      </c>
      <c r="AK38" s="689">
        <f t="shared" si="0"/>
        <v>31</v>
      </c>
      <c r="AL38" s="925"/>
      <c r="AM38" s="1337">
        <v>31</v>
      </c>
    </row>
    <row r="39" spans="1:39" ht="18.75" customHeight="1" x14ac:dyDescent="0.35">
      <c r="A39" s="1254"/>
      <c r="B39" s="1270" t="s">
        <v>428</v>
      </c>
      <c r="C39" s="1291" t="s">
        <v>418</v>
      </c>
      <c r="D39" s="1178"/>
      <c r="E39" s="1178"/>
      <c r="F39" s="1179"/>
      <c r="G39" s="814"/>
      <c r="H39" s="830">
        <v>2</v>
      </c>
      <c r="I39" s="830"/>
      <c r="J39" s="918">
        <v>2</v>
      </c>
      <c r="K39" s="542">
        <v>2</v>
      </c>
      <c r="L39" s="542">
        <v>2</v>
      </c>
      <c r="M39" s="542">
        <v>2</v>
      </c>
      <c r="N39" s="542">
        <v>2</v>
      </c>
      <c r="O39" s="542">
        <v>2</v>
      </c>
      <c r="P39" s="542">
        <v>2</v>
      </c>
      <c r="Q39" s="562">
        <v>2</v>
      </c>
      <c r="R39" s="562">
        <v>2</v>
      </c>
      <c r="S39" s="562"/>
      <c r="T39" s="562">
        <v>2</v>
      </c>
      <c r="U39" s="541">
        <v>2</v>
      </c>
      <c r="V39" s="820">
        <v>1</v>
      </c>
      <c r="W39" s="830"/>
      <c r="X39" s="922">
        <v>1</v>
      </c>
      <c r="Y39" s="830"/>
      <c r="Z39" s="830"/>
      <c r="AA39" s="830"/>
      <c r="AB39" s="684">
        <v>1</v>
      </c>
      <c r="AC39" s="538">
        <v>1</v>
      </c>
      <c r="AD39" s="538"/>
      <c r="AE39" s="563"/>
      <c r="AF39" s="550"/>
      <c r="AG39" s="665">
        <v>1</v>
      </c>
      <c r="AH39" s="845">
        <v>1</v>
      </c>
      <c r="AI39" s="845">
        <v>0</v>
      </c>
      <c r="AJ39" s="832">
        <v>1</v>
      </c>
      <c r="AK39" s="536">
        <f t="shared" si="0"/>
        <v>31</v>
      </c>
      <c r="AL39" s="410"/>
      <c r="AM39" s="1337">
        <v>31</v>
      </c>
    </row>
    <row r="40" spans="1:39" ht="18.75" customHeight="1" x14ac:dyDescent="0.3">
      <c r="A40" s="1254"/>
      <c r="B40" s="1165"/>
      <c r="C40" s="1291" t="s">
        <v>419</v>
      </c>
      <c r="D40" s="1178"/>
      <c r="E40" s="1178"/>
      <c r="F40" s="1179"/>
      <c r="G40" s="814"/>
      <c r="H40" s="830">
        <v>2</v>
      </c>
      <c r="I40" s="830">
        <v>3</v>
      </c>
      <c r="J40" s="918">
        <v>2</v>
      </c>
      <c r="K40" s="542">
        <v>0</v>
      </c>
      <c r="L40" s="542">
        <v>2</v>
      </c>
      <c r="M40" s="542">
        <v>2</v>
      </c>
      <c r="N40" s="542">
        <v>3</v>
      </c>
      <c r="O40" s="542">
        <v>3</v>
      </c>
      <c r="P40" s="542">
        <v>3</v>
      </c>
      <c r="Q40" s="562">
        <v>2</v>
      </c>
      <c r="R40" s="562">
        <v>2</v>
      </c>
      <c r="S40" s="562"/>
      <c r="T40" s="562">
        <v>2</v>
      </c>
      <c r="U40" s="541">
        <v>2</v>
      </c>
      <c r="V40" s="820">
        <v>3</v>
      </c>
      <c r="W40" s="820">
        <v>5</v>
      </c>
      <c r="X40" s="928">
        <v>0</v>
      </c>
      <c r="Y40" s="830">
        <v>2</v>
      </c>
      <c r="Z40" s="929">
        <v>1</v>
      </c>
      <c r="AA40" s="820">
        <v>4</v>
      </c>
      <c r="AB40" s="684">
        <v>1</v>
      </c>
      <c r="AC40" s="538">
        <v>1</v>
      </c>
      <c r="AD40" s="538">
        <v>0</v>
      </c>
      <c r="AE40" s="563">
        <v>1</v>
      </c>
      <c r="AF40" s="550">
        <v>0</v>
      </c>
      <c r="AG40" s="665">
        <v>1</v>
      </c>
      <c r="AH40" s="845">
        <v>5</v>
      </c>
      <c r="AI40" s="665">
        <v>0</v>
      </c>
      <c r="AJ40" s="832">
        <v>7</v>
      </c>
      <c r="AK40" s="536">
        <f t="shared" si="0"/>
        <v>59</v>
      </c>
      <c r="AL40" s="410"/>
      <c r="AM40" s="1337">
        <v>59</v>
      </c>
    </row>
    <row r="41" spans="1:39" ht="18.75" customHeight="1" x14ac:dyDescent="0.3">
      <c r="A41" s="1254"/>
      <c r="B41" s="1270" t="s">
        <v>429</v>
      </c>
      <c r="C41" s="1291" t="s">
        <v>418</v>
      </c>
      <c r="D41" s="1178"/>
      <c r="E41" s="1178"/>
      <c r="F41" s="1179"/>
      <c r="G41" s="930"/>
      <c r="H41" s="830">
        <v>0</v>
      </c>
      <c r="I41" s="830"/>
      <c r="J41" s="915"/>
      <c r="K41" s="894"/>
      <c r="L41" s="894"/>
      <c r="M41" s="931"/>
      <c r="N41" s="542"/>
      <c r="O41" s="894"/>
      <c r="P41" s="542"/>
      <c r="Q41" s="542"/>
      <c r="R41" s="932"/>
      <c r="S41" s="933"/>
      <c r="T41" s="933"/>
      <c r="U41" s="932"/>
      <c r="V41" s="820">
        <v>1</v>
      </c>
      <c r="W41" s="830"/>
      <c r="X41" s="919">
        <v>1</v>
      </c>
      <c r="Y41" s="830"/>
      <c r="Z41" s="934"/>
      <c r="AA41" s="830"/>
      <c r="AB41" s="684"/>
      <c r="AC41" s="538"/>
      <c r="AD41" s="538"/>
      <c r="AE41" s="563">
        <v>1</v>
      </c>
      <c r="AF41" s="593"/>
      <c r="AG41" s="845">
        <v>1</v>
      </c>
      <c r="AH41" s="845">
        <v>1</v>
      </c>
      <c r="AI41" s="845">
        <v>0</v>
      </c>
      <c r="AJ41" s="832"/>
      <c r="AK41" s="536">
        <f t="shared" si="0"/>
        <v>5</v>
      </c>
      <c r="AL41" s="410"/>
      <c r="AM41" s="1337">
        <v>5</v>
      </c>
    </row>
    <row r="42" spans="1:39" ht="18.75" customHeight="1" x14ac:dyDescent="0.35">
      <c r="A42" s="1254"/>
      <c r="B42" s="1165"/>
      <c r="C42" s="1291" t="s">
        <v>419</v>
      </c>
      <c r="D42" s="1178"/>
      <c r="E42" s="1178"/>
      <c r="F42" s="1179"/>
      <c r="G42" s="930"/>
      <c r="H42" s="830">
        <v>0</v>
      </c>
      <c r="I42" s="830"/>
      <c r="J42" s="915"/>
      <c r="K42" s="894"/>
      <c r="L42" s="894"/>
      <c r="M42" s="931"/>
      <c r="N42" s="542"/>
      <c r="O42" s="894"/>
      <c r="P42" s="542"/>
      <c r="Q42" s="542"/>
      <c r="R42" s="935"/>
      <c r="S42" s="633"/>
      <c r="T42" s="935"/>
      <c r="U42" s="936"/>
      <c r="V42" s="820">
        <v>0</v>
      </c>
      <c r="W42" s="820">
        <v>10</v>
      </c>
      <c r="X42" s="831">
        <v>0</v>
      </c>
      <c r="Y42" s="830"/>
      <c r="Z42" s="934"/>
      <c r="AA42" s="830">
        <v>1</v>
      </c>
      <c r="AB42" s="634"/>
      <c r="AC42" s="549"/>
      <c r="AD42" s="549"/>
      <c r="AE42" s="532"/>
      <c r="AF42" s="593"/>
      <c r="AG42" s="845">
        <v>1</v>
      </c>
      <c r="AH42" s="845">
        <v>1</v>
      </c>
      <c r="AI42" s="845">
        <v>0</v>
      </c>
      <c r="AJ42" s="832"/>
      <c r="AK42" s="536">
        <f t="shared" si="0"/>
        <v>13</v>
      </c>
      <c r="AL42" s="410"/>
      <c r="AM42" s="1337">
        <v>13</v>
      </c>
    </row>
    <row r="43" spans="1:39" ht="18.75" customHeight="1" x14ac:dyDescent="0.3">
      <c r="A43" s="1254"/>
      <c r="B43" s="1270" t="s">
        <v>430</v>
      </c>
      <c r="C43" s="1291" t="s">
        <v>418</v>
      </c>
      <c r="D43" s="1178"/>
      <c r="E43" s="1178"/>
      <c r="F43" s="1179"/>
      <c r="G43" s="930"/>
      <c r="H43" s="830"/>
      <c r="I43" s="830"/>
      <c r="J43" s="915"/>
      <c r="K43" s="894"/>
      <c r="L43" s="894"/>
      <c r="M43" s="931">
        <v>1</v>
      </c>
      <c r="N43" s="542"/>
      <c r="O43" s="931">
        <v>1</v>
      </c>
      <c r="P43" s="931">
        <v>1</v>
      </c>
      <c r="Q43" s="937"/>
      <c r="R43" s="935"/>
      <c r="S43" s="935"/>
      <c r="T43" s="935"/>
      <c r="U43" s="936"/>
      <c r="V43" s="820">
        <v>1</v>
      </c>
      <c r="W43" s="830"/>
      <c r="X43" s="919">
        <v>1</v>
      </c>
      <c r="Y43" s="830"/>
      <c r="Z43" s="820"/>
      <c r="AA43" s="830"/>
      <c r="AB43" s="634"/>
      <c r="AC43" s="549"/>
      <c r="AD43" s="549"/>
      <c r="AE43" s="532"/>
      <c r="AF43" s="593"/>
      <c r="AG43" s="665"/>
      <c r="AH43" s="665"/>
      <c r="AI43" s="845">
        <v>0</v>
      </c>
      <c r="AJ43" s="832"/>
      <c r="AK43" s="536">
        <f t="shared" si="0"/>
        <v>5</v>
      </c>
      <c r="AL43" s="410"/>
      <c r="AM43" s="1337">
        <v>5</v>
      </c>
    </row>
    <row r="44" spans="1:39" ht="18.75" customHeight="1" x14ac:dyDescent="0.3">
      <c r="A44" s="1255"/>
      <c r="B44" s="1176"/>
      <c r="C44" s="1297" t="s">
        <v>419</v>
      </c>
      <c r="D44" s="1285"/>
      <c r="E44" s="1285"/>
      <c r="F44" s="1286"/>
      <c r="G44" s="938"/>
      <c r="H44" s="848"/>
      <c r="I44" s="939"/>
      <c r="J44" s="915"/>
      <c r="K44" s="940"/>
      <c r="L44" s="940"/>
      <c r="M44" s="931">
        <v>1</v>
      </c>
      <c r="N44" s="542"/>
      <c r="O44" s="931">
        <v>1</v>
      </c>
      <c r="P44" s="931">
        <v>1</v>
      </c>
      <c r="Q44" s="941"/>
      <c r="R44" s="942"/>
      <c r="S44" s="943"/>
      <c r="T44" s="944"/>
      <c r="U44" s="945"/>
      <c r="V44" s="820">
        <v>0</v>
      </c>
      <c r="W44" s="830"/>
      <c r="X44" s="939">
        <v>0</v>
      </c>
      <c r="Y44" s="814">
        <v>0</v>
      </c>
      <c r="Z44" s="939"/>
      <c r="AA44" s="848"/>
      <c r="AB44" s="634"/>
      <c r="AC44" s="549"/>
      <c r="AD44" s="549"/>
      <c r="AE44" s="532"/>
      <c r="AF44" s="593"/>
      <c r="AG44" s="850"/>
      <c r="AH44" s="946"/>
      <c r="AI44" s="815">
        <v>0</v>
      </c>
      <c r="AJ44" s="815"/>
      <c r="AK44" s="536">
        <f t="shared" si="0"/>
        <v>3</v>
      </c>
      <c r="AL44" s="410"/>
      <c r="AM44" s="1337">
        <v>3</v>
      </c>
    </row>
    <row r="45" spans="1:39" ht="18.75" customHeight="1" x14ac:dyDescent="0.3">
      <c r="A45" s="510"/>
      <c r="B45" s="511"/>
      <c r="C45" s="1292"/>
      <c r="D45" s="1242"/>
      <c r="E45" s="1242"/>
      <c r="F45" s="1293"/>
      <c r="G45" s="947" t="s">
        <v>99</v>
      </c>
      <c r="H45" s="948" t="s">
        <v>485</v>
      </c>
      <c r="I45" s="949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950" t="s">
        <v>111</v>
      </c>
      <c r="V45" s="951" t="s">
        <v>112</v>
      </c>
      <c r="W45" s="952" t="s">
        <v>49</v>
      </c>
      <c r="X45" s="953" t="s">
        <v>399</v>
      </c>
      <c r="Y45" s="953" t="s">
        <v>341</v>
      </c>
      <c r="Z45" s="954" t="s">
        <v>321</v>
      </c>
      <c r="AA45" s="955">
        <v>10</v>
      </c>
      <c r="AB45" s="714" t="s">
        <v>454</v>
      </c>
      <c r="AC45" s="636" t="s">
        <v>116</v>
      </c>
      <c r="AD45" s="636" t="s">
        <v>80</v>
      </c>
      <c r="AE45" s="636" t="s">
        <v>117</v>
      </c>
      <c r="AF45" s="636" t="s">
        <v>106</v>
      </c>
      <c r="AG45" s="956" t="s">
        <v>347</v>
      </c>
      <c r="AH45" s="956" t="s">
        <v>70</v>
      </c>
      <c r="AI45" s="957" t="s">
        <v>72</v>
      </c>
      <c r="AJ45" s="957" t="s">
        <v>75</v>
      </c>
      <c r="AK45" s="536">
        <f t="shared" si="0"/>
        <v>10</v>
      </c>
      <c r="AL45" s="409"/>
      <c r="AM45" s="1337">
        <v>10</v>
      </c>
    </row>
    <row r="46" spans="1:39" ht="18.75" customHeight="1" x14ac:dyDescent="0.3">
      <c r="A46" s="1303" t="s">
        <v>431</v>
      </c>
      <c r="B46" s="516" t="s">
        <v>432</v>
      </c>
      <c r="C46" s="1294"/>
      <c r="D46" s="1201"/>
      <c r="E46" s="1201"/>
      <c r="F46" s="1173"/>
      <c r="G46" s="930"/>
      <c r="H46" s="958"/>
      <c r="I46" s="814">
        <v>0</v>
      </c>
      <c r="J46" s="518"/>
      <c r="K46" s="637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821">
        <v>0</v>
      </c>
      <c r="W46" s="820">
        <v>0</v>
      </c>
      <c r="X46" s="814">
        <v>0</v>
      </c>
      <c r="Y46" s="959">
        <v>0</v>
      </c>
      <c r="Z46" s="820">
        <v>0</v>
      </c>
      <c r="AA46" s="830">
        <v>0</v>
      </c>
      <c r="AB46" s="634"/>
      <c r="AC46" s="549"/>
      <c r="AD46" s="549"/>
      <c r="AE46" s="532"/>
      <c r="AF46" s="593"/>
      <c r="AG46" s="960">
        <v>0</v>
      </c>
      <c r="AH46" s="823">
        <v>0</v>
      </c>
      <c r="AI46" s="815">
        <v>0</v>
      </c>
      <c r="AJ46" s="825">
        <v>0</v>
      </c>
      <c r="AK46" s="536">
        <f t="shared" si="0"/>
        <v>0</v>
      </c>
      <c r="AL46" s="410"/>
      <c r="AM46" s="1337">
        <v>0</v>
      </c>
    </row>
    <row r="47" spans="1:39" ht="18.75" customHeight="1" x14ac:dyDescent="0.3">
      <c r="A47" s="1164"/>
      <c r="B47" s="519" t="s">
        <v>433</v>
      </c>
      <c r="C47" s="1295"/>
      <c r="D47" s="1201"/>
      <c r="E47" s="1201"/>
      <c r="F47" s="1173"/>
      <c r="G47" s="930"/>
      <c r="H47" s="958"/>
      <c r="I47" s="814">
        <v>0</v>
      </c>
      <c r="J47" s="518"/>
      <c r="K47" s="637">
        <v>1</v>
      </c>
      <c r="L47" s="518"/>
      <c r="M47" s="518"/>
      <c r="N47" s="637">
        <v>1</v>
      </c>
      <c r="O47" s="518"/>
      <c r="P47" s="518"/>
      <c r="Q47" s="518"/>
      <c r="R47" s="418"/>
      <c r="S47" s="418"/>
      <c r="T47" s="418"/>
      <c r="U47" s="420"/>
      <c r="V47" s="820">
        <v>0</v>
      </c>
      <c r="W47" s="820">
        <v>0</v>
      </c>
      <c r="X47" s="814">
        <v>0</v>
      </c>
      <c r="Y47" s="919">
        <v>0</v>
      </c>
      <c r="Z47" s="820">
        <v>0</v>
      </c>
      <c r="AA47" s="830">
        <v>0</v>
      </c>
      <c r="AB47" s="634"/>
      <c r="AC47" s="549"/>
      <c r="AD47" s="549"/>
      <c r="AE47" s="532"/>
      <c r="AF47" s="593"/>
      <c r="AG47" s="960">
        <v>0</v>
      </c>
      <c r="AH47" s="845">
        <v>0</v>
      </c>
      <c r="AI47" s="815">
        <v>0</v>
      </c>
      <c r="AJ47" s="832">
        <v>0</v>
      </c>
      <c r="AK47" s="536">
        <f t="shared" si="0"/>
        <v>2</v>
      </c>
      <c r="AL47" s="410"/>
      <c r="AM47" s="1337">
        <v>2</v>
      </c>
    </row>
    <row r="48" spans="1:39" ht="18.75" customHeight="1" x14ac:dyDescent="0.35">
      <c r="A48" s="1164"/>
      <c r="B48" s="519" t="s">
        <v>434</v>
      </c>
      <c r="C48" s="1295"/>
      <c r="D48" s="1201"/>
      <c r="E48" s="1201"/>
      <c r="F48" s="1173"/>
      <c r="G48" s="930"/>
      <c r="H48" s="958"/>
      <c r="I48" s="814">
        <v>0</v>
      </c>
      <c r="J48" s="518"/>
      <c r="K48" s="637">
        <v>3</v>
      </c>
      <c r="L48" s="637"/>
      <c r="M48" s="637"/>
      <c r="N48" s="637"/>
      <c r="O48" s="518"/>
      <c r="P48" s="637"/>
      <c r="Q48" s="518"/>
      <c r="R48" s="418"/>
      <c r="S48" s="418"/>
      <c r="T48" s="418"/>
      <c r="U48" s="420"/>
      <c r="V48" s="820">
        <v>0</v>
      </c>
      <c r="W48" s="820">
        <v>0</v>
      </c>
      <c r="X48" s="814">
        <v>0</v>
      </c>
      <c r="Y48" s="922">
        <v>0</v>
      </c>
      <c r="Z48" s="820">
        <v>0</v>
      </c>
      <c r="AA48" s="830">
        <v>1</v>
      </c>
      <c r="AB48" s="634"/>
      <c r="AC48" s="549"/>
      <c r="AD48" s="549"/>
      <c r="AE48" s="532"/>
      <c r="AF48" s="593"/>
      <c r="AG48" s="960">
        <v>0</v>
      </c>
      <c r="AH48" s="845">
        <v>0</v>
      </c>
      <c r="AI48" s="815">
        <v>0</v>
      </c>
      <c r="AJ48" s="832">
        <v>0</v>
      </c>
      <c r="AK48" s="536">
        <f t="shared" si="0"/>
        <v>4</v>
      </c>
      <c r="AL48" s="410"/>
      <c r="AM48" s="1337">
        <v>4</v>
      </c>
    </row>
    <row r="49" spans="1:39" ht="18.75" customHeight="1" x14ac:dyDescent="0.3">
      <c r="A49" s="1164"/>
      <c r="B49" s="519" t="s">
        <v>435</v>
      </c>
      <c r="C49" s="1295"/>
      <c r="D49" s="1201"/>
      <c r="E49" s="1201"/>
      <c r="F49" s="1173"/>
      <c r="G49" s="930"/>
      <c r="H49" s="958"/>
      <c r="I49" s="814">
        <v>0</v>
      </c>
      <c r="J49" s="518"/>
      <c r="K49" s="637">
        <v>2</v>
      </c>
      <c r="L49" s="518"/>
      <c r="M49" s="518"/>
      <c r="N49" s="637"/>
      <c r="O49" s="518"/>
      <c r="P49" s="518"/>
      <c r="Q49" s="518"/>
      <c r="R49" s="418"/>
      <c r="S49" s="418"/>
      <c r="T49" s="418"/>
      <c r="U49" s="420"/>
      <c r="V49" s="820">
        <v>0</v>
      </c>
      <c r="W49" s="820">
        <v>0</v>
      </c>
      <c r="X49" s="814">
        <v>0</v>
      </c>
      <c r="Y49" s="919">
        <v>0</v>
      </c>
      <c r="Z49" s="820">
        <v>0</v>
      </c>
      <c r="AA49" s="830">
        <v>0</v>
      </c>
      <c r="AB49" s="634"/>
      <c r="AC49" s="549"/>
      <c r="AD49" s="549"/>
      <c r="AE49" s="532"/>
      <c r="AF49" s="593"/>
      <c r="AG49" s="960">
        <v>0</v>
      </c>
      <c r="AH49" s="845">
        <v>0</v>
      </c>
      <c r="AI49" s="815">
        <v>0</v>
      </c>
      <c r="AJ49" s="832">
        <v>0</v>
      </c>
      <c r="AK49" s="536">
        <f t="shared" si="0"/>
        <v>2</v>
      </c>
      <c r="AL49" s="410"/>
      <c r="AM49" s="1337">
        <v>2</v>
      </c>
    </row>
    <row r="50" spans="1:39" ht="18.75" customHeight="1" x14ac:dyDescent="0.3">
      <c r="A50" s="1164"/>
      <c r="B50" s="519" t="s">
        <v>436</v>
      </c>
      <c r="C50" s="1295"/>
      <c r="D50" s="1201"/>
      <c r="E50" s="1201"/>
      <c r="F50" s="1173"/>
      <c r="G50" s="930"/>
      <c r="H50" s="958"/>
      <c r="I50" s="814">
        <v>0</v>
      </c>
      <c r="J50" s="518"/>
      <c r="K50" s="637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820">
        <v>0</v>
      </c>
      <c r="W50" s="820">
        <v>0</v>
      </c>
      <c r="X50" s="814">
        <v>0</v>
      </c>
      <c r="Y50" s="919">
        <v>0</v>
      </c>
      <c r="Z50" s="820">
        <v>0</v>
      </c>
      <c r="AA50" s="830">
        <v>0</v>
      </c>
      <c r="AB50" s="634"/>
      <c r="AC50" s="549"/>
      <c r="AD50" s="549"/>
      <c r="AE50" s="532"/>
      <c r="AF50" s="593"/>
      <c r="AG50" s="960">
        <v>0</v>
      </c>
      <c r="AH50" s="845">
        <v>0</v>
      </c>
      <c r="AI50" s="815">
        <v>0</v>
      </c>
      <c r="AJ50" s="832">
        <v>0</v>
      </c>
      <c r="AK50" s="536">
        <f t="shared" si="0"/>
        <v>0</v>
      </c>
      <c r="AL50" s="410"/>
      <c r="AM50" s="1337">
        <v>0</v>
      </c>
    </row>
    <row r="51" spans="1:39" ht="18.75" customHeight="1" x14ac:dyDescent="0.3">
      <c r="A51" s="1164"/>
      <c r="B51" s="519" t="s">
        <v>437</v>
      </c>
      <c r="C51" s="1295"/>
      <c r="D51" s="1201"/>
      <c r="E51" s="1201"/>
      <c r="F51" s="1173"/>
      <c r="G51" s="930"/>
      <c r="H51" s="958">
        <v>3</v>
      </c>
      <c r="I51" s="814">
        <v>0</v>
      </c>
      <c r="J51" s="518"/>
      <c r="K51" s="637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820">
        <v>0</v>
      </c>
      <c r="W51" s="820">
        <v>0</v>
      </c>
      <c r="X51" s="814">
        <v>0</v>
      </c>
      <c r="Y51" s="919">
        <v>0</v>
      </c>
      <c r="Z51" s="820">
        <v>0</v>
      </c>
      <c r="AA51" s="830">
        <v>0</v>
      </c>
      <c r="AB51" s="634"/>
      <c r="AC51" s="549"/>
      <c r="AD51" s="549"/>
      <c r="AE51" s="532"/>
      <c r="AF51" s="593"/>
      <c r="AG51" s="960">
        <v>0</v>
      </c>
      <c r="AH51" s="845">
        <v>0</v>
      </c>
      <c r="AI51" s="815">
        <v>0</v>
      </c>
      <c r="AJ51" s="832">
        <v>0</v>
      </c>
      <c r="AK51" s="536">
        <f t="shared" si="0"/>
        <v>3</v>
      </c>
      <c r="AL51" s="410"/>
      <c r="AM51" s="1337">
        <v>3</v>
      </c>
    </row>
    <row r="52" spans="1:39" ht="18.75" customHeight="1" x14ac:dyDescent="0.3">
      <c r="A52" s="1164"/>
      <c r="B52" s="519" t="s">
        <v>438</v>
      </c>
      <c r="C52" s="1295"/>
      <c r="D52" s="1201"/>
      <c r="E52" s="1201"/>
      <c r="F52" s="1173"/>
      <c r="G52" s="930"/>
      <c r="H52" s="958"/>
      <c r="I52" s="814">
        <v>0</v>
      </c>
      <c r="J52" s="518"/>
      <c r="K52" s="637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820">
        <v>0</v>
      </c>
      <c r="W52" s="820">
        <v>0</v>
      </c>
      <c r="X52" s="814">
        <v>0</v>
      </c>
      <c r="Y52" s="919">
        <v>0</v>
      </c>
      <c r="Z52" s="820">
        <v>0</v>
      </c>
      <c r="AA52" s="830">
        <v>0</v>
      </c>
      <c r="AB52" s="634"/>
      <c r="AC52" s="549"/>
      <c r="AD52" s="549"/>
      <c r="AE52" s="532"/>
      <c r="AF52" s="593"/>
      <c r="AG52" s="960">
        <v>0</v>
      </c>
      <c r="AH52" s="845">
        <v>0</v>
      </c>
      <c r="AI52" s="815">
        <v>0</v>
      </c>
      <c r="AJ52" s="832">
        <v>0</v>
      </c>
      <c r="AK52" s="536">
        <f t="shared" si="0"/>
        <v>0</v>
      </c>
      <c r="AL52" s="410"/>
      <c r="AM52" s="1337">
        <v>0</v>
      </c>
    </row>
    <row r="53" spans="1:39" ht="18.75" customHeight="1" x14ac:dyDescent="0.3">
      <c r="A53" s="1164"/>
      <c r="B53" s="519" t="s">
        <v>439</v>
      </c>
      <c r="C53" s="1295"/>
      <c r="D53" s="1201"/>
      <c r="E53" s="1201"/>
      <c r="F53" s="1173"/>
      <c r="G53" s="930"/>
      <c r="H53" s="958"/>
      <c r="I53" s="814">
        <v>0</v>
      </c>
      <c r="J53" s="518"/>
      <c r="K53" s="637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820">
        <v>0</v>
      </c>
      <c r="W53" s="820">
        <v>0</v>
      </c>
      <c r="X53" s="814">
        <v>0</v>
      </c>
      <c r="Y53" s="919">
        <v>0</v>
      </c>
      <c r="Z53" s="820">
        <v>0</v>
      </c>
      <c r="AA53" s="830">
        <v>0</v>
      </c>
      <c r="AB53" s="634"/>
      <c r="AC53" s="549"/>
      <c r="AD53" s="549"/>
      <c r="AE53" s="532"/>
      <c r="AF53" s="593"/>
      <c r="AG53" s="961">
        <v>0</v>
      </c>
      <c r="AH53" s="820">
        <v>0</v>
      </c>
      <c r="AI53" s="814">
        <v>0</v>
      </c>
      <c r="AJ53" s="919">
        <v>0</v>
      </c>
      <c r="AK53" s="536">
        <f t="shared" si="0"/>
        <v>0</v>
      </c>
      <c r="AL53" s="410"/>
      <c r="AM53" s="1337">
        <v>0</v>
      </c>
    </row>
    <row r="54" spans="1:39" ht="18.75" customHeight="1" x14ac:dyDescent="0.3">
      <c r="A54" s="1164"/>
      <c r="B54" s="519" t="s">
        <v>440</v>
      </c>
      <c r="C54" s="1295"/>
      <c r="D54" s="1201"/>
      <c r="E54" s="1201"/>
      <c r="F54" s="1173"/>
      <c r="G54" s="930"/>
      <c r="H54" s="958"/>
      <c r="I54" s="814">
        <v>0</v>
      </c>
      <c r="J54" s="518"/>
      <c r="K54" s="637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820">
        <v>0</v>
      </c>
      <c r="W54" s="820">
        <v>0</v>
      </c>
      <c r="X54" s="814">
        <v>0</v>
      </c>
      <c r="Y54" s="919">
        <v>0</v>
      </c>
      <c r="Z54" s="820">
        <v>0</v>
      </c>
      <c r="AA54" s="830">
        <v>0</v>
      </c>
      <c r="AB54" s="634"/>
      <c r="AC54" s="549"/>
      <c r="AD54" s="549"/>
      <c r="AE54" s="532"/>
      <c r="AF54" s="593"/>
      <c r="AG54" s="961">
        <v>0</v>
      </c>
      <c r="AH54" s="820">
        <v>0</v>
      </c>
      <c r="AI54" s="814">
        <v>0</v>
      </c>
      <c r="AJ54" s="919">
        <v>0</v>
      </c>
      <c r="AK54" s="536">
        <f t="shared" si="0"/>
        <v>0</v>
      </c>
      <c r="AL54" s="410"/>
      <c r="AM54" s="1337">
        <v>0</v>
      </c>
    </row>
    <row r="55" spans="1:39" ht="18.75" customHeight="1" x14ac:dyDescent="0.3">
      <c r="A55" s="1164"/>
      <c r="B55" s="519" t="s">
        <v>441</v>
      </c>
      <c r="C55" s="1295"/>
      <c r="D55" s="1201"/>
      <c r="E55" s="1201"/>
      <c r="F55" s="1173"/>
      <c r="G55" s="930"/>
      <c r="H55" s="958"/>
      <c r="I55" s="814">
        <v>0</v>
      </c>
      <c r="J55" s="518"/>
      <c r="K55" s="637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820">
        <v>0</v>
      </c>
      <c r="W55" s="820">
        <v>0</v>
      </c>
      <c r="X55" s="814">
        <v>0</v>
      </c>
      <c r="Y55" s="919">
        <v>0</v>
      </c>
      <c r="Z55" s="820">
        <v>0</v>
      </c>
      <c r="AA55" s="830">
        <v>0</v>
      </c>
      <c r="AB55" s="634"/>
      <c r="AC55" s="549"/>
      <c r="AD55" s="549"/>
      <c r="AE55" s="532"/>
      <c r="AF55" s="593"/>
      <c r="AG55" s="961">
        <v>0</v>
      </c>
      <c r="AH55" s="820">
        <v>0</v>
      </c>
      <c r="AI55" s="814">
        <v>0</v>
      </c>
      <c r="AJ55" s="919">
        <v>0</v>
      </c>
      <c r="AK55" s="536">
        <f t="shared" si="0"/>
        <v>0</v>
      </c>
      <c r="AL55" s="410"/>
      <c r="AM55" s="1337">
        <v>0</v>
      </c>
    </row>
    <row r="56" spans="1:39" ht="18.75" customHeight="1" x14ac:dyDescent="0.3">
      <c r="A56" s="1164"/>
      <c r="B56" s="519" t="s">
        <v>442</v>
      </c>
      <c r="C56" s="1295"/>
      <c r="D56" s="1201"/>
      <c r="E56" s="1201"/>
      <c r="F56" s="1173"/>
      <c r="G56" s="930"/>
      <c r="H56" s="958"/>
      <c r="I56" s="814">
        <v>0</v>
      </c>
      <c r="J56" s="518"/>
      <c r="K56" s="637"/>
      <c r="L56" s="518"/>
      <c r="M56" s="518"/>
      <c r="N56" s="518"/>
      <c r="O56" s="518"/>
      <c r="P56" s="637"/>
      <c r="Q56" s="518"/>
      <c r="R56" s="418"/>
      <c r="S56" s="418"/>
      <c r="T56" s="418"/>
      <c r="U56" s="420"/>
      <c r="V56" s="820">
        <v>0</v>
      </c>
      <c r="W56" s="820">
        <v>0</v>
      </c>
      <c r="X56" s="814">
        <v>0</v>
      </c>
      <c r="Y56" s="919">
        <v>0</v>
      </c>
      <c r="Z56" s="820">
        <v>0</v>
      </c>
      <c r="AA56" s="830">
        <v>0</v>
      </c>
      <c r="AB56" s="634"/>
      <c r="AC56" s="549"/>
      <c r="AD56" s="549"/>
      <c r="AE56" s="532"/>
      <c r="AF56" s="593"/>
      <c r="AG56" s="961">
        <v>0</v>
      </c>
      <c r="AH56" s="820">
        <v>0</v>
      </c>
      <c r="AI56" s="814">
        <v>0</v>
      </c>
      <c r="AJ56" s="919">
        <v>0</v>
      </c>
      <c r="AK56" s="536">
        <f t="shared" si="0"/>
        <v>0</v>
      </c>
      <c r="AL56" s="410"/>
      <c r="AM56" s="1337">
        <v>0</v>
      </c>
    </row>
    <row r="57" spans="1:39" ht="18.75" customHeight="1" x14ac:dyDescent="0.3">
      <c r="A57" s="1164"/>
      <c r="B57" s="519" t="s">
        <v>443</v>
      </c>
      <c r="C57" s="1295"/>
      <c r="D57" s="1201"/>
      <c r="E57" s="1201"/>
      <c r="F57" s="1173"/>
      <c r="G57" s="930"/>
      <c r="H57" s="958"/>
      <c r="I57" s="814">
        <v>0</v>
      </c>
      <c r="J57" s="518"/>
      <c r="K57" s="637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820">
        <v>0</v>
      </c>
      <c r="W57" s="820">
        <v>0</v>
      </c>
      <c r="X57" s="814">
        <v>0</v>
      </c>
      <c r="Y57" s="919">
        <v>0</v>
      </c>
      <c r="Z57" s="820">
        <v>0</v>
      </c>
      <c r="AA57" s="830">
        <v>0</v>
      </c>
      <c r="AB57" s="634"/>
      <c r="AC57" s="549"/>
      <c r="AD57" s="549"/>
      <c r="AE57" s="532"/>
      <c r="AF57" s="593"/>
      <c r="AG57" s="961">
        <v>0</v>
      </c>
      <c r="AH57" s="820">
        <v>0</v>
      </c>
      <c r="AI57" s="814">
        <v>0</v>
      </c>
      <c r="AJ57" s="844">
        <v>1</v>
      </c>
      <c r="AK57" s="536">
        <f t="shared" si="0"/>
        <v>1</v>
      </c>
      <c r="AL57" s="410"/>
      <c r="AM57" s="1337">
        <v>1</v>
      </c>
    </row>
    <row r="58" spans="1:39" ht="18.75" customHeight="1" x14ac:dyDescent="0.3">
      <c r="A58" s="1164"/>
      <c r="B58" s="519" t="s">
        <v>444</v>
      </c>
      <c r="C58" s="1295"/>
      <c r="D58" s="1201"/>
      <c r="E58" s="1201"/>
      <c r="F58" s="1173"/>
      <c r="G58" s="930"/>
      <c r="H58" s="958"/>
      <c r="I58" s="814">
        <v>0</v>
      </c>
      <c r="J58" s="518"/>
      <c r="K58" s="637"/>
      <c r="L58" s="518"/>
      <c r="M58" s="637"/>
      <c r="N58" s="518"/>
      <c r="O58" s="518"/>
      <c r="P58" s="637"/>
      <c r="Q58" s="518"/>
      <c r="R58" s="418"/>
      <c r="S58" s="418"/>
      <c r="T58" s="418"/>
      <c r="U58" s="420"/>
      <c r="V58" s="820">
        <v>0</v>
      </c>
      <c r="W58" s="820">
        <v>0</v>
      </c>
      <c r="X58" s="814">
        <v>0</v>
      </c>
      <c r="Y58" s="919">
        <v>0</v>
      </c>
      <c r="Z58" s="820">
        <v>0</v>
      </c>
      <c r="AA58" s="830">
        <v>0</v>
      </c>
      <c r="AB58" s="634"/>
      <c r="AC58" s="549"/>
      <c r="AD58" s="549"/>
      <c r="AE58" s="532"/>
      <c r="AF58" s="593"/>
      <c r="AG58" s="961">
        <v>0</v>
      </c>
      <c r="AH58" s="820">
        <v>0</v>
      </c>
      <c r="AI58" s="814">
        <v>0</v>
      </c>
      <c r="AJ58" s="919">
        <v>0</v>
      </c>
      <c r="AK58" s="536">
        <f t="shared" si="0"/>
        <v>0</v>
      </c>
      <c r="AL58" s="410"/>
      <c r="AM58" s="1337">
        <v>0</v>
      </c>
    </row>
    <row r="59" spans="1:39" ht="18.75" customHeight="1" x14ac:dyDescent="0.35">
      <c r="A59" s="1164"/>
      <c r="B59" s="519" t="s">
        <v>445</v>
      </c>
      <c r="C59" s="1295"/>
      <c r="D59" s="1201"/>
      <c r="E59" s="1201"/>
      <c r="F59" s="1173"/>
      <c r="G59" s="930"/>
      <c r="H59" s="958"/>
      <c r="I59" s="814">
        <v>0</v>
      </c>
      <c r="J59" s="518"/>
      <c r="K59" s="637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820">
        <v>0</v>
      </c>
      <c r="W59" s="820">
        <v>0</v>
      </c>
      <c r="X59" s="814">
        <v>0</v>
      </c>
      <c r="Y59" s="922">
        <v>0</v>
      </c>
      <c r="Z59" s="820">
        <v>0</v>
      </c>
      <c r="AA59" s="830">
        <v>0</v>
      </c>
      <c r="AB59" s="634"/>
      <c r="AC59" s="549"/>
      <c r="AD59" s="549"/>
      <c r="AE59" s="532"/>
      <c r="AF59" s="593"/>
      <c r="AG59" s="961">
        <v>0</v>
      </c>
      <c r="AH59" s="820">
        <v>0</v>
      </c>
      <c r="AI59" s="814">
        <v>0</v>
      </c>
      <c r="AJ59" s="919">
        <v>0</v>
      </c>
      <c r="AK59" s="536">
        <f t="shared" si="0"/>
        <v>0</v>
      </c>
      <c r="AL59" s="410"/>
      <c r="AM59" s="1337">
        <v>0</v>
      </c>
    </row>
    <row r="60" spans="1:39" ht="18.75" customHeight="1" x14ac:dyDescent="0.3">
      <c r="A60" s="1164"/>
      <c r="B60" s="519" t="s">
        <v>446</v>
      </c>
      <c r="C60" s="1295"/>
      <c r="D60" s="1201"/>
      <c r="E60" s="1201"/>
      <c r="F60" s="1173"/>
      <c r="G60" s="930"/>
      <c r="H60" s="814">
        <v>0</v>
      </c>
      <c r="I60" s="814">
        <v>0</v>
      </c>
      <c r="J60" s="518"/>
      <c r="K60" s="637">
        <v>3</v>
      </c>
      <c r="L60" s="518"/>
      <c r="M60" s="518"/>
      <c r="N60" s="637"/>
      <c r="O60" s="518"/>
      <c r="P60" s="518"/>
      <c r="Q60" s="637"/>
      <c r="R60" s="418"/>
      <c r="S60" s="418"/>
      <c r="T60" s="542"/>
      <c r="U60" s="420"/>
      <c r="V60" s="962">
        <v>0</v>
      </c>
      <c r="W60" s="962">
        <v>0</v>
      </c>
      <c r="X60" s="637">
        <v>0</v>
      </c>
      <c r="Y60" s="963">
        <v>0</v>
      </c>
      <c r="Z60" s="962">
        <v>0</v>
      </c>
      <c r="AA60" s="964">
        <v>0</v>
      </c>
      <c r="AB60" s="634"/>
      <c r="AC60" s="549"/>
      <c r="AD60" s="549"/>
      <c r="AE60" s="532"/>
      <c r="AF60" s="593"/>
      <c r="AG60" s="961">
        <v>0</v>
      </c>
      <c r="AH60" s="820">
        <v>0</v>
      </c>
      <c r="AI60" s="814">
        <v>0</v>
      </c>
      <c r="AJ60" s="919">
        <v>0</v>
      </c>
      <c r="AK60" s="536">
        <f t="shared" si="0"/>
        <v>3</v>
      </c>
      <c r="AL60" s="410"/>
      <c r="AM60">
        <v>3</v>
      </c>
    </row>
    <row r="61" spans="1:39" ht="18.75" customHeight="1" x14ac:dyDescent="0.3">
      <c r="A61" s="1164"/>
      <c r="B61" s="519" t="s">
        <v>447</v>
      </c>
      <c r="C61" s="1295"/>
      <c r="D61" s="1201"/>
      <c r="E61" s="1201"/>
      <c r="F61" s="1173"/>
      <c r="G61" s="930"/>
      <c r="H61" s="814">
        <v>0</v>
      </c>
      <c r="I61" s="814">
        <v>5</v>
      </c>
      <c r="J61" s="637"/>
      <c r="K61" s="637">
        <v>2</v>
      </c>
      <c r="L61" s="518"/>
      <c r="M61" s="637">
        <v>20</v>
      </c>
      <c r="N61" s="637"/>
      <c r="O61" s="518"/>
      <c r="P61" s="637"/>
      <c r="Q61" s="637"/>
      <c r="R61" s="542"/>
      <c r="S61" s="418"/>
      <c r="T61" s="542">
        <v>7</v>
      </c>
      <c r="U61" s="420"/>
      <c r="V61" s="962">
        <v>0</v>
      </c>
      <c r="W61" s="962">
        <v>0</v>
      </c>
      <c r="X61" s="637">
        <v>0</v>
      </c>
      <c r="Y61" s="963">
        <v>0</v>
      </c>
      <c r="Z61" s="962">
        <v>0</v>
      </c>
      <c r="AA61" s="965">
        <v>2</v>
      </c>
      <c r="AB61" s="634"/>
      <c r="AC61" s="549"/>
      <c r="AD61" s="549"/>
      <c r="AE61" s="532"/>
      <c r="AF61" s="550"/>
      <c r="AG61" s="961">
        <v>0</v>
      </c>
      <c r="AH61" s="820">
        <v>0</v>
      </c>
      <c r="AI61" s="814">
        <v>0</v>
      </c>
      <c r="AJ61" s="844">
        <v>1</v>
      </c>
      <c r="AK61" s="536">
        <f t="shared" si="0"/>
        <v>37</v>
      </c>
      <c r="AL61" s="410"/>
      <c r="AM61" s="1337">
        <v>37</v>
      </c>
    </row>
    <row r="62" spans="1:39" ht="18.75" customHeight="1" x14ac:dyDescent="0.3">
      <c r="A62" s="1164"/>
      <c r="B62" s="519" t="s">
        <v>448</v>
      </c>
      <c r="C62" s="1295"/>
      <c r="D62" s="1201"/>
      <c r="E62" s="1201"/>
      <c r="F62" s="1173"/>
      <c r="G62" s="930"/>
      <c r="H62" s="814">
        <v>1</v>
      </c>
      <c r="I62" s="814">
        <v>0</v>
      </c>
      <c r="J62" s="518"/>
      <c r="K62" s="637">
        <v>3</v>
      </c>
      <c r="L62" s="518"/>
      <c r="M62" s="518"/>
      <c r="N62" s="637"/>
      <c r="O62" s="518"/>
      <c r="P62" s="518"/>
      <c r="Q62" s="518"/>
      <c r="R62" s="418"/>
      <c r="S62" s="418"/>
      <c r="T62" s="418"/>
      <c r="U62" s="420"/>
      <c r="V62" s="962">
        <v>0</v>
      </c>
      <c r="W62" s="962">
        <v>0</v>
      </c>
      <c r="X62" s="637">
        <v>0</v>
      </c>
      <c r="Y62" s="966">
        <v>0</v>
      </c>
      <c r="Z62" s="962">
        <v>0</v>
      </c>
      <c r="AA62" s="964"/>
      <c r="AB62" s="634"/>
      <c r="AC62" s="549"/>
      <c r="AD62" s="549"/>
      <c r="AE62" s="532"/>
      <c r="AF62" s="593"/>
      <c r="AG62" s="961">
        <v>0</v>
      </c>
      <c r="AH62" s="820">
        <v>0</v>
      </c>
      <c r="AI62" s="814">
        <v>0</v>
      </c>
      <c r="AJ62" s="919">
        <v>0</v>
      </c>
      <c r="AK62" s="536">
        <f t="shared" si="0"/>
        <v>4</v>
      </c>
      <c r="AL62" s="410"/>
      <c r="AM62" s="1337">
        <v>4</v>
      </c>
    </row>
    <row r="63" spans="1:39" ht="18.75" customHeight="1" x14ac:dyDescent="0.3">
      <c r="A63" s="1164"/>
      <c r="B63" s="519" t="s">
        <v>449</v>
      </c>
      <c r="C63" s="1295"/>
      <c r="D63" s="1201"/>
      <c r="E63" s="1201"/>
      <c r="F63" s="1173"/>
      <c r="G63" s="930"/>
      <c r="H63" s="814">
        <v>0</v>
      </c>
      <c r="I63" s="814">
        <v>0</v>
      </c>
      <c r="J63" s="518"/>
      <c r="K63" s="637"/>
      <c r="L63" s="518"/>
      <c r="M63" s="518"/>
      <c r="N63" s="518"/>
      <c r="O63" s="518"/>
      <c r="P63" s="518"/>
      <c r="Q63" s="637">
        <v>1</v>
      </c>
      <c r="R63" s="418"/>
      <c r="S63" s="418"/>
      <c r="T63" s="418"/>
      <c r="U63" s="420"/>
      <c r="V63" s="962">
        <v>0</v>
      </c>
      <c r="W63" s="962">
        <v>0</v>
      </c>
      <c r="X63" s="637">
        <v>0</v>
      </c>
      <c r="Y63" s="963">
        <v>0</v>
      </c>
      <c r="Z63" s="962">
        <v>0</v>
      </c>
      <c r="AA63" s="964"/>
      <c r="AB63" s="634"/>
      <c r="AC63" s="549"/>
      <c r="AD63" s="549"/>
      <c r="AE63" s="532"/>
      <c r="AF63" s="593"/>
      <c r="AG63" s="961">
        <v>0</v>
      </c>
      <c r="AH63" s="820">
        <v>0</v>
      </c>
      <c r="AI63" s="814">
        <v>0</v>
      </c>
      <c r="AJ63" s="919">
        <v>0</v>
      </c>
      <c r="AK63" s="536">
        <f t="shared" si="0"/>
        <v>1</v>
      </c>
      <c r="AL63" s="410"/>
      <c r="AM63" s="1337">
        <v>1</v>
      </c>
    </row>
    <row r="64" spans="1:39" ht="18.75" customHeight="1" x14ac:dyDescent="0.3">
      <c r="A64" s="1164"/>
      <c r="B64" s="519" t="s">
        <v>455</v>
      </c>
      <c r="C64" s="1295"/>
      <c r="D64" s="1201"/>
      <c r="E64" s="1201"/>
      <c r="F64" s="1173"/>
      <c r="G64" s="930"/>
      <c r="H64" s="814">
        <v>0</v>
      </c>
      <c r="I64" s="814">
        <v>0</v>
      </c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962">
        <v>0</v>
      </c>
      <c r="W64" s="637">
        <v>0</v>
      </c>
      <c r="X64" s="637">
        <v>0</v>
      </c>
      <c r="Y64" s="966">
        <v>0</v>
      </c>
      <c r="Z64" s="962">
        <v>0</v>
      </c>
      <c r="AA64" s="964"/>
      <c r="AB64" s="634"/>
      <c r="AC64" s="549"/>
      <c r="AD64" s="549"/>
      <c r="AE64" s="532"/>
      <c r="AF64" s="593"/>
      <c r="AG64" s="961">
        <v>0</v>
      </c>
      <c r="AH64" s="820">
        <v>0</v>
      </c>
      <c r="AI64" s="814">
        <v>0</v>
      </c>
      <c r="AJ64" s="919">
        <v>0</v>
      </c>
      <c r="AK64" s="536">
        <f t="shared" si="0"/>
        <v>0</v>
      </c>
      <c r="AL64" s="410"/>
      <c r="AM64" s="1337">
        <v>0</v>
      </c>
    </row>
    <row r="65" spans="1:39" ht="18.75" customHeight="1" x14ac:dyDescent="0.25">
      <c r="A65" s="1164"/>
      <c r="B65" s="519" t="s">
        <v>456</v>
      </c>
      <c r="C65" s="1295"/>
      <c r="D65" s="1201"/>
      <c r="E65" s="1201"/>
      <c r="F65" s="1173"/>
      <c r="G65" s="930"/>
      <c r="H65" s="814">
        <v>0</v>
      </c>
      <c r="I65" s="814">
        <v>0</v>
      </c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637">
        <v>0</v>
      </c>
      <c r="W65" s="637">
        <v>0</v>
      </c>
      <c r="X65" s="637">
        <v>0</v>
      </c>
      <c r="Y65" s="963">
        <v>0</v>
      </c>
      <c r="Z65" s="962">
        <v>0</v>
      </c>
      <c r="AA65" s="637">
        <v>0</v>
      </c>
      <c r="AB65" s="634"/>
      <c r="AC65" s="549"/>
      <c r="AD65" s="549"/>
      <c r="AE65" s="532"/>
      <c r="AF65" s="593"/>
      <c r="AG65" s="961">
        <v>0</v>
      </c>
      <c r="AH65" s="967">
        <v>0</v>
      </c>
      <c r="AI65" s="814">
        <v>0</v>
      </c>
      <c r="AJ65" s="814">
        <v>0</v>
      </c>
      <c r="AK65" s="536">
        <f t="shared" si="0"/>
        <v>0</v>
      </c>
      <c r="AL65" s="410"/>
      <c r="AM65" s="1337">
        <v>0</v>
      </c>
    </row>
    <row r="66" spans="1:39" ht="18.75" customHeight="1" x14ac:dyDescent="0.3">
      <c r="A66" s="1165"/>
      <c r="B66" s="519" t="s">
        <v>457</v>
      </c>
      <c r="C66" s="1295"/>
      <c r="D66" s="1201"/>
      <c r="E66" s="1201"/>
      <c r="F66" s="1173"/>
      <c r="G66" s="518"/>
      <c r="H66" s="637">
        <v>0</v>
      </c>
      <c r="I66" s="637">
        <v>0</v>
      </c>
      <c r="J66" s="418"/>
      <c r="K66" s="968"/>
      <c r="L66" s="520"/>
      <c r="M66" s="418"/>
      <c r="N66" s="542"/>
      <c r="O66" s="418"/>
      <c r="P66" s="542"/>
      <c r="Q66" s="637">
        <v>26</v>
      </c>
      <c r="R66" s="542"/>
      <c r="S66" s="418"/>
      <c r="T66" s="418"/>
      <c r="U66" s="420"/>
      <c r="V66" s="637">
        <v>0</v>
      </c>
      <c r="W66" s="637">
        <v>0</v>
      </c>
      <c r="X66" s="637">
        <v>0</v>
      </c>
      <c r="Y66" s="637">
        <v>0</v>
      </c>
      <c r="Z66" s="962">
        <v>0</v>
      </c>
      <c r="AA66" s="637">
        <v>0</v>
      </c>
      <c r="AB66" s="634"/>
      <c r="AC66" s="549"/>
      <c r="AD66" s="549"/>
      <c r="AE66" s="532"/>
      <c r="AF66" s="593"/>
      <c r="AG66" s="961">
        <v>0</v>
      </c>
      <c r="AH66" s="969">
        <v>3</v>
      </c>
      <c r="AI66" s="969"/>
      <c r="AJ66" s="814">
        <v>0</v>
      </c>
      <c r="AK66" s="716">
        <f t="shared" si="0"/>
        <v>29</v>
      </c>
      <c r="AL66" s="410"/>
      <c r="AM66" s="1337">
        <v>29</v>
      </c>
    </row>
    <row r="67" spans="1:39" ht="30" customHeight="1" x14ac:dyDescent="0.3">
      <c r="A67" s="305"/>
      <c r="B67" s="717" t="s">
        <v>486</v>
      </c>
      <c r="C67" s="1295"/>
      <c r="D67" s="1201"/>
      <c r="E67" s="1201"/>
      <c r="F67" s="1173"/>
      <c r="G67" s="1334"/>
      <c r="H67" s="1288"/>
      <c r="I67" s="1288"/>
      <c r="J67" s="1288"/>
      <c r="K67" s="1288"/>
      <c r="L67" s="1288"/>
      <c r="M67" s="1288"/>
      <c r="N67" s="1288"/>
      <c r="O67" s="1288"/>
      <c r="P67" s="1288"/>
      <c r="Q67" s="1288"/>
      <c r="R67" s="1288"/>
      <c r="S67" s="1288"/>
      <c r="T67" s="1288"/>
      <c r="U67" s="1288"/>
      <c r="V67" s="1288"/>
      <c r="W67" s="1288"/>
      <c r="X67" s="1288"/>
      <c r="Y67" s="1288"/>
      <c r="Z67" s="1288"/>
      <c r="AA67" s="1288"/>
      <c r="AB67" s="1288"/>
      <c r="AC67" s="1288"/>
      <c r="AD67" s="1288"/>
      <c r="AE67" s="1288"/>
      <c r="AF67" s="1288"/>
      <c r="AG67" s="1288"/>
      <c r="AH67" s="1288"/>
      <c r="AI67" s="1288"/>
      <c r="AJ67" s="1289"/>
      <c r="AK67" s="718">
        <f>SUM(AK7+AK10+AK15+AK20)</f>
        <v>3126</v>
      </c>
      <c r="AL67" s="410"/>
    </row>
    <row r="68" spans="1:39" ht="23.25" customHeight="1" x14ac:dyDescent="0.3">
      <c r="A68" s="305"/>
      <c r="B68" s="305"/>
      <c r="C68" s="1296"/>
      <c r="D68" s="1288"/>
      <c r="E68" s="1288"/>
      <c r="F68" s="1289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719"/>
      <c r="AL68" s="410"/>
    </row>
    <row r="69" spans="1:39" ht="27" customHeight="1" x14ac:dyDescent="0.25">
      <c r="AJ69" s="869"/>
    </row>
    <row r="70" spans="1:39" ht="18.75" customHeight="1" x14ac:dyDescent="0.25">
      <c r="AJ70" s="869"/>
    </row>
    <row r="71" spans="1:39" ht="15.75" customHeight="1" x14ac:dyDescent="0.25">
      <c r="AJ71" s="869"/>
    </row>
    <row r="72" spans="1:39" ht="12.75" customHeight="1" x14ac:dyDescent="0.25">
      <c r="AJ72" s="869"/>
    </row>
    <row r="73" spans="1:39" ht="12.75" customHeight="1" x14ac:dyDescent="0.25">
      <c r="AJ73" s="869"/>
    </row>
    <row r="74" spans="1:39" ht="12.75" customHeight="1" x14ac:dyDescent="0.25">
      <c r="AJ74" s="869"/>
    </row>
    <row r="75" spans="1:39" ht="12.75" customHeight="1" x14ac:dyDescent="0.25">
      <c r="AJ75" s="869"/>
    </row>
    <row r="76" spans="1:39" ht="12.75" customHeight="1" x14ac:dyDescent="0.25">
      <c r="AJ76" s="869"/>
    </row>
    <row r="77" spans="1:39" ht="12.75" customHeight="1" x14ac:dyDescent="0.25">
      <c r="AJ77" s="869"/>
    </row>
    <row r="78" spans="1:39" ht="12.75" customHeight="1" x14ac:dyDescent="0.25">
      <c r="AJ78" s="869"/>
    </row>
    <row r="79" spans="1:39" ht="12.75" customHeight="1" x14ac:dyDescent="0.25">
      <c r="AJ79" s="869"/>
    </row>
    <row r="80" spans="1:39" ht="12.75" customHeight="1" x14ac:dyDescent="0.25">
      <c r="AJ80" s="869"/>
    </row>
    <row r="81" spans="36:36" ht="12.75" customHeight="1" x14ac:dyDescent="0.25">
      <c r="AJ81" s="869"/>
    </row>
    <row r="82" spans="36:36" ht="12.75" customHeight="1" x14ac:dyDescent="0.25">
      <c r="AJ82" s="869"/>
    </row>
    <row r="83" spans="36:36" ht="12.75" customHeight="1" x14ac:dyDescent="0.25">
      <c r="AJ83" s="869"/>
    </row>
    <row r="84" spans="36:36" ht="12.75" customHeight="1" x14ac:dyDescent="0.25">
      <c r="AJ84" s="869"/>
    </row>
    <row r="85" spans="36:36" ht="12.75" customHeight="1" x14ac:dyDescent="0.25">
      <c r="AJ85" s="869"/>
    </row>
    <row r="86" spans="36:36" ht="12.75" customHeight="1" x14ac:dyDescent="0.25">
      <c r="AJ86" s="869"/>
    </row>
    <row r="87" spans="36:36" ht="12.75" customHeight="1" x14ac:dyDescent="0.25">
      <c r="AJ87" s="869"/>
    </row>
    <row r="88" spans="36:36" ht="12.75" customHeight="1" x14ac:dyDescent="0.25">
      <c r="AJ88" s="869"/>
    </row>
    <row r="89" spans="36:36" ht="12.75" customHeight="1" x14ac:dyDescent="0.25">
      <c r="AJ89" s="869"/>
    </row>
    <row r="90" spans="36:36" ht="12.75" customHeight="1" x14ac:dyDescent="0.25">
      <c r="AJ90" s="869"/>
    </row>
    <row r="91" spans="36:36" ht="12.75" customHeight="1" x14ac:dyDescent="0.25">
      <c r="AJ91" s="869"/>
    </row>
    <row r="92" spans="36:36" ht="12.75" customHeight="1" x14ac:dyDescent="0.25">
      <c r="AJ92" s="869"/>
    </row>
    <row r="93" spans="36:36" ht="12.75" customHeight="1" x14ac:dyDescent="0.25">
      <c r="AJ93" s="869"/>
    </row>
    <row r="94" spans="36:36" ht="12.75" customHeight="1" x14ac:dyDescent="0.25">
      <c r="AJ94" s="869"/>
    </row>
    <row r="95" spans="36:36" ht="12.75" customHeight="1" x14ac:dyDescent="0.25">
      <c r="AJ95" s="869"/>
    </row>
    <row r="96" spans="36:36" ht="12.75" customHeight="1" x14ac:dyDescent="0.25">
      <c r="AJ96" s="869"/>
    </row>
    <row r="97" spans="36:36" ht="12.75" customHeight="1" x14ac:dyDescent="0.25">
      <c r="AJ97" s="869"/>
    </row>
    <row r="98" spans="36:36" ht="12.75" customHeight="1" x14ac:dyDescent="0.25">
      <c r="AJ98" s="869"/>
    </row>
    <row r="99" spans="36:36" ht="12.75" customHeight="1" x14ac:dyDescent="0.25">
      <c r="AJ99" s="869"/>
    </row>
    <row r="100" spans="36:36" ht="12.75" customHeight="1" x14ac:dyDescent="0.25">
      <c r="AJ100" s="869"/>
    </row>
    <row r="101" spans="36:36" ht="12.75" customHeight="1" x14ac:dyDescent="0.25">
      <c r="AJ101" s="869"/>
    </row>
    <row r="102" spans="36:36" ht="12.75" customHeight="1" x14ac:dyDescent="0.25">
      <c r="AJ102" s="869"/>
    </row>
    <row r="103" spans="36:36" ht="12.75" customHeight="1" x14ac:dyDescent="0.25">
      <c r="AJ103" s="869"/>
    </row>
    <row r="104" spans="36:36" ht="12.75" customHeight="1" x14ac:dyDescent="0.25">
      <c r="AJ104" s="869"/>
    </row>
    <row r="105" spans="36:36" ht="12.75" customHeight="1" x14ac:dyDescent="0.25">
      <c r="AJ105" s="869"/>
    </row>
    <row r="106" spans="36:36" ht="12.75" customHeight="1" x14ac:dyDescent="0.25">
      <c r="AJ106" s="869"/>
    </row>
    <row r="107" spans="36:36" ht="12.75" customHeight="1" x14ac:dyDescent="0.25">
      <c r="AJ107" s="869"/>
    </row>
    <row r="108" spans="36:36" ht="12.75" customHeight="1" x14ac:dyDescent="0.25">
      <c r="AJ108" s="869"/>
    </row>
    <row r="109" spans="36:36" ht="12.75" customHeight="1" x14ac:dyDescent="0.25">
      <c r="AJ109" s="869"/>
    </row>
    <row r="110" spans="36:36" ht="12.75" customHeight="1" x14ac:dyDescent="0.25">
      <c r="AJ110" s="869"/>
    </row>
    <row r="111" spans="36:36" ht="12.75" customHeight="1" x14ac:dyDescent="0.25">
      <c r="AJ111" s="869"/>
    </row>
    <row r="112" spans="36:36" ht="12.75" customHeight="1" x14ac:dyDescent="0.25">
      <c r="AJ112" s="869"/>
    </row>
    <row r="113" spans="36:36" ht="12.75" customHeight="1" x14ac:dyDescent="0.25">
      <c r="AJ113" s="869"/>
    </row>
    <row r="114" spans="36:36" ht="12.75" customHeight="1" x14ac:dyDescent="0.25">
      <c r="AJ114" s="869"/>
    </row>
    <row r="115" spans="36:36" ht="12.75" customHeight="1" x14ac:dyDescent="0.25">
      <c r="AJ115" s="869"/>
    </row>
    <row r="116" spans="36:36" ht="12.75" customHeight="1" x14ac:dyDescent="0.25">
      <c r="AJ116" s="869"/>
    </row>
    <row r="117" spans="36:36" ht="12.75" customHeight="1" x14ac:dyDescent="0.25">
      <c r="AJ117" s="869"/>
    </row>
    <row r="118" spans="36:36" ht="12.75" customHeight="1" x14ac:dyDescent="0.25">
      <c r="AJ118" s="869"/>
    </row>
    <row r="119" spans="36:36" ht="12.75" customHeight="1" x14ac:dyDescent="0.25">
      <c r="AJ119" s="869"/>
    </row>
    <row r="120" spans="36:36" ht="12.75" customHeight="1" x14ac:dyDescent="0.25">
      <c r="AJ120" s="869"/>
    </row>
    <row r="121" spans="36:36" ht="12.75" customHeight="1" x14ac:dyDescent="0.25">
      <c r="AJ121" s="869"/>
    </row>
    <row r="122" spans="36:36" ht="12.75" customHeight="1" x14ac:dyDescent="0.25">
      <c r="AJ122" s="869"/>
    </row>
    <row r="123" spans="36:36" ht="12.75" customHeight="1" x14ac:dyDescent="0.25">
      <c r="AJ123" s="869"/>
    </row>
    <row r="124" spans="36:36" ht="12.75" customHeight="1" x14ac:dyDescent="0.25">
      <c r="AJ124" s="869"/>
    </row>
    <row r="125" spans="36:36" ht="12.75" customHeight="1" x14ac:dyDescent="0.25">
      <c r="AJ125" s="869"/>
    </row>
    <row r="126" spans="36:36" ht="12.75" customHeight="1" x14ac:dyDescent="0.25">
      <c r="AJ126" s="869"/>
    </row>
    <row r="127" spans="36:36" ht="12.75" customHeight="1" x14ac:dyDescent="0.25">
      <c r="AJ127" s="869"/>
    </row>
    <row r="128" spans="36:36" ht="12.75" customHeight="1" x14ac:dyDescent="0.25">
      <c r="AJ128" s="869"/>
    </row>
    <row r="129" spans="36:36" ht="12.75" customHeight="1" x14ac:dyDescent="0.25">
      <c r="AJ129" s="869"/>
    </row>
    <row r="130" spans="36:36" ht="12.75" customHeight="1" x14ac:dyDescent="0.25">
      <c r="AJ130" s="869"/>
    </row>
    <row r="131" spans="36:36" ht="12.75" customHeight="1" x14ac:dyDescent="0.25">
      <c r="AJ131" s="869"/>
    </row>
    <row r="132" spans="36:36" ht="12.75" customHeight="1" x14ac:dyDescent="0.25">
      <c r="AJ132" s="869"/>
    </row>
    <row r="133" spans="36:36" ht="12.75" customHeight="1" x14ac:dyDescent="0.25">
      <c r="AJ133" s="869"/>
    </row>
    <row r="134" spans="36:36" ht="12.75" customHeight="1" x14ac:dyDescent="0.25">
      <c r="AJ134" s="869"/>
    </row>
    <row r="135" spans="36:36" ht="12.75" customHeight="1" x14ac:dyDescent="0.25">
      <c r="AJ135" s="869"/>
    </row>
    <row r="136" spans="36:36" ht="12.75" customHeight="1" x14ac:dyDescent="0.25">
      <c r="AJ136" s="869"/>
    </row>
    <row r="137" spans="36:36" ht="12.75" customHeight="1" x14ac:dyDescent="0.25">
      <c r="AJ137" s="869"/>
    </row>
    <row r="138" spans="36:36" ht="12.75" customHeight="1" x14ac:dyDescent="0.25">
      <c r="AJ138" s="869"/>
    </row>
    <row r="139" spans="36:36" ht="12.75" customHeight="1" x14ac:dyDescent="0.25">
      <c r="AJ139" s="869"/>
    </row>
    <row r="140" spans="36:36" ht="12.75" customHeight="1" x14ac:dyDescent="0.25">
      <c r="AJ140" s="869"/>
    </row>
    <row r="141" spans="36:36" ht="12.75" customHeight="1" x14ac:dyDescent="0.25">
      <c r="AJ141" s="869"/>
    </row>
    <row r="142" spans="36:36" ht="12.75" customHeight="1" x14ac:dyDescent="0.25">
      <c r="AJ142" s="869"/>
    </row>
    <row r="143" spans="36:36" ht="12.75" customHeight="1" x14ac:dyDescent="0.25">
      <c r="AJ143" s="869"/>
    </row>
    <row r="144" spans="36:36" ht="12.75" customHeight="1" x14ac:dyDescent="0.25">
      <c r="AJ144" s="869"/>
    </row>
    <row r="145" spans="36:36" ht="12.75" customHeight="1" x14ac:dyDescent="0.25">
      <c r="AJ145" s="869"/>
    </row>
    <row r="146" spans="36:36" ht="12.75" customHeight="1" x14ac:dyDescent="0.25">
      <c r="AJ146" s="869"/>
    </row>
    <row r="147" spans="36:36" ht="12.75" customHeight="1" x14ac:dyDescent="0.25">
      <c r="AJ147" s="869"/>
    </row>
    <row r="148" spans="36:36" ht="12.75" customHeight="1" x14ac:dyDescent="0.25">
      <c r="AJ148" s="869"/>
    </row>
    <row r="149" spans="36:36" ht="12.75" customHeight="1" x14ac:dyDescent="0.25">
      <c r="AJ149" s="869"/>
    </row>
    <row r="150" spans="36:36" ht="12.75" customHeight="1" x14ac:dyDescent="0.25">
      <c r="AJ150" s="869"/>
    </row>
    <row r="151" spans="36:36" ht="12.75" customHeight="1" x14ac:dyDescent="0.25">
      <c r="AJ151" s="869"/>
    </row>
    <row r="152" spans="36:36" ht="12.75" customHeight="1" x14ac:dyDescent="0.25">
      <c r="AJ152" s="869"/>
    </row>
    <row r="153" spans="36:36" ht="12.75" customHeight="1" x14ac:dyDescent="0.25">
      <c r="AJ153" s="869"/>
    </row>
    <row r="154" spans="36:36" ht="12.75" customHeight="1" x14ac:dyDescent="0.25">
      <c r="AJ154" s="869"/>
    </row>
    <row r="155" spans="36:36" ht="12.75" customHeight="1" x14ac:dyDescent="0.25">
      <c r="AJ155" s="869"/>
    </row>
    <row r="156" spans="36:36" ht="12.75" customHeight="1" x14ac:dyDescent="0.25">
      <c r="AJ156" s="869"/>
    </row>
    <row r="157" spans="36:36" ht="12.75" customHeight="1" x14ac:dyDescent="0.25">
      <c r="AJ157" s="869"/>
    </row>
    <row r="158" spans="36:36" ht="12.75" customHeight="1" x14ac:dyDescent="0.25">
      <c r="AJ158" s="869"/>
    </row>
    <row r="159" spans="36:36" ht="12.75" customHeight="1" x14ac:dyDescent="0.25">
      <c r="AJ159" s="869"/>
    </row>
    <row r="160" spans="36:36" ht="12.75" customHeight="1" x14ac:dyDescent="0.25">
      <c r="AJ160" s="869"/>
    </row>
    <row r="161" spans="36:36" ht="12.75" customHeight="1" x14ac:dyDescent="0.25">
      <c r="AJ161" s="869"/>
    </row>
    <row r="162" spans="36:36" ht="12.75" customHeight="1" x14ac:dyDescent="0.25">
      <c r="AJ162" s="869"/>
    </row>
    <row r="163" spans="36:36" ht="12.75" customHeight="1" x14ac:dyDescent="0.25">
      <c r="AJ163" s="869"/>
    </row>
    <row r="164" spans="36:36" ht="12.75" customHeight="1" x14ac:dyDescent="0.25">
      <c r="AJ164" s="869"/>
    </row>
    <row r="165" spans="36:36" ht="12.75" customHeight="1" x14ac:dyDescent="0.25">
      <c r="AJ165" s="869"/>
    </row>
    <row r="166" spans="36:36" ht="12.75" customHeight="1" x14ac:dyDescent="0.25">
      <c r="AJ166" s="869"/>
    </row>
    <row r="167" spans="36:36" ht="12.75" customHeight="1" x14ac:dyDescent="0.25">
      <c r="AJ167" s="869"/>
    </row>
    <row r="168" spans="36:36" ht="12.75" customHeight="1" x14ac:dyDescent="0.25">
      <c r="AJ168" s="869"/>
    </row>
    <row r="169" spans="36:36" ht="12.75" customHeight="1" x14ac:dyDescent="0.25">
      <c r="AJ169" s="869"/>
    </row>
    <row r="170" spans="36:36" ht="12.75" customHeight="1" x14ac:dyDescent="0.25">
      <c r="AJ170" s="869"/>
    </row>
    <row r="171" spans="36:36" ht="12.75" customHeight="1" x14ac:dyDescent="0.25">
      <c r="AJ171" s="869"/>
    </row>
    <row r="172" spans="36:36" ht="12.75" customHeight="1" x14ac:dyDescent="0.25">
      <c r="AJ172" s="869"/>
    </row>
    <row r="173" spans="36:36" ht="12.75" customHeight="1" x14ac:dyDescent="0.25">
      <c r="AJ173" s="869"/>
    </row>
    <row r="174" spans="36:36" ht="12.75" customHeight="1" x14ac:dyDescent="0.25">
      <c r="AJ174" s="869"/>
    </row>
    <row r="175" spans="36:36" ht="12.75" customHeight="1" x14ac:dyDescent="0.25">
      <c r="AJ175" s="869"/>
    </row>
    <row r="176" spans="36:36" ht="12.75" customHeight="1" x14ac:dyDescent="0.25">
      <c r="AJ176" s="869"/>
    </row>
    <row r="177" spans="36:36" ht="12.75" customHeight="1" x14ac:dyDescent="0.25">
      <c r="AJ177" s="869"/>
    </row>
    <row r="178" spans="36:36" ht="12.75" customHeight="1" x14ac:dyDescent="0.25">
      <c r="AJ178" s="869"/>
    </row>
    <row r="179" spans="36:36" ht="12.75" customHeight="1" x14ac:dyDescent="0.25">
      <c r="AJ179" s="869"/>
    </row>
    <row r="180" spans="36:36" ht="12.75" customHeight="1" x14ac:dyDescent="0.25">
      <c r="AJ180" s="869"/>
    </row>
    <row r="181" spans="36:36" ht="12.75" customHeight="1" x14ac:dyDescent="0.25">
      <c r="AJ181" s="869"/>
    </row>
    <row r="182" spans="36:36" ht="12.75" customHeight="1" x14ac:dyDescent="0.25">
      <c r="AJ182" s="869"/>
    </row>
    <row r="183" spans="36:36" ht="12.75" customHeight="1" x14ac:dyDescent="0.25">
      <c r="AJ183" s="869"/>
    </row>
    <row r="184" spans="36:36" ht="12.75" customHeight="1" x14ac:dyDescent="0.25">
      <c r="AJ184" s="869"/>
    </row>
    <row r="185" spans="36:36" ht="12.75" customHeight="1" x14ac:dyDescent="0.25">
      <c r="AJ185" s="869"/>
    </row>
    <row r="186" spans="36:36" ht="12.75" customHeight="1" x14ac:dyDescent="0.25">
      <c r="AJ186" s="869"/>
    </row>
    <row r="187" spans="36:36" ht="12.75" customHeight="1" x14ac:dyDescent="0.25">
      <c r="AJ187" s="869"/>
    </row>
    <row r="188" spans="36:36" ht="12.75" customHeight="1" x14ac:dyDescent="0.25">
      <c r="AJ188" s="869"/>
    </row>
    <row r="189" spans="36:36" ht="12.75" customHeight="1" x14ac:dyDescent="0.25">
      <c r="AJ189" s="869"/>
    </row>
    <row r="190" spans="36:36" ht="12.75" customHeight="1" x14ac:dyDescent="0.25">
      <c r="AJ190" s="869"/>
    </row>
    <row r="191" spans="36:36" ht="12.75" customHeight="1" x14ac:dyDescent="0.25">
      <c r="AJ191" s="869"/>
    </row>
    <row r="192" spans="36:36" ht="12.75" customHeight="1" x14ac:dyDescent="0.25">
      <c r="AJ192" s="869"/>
    </row>
    <row r="193" spans="36:36" ht="12.75" customHeight="1" x14ac:dyDescent="0.25">
      <c r="AJ193" s="869"/>
    </row>
    <row r="194" spans="36:36" ht="12.75" customHeight="1" x14ac:dyDescent="0.25">
      <c r="AJ194" s="869"/>
    </row>
    <row r="195" spans="36:36" ht="12.75" customHeight="1" x14ac:dyDescent="0.25">
      <c r="AJ195" s="869"/>
    </row>
    <row r="196" spans="36:36" ht="12.75" customHeight="1" x14ac:dyDescent="0.25">
      <c r="AJ196" s="869"/>
    </row>
    <row r="197" spans="36:36" ht="12.75" customHeight="1" x14ac:dyDescent="0.25">
      <c r="AJ197" s="869"/>
    </row>
    <row r="198" spans="36:36" ht="12.75" customHeight="1" x14ac:dyDescent="0.25">
      <c r="AJ198" s="869"/>
    </row>
    <row r="199" spans="36:36" ht="12.75" customHeight="1" x14ac:dyDescent="0.25">
      <c r="AJ199" s="869"/>
    </row>
    <row r="200" spans="36:36" ht="12.75" customHeight="1" x14ac:dyDescent="0.25">
      <c r="AJ200" s="869"/>
    </row>
    <row r="201" spans="36:36" ht="12.75" customHeight="1" x14ac:dyDescent="0.25">
      <c r="AJ201" s="869"/>
    </row>
    <row r="202" spans="36:36" ht="12.75" customHeight="1" x14ac:dyDescent="0.25">
      <c r="AJ202" s="869"/>
    </row>
    <row r="203" spans="36:36" ht="12.75" customHeight="1" x14ac:dyDescent="0.25">
      <c r="AJ203" s="869"/>
    </row>
    <row r="204" spans="36:36" ht="12.75" customHeight="1" x14ac:dyDescent="0.25">
      <c r="AJ204" s="869"/>
    </row>
    <row r="205" spans="36:36" ht="12.75" customHeight="1" x14ac:dyDescent="0.25">
      <c r="AJ205" s="869"/>
    </row>
    <row r="206" spans="36:36" ht="12.75" customHeight="1" x14ac:dyDescent="0.25">
      <c r="AJ206" s="869"/>
    </row>
    <row r="207" spans="36:36" ht="12.75" customHeight="1" x14ac:dyDescent="0.25">
      <c r="AJ207" s="869"/>
    </row>
    <row r="208" spans="36:36" ht="12.75" customHeight="1" x14ac:dyDescent="0.25">
      <c r="AJ208" s="869"/>
    </row>
    <row r="209" spans="36:36" ht="12.75" customHeight="1" x14ac:dyDescent="0.25">
      <c r="AJ209" s="869"/>
    </row>
    <row r="210" spans="36:36" ht="12.75" customHeight="1" x14ac:dyDescent="0.25">
      <c r="AJ210" s="869"/>
    </row>
    <row r="211" spans="36:36" ht="12.75" customHeight="1" x14ac:dyDescent="0.25">
      <c r="AJ211" s="869"/>
    </row>
    <row r="212" spans="36:36" ht="12.75" customHeight="1" x14ac:dyDescent="0.25">
      <c r="AJ212" s="869"/>
    </row>
    <row r="213" spans="36:36" ht="12.75" customHeight="1" x14ac:dyDescent="0.25">
      <c r="AJ213" s="869"/>
    </row>
    <row r="214" spans="36:36" ht="12.75" customHeight="1" x14ac:dyDescent="0.25">
      <c r="AJ214" s="869"/>
    </row>
    <row r="215" spans="36:36" ht="12.75" customHeight="1" x14ac:dyDescent="0.25">
      <c r="AJ215" s="869"/>
    </row>
    <row r="216" spans="36:36" ht="12.75" customHeight="1" x14ac:dyDescent="0.25">
      <c r="AJ216" s="869"/>
    </row>
    <row r="217" spans="36:36" ht="12.75" customHeight="1" x14ac:dyDescent="0.25">
      <c r="AJ217" s="869"/>
    </row>
    <row r="218" spans="36:36" ht="12.75" customHeight="1" x14ac:dyDescent="0.25">
      <c r="AJ218" s="869"/>
    </row>
    <row r="219" spans="36:36" ht="12.75" customHeight="1" x14ac:dyDescent="0.25">
      <c r="AJ219" s="869"/>
    </row>
    <row r="220" spans="36:36" ht="12.75" customHeight="1" x14ac:dyDescent="0.25">
      <c r="AJ220" s="869"/>
    </row>
    <row r="221" spans="36:36" ht="12.75" customHeight="1" x14ac:dyDescent="0.25">
      <c r="AJ221" s="869"/>
    </row>
    <row r="222" spans="36:36" ht="12.75" customHeight="1" x14ac:dyDescent="0.25">
      <c r="AJ222" s="869"/>
    </row>
    <row r="223" spans="36:36" ht="12.75" customHeight="1" x14ac:dyDescent="0.25">
      <c r="AJ223" s="869"/>
    </row>
    <row r="224" spans="36:36" ht="12.75" customHeight="1" x14ac:dyDescent="0.25">
      <c r="AJ224" s="869"/>
    </row>
    <row r="225" spans="36:36" ht="12.75" customHeight="1" x14ac:dyDescent="0.25">
      <c r="AJ225" s="869"/>
    </row>
    <row r="226" spans="36:36" ht="12.75" customHeight="1" x14ac:dyDescent="0.25">
      <c r="AJ226" s="869"/>
    </row>
    <row r="227" spans="36:36" ht="12.75" customHeight="1" x14ac:dyDescent="0.25">
      <c r="AJ227" s="869"/>
    </row>
    <row r="228" spans="36:36" ht="12.75" customHeight="1" x14ac:dyDescent="0.25">
      <c r="AJ228" s="869"/>
    </row>
    <row r="229" spans="36:36" ht="12.75" customHeight="1" x14ac:dyDescent="0.25">
      <c r="AJ229" s="869"/>
    </row>
    <row r="230" spans="36:36" ht="12.75" customHeight="1" x14ac:dyDescent="0.25">
      <c r="AJ230" s="869"/>
    </row>
    <row r="231" spans="36:36" ht="12.75" customHeight="1" x14ac:dyDescent="0.25">
      <c r="AJ231" s="869"/>
    </row>
    <row r="232" spans="36:36" ht="12.75" customHeight="1" x14ac:dyDescent="0.25">
      <c r="AJ232" s="869"/>
    </row>
    <row r="233" spans="36:36" ht="12.75" customHeight="1" x14ac:dyDescent="0.25">
      <c r="AJ233" s="869"/>
    </row>
    <row r="234" spans="36:36" ht="12.75" customHeight="1" x14ac:dyDescent="0.25">
      <c r="AJ234" s="869"/>
    </row>
    <row r="235" spans="36:36" ht="12.75" customHeight="1" x14ac:dyDescent="0.25">
      <c r="AJ235" s="869"/>
    </row>
    <row r="236" spans="36:36" ht="12.75" customHeight="1" x14ac:dyDescent="0.25">
      <c r="AJ236" s="869"/>
    </row>
    <row r="237" spans="36:36" ht="12.75" customHeight="1" x14ac:dyDescent="0.25">
      <c r="AJ237" s="869"/>
    </row>
    <row r="238" spans="36:36" ht="12.75" customHeight="1" x14ac:dyDescent="0.25">
      <c r="AJ238" s="869"/>
    </row>
    <row r="239" spans="36:36" ht="12.75" customHeight="1" x14ac:dyDescent="0.25">
      <c r="AJ239" s="869"/>
    </row>
    <row r="240" spans="36:36" ht="12.75" customHeight="1" x14ac:dyDescent="0.25">
      <c r="AJ240" s="869"/>
    </row>
    <row r="241" spans="36:36" ht="12.75" customHeight="1" x14ac:dyDescent="0.25">
      <c r="AJ241" s="869"/>
    </row>
    <row r="242" spans="36:36" ht="12.75" customHeight="1" x14ac:dyDescent="0.25">
      <c r="AJ242" s="869"/>
    </row>
    <row r="243" spans="36:36" ht="12.75" customHeight="1" x14ac:dyDescent="0.25">
      <c r="AJ243" s="869"/>
    </row>
    <row r="244" spans="36:36" ht="12.75" customHeight="1" x14ac:dyDescent="0.25">
      <c r="AJ244" s="869"/>
    </row>
    <row r="245" spans="36:36" ht="12.75" customHeight="1" x14ac:dyDescent="0.25">
      <c r="AJ245" s="869"/>
    </row>
    <row r="246" spans="36:36" ht="12.75" customHeight="1" x14ac:dyDescent="0.25">
      <c r="AJ246" s="869"/>
    </row>
    <row r="247" spans="36:36" ht="12.75" customHeight="1" x14ac:dyDescent="0.25">
      <c r="AJ247" s="869"/>
    </row>
    <row r="248" spans="36:36" ht="12.75" customHeight="1" x14ac:dyDescent="0.25">
      <c r="AJ248" s="869"/>
    </row>
    <row r="249" spans="36:36" ht="12.75" customHeight="1" x14ac:dyDescent="0.25">
      <c r="AJ249" s="869"/>
    </row>
    <row r="250" spans="36:36" ht="12.75" customHeight="1" x14ac:dyDescent="0.25">
      <c r="AJ250" s="869"/>
    </row>
    <row r="251" spans="36:36" ht="12.75" customHeight="1" x14ac:dyDescent="0.25">
      <c r="AJ251" s="869"/>
    </row>
    <row r="252" spans="36:36" ht="12.75" customHeight="1" x14ac:dyDescent="0.25">
      <c r="AJ252" s="869"/>
    </row>
    <row r="253" spans="36:36" ht="12.75" customHeight="1" x14ac:dyDescent="0.25">
      <c r="AJ253" s="869"/>
    </row>
    <row r="254" spans="36:36" ht="12.75" customHeight="1" x14ac:dyDescent="0.25">
      <c r="AJ254" s="869"/>
    </row>
    <row r="255" spans="36:36" ht="12.75" customHeight="1" x14ac:dyDescent="0.25">
      <c r="AJ255" s="869"/>
    </row>
    <row r="256" spans="36:36" ht="12.75" customHeight="1" x14ac:dyDescent="0.25">
      <c r="AJ256" s="869"/>
    </row>
    <row r="257" spans="36:36" ht="12.75" customHeight="1" x14ac:dyDescent="0.25">
      <c r="AJ257" s="869"/>
    </row>
    <row r="258" spans="36:36" ht="12.75" customHeight="1" x14ac:dyDescent="0.25">
      <c r="AJ258" s="869"/>
    </row>
    <row r="259" spans="36:36" ht="12.75" customHeight="1" x14ac:dyDescent="0.25">
      <c r="AJ259" s="869"/>
    </row>
    <row r="260" spans="36:36" ht="12.75" customHeight="1" x14ac:dyDescent="0.25">
      <c r="AJ260" s="869"/>
    </row>
    <row r="261" spans="36:36" ht="12.75" customHeight="1" x14ac:dyDescent="0.25">
      <c r="AJ261" s="869"/>
    </row>
    <row r="262" spans="36:36" ht="12.75" customHeight="1" x14ac:dyDescent="0.25">
      <c r="AJ262" s="869"/>
    </row>
    <row r="263" spans="36:36" ht="12.75" customHeight="1" x14ac:dyDescent="0.25">
      <c r="AJ263" s="869"/>
    </row>
    <row r="264" spans="36:36" ht="12.75" customHeight="1" x14ac:dyDescent="0.25">
      <c r="AJ264" s="869"/>
    </row>
    <row r="265" spans="36:36" ht="12.75" customHeight="1" x14ac:dyDescent="0.25">
      <c r="AJ265" s="869"/>
    </row>
    <row r="266" spans="36:36" ht="12.75" customHeight="1" x14ac:dyDescent="0.25">
      <c r="AJ266" s="869"/>
    </row>
    <row r="267" spans="36:36" ht="12.75" customHeight="1" x14ac:dyDescent="0.25">
      <c r="AJ267" s="869"/>
    </row>
    <row r="268" spans="36:36" ht="12.75" customHeight="1" x14ac:dyDescent="0.25">
      <c r="AJ268" s="869"/>
    </row>
    <row r="269" spans="36:36" ht="12.75" customHeight="1" x14ac:dyDescent="0.25">
      <c r="AJ269" s="869"/>
    </row>
    <row r="270" spans="36:36" ht="12.75" customHeight="1" x14ac:dyDescent="0.25">
      <c r="AJ270" s="869"/>
    </row>
    <row r="271" spans="36:36" ht="12.75" customHeight="1" x14ac:dyDescent="0.25">
      <c r="AJ271" s="869"/>
    </row>
    <row r="272" spans="36:36" ht="12.75" customHeight="1" x14ac:dyDescent="0.25">
      <c r="AJ272" s="869"/>
    </row>
    <row r="273" spans="36:36" ht="12.75" customHeight="1" x14ac:dyDescent="0.25">
      <c r="AJ273" s="869"/>
    </row>
    <row r="274" spans="36:36" ht="12.75" customHeight="1" x14ac:dyDescent="0.25">
      <c r="AJ274" s="869"/>
    </row>
    <row r="275" spans="36:36" ht="12.75" customHeight="1" x14ac:dyDescent="0.25">
      <c r="AJ275" s="869"/>
    </row>
    <row r="276" spans="36:36" ht="12.75" customHeight="1" x14ac:dyDescent="0.25">
      <c r="AJ276" s="869"/>
    </row>
    <row r="277" spans="36:36" ht="12.75" customHeight="1" x14ac:dyDescent="0.25">
      <c r="AJ277" s="869"/>
    </row>
    <row r="278" spans="36:36" ht="12.75" customHeight="1" x14ac:dyDescent="0.25">
      <c r="AJ278" s="869"/>
    </row>
    <row r="279" spans="36:36" ht="12.75" customHeight="1" x14ac:dyDescent="0.25">
      <c r="AJ279" s="869"/>
    </row>
    <row r="280" spans="36:36" ht="12.75" customHeight="1" x14ac:dyDescent="0.25">
      <c r="AJ280" s="869"/>
    </row>
    <row r="281" spans="36:36" ht="12.75" customHeight="1" x14ac:dyDescent="0.25">
      <c r="AJ281" s="869"/>
    </row>
    <row r="282" spans="36:36" ht="12.75" customHeight="1" x14ac:dyDescent="0.25">
      <c r="AJ282" s="869"/>
    </row>
    <row r="283" spans="36:36" ht="12.75" customHeight="1" x14ac:dyDescent="0.25">
      <c r="AJ283" s="869"/>
    </row>
    <row r="284" spans="36:36" ht="12.75" customHeight="1" x14ac:dyDescent="0.25">
      <c r="AJ284" s="869"/>
    </row>
    <row r="285" spans="36:36" ht="12.75" customHeight="1" x14ac:dyDescent="0.25">
      <c r="AJ285" s="869"/>
    </row>
    <row r="286" spans="36:36" ht="12.75" customHeight="1" x14ac:dyDescent="0.25">
      <c r="AJ286" s="869"/>
    </row>
    <row r="287" spans="36:36" ht="12.75" customHeight="1" x14ac:dyDescent="0.25">
      <c r="AJ287" s="869"/>
    </row>
    <row r="288" spans="36:36" ht="12.75" customHeight="1" x14ac:dyDescent="0.25">
      <c r="AJ288" s="869"/>
    </row>
    <row r="289" spans="36:36" ht="12.75" customHeight="1" x14ac:dyDescent="0.25">
      <c r="AJ289" s="869"/>
    </row>
    <row r="290" spans="36:36" ht="12.75" customHeight="1" x14ac:dyDescent="0.25">
      <c r="AJ290" s="869"/>
    </row>
    <row r="291" spans="36:36" ht="12.75" customHeight="1" x14ac:dyDescent="0.25">
      <c r="AJ291" s="869"/>
    </row>
    <row r="292" spans="36:36" ht="12.75" customHeight="1" x14ac:dyDescent="0.25">
      <c r="AJ292" s="869"/>
    </row>
    <row r="293" spans="36:36" ht="12.75" customHeight="1" x14ac:dyDescent="0.25">
      <c r="AJ293" s="869"/>
    </row>
    <row r="294" spans="36:36" ht="12.75" customHeight="1" x14ac:dyDescent="0.25">
      <c r="AJ294" s="869"/>
    </row>
    <row r="295" spans="36:36" ht="12.75" customHeight="1" x14ac:dyDescent="0.25">
      <c r="AJ295" s="869"/>
    </row>
    <row r="296" spans="36:36" ht="12.75" customHeight="1" x14ac:dyDescent="0.25">
      <c r="AJ296" s="869"/>
    </row>
    <row r="297" spans="36:36" ht="12.75" customHeight="1" x14ac:dyDescent="0.25">
      <c r="AJ297" s="869"/>
    </row>
    <row r="298" spans="36:36" ht="12.75" customHeight="1" x14ac:dyDescent="0.25">
      <c r="AJ298" s="869"/>
    </row>
    <row r="299" spans="36:36" ht="12.75" customHeight="1" x14ac:dyDescent="0.25">
      <c r="AJ299" s="869"/>
    </row>
    <row r="300" spans="36:36" ht="12.75" customHeight="1" x14ac:dyDescent="0.25">
      <c r="AJ300" s="869"/>
    </row>
    <row r="301" spans="36:36" ht="12.75" customHeight="1" x14ac:dyDescent="0.25">
      <c r="AJ301" s="869"/>
    </row>
    <row r="302" spans="36:36" ht="12.75" customHeight="1" x14ac:dyDescent="0.25">
      <c r="AJ302" s="869"/>
    </row>
    <row r="303" spans="36:36" ht="12.75" customHeight="1" x14ac:dyDescent="0.25">
      <c r="AJ303" s="869"/>
    </row>
    <row r="304" spans="36:36" ht="12.75" customHeight="1" x14ac:dyDescent="0.25">
      <c r="AJ304" s="869"/>
    </row>
    <row r="305" spans="36:36" ht="12.75" customHeight="1" x14ac:dyDescent="0.25">
      <c r="AJ305" s="869"/>
    </row>
    <row r="306" spans="36:36" ht="12.75" customHeight="1" x14ac:dyDescent="0.25">
      <c r="AJ306" s="869"/>
    </row>
    <row r="307" spans="36:36" ht="12.75" customHeight="1" x14ac:dyDescent="0.25">
      <c r="AJ307" s="869"/>
    </row>
    <row r="308" spans="36:36" ht="12.75" customHeight="1" x14ac:dyDescent="0.25">
      <c r="AJ308" s="869"/>
    </row>
    <row r="309" spans="36:36" ht="12.75" customHeight="1" x14ac:dyDescent="0.25">
      <c r="AJ309" s="869"/>
    </row>
    <row r="310" spans="36:36" ht="12.75" customHeight="1" x14ac:dyDescent="0.25">
      <c r="AJ310" s="869"/>
    </row>
    <row r="311" spans="36:36" ht="12.75" customHeight="1" x14ac:dyDescent="0.25">
      <c r="AJ311" s="869"/>
    </row>
    <row r="312" spans="36:36" ht="12.75" customHeight="1" x14ac:dyDescent="0.25">
      <c r="AJ312" s="869"/>
    </row>
    <row r="313" spans="36:36" ht="12.75" customHeight="1" x14ac:dyDescent="0.25">
      <c r="AJ313" s="869"/>
    </row>
    <row r="314" spans="36:36" ht="12.75" customHeight="1" x14ac:dyDescent="0.25">
      <c r="AJ314" s="869"/>
    </row>
    <row r="315" spans="36:36" ht="12.75" customHeight="1" x14ac:dyDescent="0.25">
      <c r="AJ315" s="869"/>
    </row>
    <row r="316" spans="36:36" ht="12.75" customHeight="1" x14ac:dyDescent="0.25">
      <c r="AJ316" s="869"/>
    </row>
    <row r="317" spans="36:36" ht="12.75" customHeight="1" x14ac:dyDescent="0.25">
      <c r="AJ317" s="869"/>
    </row>
    <row r="318" spans="36:36" ht="12.75" customHeight="1" x14ac:dyDescent="0.25">
      <c r="AJ318" s="869"/>
    </row>
    <row r="319" spans="36:36" ht="12.75" customHeight="1" x14ac:dyDescent="0.25">
      <c r="AJ319" s="869"/>
    </row>
    <row r="320" spans="36:36" ht="12.75" customHeight="1" x14ac:dyDescent="0.25">
      <c r="AJ320" s="869"/>
    </row>
    <row r="321" spans="36:36" ht="12.75" customHeight="1" x14ac:dyDescent="0.25">
      <c r="AJ321" s="869"/>
    </row>
    <row r="322" spans="36:36" ht="12.75" customHeight="1" x14ac:dyDescent="0.25">
      <c r="AJ322" s="869"/>
    </row>
    <row r="323" spans="36:36" ht="12.75" customHeight="1" x14ac:dyDescent="0.25">
      <c r="AJ323" s="869"/>
    </row>
    <row r="324" spans="36:36" ht="12.75" customHeight="1" x14ac:dyDescent="0.25">
      <c r="AJ324" s="869"/>
    </row>
    <row r="325" spans="36:36" ht="12.75" customHeight="1" x14ac:dyDescent="0.25">
      <c r="AJ325" s="869"/>
    </row>
    <row r="326" spans="36:36" ht="12.75" customHeight="1" x14ac:dyDescent="0.25">
      <c r="AJ326" s="869"/>
    </row>
    <row r="327" spans="36:36" ht="12.75" customHeight="1" x14ac:dyDescent="0.25">
      <c r="AJ327" s="869"/>
    </row>
    <row r="328" spans="36:36" ht="12.75" customHeight="1" x14ac:dyDescent="0.25">
      <c r="AJ328" s="869"/>
    </row>
    <row r="329" spans="36:36" ht="12.75" customHeight="1" x14ac:dyDescent="0.25">
      <c r="AJ329" s="869"/>
    </row>
    <row r="330" spans="36:36" ht="12.75" customHeight="1" x14ac:dyDescent="0.25">
      <c r="AJ330" s="869"/>
    </row>
    <row r="331" spans="36:36" ht="12.75" customHeight="1" x14ac:dyDescent="0.25">
      <c r="AJ331" s="869"/>
    </row>
    <row r="332" spans="36:36" ht="12.75" customHeight="1" x14ac:dyDescent="0.25">
      <c r="AJ332" s="869"/>
    </row>
    <row r="333" spans="36:36" ht="12.75" customHeight="1" x14ac:dyDescent="0.25">
      <c r="AJ333" s="869"/>
    </row>
    <row r="334" spans="36:36" ht="12.75" customHeight="1" x14ac:dyDescent="0.25">
      <c r="AJ334" s="869"/>
    </row>
    <row r="335" spans="36:36" ht="12.75" customHeight="1" x14ac:dyDescent="0.25">
      <c r="AJ335" s="869"/>
    </row>
    <row r="336" spans="36:36" ht="12.75" customHeight="1" x14ac:dyDescent="0.25">
      <c r="AJ336" s="869"/>
    </row>
    <row r="337" spans="36:36" ht="12.75" customHeight="1" x14ac:dyDescent="0.25">
      <c r="AJ337" s="869"/>
    </row>
    <row r="338" spans="36:36" ht="12.75" customHeight="1" x14ac:dyDescent="0.25">
      <c r="AJ338" s="869"/>
    </row>
    <row r="339" spans="36:36" ht="12.75" customHeight="1" x14ac:dyDescent="0.25">
      <c r="AJ339" s="869"/>
    </row>
    <row r="340" spans="36:36" ht="12.75" customHeight="1" x14ac:dyDescent="0.25">
      <c r="AJ340" s="869"/>
    </row>
    <row r="341" spans="36:36" ht="12.75" customHeight="1" x14ac:dyDescent="0.25">
      <c r="AJ341" s="869"/>
    </row>
    <row r="342" spans="36:36" ht="12.75" customHeight="1" x14ac:dyDescent="0.25">
      <c r="AJ342" s="869"/>
    </row>
    <row r="343" spans="36:36" ht="12.75" customHeight="1" x14ac:dyDescent="0.25">
      <c r="AJ343" s="869"/>
    </row>
    <row r="344" spans="36:36" ht="12.75" customHeight="1" x14ac:dyDescent="0.25">
      <c r="AJ344" s="869"/>
    </row>
    <row r="345" spans="36:36" ht="12.75" customHeight="1" x14ac:dyDescent="0.25">
      <c r="AJ345" s="869"/>
    </row>
    <row r="346" spans="36:36" ht="12.75" customHeight="1" x14ac:dyDescent="0.25">
      <c r="AJ346" s="869"/>
    </row>
    <row r="347" spans="36:36" ht="12.75" customHeight="1" x14ac:dyDescent="0.25">
      <c r="AJ347" s="869"/>
    </row>
    <row r="348" spans="36:36" ht="12.75" customHeight="1" x14ac:dyDescent="0.25">
      <c r="AJ348" s="869"/>
    </row>
    <row r="349" spans="36:36" ht="12.75" customHeight="1" x14ac:dyDescent="0.25">
      <c r="AJ349" s="869"/>
    </row>
    <row r="350" spans="36:36" ht="12.75" customHeight="1" x14ac:dyDescent="0.25">
      <c r="AJ350" s="869"/>
    </row>
    <row r="351" spans="36:36" ht="12.75" customHeight="1" x14ac:dyDescent="0.25">
      <c r="AJ351" s="869"/>
    </row>
    <row r="352" spans="36:36" ht="12.75" customHeight="1" x14ac:dyDescent="0.25">
      <c r="AJ352" s="869"/>
    </row>
    <row r="353" spans="36:36" ht="12.75" customHeight="1" x14ac:dyDescent="0.25">
      <c r="AJ353" s="869"/>
    </row>
    <row r="354" spans="36:36" ht="12.75" customHeight="1" x14ac:dyDescent="0.25">
      <c r="AJ354" s="869"/>
    </row>
    <row r="355" spans="36:36" ht="12.75" customHeight="1" x14ac:dyDescent="0.25">
      <c r="AJ355" s="869"/>
    </row>
    <row r="356" spans="36:36" ht="12.75" customHeight="1" x14ac:dyDescent="0.25">
      <c r="AJ356" s="869"/>
    </row>
    <row r="357" spans="36:36" ht="12.75" customHeight="1" x14ac:dyDescent="0.25">
      <c r="AJ357" s="869"/>
    </row>
    <row r="358" spans="36:36" ht="12.75" customHeight="1" x14ac:dyDescent="0.25">
      <c r="AJ358" s="869"/>
    </row>
    <row r="359" spans="36:36" ht="12.75" customHeight="1" x14ac:dyDescent="0.25">
      <c r="AJ359" s="869"/>
    </row>
    <row r="360" spans="36:36" ht="12.75" customHeight="1" x14ac:dyDescent="0.25">
      <c r="AJ360" s="869"/>
    </row>
    <row r="361" spans="36:36" ht="12.75" customHeight="1" x14ac:dyDescent="0.25">
      <c r="AJ361" s="869"/>
    </row>
    <row r="362" spans="36:36" ht="12.75" customHeight="1" x14ac:dyDescent="0.25">
      <c r="AJ362" s="869"/>
    </row>
    <row r="363" spans="36:36" ht="12.75" customHeight="1" x14ac:dyDescent="0.25">
      <c r="AJ363" s="869"/>
    </row>
    <row r="364" spans="36:36" ht="12.75" customHeight="1" x14ac:dyDescent="0.25">
      <c r="AJ364" s="869"/>
    </row>
    <row r="365" spans="36:36" ht="12.75" customHeight="1" x14ac:dyDescent="0.25">
      <c r="AJ365" s="869"/>
    </row>
    <row r="366" spans="36:36" ht="12.75" customHeight="1" x14ac:dyDescent="0.25">
      <c r="AJ366" s="869"/>
    </row>
    <row r="367" spans="36:36" ht="12.75" customHeight="1" x14ac:dyDescent="0.25">
      <c r="AJ367" s="869"/>
    </row>
    <row r="368" spans="36:36" ht="12.75" customHeight="1" x14ac:dyDescent="0.25">
      <c r="AJ368" s="869"/>
    </row>
    <row r="369" spans="36:36" ht="12.75" customHeight="1" x14ac:dyDescent="0.25">
      <c r="AJ369" s="869"/>
    </row>
    <row r="370" spans="36:36" ht="12.75" customHeight="1" x14ac:dyDescent="0.25">
      <c r="AJ370" s="869"/>
    </row>
    <row r="371" spans="36:36" ht="12.75" customHeight="1" x14ac:dyDescent="0.25">
      <c r="AJ371" s="869"/>
    </row>
    <row r="372" spans="36:36" ht="12.75" customHeight="1" x14ac:dyDescent="0.25">
      <c r="AJ372" s="869"/>
    </row>
    <row r="373" spans="36:36" ht="12.75" customHeight="1" x14ac:dyDescent="0.25">
      <c r="AJ373" s="869"/>
    </row>
    <row r="374" spans="36:36" ht="12.75" customHeight="1" x14ac:dyDescent="0.25">
      <c r="AJ374" s="869"/>
    </row>
    <row r="375" spans="36:36" ht="12.75" customHeight="1" x14ac:dyDescent="0.25">
      <c r="AJ375" s="869"/>
    </row>
    <row r="376" spans="36:36" ht="12.75" customHeight="1" x14ac:dyDescent="0.25">
      <c r="AJ376" s="869"/>
    </row>
    <row r="377" spans="36:36" ht="12.75" customHeight="1" x14ac:dyDescent="0.25">
      <c r="AJ377" s="869"/>
    </row>
    <row r="378" spans="36:36" ht="12.75" customHeight="1" x14ac:dyDescent="0.25">
      <c r="AJ378" s="869"/>
    </row>
    <row r="379" spans="36:36" ht="12.75" customHeight="1" x14ac:dyDescent="0.25">
      <c r="AJ379" s="869"/>
    </row>
    <row r="380" spans="36:36" ht="12.75" customHeight="1" x14ac:dyDescent="0.25">
      <c r="AJ380" s="869"/>
    </row>
    <row r="381" spans="36:36" ht="12.75" customHeight="1" x14ac:dyDescent="0.25">
      <c r="AJ381" s="869"/>
    </row>
    <row r="382" spans="36:36" ht="12.75" customHeight="1" x14ac:dyDescent="0.25">
      <c r="AJ382" s="869"/>
    </row>
    <row r="383" spans="36:36" ht="12.75" customHeight="1" x14ac:dyDescent="0.25">
      <c r="AJ383" s="869"/>
    </row>
    <row r="384" spans="36:36" ht="12.75" customHeight="1" x14ac:dyDescent="0.25">
      <c r="AJ384" s="869"/>
    </row>
    <row r="385" spans="36:36" ht="12.75" customHeight="1" x14ac:dyDescent="0.25">
      <c r="AJ385" s="869"/>
    </row>
    <row r="386" spans="36:36" ht="12.75" customHeight="1" x14ac:dyDescent="0.25">
      <c r="AJ386" s="869"/>
    </row>
    <row r="387" spans="36:36" ht="12.75" customHeight="1" x14ac:dyDescent="0.25">
      <c r="AJ387" s="869"/>
    </row>
    <row r="388" spans="36:36" ht="12.75" customHeight="1" x14ac:dyDescent="0.25">
      <c r="AJ388" s="869"/>
    </row>
    <row r="389" spans="36:36" ht="12.75" customHeight="1" x14ac:dyDescent="0.25">
      <c r="AJ389" s="869"/>
    </row>
    <row r="390" spans="36:36" ht="12.75" customHeight="1" x14ac:dyDescent="0.25">
      <c r="AJ390" s="869"/>
    </row>
    <row r="391" spans="36:36" ht="12.75" customHeight="1" x14ac:dyDescent="0.25">
      <c r="AJ391" s="869"/>
    </row>
    <row r="392" spans="36:36" ht="12.75" customHeight="1" x14ac:dyDescent="0.25">
      <c r="AJ392" s="869"/>
    </row>
    <row r="393" spans="36:36" ht="12.75" customHeight="1" x14ac:dyDescent="0.25">
      <c r="AJ393" s="869"/>
    </row>
    <row r="394" spans="36:36" ht="12.75" customHeight="1" x14ac:dyDescent="0.25">
      <c r="AJ394" s="869"/>
    </row>
    <row r="395" spans="36:36" ht="12.75" customHeight="1" x14ac:dyDescent="0.25">
      <c r="AJ395" s="869"/>
    </row>
    <row r="396" spans="36:36" ht="12.75" customHeight="1" x14ac:dyDescent="0.25">
      <c r="AJ396" s="869"/>
    </row>
    <row r="397" spans="36:36" ht="12.75" customHeight="1" x14ac:dyDescent="0.25">
      <c r="AJ397" s="869"/>
    </row>
    <row r="398" spans="36:36" ht="12.75" customHeight="1" x14ac:dyDescent="0.25">
      <c r="AJ398" s="869"/>
    </row>
    <row r="399" spans="36:36" ht="12.75" customHeight="1" x14ac:dyDescent="0.25">
      <c r="AJ399" s="869"/>
    </row>
    <row r="400" spans="36:36" ht="12.75" customHeight="1" x14ac:dyDescent="0.25">
      <c r="AJ400" s="869"/>
    </row>
    <row r="401" spans="36:36" ht="12.75" customHeight="1" x14ac:dyDescent="0.25">
      <c r="AJ401" s="869"/>
    </row>
    <row r="402" spans="36:36" ht="12.75" customHeight="1" x14ac:dyDescent="0.25">
      <c r="AJ402" s="869"/>
    </row>
    <row r="403" spans="36:36" ht="12.75" customHeight="1" x14ac:dyDescent="0.25">
      <c r="AJ403" s="869"/>
    </row>
    <row r="404" spans="36:36" ht="12.75" customHeight="1" x14ac:dyDescent="0.25">
      <c r="AJ404" s="869"/>
    </row>
    <row r="405" spans="36:36" ht="12.75" customHeight="1" x14ac:dyDescent="0.25">
      <c r="AJ405" s="869"/>
    </row>
    <row r="406" spans="36:36" ht="12.75" customHeight="1" x14ac:dyDescent="0.25">
      <c r="AJ406" s="869"/>
    </row>
    <row r="407" spans="36:36" ht="12.75" customHeight="1" x14ac:dyDescent="0.25">
      <c r="AJ407" s="869"/>
    </row>
    <row r="408" spans="36:36" ht="12.75" customHeight="1" x14ac:dyDescent="0.25">
      <c r="AJ408" s="869"/>
    </row>
    <row r="409" spans="36:36" ht="12.75" customHeight="1" x14ac:dyDescent="0.25">
      <c r="AJ409" s="869"/>
    </row>
    <row r="410" spans="36:36" ht="12.75" customHeight="1" x14ac:dyDescent="0.25">
      <c r="AJ410" s="869"/>
    </row>
    <row r="411" spans="36:36" ht="12.75" customHeight="1" x14ac:dyDescent="0.25">
      <c r="AJ411" s="869"/>
    </row>
    <row r="412" spans="36:36" ht="12.75" customHeight="1" x14ac:dyDescent="0.25">
      <c r="AJ412" s="869"/>
    </row>
    <row r="413" spans="36:36" ht="12.75" customHeight="1" x14ac:dyDescent="0.25">
      <c r="AJ413" s="869"/>
    </row>
    <row r="414" spans="36:36" ht="12.75" customHeight="1" x14ac:dyDescent="0.25">
      <c r="AJ414" s="869"/>
    </row>
    <row r="415" spans="36:36" ht="12.75" customHeight="1" x14ac:dyDescent="0.25">
      <c r="AJ415" s="869"/>
    </row>
    <row r="416" spans="36:36" ht="12.75" customHeight="1" x14ac:dyDescent="0.25">
      <c r="AJ416" s="869"/>
    </row>
    <row r="417" spans="36:36" ht="12.75" customHeight="1" x14ac:dyDescent="0.25">
      <c r="AJ417" s="869"/>
    </row>
    <row r="418" spans="36:36" ht="12.75" customHeight="1" x14ac:dyDescent="0.25">
      <c r="AJ418" s="869"/>
    </row>
    <row r="419" spans="36:36" ht="12.75" customHeight="1" x14ac:dyDescent="0.25">
      <c r="AJ419" s="869"/>
    </row>
    <row r="420" spans="36:36" ht="12.75" customHeight="1" x14ac:dyDescent="0.25">
      <c r="AJ420" s="869"/>
    </row>
    <row r="421" spans="36:36" ht="12.75" customHeight="1" x14ac:dyDescent="0.25">
      <c r="AJ421" s="869"/>
    </row>
    <row r="422" spans="36:36" ht="12.75" customHeight="1" x14ac:dyDescent="0.25">
      <c r="AJ422" s="869"/>
    </row>
    <row r="423" spans="36:36" ht="12.75" customHeight="1" x14ac:dyDescent="0.25">
      <c r="AJ423" s="869"/>
    </row>
    <row r="424" spans="36:36" ht="12.75" customHeight="1" x14ac:dyDescent="0.25">
      <c r="AJ424" s="869"/>
    </row>
    <row r="425" spans="36:36" ht="12.75" customHeight="1" x14ac:dyDescent="0.25">
      <c r="AJ425" s="869"/>
    </row>
    <row r="426" spans="36:36" ht="12.75" customHeight="1" x14ac:dyDescent="0.25">
      <c r="AJ426" s="869"/>
    </row>
    <row r="427" spans="36:36" ht="12.75" customHeight="1" x14ac:dyDescent="0.25">
      <c r="AJ427" s="869"/>
    </row>
    <row r="428" spans="36:36" ht="12.75" customHeight="1" x14ac:dyDescent="0.25">
      <c r="AJ428" s="869"/>
    </row>
    <row r="429" spans="36:36" ht="12.75" customHeight="1" x14ac:dyDescent="0.25">
      <c r="AJ429" s="869"/>
    </row>
    <row r="430" spans="36:36" ht="12.75" customHeight="1" x14ac:dyDescent="0.25">
      <c r="AJ430" s="869"/>
    </row>
    <row r="431" spans="36:36" ht="12.75" customHeight="1" x14ac:dyDescent="0.25">
      <c r="AJ431" s="869"/>
    </row>
    <row r="432" spans="36:36" ht="12.75" customHeight="1" x14ac:dyDescent="0.25">
      <c r="AJ432" s="869"/>
    </row>
    <row r="433" spans="36:36" ht="12.75" customHeight="1" x14ac:dyDescent="0.25">
      <c r="AJ433" s="869"/>
    </row>
    <row r="434" spans="36:36" ht="12.75" customHeight="1" x14ac:dyDescent="0.25">
      <c r="AJ434" s="869"/>
    </row>
    <row r="435" spans="36:36" ht="12.75" customHeight="1" x14ac:dyDescent="0.25">
      <c r="AJ435" s="869"/>
    </row>
    <row r="436" spans="36:36" ht="12.75" customHeight="1" x14ac:dyDescent="0.25">
      <c r="AJ436" s="869"/>
    </row>
    <row r="437" spans="36:36" ht="12.75" customHeight="1" x14ac:dyDescent="0.25">
      <c r="AJ437" s="869"/>
    </row>
    <row r="438" spans="36:36" ht="12.75" customHeight="1" x14ac:dyDescent="0.25">
      <c r="AJ438" s="869"/>
    </row>
    <row r="439" spans="36:36" ht="12.75" customHeight="1" x14ac:dyDescent="0.25">
      <c r="AJ439" s="869"/>
    </row>
    <row r="440" spans="36:36" ht="12.75" customHeight="1" x14ac:dyDescent="0.25">
      <c r="AJ440" s="869"/>
    </row>
    <row r="441" spans="36:36" ht="12.75" customHeight="1" x14ac:dyDescent="0.25">
      <c r="AJ441" s="869"/>
    </row>
    <row r="442" spans="36:36" ht="12.75" customHeight="1" x14ac:dyDescent="0.25">
      <c r="AJ442" s="869"/>
    </row>
    <row r="443" spans="36:36" ht="12.75" customHeight="1" x14ac:dyDescent="0.25">
      <c r="AJ443" s="869"/>
    </row>
    <row r="444" spans="36:36" ht="12.75" customHeight="1" x14ac:dyDescent="0.25">
      <c r="AJ444" s="869"/>
    </row>
    <row r="445" spans="36:36" ht="12.75" customHeight="1" x14ac:dyDescent="0.25">
      <c r="AJ445" s="869"/>
    </row>
    <row r="446" spans="36:36" ht="12.75" customHeight="1" x14ac:dyDescent="0.25">
      <c r="AJ446" s="869"/>
    </row>
    <row r="447" spans="36:36" ht="12.75" customHeight="1" x14ac:dyDescent="0.25">
      <c r="AJ447" s="869"/>
    </row>
    <row r="448" spans="36:36" ht="12.75" customHeight="1" x14ac:dyDescent="0.25">
      <c r="AJ448" s="869"/>
    </row>
    <row r="449" spans="36:36" ht="12.75" customHeight="1" x14ac:dyDescent="0.25">
      <c r="AJ449" s="869"/>
    </row>
    <row r="450" spans="36:36" ht="12.75" customHeight="1" x14ac:dyDescent="0.25">
      <c r="AJ450" s="869"/>
    </row>
    <row r="451" spans="36:36" ht="12.75" customHeight="1" x14ac:dyDescent="0.25">
      <c r="AJ451" s="869"/>
    </row>
    <row r="452" spans="36:36" ht="12.75" customHeight="1" x14ac:dyDescent="0.25">
      <c r="AJ452" s="869"/>
    </row>
    <row r="453" spans="36:36" ht="12.75" customHeight="1" x14ac:dyDescent="0.25">
      <c r="AJ453" s="869"/>
    </row>
    <row r="454" spans="36:36" ht="12.75" customHeight="1" x14ac:dyDescent="0.25">
      <c r="AJ454" s="869"/>
    </row>
    <row r="455" spans="36:36" ht="12.75" customHeight="1" x14ac:dyDescent="0.25">
      <c r="AJ455" s="869"/>
    </row>
    <row r="456" spans="36:36" ht="12.75" customHeight="1" x14ac:dyDescent="0.25">
      <c r="AJ456" s="869"/>
    </row>
    <row r="457" spans="36:36" ht="12.75" customHeight="1" x14ac:dyDescent="0.25">
      <c r="AJ457" s="869"/>
    </row>
    <row r="458" spans="36:36" ht="12.75" customHeight="1" x14ac:dyDescent="0.25">
      <c r="AJ458" s="869"/>
    </row>
    <row r="459" spans="36:36" ht="12.75" customHeight="1" x14ac:dyDescent="0.25">
      <c r="AJ459" s="869"/>
    </row>
    <row r="460" spans="36:36" ht="12.75" customHeight="1" x14ac:dyDescent="0.25">
      <c r="AJ460" s="869"/>
    </row>
    <row r="461" spans="36:36" ht="12.75" customHeight="1" x14ac:dyDescent="0.25">
      <c r="AJ461" s="869"/>
    </row>
    <row r="462" spans="36:36" ht="12.75" customHeight="1" x14ac:dyDescent="0.25">
      <c r="AJ462" s="869"/>
    </row>
    <row r="463" spans="36:36" ht="12.75" customHeight="1" x14ac:dyDescent="0.25">
      <c r="AJ463" s="869"/>
    </row>
    <row r="464" spans="36:36" ht="12.75" customHeight="1" x14ac:dyDescent="0.25">
      <c r="AJ464" s="869"/>
    </row>
    <row r="465" spans="36:36" ht="12.75" customHeight="1" x14ac:dyDescent="0.25">
      <c r="AJ465" s="869"/>
    </row>
    <row r="466" spans="36:36" ht="12.75" customHeight="1" x14ac:dyDescent="0.25">
      <c r="AJ466" s="869"/>
    </row>
    <row r="467" spans="36:36" ht="12.75" customHeight="1" x14ac:dyDescent="0.25">
      <c r="AJ467" s="869"/>
    </row>
    <row r="468" spans="36:36" ht="12.75" customHeight="1" x14ac:dyDescent="0.25">
      <c r="AJ468" s="869"/>
    </row>
    <row r="469" spans="36:36" ht="12.75" customHeight="1" x14ac:dyDescent="0.25">
      <c r="AJ469" s="869"/>
    </row>
    <row r="470" spans="36:36" ht="12.75" customHeight="1" x14ac:dyDescent="0.25">
      <c r="AJ470" s="869"/>
    </row>
    <row r="471" spans="36:36" ht="12.75" customHeight="1" x14ac:dyDescent="0.25">
      <c r="AJ471" s="869"/>
    </row>
    <row r="472" spans="36:36" ht="12.75" customHeight="1" x14ac:dyDescent="0.25">
      <c r="AJ472" s="869"/>
    </row>
    <row r="473" spans="36:36" ht="12.75" customHeight="1" x14ac:dyDescent="0.25">
      <c r="AJ473" s="869"/>
    </row>
    <row r="474" spans="36:36" ht="12.75" customHeight="1" x14ac:dyDescent="0.25">
      <c r="AJ474" s="869"/>
    </row>
    <row r="475" spans="36:36" ht="12.75" customHeight="1" x14ac:dyDescent="0.25">
      <c r="AJ475" s="869"/>
    </row>
    <row r="476" spans="36:36" ht="12.75" customHeight="1" x14ac:dyDescent="0.25">
      <c r="AJ476" s="869"/>
    </row>
    <row r="477" spans="36:36" ht="12.75" customHeight="1" x14ac:dyDescent="0.25">
      <c r="AJ477" s="869"/>
    </row>
    <row r="478" spans="36:36" ht="12.75" customHeight="1" x14ac:dyDescent="0.25">
      <c r="AJ478" s="869"/>
    </row>
    <row r="479" spans="36:36" ht="12.75" customHeight="1" x14ac:dyDescent="0.25">
      <c r="AJ479" s="869"/>
    </row>
    <row r="480" spans="36:36" ht="12.75" customHeight="1" x14ac:dyDescent="0.25">
      <c r="AJ480" s="869"/>
    </row>
    <row r="481" spans="36:36" ht="12.75" customHeight="1" x14ac:dyDescent="0.25">
      <c r="AJ481" s="869"/>
    </row>
    <row r="482" spans="36:36" ht="12.75" customHeight="1" x14ac:dyDescent="0.25">
      <c r="AJ482" s="869"/>
    </row>
    <row r="483" spans="36:36" ht="12.75" customHeight="1" x14ac:dyDescent="0.25">
      <c r="AJ483" s="869"/>
    </row>
    <row r="484" spans="36:36" ht="12.75" customHeight="1" x14ac:dyDescent="0.25">
      <c r="AJ484" s="869"/>
    </row>
    <row r="485" spans="36:36" ht="12.75" customHeight="1" x14ac:dyDescent="0.25">
      <c r="AJ485" s="869"/>
    </row>
    <row r="486" spans="36:36" ht="12.75" customHeight="1" x14ac:dyDescent="0.25">
      <c r="AJ486" s="869"/>
    </row>
    <row r="487" spans="36:36" ht="12.75" customHeight="1" x14ac:dyDescent="0.25">
      <c r="AJ487" s="869"/>
    </row>
    <row r="488" spans="36:36" ht="12.75" customHeight="1" x14ac:dyDescent="0.25">
      <c r="AJ488" s="869"/>
    </row>
    <row r="489" spans="36:36" ht="12.75" customHeight="1" x14ac:dyDescent="0.25">
      <c r="AJ489" s="869"/>
    </row>
    <row r="490" spans="36:36" ht="12.75" customHeight="1" x14ac:dyDescent="0.25">
      <c r="AJ490" s="869"/>
    </row>
    <row r="491" spans="36:36" ht="12.75" customHeight="1" x14ac:dyDescent="0.25">
      <c r="AJ491" s="869"/>
    </row>
    <row r="492" spans="36:36" ht="12.75" customHeight="1" x14ac:dyDescent="0.25">
      <c r="AJ492" s="869"/>
    </row>
    <row r="493" spans="36:36" ht="12.75" customHeight="1" x14ac:dyDescent="0.25">
      <c r="AJ493" s="869"/>
    </row>
    <row r="494" spans="36:36" ht="12.75" customHeight="1" x14ac:dyDescent="0.25">
      <c r="AJ494" s="869"/>
    </row>
    <row r="495" spans="36:36" ht="12.75" customHeight="1" x14ac:dyDescent="0.25">
      <c r="AJ495" s="869"/>
    </row>
    <row r="496" spans="36:36" ht="12.75" customHeight="1" x14ac:dyDescent="0.25">
      <c r="AJ496" s="869"/>
    </row>
    <row r="497" spans="36:36" ht="12.75" customHeight="1" x14ac:dyDescent="0.25">
      <c r="AJ497" s="869"/>
    </row>
    <row r="498" spans="36:36" ht="12.75" customHeight="1" x14ac:dyDescent="0.25">
      <c r="AJ498" s="869"/>
    </row>
    <row r="499" spans="36:36" ht="12.75" customHeight="1" x14ac:dyDescent="0.25">
      <c r="AJ499" s="869"/>
    </row>
    <row r="500" spans="36:36" ht="12.75" customHeight="1" x14ac:dyDescent="0.25">
      <c r="AJ500" s="869"/>
    </row>
    <row r="501" spans="36:36" ht="12.75" customHeight="1" x14ac:dyDescent="0.25">
      <c r="AJ501" s="869"/>
    </row>
    <row r="502" spans="36:36" ht="12.75" customHeight="1" x14ac:dyDescent="0.25">
      <c r="AJ502" s="869"/>
    </row>
    <row r="503" spans="36:36" ht="12.75" customHeight="1" x14ac:dyDescent="0.25">
      <c r="AJ503" s="869"/>
    </row>
    <row r="504" spans="36:36" ht="12.75" customHeight="1" x14ac:dyDescent="0.25">
      <c r="AJ504" s="869"/>
    </row>
    <row r="505" spans="36:36" ht="12.75" customHeight="1" x14ac:dyDescent="0.25">
      <c r="AJ505" s="869"/>
    </row>
    <row r="506" spans="36:36" ht="12.75" customHeight="1" x14ac:dyDescent="0.25">
      <c r="AJ506" s="869"/>
    </row>
    <row r="507" spans="36:36" ht="12.75" customHeight="1" x14ac:dyDescent="0.25">
      <c r="AJ507" s="869"/>
    </row>
    <row r="508" spans="36:36" ht="12.75" customHeight="1" x14ac:dyDescent="0.25">
      <c r="AJ508" s="869"/>
    </row>
    <row r="509" spans="36:36" ht="12.75" customHeight="1" x14ac:dyDescent="0.25">
      <c r="AJ509" s="869"/>
    </row>
    <row r="510" spans="36:36" ht="12.75" customHeight="1" x14ac:dyDescent="0.25">
      <c r="AJ510" s="869"/>
    </row>
    <row r="511" spans="36:36" ht="12.75" customHeight="1" x14ac:dyDescent="0.25">
      <c r="AJ511" s="869"/>
    </row>
    <row r="512" spans="36:36" ht="12.75" customHeight="1" x14ac:dyDescent="0.25">
      <c r="AJ512" s="869"/>
    </row>
    <row r="513" spans="36:36" ht="12.75" customHeight="1" x14ac:dyDescent="0.25">
      <c r="AJ513" s="869"/>
    </row>
    <row r="514" spans="36:36" ht="12.75" customHeight="1" x14ac:dyDescent="0.25">
      <c r="AJ514" s="869"/>
    </row>
    <row r="515" spans="36:36" ht="12.75" customHeight="1" x14ac:dyDescent="0.25">
      <c r="AJ515" s="869"/>
    </row>
    <row r="516" spans="36:36" ht="12.75" customHeight="1" x14ac:dyDescent="0.25">
      <c r="AJ516" s="869"/>
    </row>
    <row r="517" spans="36:36" ht="12.75" customHeight="1" x14ac:dyDescent="0.25">
      <c r="AJ517" s="869"/>
    </row>
    <row r="518" spans="36:36" ht="12.75" customHeight="1" x14ac:dyDescent="0.25">
      <c r="AJ518" s="869"/>
    </row>
    <row r="519" spans="36:36" ht="12.75" customHeight="1" x14ac:dyDescent="0.25">
      <c r="AJ519" s="869"/>
    </row>
    <row r="520" spans="36:36" ht="12.75" customHeight="1" x14ac:dyDescent="0.25">
      <c r="AJ520" s="869"/>
    </row>
    <row r="521" spans="36:36" ht="12.75" customHeight="1" x14ac:dyDescent="0.25">
      <c r="AJ521" s="869"/>
    </row>
    <row r="522" spans="36:36" ht="12.75" customHeight="1" x14ac:dyDescent="0.25">
      <c r="AJ522" s="869"/>
    </row>
    <row r="523" spans="36:36" ht="12.75" customHeight="1" x14ac:dyDescent="0.25">
      <c r="AJ523" s="869"/>
    </row>
    <row r="524" spans="36:36" ht="12.75" customHeight="1" x14ac:dyDescent="0.25">
      <c r="AJ524" s="869"/>
    </row>
    <row r="525" spans="36:36" ht="12.75" customHeight="1" x14ac:dyDescent="0.25">
      <c r="AJ525" s="869"/>
    </row>
    <row r="526" spans="36:36" ht="12.75" customHeight="1" x14ac:dyDescent="0.25">
      <c r="AJ526" s="869"/>
    </row>
    <row r="527" spans="36:36" ht="12.75" customHeight="1" x14ac:dyDescent="0.25">
      <c r="AJ527" s="869"/>
    </row>
    <row r="528" spans="36:36" ht="12.75" customHeight="1" x14ac:dyDescent="0.25">
      <c r="AJ528" s="869"/>
    </row>
    <row r="529" spans="36:36" ht="12.75" customHeight="1" x14ac:dyDescent="0.25">
      <c r="AJ529" s="869"/>
    </row>
    <row r="530" spans="36:36" ht="12.75" customHeight="1" x14ac:dyDescent="0.25">
      <c r="AJ530" s="869"/>
    </row>
    <row r="531" spans="36:36" ht="12.75" customHeight="1" x14ac:dyDescent="0.25">
      <c r="AJ531" s="869"/>
    </row>
    <row r="532" spans="36:36" ht="12.75" customHeight="1" x14ac:dyDescent="0.25">
      <c r="AJ532" s="869"/>
    </row>
    <row r="533" spans="36:36" ht="12.75" customHeight="1" x14ac:dyDescent="0.25">
      <c r="AJ533" s="869"/>
    </row>
    <row r="534" spans="36:36" ht="12.75" customHeight="1" x14ac:dyDescent="0.25">
      <c r="AJ534" s="869"/>
    </row>
    <row r="535" spans="36:36" ht="12.75" customHeight="1" x14ac:dyDescent="0.25">
      <c r="AJ535" s="869"/>
    </row>
    <row r="536" spans="36:36" ht="12.75" customHeight="1" x14ac:dyDescent="0.25">
      <c r="AJ536" s="869"/>
    </row>
    <row r="537" spans="36:36" ht="12.75" customHeight="1" x14ac:dyDescent="0.25">
      <c r="AJ537" s="869"/>
    </row>
    <row r="538" spans="36:36" ht="12.75" customHeight="1" x14ac:dyDescent="0.25">
      <c r="AJ538" s="869"/>
    </row>
    <row r="539" spans="36:36" ht="12.75" customHeight="1" x14ac:dyDescent="0.25">
      <c r="AJ539" s="869"/>
    </row>
    <row r="540" spans="36:36" ht="12.75" customHeight="1" x14ac:dyDescent="0.25">
      <c r="AJ540" s="869"/>
    </row>
    <row r="541" spans="36:36" ht="12.75" customHeight="1" x14ac:dyDescent="0.25">
      <c r="AJ541" s="869"/>
    </row>
    <row r="542" spans="36:36" ht="12.75" customHeight="1" x14ac:dyDescent="0.25">
      <c r="AJ542" s="869"/>
    </row>
    <row r="543" spans="36:36" ht="12.75" customHeight="1" x14ac:dyDescent="0.25">
      <c r="AJ543" s="869"/>
    </row>
    <row r="544" spans="36:36" ht="12.75" customHeight="1" x14ac:dyDescent="0.25">
      <c r="AJ544" s="869"/>
    </row>
    <row r="545" spans="36:36" ht="12.75" customHeight="1" x14ac:dyDescent="0.25">
      <c r="AJ545" s="869"/>
    </row>
    <row r="546" spans="36:36" ht="12.75" customHeight="1" x14ac:dyDescent="0.25">
      <c r="AJ546" s="869"/>
    </row>
    <row r="547" spans="36:36" ht="12.75" customHeight="1" x14ac:dyDescent="0.25">
      <c r="AJ547" s="869"/>
    </row>
    <row r="548" spans="36:36" ht="12.75" customHeight="1" x14ac:dyDescent="0.25">
      <c r="AJ548" s="869"/>
    </row>
    <row r="549" spans="36:36" ht="12.75" customHeight="1" x14ac:dyDescent="0.25">
      <c r="AJ549" s="869"/>
    </row>
    <row r="550" spans="36:36" ht="12.75" customHeight="1" x14ac:dyDescent="0.25">
      <c r="AJ550" s="869"/>
    </row>
    <row r="551" spans="36:36" ht="12.75" customHeight="1" x14ac:dyDescent="0.25">
      <c r="AJ551" s="869"/>
    </row>
    <row r="552" spans="36:36" ht="12.75" customHeight="1" x14ac:dyDescent="0.25">
      <c r="AJ552" s="869"/>
    </row>
    <row r="553" spans="36:36" ht="12.75" customHeight="1" x14ac:dyDescent="0.25">
      <c r="AJ553" s="869"/>
    </row>
    <row r="554" spans="36:36" ht="12.75" customHeight="1" x14ac:dyDescent="0.25">
      <c r="AJ554" s="869"/>
    </row>
    <row r="555" spans="36:36" ht="12.75" customHeight="1" x14ac:dyDescent="0.25">
      <c r="AJ555" s="869"/>
    </row>
    <row r="556" spans="36:36" ht="12.75" customHeight="1" x14ac:dyDescent="0.25">
      <c r="AJ556" s="869"/>
    </row>
    <row r="557" spans="36:36" ht="12.75" customHeight="1" x14ac:dyDescent="0.25">
      <c r="AJ557" s="869"/>
    </row>
    <row r="558" spans="36:36" ht="12.75" customHeight="1" x14ac:dyDescent="0.25">
      <c r="AJ558" s="869"/>
    </row>
    <row r="559" spans="36:36" ht="12.75" customHeight="1" x14ac:dyDescent="0.25">
      <c r="AJ559" s="869"/>
    </row>
    <row r="560" spans="36:36" ht="12.75" customHeight="1" x14ac:dyDescent="0.25">
      <c r="AJ560" s="869"/>
    </row>
    <row r="561" spans="36:36" ht="12.75" customHeight="1" x14ac:dyDescent="0.25">
      <c r="AJ561" s="869"/>
    </row>
    <row r="562" spans="36:36" ht="12.75" customHeight="1" x14ac:dyDescent="0.25">
      <c r="AJ562" s="869"/>
    </row>
    <row r="563" spans="36:36" ht="12.75" customHeight="1" x14ac:dyDescent="0.25">
      <c r="AJ563" s="869"/>
    </row>
    <row r="564" spans="36:36" ht="12.75" customHeight="1" x14ac:dyDescent="0.25">
      <c r="AJ564" s="869"/>
    </row>
    <row r="565" spans="36:36" ht="12.75" customHeight="1" x14ac:dyDescent="0.25">
      <c r="AJ565" s="869"/>
    </row>
    <row r="566" spans="36:36" ht="12.75" customHeight="1" x14ac:dyDescent="0.25">
      <c r="AJ566" s="869"/>
    </row>
    <row r="567" spans="36:36" ht="12.75" customHeight="1" x14ac:dyDescent="0.25">
      <c r="AJ567" s="869"/>
    </row>
    <row r="568" spans="36:36" ht="12.75" customHeight="1" x14ac:dyDescent="0.25">
      <c r="AJ568" s="869"/>
    </row>
    <row r="569" spans="36:36" ht="12.75" customHeight="1" x14ac:dyDescent="0.25">
      <c r="AJ569" s="869"/>
    </row>
    <row r="570" spans="36:36" ht="12.75" customHeight="1" x14ac:dyDescent="0.25">
      <c r="AJ570" s="869"/>
    </row>
    <row r="571" spans="36:36" ht="12.75" customHeight="1" x14ac:dyDescent="0.25">
      <c r="AJ571" s="869"/>
    </row>
    <row r="572" spans="36:36" ht="12.75" customHeight="1" x14ac:dyDescent="0.25">
      <c r="AJ572" s="869"/>
    </row>
    <row r="573" spans="36:36" ht="12.75" customHeight="1" x14ac:dyDescent="0.25">
      <c r="AJ573" s="869"/>
    </row>
    <row r="574" spans="36:36" ht="12.75" customHeight="1" x14ac:dyDescent="0.25">
      <c r="AJ574" s="869"/>
    </row>
    <row r="575" spans="36:36" ht="12.75" customHeight="1" x14ac:dyDescent="0.25">
      <c r="AJ575" s="869"/>
    </row>
    <row r="576" spans="36:36" ht="12.75" customHeight="1" x14ac:dyDescent="0.25">
      <c r="AJ576" s="869"/>
    </row>
    <row r="577" spans="36:36" ht="12.75" customHeight="1" x14ac:dyDescent="0.25">
      <c r="AJ577" s="869"/>
    </row>
    <row r="578" spans="36:36" ht="12.75" customHeight="1" x14ac:dyDescent="0.25">
      <c r="AJ578" s="869"/>
    </row>
    <row r="579" spans="36:36" ht="12.75" customHeight="1" x14ac:dyDescent="0.25">
      <c r="AJ579" s="869"/>
    </row>
    <row r="580" spans="36:36" ht="12.75" customHeight="1" x14ac:dyDescent="0.25">
      <c r="AJ580" s="869"/>
    </row>
    <row r="581" spans="36:36" ht="12.75" customHeight="1" x14ac:dyDescent="0.25">
      <c r="AJ581" s="869"/>
    </row>
    <row r="582" spans="36:36" ht="12.75" customHeight="1" x14ac:dyDescent="0.25">
      <c r="AJ582" s="869"/>
    </row>
    <row r="583" spans="36:36" ht="12.75" customHeight="1" x14ac:dyDescent="0.25">
      <c r="AJ583" s="869"/>
    </row>
    <row r="584" spans="36:36" ht="12.75" customHeight="1" x14ac:dyDescent="0.25">
      <c r="AJ584" s="869"/>
    </row>
    <row r="585" spans="36:36" ht="12.75" customHeight="1" x14ac:dyDescent="0.25">
      <c r="AJ585" s="869"/>
    </row>
    <row r="586" spans="36:36" ht="12.75" customHeight="1" x14ac:dyDescent="0.25">
      <c r="AJ586" s="869"/>
    </row>
    <row r="587" spans="36:36" ht="12.75" customHeight="1" x14ac:dyDescent="0.25">
      <c r="AJ587" s="869"/>
    </row>
    <row r="588" spans="36:36" ht="12.75" customHeight="1" x14ac:dyDescent="0.25">
      <c r="AJ588" s="869"/>
    </row>
    <row r="589" spans="36:36" ht="12.75" customHeight="1" x14ac:dyDescent="0.25">
      <c r="AJ589" s="869"/>
    </row>
    <row r="590" spans="36:36" ht="12.75" customHeight="1" x14ac:dyDescent="0.25">
      <c r="AJ590" s="869"/>
    </row>
    <row r="591" spans="36:36" ht="12.75" customHeight="1" x14ac:dyDescent="0.25">
      <c r="AJ591" s="869"/>
    </row>
    <row r="592" spans="36:36" ht="12.75" customHeight="1" x14ac:dyDescent="0.25">
      <c r="AJ592" s="869"/>
    </row>
    <row r="593" spans="36:36" ht="12.75" customHeight="1" x14ac:dyDescent="0.25">
      <c r="AJ593" s="869"/>
    </row>
    <row r="594" spans="36:36" ht="12.75" customHeight="1" x14ac:dyDescent="0.25">
      <c r="AJ594" s="869"/>
    </row>
    <row r="595" spans="36:36" ht="12.75" customHeight="1" x14ac:dyDescent="0.25">
      <c r="AJ595" s="869"/>
    </row>
    <row r="596" spans="36:36" ht="12.75" customHeight="1" x14ac:dyDescent="0.25">
      <c r="AJ596" s="869"/>
    </row>
    <row r="597" spans="36:36" ht="12.75" customHeight="1" x14ac:dyDescent="0.25">
      <c r="AJ597" s="869"/>
    </row>
    <row r="598" spans="36:36" ht="12.75" customHeight="1" x14ac:dyDescent="0.25">
      <c r="AJ598" s="869"/>
    </row>
    <row r="599" spans="36:36" ht="12.75" customHeight="1" x14ac:dyDescent="0.25">
      <c r="AJ599" s="869"/>
    </row>
    <row r="600" spans="36:36" ht="12.75" customHeight="1" x14ac:dyDescent="0.25">
      <c r="AJ600" s="869"/>
    </row>
    <row r="601" spans="36:36" ht="12.75" customHeight="1" x14ac:dyDescent="0.25">
      <c r="AJ601" s="869"/>
    </row>
    <row r="602" spans="36:36" ht="12.75" customHeight="1" x14ac:dyDescent="0.25">
      <c r="AJ602" s="869"/>
    </row>
    <row r="603" spans="36:36" ht="12.75" customHeight="1" x14ac:dyDescent="0.25">
      <c r="AJ603" s="869"/>
    </row>
    <row r="604" spans="36:36" ht="12.75" customHeight="1" x14ac:dyDescent="0.25">
      <c r="AJ604" s="869"/>
    </row>
    <row r="605" spans="36:36" ht="12.75" customHeight="1" x14ac:dyDescent="0.25">
      <c r="AJ605" s="869"/>
    </row>
    <row r="606" spans="36:36" ht="12.75" customHeight="1" x14ac:dyDescent="0.25">
      <c r="AJ606" s="869"/>
    </row>
    <row r="607" spans="36:36" ht="12.75" customHeight="1" x14ac:dyDescent="0.25">
      <c r="AJ607" s="869"/>
    </row>
    <row r="608" spans="36:36" ht="12.75" customHeight="1" x14ac:dyDescent="0.25">
      <c r="AJ608" s="869"/>
    </row>
    <row r="609" spans="36:36" ht="12.75" customHeight="1" x14ac:dyDescent="0.25">
      <c r="AJ609" s="869"/>
    </row>
    <row r="610" spans="36:36" ht="12.75" customHeight="1" x14ac:dyDescent="0.25">
      <c r="AJ610" s="869"/>
    </row>
    <row r="611" spans="36:36" ht="12.75" customHeight="1" x14ac:dyDescent="0.25">
      <c r="AJ611" s="869"/>
    </row>
    <row r="612" spans="36:36" ht="12.75" customHeight="1" x14ac:dyDescent="0.25">
      <c r="AJ612" s="869"/>
    </row>
    <row r="613" spans="36:36" ht="12.75" customHeight="1" x14ac:dyDescent="0.25">
      <c r="AJ613" s="869"/>
    </row>
    <row r="614" spans="36:36" ht="12.75" customHeight="1" x14ac:dyDescent="0.25">
      <c r="AJ614" s="869"/>
    </row>
    <row r="615" spans="36:36" ht="12.75" customHeight="1" x14ac:dyDescent="0.25">
      <c r="AJ615" s="869"/>
    </row>
    <row r="616" spans="36:36" ht="12.75" customHeight="1" x14ac:dyDescent="0.25">
      <c r="AJ616" s="869"/>
    </row>
    <row r="617" spans="36:36" ht="12.75" customHeight="1" x14ac:dyDescent="0.25">
      <c r="AJ617" s="869"/>
    </row>
    <row r="618" spans="36:36" ht="12.75" customHeight="1" x14ac:dyDescent="0.25">
      <c r="AJ618" s="869"/>
    </row>
    <row r="619" spans="36:36" ht="12.75" customHeight="1" x14ac:dyDescent="0.25">
      <c r="AJ619" s="869"/>
    </row>
    <row r="620" spans="36:36" ht="12.75" customHeight="1" x14ac:dyDescent="0.25">
      <c r="AJ620" s="869"/>
    </row>
    <row r="621" spans="36:36" ht="12.75" customHeight="1" x14ac:dyDescent="0.25">
      <c r="AJ621" s="869"/>
    </row>
    <row r="622" spans="36:36" ht="12.75" customHeight="1" x14ac:dyDescent="0.25">
      <c r="AJ622" s="869"/>
    </row>
    <row r="623" spans="36:36" ht="12.75" customHeight="1" x14ac:dyDescent="0.25">
      <c r="AJ623" s="869"/>
    </row>
    <row r="624" spans="36:36" ht="12.75" customHeight="1" x14ac:dyDescent="0.25">
      <c r="AJ624" s="869"/>
    </row>
    <row r="625" spans="36:36" ht="12.75" customHeight="1" x14ac:dyDescent="0.25">
      <c r="AJ625" s="869"/>
    </row>
    <row r="626" spans="36:36" ht="12.75" customHeight="1" x14ac:dyDescent="0.25">
      <c r="AJ626" s="869"/>
    </row>
    <row r="627" spans="36:36" ht="12.75" customHeight="1" x14ac:dyDescent="0.25">
      <c r="AJ627" s="869"/>
    </row>
    <row r="628" spans="36:36" ht="12.75" customHeight="1" x14ac:dyDescent="0.25">
      <c r="AJ628" s="869"/>
    </row>
    <row r="629" spans="36:36" ht="12.75" customHeight="1" x14ac:dyDescent="0.25">
      <c r="AJ629" s="869"/>
    </row>
    <row r="630" spans="36:36" ht="12.75" customHeight="1" x14ac:dyDescent="0.25">
      <c r="AJ630" s="869"/>
    </row>
    <row r="631" spans="36:36" ht="12.75" customHeight="1" x14ac:dyDescent="0.25">
      <c r="AJ631" s="869"/>
    </row>
    <row r="632" spans="36:36" ht="12.75" customHeight="1" x14ac:dyDescent="0.25">
      <c r="AJ632" s="869"/>
    </row>
    <row r="633" spans="36:36" ht="12.75" customHeight="1" x14ac:dyDescent="0.25">
      <c r="AJ633" s="869"/>
    </row>
    <row r="634" spans="36:36" ht="12.75" customHeight="1" x14ac:dyDescent="0.25">
      <c r="AJ634" s="869"/>
    </row>
    <row r="635" spans="36:36" ht="12.75" customHeight="1" x14ac:dyDescent="0.25">
      <c r="AJ635" s="869"/>
    </row>
    <row r="636" spans="36:36" ht="12.75" customHeight="1" x14ac:dyDescent="0.25">
      <c r="AJ636" s="869"/>
    </row>
    <row r="637" spans="36:36" ht="12.75" customHeight="1" x14ac:dyDescent="0.25">
      <c r="AJ637" s="869"/>
    </row>
    <row r="638" spans="36:36" ht="12.75" customHeight="1" x14ac:dyDescent="0.25">
      <c r="AJ638" s="869"/>
    </row>
    <row r="639" spans="36:36" ht="12.75" customHeight="1" x14ac:dyDescent="0.25">
      <c r="AJ639" s="869"/>
    </row>
    <row r="640" spans="36:36" ht="12.75" customHeight="1" x14ac:dyDescent="0.25">
      <c r="AJ640" s="869"/>
    </row>
    <row r="641" spans="36:36" ht="12.75" customHeight="1" x14ac:dyDescent="0.25">
      <c r="AJ641" s="869"/>
    </row>
    <row r="642" spans="36:36" ht="12.75" customHeight="1" x14ac:dyDescent="0.25">
      <c r="AJ642" s="869"/>
    </row>
    <row r="643" spans="36:36" ht="12.75" customHeight="1" x14ac:dyDescent="0.25">
      <c r="AJ643" s="869"/>
    </row>
    <row r="644" spans="36:36" ht="12.75" customHeight="1" x14ac:dyDescent="0.25">
      <c r="AJ644" s="869"/>
    </row>
    <row r="645" spans="36:36" ht="12.75" customHeight="1" x14ac:dyDescent="0.25">
      <c r="AJ645" s="869"/>
    </row>
    <row r="646" spans="36:36" ht="12.75" customHeight="1" x14ac:dyDescent="0.25">
      <c r="AJ646" s="869"/>
    </row>
    <row r="647" spans="36:36" ht="12.75" customHeight="1" x14ac:dyDescent="0.25">
      <c r="AJ647" s="869"/>
    </row>
    <row r="648" spans="36:36" ht="12.75" customHeight="1" x14ac:dyDescent="0.25">
      <c r="AJ648" s="869"/>
    </row>
    <row r="649" spans="36:36" ht="12.75" customHeight="1" x14ac:dyDescent="0.25">
      <c r="AJ649" s="869"/>
    </row>
    <row r="650" spans="36:36" ht="12.75" customHeight="1" x14ac:dyDescent="0.25">
      <c r="AJ650" s="869"/>
    </row>
    <row r="651" spans="36:36" ht="12.75" customHeight="1" x14ac:dyDescent="0.25">
      <c r="AJ651" s="869"/>
    </row>
    <row r="652" spans="36:36" ht="12.75" customHeight="1" x14ac:dyDescent="0.25">
      <c r="AJ652" s="869"/>
    </row>
    <row r="653" spans="36:36" ht="12.75" customHeight="1" x14ac:dyDescent="0.25">
      <c r="AJ653" s="869"/>
    </row>
    <row r="654" spans="36:36" ht="12.75" customHeight="1" x14ac:dyDescent="0.25">
      <c r="AJ654" s="869"/>
    </row>
    <row r="655" spans="36:36" ht="12.75" customHeight="1" x14ac:dyDescent="0.25">
      <c r="AJ655" s="869"/>
    </row>
    <row r="656" spans="36:36" ht="12.75" customHeight="1" x14ac:dyDescent="0.25">
      <c r="AJ656" s="869"/>
    </row>
    <row r="657" spans="36:36" ht="12.75" customHeight="1" x14ac:dyDescent="0.25">
      <c r="AJ657" s="869"/>
    </row>
    <row r="658" spans="36:36" ht="12.75" customHeight="1" x14ac:dyDescent="0.25">
      <c r="AJ658" s="869"/>
    </row>
    <row r="659" spans="36:36" ht="12.75" customHeight="1" x14ac:dyDescent="0.25">
      <c r="AJ659" s="869"/>
    </row>
    <row r="660" spans="36:36" ht="12.75" customHeight="1" x14ac:dyDescent="0.25">
      <c r="AJ660" s="869"/>
    </row>
    <row r="661" spans="36:36" ht="12.75" customHeight="1" x14ac:dyDescent="0.25">
      <c r="AJ661" s="869"/>
    </row>
    <row r="662" spans="36:36" ht="12.75" customHeight="1" x14ac:dyDescent="0.25">
      <c r="AJ662" s="869"/>
    </row>
    <row r="663" spans="36:36" ht="12.75" customHeight="1" x14ac:dyDescent="0.25">
      <c r="AJ663" s="869"/>
    </row>
    <row r="664" spans="36:36" ht="12.75" customHeight="1" x14ac:dyDescent="0.25">
      <c r="AJ664" s="869"/>
    </row>
    <row r="665" spans="36:36" ht="12.75" customHeight="1" x14ac:dyDescent="0.25">
      <c r="AJ665" s="869"/>
    </row>
    <row r="666" spans="36:36" ht="12.75" customHeight="1" x14ac:dyDescent="0.25">
      <c r="AJ666" s="869"/>
    </row>
    <row r="667" spans="36:36" ht="12.75" customHeight="1" x14ac:dyDescent="0.25">
      <c r="AJ667" s="869"/>
    </row>
    <row r="668" spans="36:36" ht="12.75" customHeight="1" x14ac:dyDescent="0.25">
      <c r="AJ668" s="869"/>
    </row>
    <row r="669" spans="36:36" ht="12.75" customHeight="1" x14ac:dyDescent="0.25">
      <c r="AJ669" s="869"/>
    </row>
    <row r="670" spans="36:36" ht="12.75" customHeight="1" x14ac:dyDescent="0.25">
      <c r="AJ670" s="869"/>
    </row>
    <row r="671" spans="36:36" ht="12.75" customHeight="1" x14ac:dyDescent="0.25">
      <c r="AJ671" s="869"/>
    </row>
    <row r="672" spans="36:36" ht="12.75" customHeight="1" x14ac:dyDescent="0.25">
      <c r="AJ672" s="869"/>
    </row>
    <row r="673" spans="36:36" ht="12.75" customHeight="1" x14ac:dyDescent="0.25">
      <c r="AJ673" s="869"/>
    </row>
    <row r="674" spans="36:36" ht="12.75" customHeight="1" x14ac:dyDescent="0.25">
      <c r="AJ674" s="869"/>
    </row>
    <row r="675" spans="36:36" ht="12.75" customHeight="1" x14ac:dyDescent="0.25">
      <c r="AJ675" s="869"/>
    </row>
    <row r="676" spans="36:36" ht="12.75" customHeight="1" x14ac:dyDescent="0.25">
      <c r="AJ676" s="869"/>
    </row>
    <row r="677" spans="36:36" ht="12.75" customHeight="1" x14ac:dyDescent="0.25">
      <c r="AJ677" s="869"/>
    </row>
    <row r="678" spans="36:36" ht="12.75" customHeight="1" x14ac:dyDescent="0.25">
      <c r="AJ678" s="869"/>
    </row>
    <row r="679" spans="36:36" ht="12.75" customHeight="1" x14ac:dyDescent="0.25">
      <c r="AJ679" s="869"/>
    </row>
    <row r="680" spans="36:36" ht="12.75" customHeight="1" x14ac:dyDescent="0.25">
      <c r="AJ680" s="869"/>
    </row>
    <row r="681" spans="36:36" ht="12.75" customHeight="1" x14ac:dyDescent="0.25">
      <c r="AJ681" s="869"/>
    </row>
    <row r="682" spans="36:36" ht="12.75" customHeight="1" x14ac:dyDescent="0.25">
      <c r="AJ682" s="869"/>
    </row>
    <row r="683" spans="36:36" ht="12.75" customHeight="1" x14ac:dyDescent="0.25">
      <c r="AJ683" s="869"/>
    </row>
    <row r="684" spans="36:36" ht="12.75" customHeight="1" x14ac:dyDescent="0.25">
      <c r="AJ684" s="869"/>
    </row>
    <row r="685" spans="36:36" ht="12.75" customHeight="1" x14ac:dyDescent="0.25">
      <c r="AJ685" s="869"/>
    </row>
    <row r="686" spans="36:36" ht="12.75" customHeight="1" x14ac:dyDescent="0.25">
      <c r="AJ686" s="869"/>
    </row>
    <row r="687" spans="36:36" ht="12.75" customHeight="1" x14ac:dyDescent="0.25">
      <c r="AJ687" s="869"/>
    </row>
    <row r="688" spans="36:36" ht="12.75" customHeight="1" x14ac:dyDescent="0.25">
      <c r="AJ688" s="869"/>
    </row>
    <row r="689" spans="36:36" ht="12.75" customHeight="1" x14ac:dyDescent="0.25">
      <c r="AJ689" s="869"/>
    </row>
    <row r="690" spans="36:36" ht="12.75" customHeight="1" x14ac:dyDescent="0.25">
      <c r="AJ690" s="869"/>
    </row>
    <row r="691" spans="36:36" ht="12.75" customHeight="1" x14ac:dyDescent="0.25">
      <c r="AJ691" s="869"/>
    </row>
    <row r="692" spans="36:36" ht="12.75" customHeight="1" x14ac:dyDescent="0.25">
      <c r="AJ692" s="869"/>
    </row>
    <row r="693" spans="36:36" ht="12.75" customHeight="1" x14ac:dyDescent="0.25">
      <c r="AJ693" s="869"/>
    </row>
    <row r="694" spans="36:36" ht="12.75" customHeight="1" x14ac:dyDescent="0.25">
      <c r="AJ694" s="869"/>
    </row>
    <row r="695" spans="36:36" ht="12.75" customHeight="1" x14ac:dyDescent="0.25">
      <c r="AJ695" s="869"/>
    </row>
    <row r="696" spans="36:36" ht="12.75" customHeight="1" x14ac:dyDescent="0.25">
      <c r="AJ696" s="869"/>
    </row>
    <row r="697" spans="36:36" ht="12.75" customHeight="1" x14ac:dyDescent="0.25">
      <c r="AJ697" s="869"/>
    </row>
    <row r="698" spans="36:36" ht="12.75" customHeight="1" x14ac:dyDescent="0.25">
      <c r="AJ698" s="869"/>
    </row>
    <row r="699" spans="36:36" ht="12.75" customHeight="1" x14ac:dyDescent="0.25">
      <c r="AJ699" s="869"/>
    </row>
    <row r="700" spans="36:36" ht="12.75" customHeight="1" x14ac:dyDescent="0.25">
      <c r="AJ700" s="869"/>
    </row>
    <row r="701" spans="36:36" ht="12.75" customHeight="1" x14ac:dyDescent="0.25">
      <c r="AJ701" s="869"/>
    </row>
    <row r="702" spans="36:36" ht="12.75" customHeight="1" x14ac:dyDescent="0.25">
      <c r="AJ702" s="869"/>
    </row>
    <row r="703" spans="36:36" ht="12.75" customHeight="1" x14ac:dyDescent="0.25">
      <c r="AJ703" s="869"/>
    </row>
    <row r="704" spans="36:36" ht="12.75" customHeight="1" x14ac:dyDescent="0.25">
      <c r="AJ704" s="869"/>
    </row>
    <row r="705" spans="36:36" ht="12.75" customHeight="1" x14ac:dyDescent="0.25">
      <c r="AJ705" s="869"/>
    </row>
    <row r="706" spans="36:36" ht="12.75" customHeight="1" x14ac:dyDescent="0.25">
      <c r="AJ706" s="869"/>
    </row>
    <row r="707" spans="36:36" ht="12.75" customHeight="1" x14ac:dyDescent="0.25">
      <c r="AJ707" s="869"/>
    </row>
    <row r="708" spans="36:36" ht="12.75" customHeight="1" x14ac:dyDescent="0.25">
      <c r="AJ708" s="869"/>
    </row>
    <row r="709" spans="36:36" ht="12.75" customHeight="1" x14ac:dyDescent="0.25">
      <c r="AJ709" s="869"/>
    </row>
    <row r="710" spans="36:36" ht="12.75" customHeight="1" x14ac:dyDescent="0.25">
      <c r="AJ710" s="869"/>
    </row>
    <row r="711" spans="36:36" ht="12.75" customHeight="1" x14ac:dyDescent="0.25">
      <c r="AJ711" s="869"/>
    </row>
    <row r="712" spans="36:36" ht="12.75" customHeight="1" x14ac:dyDescent="0.25">
      <c r="AJ712" s="869"/>
    </row>
    <row r="713" spans="36:36" ht="12.75" customHeight="1" x14ac:dyDescent="0.25">
      <c r="AJ713" s="869"/>
    </row>
    <row r="714" spans="36:36" ht="12.75" customHeight="1" x14ac:dyDescent="0.25">
      <c r="AJ714" s="869"/>
    </row>
    <row r="715" spans="36:36" ht="12.75" customHeight="1" x14ac:dyDescent="0.25">
      <c r="AJ715" s="869"/>
    </row>
    <row r="716" spans="36:36" ht="12.75" customHeight="1" x14ac:dyDescent="0.25">
      <c r="AJ716" s="869"/>
    </row>
    <row r="717" spans="36:36" ht="12.75" customHeight="1" x14ac:dyDescent="0.25">
      <c r="AJ717" s="869"/>
    </row>
    <row r="718" spans="36:36" ht="12.75" customHeight="1" x14ac:dyDescent="0.25">
      <c r="AJ718" s="869"/>
    </row>
    <row r="719" spans="36:36" ht="12.75" customHeight="1" x14ac:dyDescent="0.25">
      <c r="AJ719" s="869"/>
    </row>
    <row r="720" spans="36:36" ht="12.75" customHeight="1" x14ac:dyDescent="0.25">
      <c r="AJ720" s="869"/>
    </row>
    <row r="721" spans="36:36" ht="12.75" customHeight="1" x14ac:dyDescent="0.25">
      <c r="AJ721" s="869"/>
    </row>
    <row r="722" spans="36:36" ht="12.75" customHeight="1" x14ac:dyDescent="0.25">
      <c r="AJ722" s="869"/>
    </row>
    <row r="723" spans="36:36" ht="12.75" customHeight="1" x14ac:dyDescent="0.25">
      <c r="AJ723" s="869"/>
    </row>
    <row r="724" spans="36:36" ht="12.75" customHeight="1" x14ac:dyDescent="0.25">
      <c r="AJ724" s="869"/>
    </row>
    <row r="725" spans="36:36" ht="12.75" customHeight="1" x14ac:dyDescent="0.25">
      <c r="AJ725" s="869"/>
    </row>
    <row r="726" spans="36:36" ht="12.75" customHeight="1" x14ac:dyDescent="0.25">
      <c r="AJ726" s="869"/>
    </row>
    <row r="727" spans="36:36" ht="12.75" customHeight="1" x14ac:dyDescent="0.25">
      <c r="AJ727" s="869"/>
    </row>
    <row r="728" spans="36:36" ht="12.75" customHeight="1" x14ac:dyDescent="0.25">
      <c r="AJ728" s="869"/>
    </row>
    <row r="729" spans="36:36" ht="12.75" customHeight="1" x14ac:dyDescent="0.25">
      <c r="AJ729" s="869"/>
    </row>
    <row r="730" spans="36:36" ht="12.75" customHeight="1" x14ac:dyDescent="0.25">
      <c r="AJ730" s="869"/>
    </row>
    <row r="731" spans="36:36" ht="12.75" customHeight="1" x14ac:dyDescent="0.25">
      <c r="AJ731" s="869"/>
    </row>
    <row r="732" spans="36:36" ht="12.75" customHeight="1" x14ac:dyDescent="0.25">
      <c r="AJ732" s="869"/>
    </row>
    <row r="733" spans="36:36" ht="12.75" customHeight="1" x14ac:dyDescent="0.25">
      <c r="AJ733" s="869"/>
    </row>
    <row r="734" spans="36:36" ht="12.75" customHeight="1" x14ac:dyDescent="0.25">
      <c r="AJ734" s="869"/>
    </row>
    <row r="735" spans="36:36" ht="12.75" customHeight="1" x14ac:dyDescent="0.25">
      <c r="AJ735" s="869"/>
    </row>
    <row r="736" spans="36:36" ht="12.75" customHeight="1" x14ac:dyDescent="0.25">
      <c r="AJ736" s="869"/>
    </row>
    <row r="737" spans="36:36" ht="12.75" customHeight="1" x14ac:dyDescent="0.25">
      <c r="AJ737" s="869"/>
    </row>
    <row r="738" spans="36:36" ht="12.75" customHeight="1" x14ac:dyDescent="0.25">
      <c r="AJ738" s="869"/>
    </row>
    <row r="739" spans="36:36" ht="12.75" customHeight="1" x14ac:dyDescent="0.25">
      <c r="AJ739" s="869"/>
    </row>
    <row r="740" spans="36:36" ht="12.75" customHeight="1" x14ac:dyDescent="0.25">
      <c r="AJ740" s="869"/>
    </row>
    <row r="741" spans="36:36" ht="12.75" customHeight="1" x14ac:dyDescent="0.25">
      <c r="AJ741" s="869"/>
    </row>
    <row r="742" spans="36:36" ht="12.75" customHeight="1" x14ac:dyDescent="0.25">
      <c r="AJ742" s="869"/>
    </row>
    <row r="743" spans="36:36" ht="12.75" customHeight="1" x14ac:dyDescent="0.25">
      <c r="AJ743" s="869"/>
    </row>
    <row r="744" spans="36:36" ht="12.75" customHeight="1" x14ac:dyDescent="0.25">
      <c r="AJ744" s="869"/>
    </row>
    <row r="745" spans="36:36" ht="12.75" customHeight="1" x14ac:dyDescent="0.25">
      <c r="AJ745" s="869"/>
    </row>
    <row r="746" spans="36:36" ht="12.75" customHeight="1" x14ac:dyDescent="0.25">
      <c r="AJ746" s="869"/>
    </row>
    <row r="747" spans="36:36" ht="12.75" customHeight="1" x14ac:dyDescent="0.25">
      <c r="AJ747" s="869"/>
    </row>
    <row r="748" spans="36:36" ht="12.75" customHeight="1" x14ac:dyDescent="0.25">
      <c r="AJ748" s="869"/>
    </row>
    <row r="749" spans="36:36" ht="12.75" customHeight="1" x14ac:dyDescent="0.25">
      <c r="AJ749" s="869"/>
    </row>
    <row r="750" spans="36:36" ht="12.75" customHeight="1" x14ac:dyDescent="0.25">
      <c r="AJ750" s="869"/>
    </row>
    <row r="751" spans="36:36" ht="12.75" customHeight="1" x14ac:dyDescent="0.25">
      <c r="AJ751" s="869"/>
    </row>
    <row r="752" spans="36:36" ht="12.75" customHeight="1" x14ac:dyDescent="0.25">
      <c r="AJ752" s="869"/>
    </row>
    <row r="753" spans="36:36" ht="12.75" customHeight="1" x14ac:dyDescent="0.25">
      <c r="AJ753" s="869"/>
    </row>
    <row r="754" spans="36:36" ht="12.75" customHeight="1" x14ac:dyDescent="0.25">
      <c r="AJ754" s="869"/>
    </row>
    <row r="755" spans="36:36" ht="12.75" customHeight="1" x14ac:dyDescent="0.25">
      <c r="AJ755" s="869"/>
    </row>
    <row r="756" spans="36:36" ht="12.75" customHeight="1" x14ac:dyDescent="0.25">
      <c r="AJ756" s="869"/>
    </row>
    <row r="757" spans="36:36" ht="12.75" customHeight="1" x14ac:dyDescent="0.25">
      <c r="AJ757" s="869"/>
    </row>
    <row r="758" spans="36:36" ht="12.75" customHeight="1" x14ac:dyDescent="0.25">
      <c r="AJ758" s="869"/>
    </row>
    <row r="759" spans="36:36" ht="12.75" customHeight="1" x14ac:dyDescent="0.25">
      <c r="AJ759" s="869"/>
    </row>
    <row r="760" spans="36:36" ht="12.75" customHeight="1" x14ac:dyDescent="0.25">
      <c r="AJ760" s="869"/>
    </row>
    <row r="761" spans="36:36" ht="12.75" customHeight="1" x14ac:dyDescent="0.25">
      <c r="AJ761" s="869"/>
    </row>
    <row r="762" spans="36:36" ht="12.75" customHeight="1" x14ac:dyDescent="0.25">
      <c r="AJ762" s="869"/>
    </row>
    <row r="763" spans="36:36" ht="12.75" customHeight="1" x14ac:dyDescent="0.25">
      <c r="AJ763" s="869"/>
    </row>
    <row r="764" spans="36:36" ht="12.75" customHeight="1" x14ac:dyDescent="0.25">
      <c r="AJ764" s="869"/>
    </row>
    <row r="765" spans="36:36" ht="12.75" customHeight="1" x14ac:dyDescent="0.25">
      <c r="AJ765" s="869"/>
    </row>
    <row r="766" spans="36:36" ht="12.75" customHeight="1" x14ac:dyDescent="0.25">
      <c r="AJ766" s="869"/>
    </row>
    <row r="767" spans="36:36" ht="12.75" customHeight="1" x14ac:dyDescent="0.25">
      <c r="AJ767" s="869"/>
    </row>
    <row r="768" spans="36:36" ht="12.75" customHeight="1" x14ac:dyDescent="0.25">
      <c r="AJ768" s="869"/>
    </row>
    <row r="769" spans="36:36" ht="12.75" customHeight="1" x14ac:dyDescent="0.25">
      <c r="AJ769" s="869"/>
    </row>
    <row r="770" spans="36:36" ht="12.75" customHeight="1" x14ac:dyDescent="0.25">
      <c r="AJ770" s="869"/>
    </row>
    <row r="771" spans="36:36" ht="12.75" customHeight="1" x14ac:dyDescent="0.25">
      <c r="AJ771" s="869"/>
    </row>
    <row r="772" spans="36:36" ht="12.75" customHeight="1" x14ac:dyDescent="0.25">
      <c r="AJ772" s="869"/>
    </row>
    <row r="773" spans="36:36" ht="12.75" customHeight="1" x14ac:dyDescent="0.25">
      <c r="AJ773" s="869"/>
    </row>
    <row r="774" spans="36:36" ht="12.75" customHeight="1" x14ac:dyDescent="0.25">
      <c r="AJ774" s="869"/>
    </row>
    <row r="775" spans="36:36" ht="12.75" customHeight="1" x14ac:dyDescent="0.25">
      <c r="AJ775" s="869"/>
    </row>
    <row r="776" spans="36:36" ht="12.75" customHeight="1" x14ac:dyDescent="0.25">
      <c r="AJ776" s="869"/>
    </row>
    <row r="777" spans="36:36" ht="12.75" customHeight="1" x14ac:dyDescent="0.25">
      <c r="AJ777" s="869"/>
    </row>
    <row r="778" spans="36:36" ht="12.75" customHeight="1" x14ac:dyDescent="0.25">
      <c r="AJ778" s="869"/>
    </row>
    <row r="779" spans="36:36" ht="12.75" customHeight="1" x14ac:dyDescent="0.25">
      <c r="AJ779" s="869"/>
    </row>
    <row r="780" spans="36:36" ht="12.75" customHeight="1" x14ac:dyDescent="0.25">
      <c r="AJ780" s="869"/>
    </row>
    <row r="781" spans="36:36" ht="12.75" customHeight="1" x14ac:dyDescent="0.25">
      <c r="AJ781" s="869"/>
    </row>
    <row r="782" spans="36:36" ht="12.75" customHeight="1" x14ac:dyDescent="0.25">
      <c r="AJ782" s="869"/>
    </row>
    <row r="783" spans="36:36" ht="12.75" customHeight="1" x14ac:dyDescent="0.25">
      <c r="AJ783" s="869"/>
    </row>
    <row r="784" spans="36:36" ht="12.75" customHeight="1" x14ac:dyDescent="0.25">
      <c r="AJ784" s="869"/>
    </row>
    <row r="785" spans="36:36" ht="12.75" customHeight="1" x14ac:dyDescent="0.25">
      <c r="AJ785" s="869"/>
    </row>
    <row r="786" spans="36:36" ht="12.75" customHeight="1" x14ac:dyDescent="0.25">
      <c r="AJ786" s="869"/>
    </row>
    <row r="787" spans="36:36" ht="12.75" customHeight="1" x14ac:dyDescent="0.25">
      <c r="AJ787" s="869"/>
    </row>
    <row r="788" spans="36:36" ht="12.75" customHeight="1" x14ac:dyDescent="0.25">
      <c r="AJ788" s="869"/>
    </row>
    <row r="789" spans="36:36" ht="12.75" customHeight="1" x14ac:dyDescent="0.25">
      <c r="AJ789" s="869"/>
    </row>
    <row r="790" spans="36:36" ht="12.75" customHeight="1" x14ac:dyDescent="0.25">
      <c r="AJ790" s="869"/>
    </row>
    <row r="791" spans="36:36" ht="12.75" customHeight="1" x14ac:dyDescent="0.25">
      <c r="AJ791" s="869"/>
    </row>
    <row r="792" spans="36:36" ht="12.75" customHeight="1" x14ac:dyDescent="0.25">
      <c r="AJ792" s="869"/>
    </row>
    <row r="793" spans="36:36" ht="12.75" customHeight="1" x14ac:dyDescent="0.25">
      <c r="AJ793" s="869"/>
    </row>
    <row r="794" spans="36:36" ht="12.75" customHeight="1" x14ac:dyDescent="0.25">
      <c r="AJ794" s="869"/>
    </row>
    <row r="795" spans="36:36" ht="12.75" customHeight="1" x14ac:dyDescent="0.25">
      <c r="AJ795" s="869"/>
    </row>
    <row r="796" spans="36:36" ht="12.75" customHeight="1" x14ac:dyDescent="0.25">
      <c r="AJ796" s="869"/>
    </row>
    <row r="797" spans="36:36" ht="12.75" customHeight="1" x14ac:dyDescent="0.25">
      <c r="AJ797" s="869"/>
    </row>
    <row r="798" spans="36:36" ht="12.75" customHeight="1" x14ac:dyDescent="0.25">
      <c r="AJ798" s="869"/>
    </row>
    <row r="799" spans="36:36" ht="12.75" customHeight="1" x14ac:dyDescent="0.25">
      <c r="AJ799" s="869"/>
    </row>
    <row r="800" spans="36:36" ht="12.75" customHeight="1" x14ac:dyDescent="0.25">
      <c r="AJ800" s="869"/>
    </row>
    <row r="801" spans="36:36" ht="12.75" customHeight="1" x14ac:dyDescent="0.25">
      <c r="AJ801" s="869"/>
    </row>
    <row r="802" spans="36:36" ht="12.75" customHeight="1" x14ac:dyDescent="0.25">
      <c r="AJ802" s="869"/>
    </row>
    <row r="803" spans="36:36" ht="12.75" customHeight="1" x14ac:dyDescent="0.25">
      <c r="AJ803" s="869"/>
    </row>
    <row r="804" spans="36:36" ht="12.75" customHeight="1" x14ac:dyDescent="0.25">
      <c r="AJ804" s="869"/>
    </row>
    <row r="805" spans="36:36" ht="12.75" customHeight="1" x14ac:dyDescent="0.25">
      <c r="AJ805" s="869"/>
    </row>
    <row r="806" spans="36:36" ht="12.75" customHeight="1" x14ac:dyDescent="0.25">
      <c r="AJ806" s="869"/>
    </row>
    <row r="807" spans="36:36" ht="12.75" customHeight="1" x14ac:dyDescent="0.25">
      <c r="AJ807" s="869"/>
    </row>
    <row r="808" spans="36:36" ht="12.75" customHeight="1" x14ac:dyDescent="0.25">
      <c r="AJ808" s="869"/>
    </row>
    <row r="809" spans="36:36" ht="12.75" customHeight="1" x14ac:dyDescent="0.25">
      <c r="AJ809" s="869"/>
    </row>
    <row r="810" spans="36:36" ht="12.75" customHeight="1" x14ac:dyDescent="0.25">
      <c r="AJ810" s="869"/>
    </row>
    <row r="811" spans="36:36" ht="12.75" customHeight="1" x14ac:dyDescent="0.25">
      <c r="AJ811" s="869"/>
    </row>
    <row r="812" spans="36:36" ht="12.75" customHeight="1" x14ac:dyDescent="0.25">
      <c r="AJ812" s="869"/>
    </row>
    <row r="813" spans="36:36" ht="12.75" customHeight="1" x14ac:dyDescent="0.25">
      <c r="AJ813" s="869"/>
    </row>
    <row r="814" spans="36:36" ht="12.75" customHeight="1" x14ac:dyDescent="0.25">
      <c r="AJ814" s="869"/>
    </row>
    <row r="815" spans="36:36" ht="12.75" customHeight="1" x14ac:dyDescent="0.25">
      <c r="AJ815" s="869"/>
    </row>
    <row r="816" spans="36:36" ht="12.75" customHeight="1" x14ac:dyDescent="0.25">
      <c r="AJ816" s="869"/>
    </row>
    <row r="817" spans="36:36" ht="12.75" customHeight="1" x14ac:dyDescent="0.25">
      <c r="AJ817" s="869"/>
    </row>
    <row r="818" spans="36:36" ht="12.75" customHeight="1" x14ac:dyDescent="0.25">
      <c r="AJ818" s="869"/>
    </row>
    <row r="819" spans="36:36" ht="12.75" customHeight="1" x14ac:dyDescent="0.25">
      <c r="AJ819" s="869"/>
    </row>
    <row r="820" spans="36:36" ht="12.75" customHeight="1" x14ac:dyDescent="0.25">
      <c r="AJ820" s="869"/>
    </row>
    <row r="821" spans="36:36" ht="12.75" customHeight="1" x14ac:dyDescent="0.25">
      <c r="AJ821" s="869"/>
    </row>
    <row r="822" spans="36:36" ht="12.75" customHeight="1" x14ac:dyDescent="0.25">
      <c r="AJ822" s="869"/>
    </row>
    <row r="823" spans="36:36" ht="12.75" customHeight="1" x14ac:dyDescent="0.25">
      <c r="AJ823" s="869"/>
    </row>
    <row r="824" spans="36:36" ht="12.75" customHeight="1" x14ac:dyDescent="0.25">
      <c r="AJ824" s="869"/>
    </row>
    <row r="825" spans="36:36" ht="12.75" customHeight="1" x14ac:dyDescent="0.25">
      <c r="AJ825" s="869"/>
    </row>
    <row r="826" spans="36:36" ht="12.75" customHeight="1" x14ac:dyDescent="0.25">
      <c r="AJ826" s="869"/>
    </row>
    <row r="827" spans="36:36" ht="12.75" customHeight="1" x14ac:dyDescent="0.25">
      <c r="AJ827" s="869"/>
    </row>
    <row r="828" spans="36:36" ht="12.75" customHeight="1" x14ac:dyDescent="0.25">
      <c r="AJ828" s="869"/>
    </row>
    <row r="829" spans="36:36" ht="12.75" customHeight="1" x14ac:dyDescent="0.25">
      <c r="AJ829" s="869"/>
    </row>
    <row r="830" spans="36:36" ht="12.75" customHeight="1" x14ac:dyDescent="0.25">
      <c r="AJ830" s="869"/>
    </row>
    <row r="831" spans="36:36" ht="12.75" customHeight="1" x14ac:dyDescent="0.25">
      <c r="AJ831" s="869"/>
    </row>
    <row r="832" spans="36:36" ht="12.75" customHeight="1" x14ac:dyDescent="0.25">
      <c r="AJ832" s="869"/>
    </row>
    <row r="833" spans="36:36" ht="12.75" customHeight="1" x14ac:dyDescent="0.25">
      <c r="AJ833" s="869"/>
    </row>
    <row r="834" spans="36:36" ht="12.75" customHeight="1" x14ac:dyDescent="0.25">
      <c r="AJ834" s="869"/>
    </row>
    <row r="835" spans="36:36" ht="12.75" customHeight="1" x14ac:dyDescent="0.25">
      <c r="AJ835" s="869"/>
    </row>
    <row r="836" spans="36:36" ht="12.75" customHeight="1" x14ac:dyDescent="0.25">
      <c r="AJ836" s="869"/>
    </row>
    <row r="837" spans="36:36" ht="12.75" customHeight="1" x14ac:dyDescent="0.25">
      <c r="AJ837" s="869"/>
    </row>
    <row r="838" spans="36:36" ht="12.75" customHeight="1" x14ac:dyDescent="0.25">
      <c r="AJ838" s="869"/>
    </row>
    <row r="839" spans="36:36" ht="12.75" customHeight="1" x14ac:dyDescent="0.25">
      <c r="AJ839" s="869"/>
    </row>
    <row r="840" spans="36:36" ht="12.75" customHeight="1" x14ac:dyDescent="0.25">
      <c r="AJ840" s="869"/>
    </row>
    <row r="841" spans="36:36" ht="12.75" customHeight="1" x14ac:dyDescent="0.25">
      <c r="AJ841" s="869"/>
    </row>
    <row r="842" spans="36:36" ht="12.75" customHeight="1" x14ac:dyDescent="0.25">
      <c r="AJ842" s="869"/>
    </row>
    <row r="843" spans="36:36" ht="12.75" customHeight="1" x14ac:dyDescent="0.25">
      <c r="AJ843" s="869"/>
    </row>
    <row r="844" spans="36:36" ht="12.75" customHeight="1" x14ac:dyDescent="0.25">
      <c r="AJ844" s="869"/>
    </row>
    <row r="845" spans="36:36" ht="12.75" customHeight="1" x14ac:dyDescent="0.25">
      <c r="AJ845" s="869"/>
    </row>
    <row r="846" spans="36:36" ht="12.75" customHeight="1" x14ac:dyDescent="0.25">
      <c r="AJ846" s="869"/>
    </row>
    <row r="847" spans="36:36" ht="12.75" customHeight="1" x14ac:dyDescent="0.25">
      <c r="AJ847" s="869"/>
    </row>
    <row r="848" spans="36:36" ht="12.75" customHeight="1" x14ac:dyDescent="0.25">
      <c r="AJ848" s="869"/>
    </row>
    <row r="849" spans="36:36" ht="12.75" customHeight="1" x14ac:dyDescent="0.25">
      <c r="AJ849" s="869"/>
    </row>
    <row r="850" spans="36:36" ht="12.75" customHeight="1" x14ac:dyDescent="0.25">
      <c r="AJ850" s="869"/>
    </row>
    <row r="851" spans="36:36" ht="12.75" customHeight="1" x14ac:dyDescent="0.25">
      <c r="AJ851" s="869"/>
    </row>
    <row r="852" spans="36:36" ht="12.75" customHeight="1" x14ac:dyDescent="0.25">
      <c r="AJ852" s="869"/>
    </row>
    <row r="853" spans="36:36" ht="12.75" customHeight="1" x14ac:dyDescent="0.25">
      <c r="AJ853" s="869"/>
    </row>
    <row r="854" spans="36:36" ht="12.75" customHeight="1" x14ac:dyDescent="0.25">
      <c r="AJ854" s="869"/>
    </row>
    <row r="855" spans="36:36" ht="12.75" customHeight="1" x14ac:dyDescent="0.25">
      <c r="AJ855" s="869"/>
    </row>
    <row r="856" spans="36:36" ht="12.75" customHeight="1" x14ac:dyDescent="0.25">
      <c r="AJ856" s="869"/>
    </row>
    <row r="857" spans="36:36" ht="12.75" customHeight="1" x14ac:dyDescent="0.25">
      <c r="AJ857" s="869"/>
    </row>
    <row r="858" spans="36:36" ht="12.75" customHeight="1" x14ac:dyDescent="0.25">
      <c r="AJ858" s="869"/>
    </row>
    <row r="859" spans="36:36" ht="12.75" customHeight="1" x14ac:dyDescent="0.25">
      <c r="AJ859" s="869"/>
    </row>
    <row r="860" spans="36:36" ht="12.75" customHeight="1" x14ac:dyDescent="0.25">
      <c r="AJ860" s="869"/>
    </row>
    <row r="861" spans="36:36" ht="12.75" customHeight="1" x14ac:dyDescent="0.25">
      <c r="AJ861" s="869"/>
    </row>
    <row r="862" spans="36:36" ht="12.75" customHeight="1" x14ac:dyDescent="0.25">
      <c r="AJ862" s="869"/>
    </row>
    <row r="863" spans="36:36" ht="12.75" customHeight="1" x14ac:dyDescent="0.25">
      <c r="AJ863" s="869"/>
    </row>
    <row r="864" spans="36:36" ht="12.75" customHeight="1" x14ac:dyDescent="0.25">
      <c r="AJ864" s="869"/>
    </row>
    <row r="865" spans="36:36" ht="12.75" customHeight="1" x14ac:dyDescent="0.25">
      <c r="AJ865" s="869"/>
    </row>
    <row r="866" spans="36:36" ht="12.75" customHeight="1" x14ac:dyDescent="0.25">
      <c r="AJ866" s="869"/>
    </row>
    <row r="867" spans="36:36" ht="12.75" customHeight="1" x14ac:dyDescent="0.25">
      <c r="AJ867" s="869"/>
    </row>
    <row r="868" spans="36:36" ht="12.75" customHeight="1" x14ac:dyDescent="0.25">
      <c r="AJ868" s="869"/>
    </row>
    <row r="869" spans="36:36" ht="12.75" customHeight="1" x14ac:dyDescent="0.25">
      <c r="AJ869" s="869"/>
    </row>
    <row r="870" spans="36:36" ht="12.75" customHeight="1" x14ac:dyDescent="0.25">
      <c r="AJ870" s="869"/>
    </row>
    <row r="871" spans="36:36" ht="12.75" customHeight="1" x14ac:dyDescent="0.25">
      <c r="AJ871" s="869"/>
    </row>
    <row r="872" spans="36:36" ht="12.75" customHeight="1" x14ac:dyDescent="0.25">
      <c r="AJ872" s="869"/>
    </row>
    <row r="873" spans="36:36" ht="12.75" customHeight="1" x14ac:dyDescent="0.25">
      <c r="AJ873" s="869"/>
    </row>
    <row r="874" spans="36:36" ht="12.75" customHeight="1" x14ac:dyDescent="0.25">
      <c r="AJ874" s="869"/>
    </row>
    <row r="875" spans="36:36" ht="12.75" customHeight="1" x14ac:dyDescent="0.25">
      <c r="AJ875" s="869"/>
    </row>
    <row r="876" spans="36:36" ht="12.75" customHeight="1" x14ac:dyDescent="0.25">
      <c r="AJ876" s="869"/>
    </row>
    <row r="877" spans="36:36" ht="12.75" customHeight="1" x14ac:dyDescent="0.25">
      <c r="AJ877" s="869"/>
    </row>
    <row r="878" spans="36:36" ht="12.75" customHeight="1" x14ac:dyDescent="0.25">
      <c r="AJ878" s="869"/>
    </row>
    <row r="879" spans="36:36" ht="12.75" customHeight="1" x14ac:dyDescent="0.25">
      <c r="AJ879" s="869"/>
    </row>
    <row r="880" spans="36:36" ht="12.75" customHeight="1" x14ac:dyDescent="0.25">
      <c r="AJ880" s="869"/>
    </row>
    <row r="881" spans="36:36" ht="12.75" customHeight="1" x14ac:dyDescent="0.25">
      <c r="AJ881" s="869"/>
    </row>
    <row r="882" spans="36:36" ht="12.75" customHeight="1" x14ac:dyDescent="0.25">
      <c r="AJ882" s="869"/>
    </row>
    <row r="883" spans="36:36" ht="12.75" customHeight="1" x14ac:dyDescent="0.25">
      <c r="AJ883" s="869"/>
    </row>
    <row r="884" spans="36:36" ht="12.75" customHeight="1" x14ac:dyDescent="0.25">
      <c r="AJ884" s="869"/>
    </row>
    <row r="885" spans="36:36" ht="12.75" customHeight="1" x14ac:dyDescent="0.25">
      <c r="AJ885" s="869"/>
    </row>
    <row r="886" spans="36:36" ht="12.75" customHeight="1" x14ac:dyDescent="0.25">
      <c r="AJ886" s="869"/>
    </row>
    <row r="887" spans="36:36" ht="12.75" customHeight="1" x14ac:dyDescent="0.25">
      <c r="AJ887" s="869"/>
    </row>
    <row r="888" spans="36:36" ht="12.75" customHeight="1" x14ac:dyDescent="0.25">
      <c r="AJ888" s="869"/>
    </row>
    <row r="889" spans="36:36" ht="12.75" customHeight="1" x14ac:dyDescent="0.25">
      <c r="AJ889" s="869"/>
    </row>
    <row r="890" spans="36:36" ht="12.75" customHeight="1" x14ac:dyDescent="0.25">
      <c r="AJ890" s="869"/>
    </row>
    <row r="891" spans="36:36" ht="12.75" customHeight="1" x14ac:dyDescent="0.25">
      <c r="AJ891" s="869"/>
    </row>
    <row r="892" spans="36:36" ht="12.75" customHeight="1" x14ac:dyDescent="0.25">
      <c r="AJ892" s="869"/>
    </row>
    <row r="893" spans="36:36" ht="12.75" customHeight="1" x14ac:dyDescent="0.25">
      <c r="AJ893" s="869"/>
    </row>
    <row r="894" spans="36:36" ht="12.75" customHeight="1" x14ac:dyDescent="0.25">
      <c r="AJ894" s="869"/>
    </row>
    <row r="895" spans="36:36" ht="12.75" customHeight="1" x14ac:dyDescent="0.25">
      <c r="AJ895" s="869"/>
    </row>
    <row r="896" spans="36:36" ht="12.75" customHeight="1" x14ac:dyDescent="0.25">
      <c r="AJ896" s="869"/>
    </row>
    <row r="897" spans="36:36" ht="12.75" customHeight="1" x14ac:dyDescent="0.25">
      <c r="AJ897" s="869"/>
    </row>
    <row r="898" spans="36:36" ht="12.75" customHeight="1" x14ac:dyDescent="0.25">
      <c r="AJ898" s="869"/>
    </row>
    <row r="899" spans="36:36" ht="12.75" customHeight="1" x14ac:dyDescent="0.25">
      <c r="AJ899" s="869"/>
    </row>
    <row r="900" spans="36:36" ht="12.75" customHeight="1" x14ac:dyDescent="0.25">
      <c r="AJ900" s="869"/>
    </row>
    <row r="901" spans="36:36" ht="12.75" customHeight="1" x14ac:dyDescent="0.25">
      <c r="AJ901" s="869"/>
    </row>
    <row r="902" spans="36:36" ht="12.75" customHeight="1" x14ac:dyDescent="0.25">
      <c r="AJ902" s="869"/>
    </row>
    <row r="903" spans="36:36" ht="12.75" customHeight="1" x14ac:dyDescent="0.25">
      <c r="AJ903" s="869"/>
    </row>
    <row r="904" spans="36:36" ht="12.75" customHeight="1" x14ac:dyDescent="0.25">
      <c r="AJ904" s="869"/>
    </row>
    <row r="905" spans="36:36" ht="12.75" customHeight="1" x14ac:dyDescent="0.25">
      <c r="AJ905" s="869"/>
    </row>
    <row r="906" spans="36:36" ht="12.75" customHeight="1" x14ac:dyDescent="0.25">
      <c r="AJ906" s="869"/>
    </row>
    <row r="907" spans="36:36" ht="12.75" customHeight="1" x14ac:dyDescent="0.25">
      <c r="AJ907" s="869"/>
    </row>
    <row r="908" spans="36:36" ht="12.75" customHeight="1" x14ac:dyDescent="0.25">
      <c r="AJ908" s="869"/>
    </row>
    <row r="909" spans="36:36" ht="12.75" customHeight="1" x14ac:dyDescent="0.25">
      <c r="AJ909" s="869"/>
    </row>
    <row r="910" spans="36:36" ht="12.75" customHeight="1" x14ac:dyDescent="0.25">
      <c r="AJ910" s="869"/>
    </row>
    <row r="911" spans="36:36" ht="12.75" customHeight="1" x14ac:dyDescent="0.25">
      <c r="AJ911" s="869"/>
    </row>
    <row r="912" spans="36:36" ht="12.75" customHeight="1" x14ac:dyDescent="0.25">
      <c r="AJ912" s="869"/>
    </row>
    <row r="913" spans="36:36" ht="12.75" customHeight="1" x14ac:dyDescent="0.25">
      <c r="AJ913" s="869"/>
    </row>
    <row r="914" spans="36:36" ht="12.75" customHeight="1" x14ac:dyDescent="0.25">
      <c r="AJ914" s="869"/>
    </row>
    <row r="915" spans="36:36" ht="12.75" customHeight="1" x14ac:dyDescent="0.25">
      <c r="AJ915" s="869"/>
    </row>
    <row r="916" spans="36:36" ht="12.75" customHeight="1" x14ac:dyDescent="0.25">
      <c r="AJ916" s="869"/>
    </row>
    <row r="917" spans="36:36" ht="12.75" customHeight="1" x14ac:dyDescent="0.25">
      <c r="AJ917" s="869"/>
    </row>
    <row r="918" spans="36:36" ht="12.75" customHeight="1" x14ac:dyDescent="0.25">
      <c r="AJ918" s="869"/>
    </row>
    <row r="919" spans="36:36" ht="12.75" customHeight="1" x14ac:dyDescent="0.25">
      <c r="AJ919" s="869"/>
    </row>
    <row r="920" spans="36:36" ht="12.75" customHeight="1" x14ac:dyDescent="0.25">
      <c r="AJ920" s="869"/>
    </row>
    <row r="921" spans="36:36" ht="12.75" customHeight="1" x14ac:dyDescent="0.25">
      <c r="AJ921" s="869"/>
    </row>
    <row r="922" spans="36:36" ht="12.75" customHeight="1" x14ac:dyDescent="0.25">
      <c r="AJ922" s="869"/>
    </row>
    <row r="923" spans="36:36" ht="12.75" customHeight="1" x14ac:dyDescent="0.25">
      <c r="AJ923" s="869"/>
    </row>
    <row r="924" spans="36:36" ht="12.75" customHeight="1" x14ac:dyDescent="0.25">
      <c r="AJ924" s="869"/>
    </row>
    <row r="925" spans="36:36" ht="12.75" customHeight="1" x14ac:dyDescent="0.25">
      <c r="AJ925" s="869"/>
    </row>
    <row r="926" spans="36:36" ht="12.75" customHeight="1" x14ac:dyDescent="0.25">
      <c r="AJ926" s="869"/>
    </row>
    <row r="927" spans="36:36" ht="12.75" customHeight="1" x14ac:dyDescent="0.25">
      <c r="AJ927" s="869"/>
    </row>
    <row r="928" spans="36:36" ht="12.75" customHeight="1" x14ac:dyDescent="0.25">
      <c r="AJ928" s="869"/>
    </row>
    <row r="929" spans="36:36" ht="12.75" customHeight="1" x14ac:dyDescent="0.25">
      <c r="AJ929" s="869"/>
    </row>
    <row r="930" spans="36:36" ht="12.75" customHeight="1" x14ac:dyDescent="0.25">
      <c r="AJ930" s="869"/>
    </row>
    <row r="931" spans="36:36" ht="12.75" customHeight="1" x14ac:dyDescent="0.25">
      <c r="AJ931" s="869"/>
    </row>
    <row r="932" spans="36:36" ht="12.75" customHeight="1" x14ac:dyDescent="0.25">
      <c r="AJ932" s="869"/>
    </row>
    <row r="933" spans="36:36" ht="12.75" customHeight="1" x14ac:dyDescent="0.25">
      <c r="AJ933" s="869"/>
    </row>
    <row r="934" spans="36:36" ht="12.75" customHeight="1" x14ac:dyDescent="0.25">
      <c r="AJ934" s="869"/>
    </row>
    <row r="935" spans="36:36" ht="12.75" customHeight="1" x14ac:dyDescent="0.25">
      <c r="AJ935" s="869"/>
    </row>
    <row r="936" spans="36:36" ht="12.75" customHeight="1" x14ac:dyDescent="0.25">
      <c r="AJ936" s="869"/>
    </row>
    <row r="937" spans="36:36" ht="12.75" customHeight="1" x14ac:dyDescent="0.25">
      <c r="AJ937" s="869"/>
    </row>
    <row r="938" spans="36:36" ht="12.75" customHeight="1" x14ac:dyDescent="0.25">
      <c r="AJ938" s="869"/>
    </row>
    <row r="939" spans="36:36" ht="12.75" customHeight="1" x14ac:dyDescent="0.25">
      <c r="AJ939" s="869"/>
    </row>
    <row r="940" spans="36:36" ht="12.75" customHeight="1" x14ac:dyDescent="0.25">
      <c r="AJ940" s="869"/>
    </row>
    <row r="941" spans="36:36" ht="12.75" customHeight="1" x14ac:dyDescent="0.25">
      <c r="AJ941" s="869"/>
    </row>
    <row r="942" spans="36:36" ht="12.75" customHeight="1" x14ac:dyDescent="0.25">
      <c r="AJ942" s="869"/>
    </row>
    <row r="943" spans="36:36" ht="12.75" customHeight="1" x14ac:dyDescent="0.25">
      <c r="AJ943" s="869"/>
    </row>
    <row r="944" spans="36:36" ht="12.75" customHeight="1" x14ac:dyDescent="0.25">
      <c r="AJ944" s="869"/>
    </row>
    <row r="945" spans="36:36" ht="12.75" customHeight="1" x14ac:dyDescent="0.25">
      <c r="AJ945" s="869"/>
    </row>
    <row r="946" spans="36:36" ht="12.75" customHeight="1" x14ac:dyDescent="0.25">
      <c r="AJ946" s="869"/>
    </row>
    <row r="947" spans="36:36" ht="12.75" customHeight="1" x14ac:dyDescent="0.25">
      <c r="AJ947" s="869"/>
    </row>
    <row r="948" spans="36:36" ht="12.75" customHeight="1" x14ac:dyDescent="0.25">
      <c r="AJ948" s="869"/>
    </row>
    <row r="949" spans="36:36" ht="12.75" customHeight="1" x14ac:dyDescent="0.25">
      <c r="AJ949" s="869"/>
    </row>
    <row r="950" spans="36:36" ht="12.75" customHeight="1" x14ac:dyDescent="0.25">
      <c r="AJ950" s="869"/>
    </row>
    <row r="951" spans="36:36" ht="12.75" customHeight="1" x14ac:dyDescent="0.25">
      <c r="AJ951" s="869"/>
    </row>
    <row r="952" spans="36:36" ht="12.75" customHeight="1" x14ac:dyDescent="0.25">
      <c r="AJ952" s="869"/>
    </row>
    <row r="953" spans="36:36" ht="12.75" customHeight="1" x14ac:dyDescent="0.25">
      <c r="AJ953" s="869"/>
    </row>
    <row r="954" spans="36:36" ht="12.75" customHeight="1" x14ac:dyDescent="0.25">
      <c r="AJ954" s="869"/>
    </row>
    <row r="955" spans="36:36" ht="12.75" customHeight="1" x14ac:dyDescent="0.25">
      <c r="AJ955" s="869"/>
    </row>
    <row r="956" spans="36:36" ht="12.75" customHeight="1" x14ac:dyDescent="0.25">
      <c r="AJ956" s="869"/>
    </row>
    <row r="957" spans="36:36" ht="12.75" customHeight="1" x14ac:dyDescent="0.25">
      <c r="AJ957" s="869"/>
    </row>
    <row r="958" spans="36:36" ht="12.75" customHeight="1" x14ac:dyDescent="0.25">
      <c r="AJ958" s="869"/>
    </row>
    <row r="959" spans="36:36" ht="12.75" customHeight="1" x14ac:dyDescent="0.25">
      <c r="AJ959" s="869"/>
    </row>
    <row r="960" spans="36:36" ht="12.75" customHeight="1" x14ac:dyDescent="0.25">
      <c r="AJ960" s="869"/>
    </row>
    <row r="961" spans="36:36" ht="12.75" customHeight="1" x14ac:dyDescent="0.25">
      <c r="AJ961" s="869"/>
    </row>
    <row r="962" spans="36:36" ht="12.75" customHeight="1" x14ac:dyDescent="0.25">
      <c r="AJ962" s="869"/>
    </row>
    <row r="963" spans="36:36" ht="12.75" customHeight="1" x14ac:dyDescent="0.25">
      <c r="AJ963" s="869"/>
    </row>
    <row r="964" spans="36:36" ht="12.75" customHeight="1" x14ac:dyDescent="0.25">
      <c r="AJ964" s="869"/>
    </row>
    <row r="965" spans="36:36" ht="12.75" customHeight="1" x14ac:dyDescent="0.25">
      <c r="AJ965" s="869"/>
    </row>
    <row r="966" spans="36:36" ht="12.75" customHeight="1" x14ac:dyDescent="0.25">
      <c r="AJ966" s="869"/>
    </row>
    <row r="967" spans="36:36" ht="12.75" customHeight="1" x14ac:dyDescent="0.25">
      <c r="AJ967" s="869"/>
    </row>
    <row r="968" spans="36:36" ht="12.75" customHeight="1" x14ac:dyDescent="0.25">
      <c r="AJ968" s="869"/>
    </row>
    <row r="969" spans="36:36" ht="12.75" customHeight="1" x14ac:dyDescent="0.25">
      <c r="AJ969" s="869"/>
    </row>
    <row r="970" spans="36:36" ht="12.75" customHeight="1" x14ac:dyDescent="0.25">
      <c r="AJ970" s="869"/>
    </row>
    <row r="971" spans="36:36" ht="12.75" customHeight="1" x14ac:dyDescent="0.25">
      <c r="AJ971" s="869"/>
    </row>
    <row r="972" spans="36:36" ht="12.75" customHeight="1" x14ac:dyDescent="0.25">
      <c r="AJ972" s="869"/>
    </row>
    <row r="973" spans="36:36" ht="12.75" customHeight="1" x14ac:dyDescent="0.25">
      <c r="AJ973" s="869"/>
    </row>
    <row r="974" spans="36:36" ht="12.75" customHeight="1" x14ac:dyDescent="0.25">
      <c r="AJ974" s="869"/>
    </row>
    <row r="975" spans="36:36" ht="12.75" customHeight="1" x14ac:dyDescent="0.25">
      <c r="AJ975" s="869"/>
    </row>
    <row r="976" spans="36:36" ht="12.75" customHeight="1" x14ac:dyDescent="0.25">
      <c r="AJ976" s="869"/>
    </row>
    <row r="977" spans="36:36" ht="12.75" customHeight="1" x14ac:dyDescent="0.25">
      <c r="AJ977" s="869"/>
    </row>
    <row r="978" spans="36:36" ht="12.75" customHeight="1" x14ac:dyDescent="0.25">
      <c r="AJ978" s="869"/>
    </row>
    <row r="979" spans="36:36" ht="12.75" customHeight="1" x14ac:dyDescent="0.25">
      <c r="AJ979" s="869"/>
    </row>
    <row r="980" spans="36:36" ht="12.75" customHeight="1" x14ac:dyDescent="0.25">
      <c r="AJ980" s="869"/>
    </row>
    <row r="981" spans="36:36" ht="12.75" customHeight="1" x14ac:dyDescent="0.25">
      <c r="AJ981" s="869"/>
    </row>
    <row r="982" spans="36:36" ht="12.75" customHeight="1" x14ac:dyDescent="0.25">
      <c r="AJ982" s="869"/>
    </row>
    <row r="983" spans="36:36" ht="12.75" customHeight="1" x14ac:dyDescent="0.25">
      <c r="AJ983" s="869"/>
    </row>
    <row r="984" spans="36:36" ht="12.75" customHeight="1" x14ac:dyDescent="0.25">
      <c r="AJ984" s="869"/>
    </row>
    <row r="985" spans="36:36" ht="12.75" customHeight="1" x14ac:dyDescent="0.25">
      <c r="AJ985" s="869"/>
    </row>
    <row r="986" spans="36:36" ht="12.75" customHeight="1" x14ac:dyDescent="0.25">
      <c r="AJ986" s="869"/>
    </row>
    <row r="987" spans="36:36" ht="12.75" customHeight="1" x14ac:dyDescent="0.25">
      <c r="AJ987" s="869"/>
    </row>
    <row r="988" spans="36:36" ht="12.75" customHeight="1" x14ac:dyDescent="0.25">
      <c r="AJ988" s="869"/>
    </row>
    <row r="989" spans="36:36" ht="12.75" customHeight="1" x14ac:dyDescent="0.25">
      <c r="AJ989" s="869"/>
    </row>
    <row r="990" spans="36:36" ht="12.75" customHeight="1" x14ac:dyDescent="0.25">
      <c r="AJ990" s="869"/>
    </row>
    <row r="991" spans="36:36" ht="12.75" customHeight="1" x14ac:dyDescent="0.25">
      <c r="AJ991" s="869"/>
    </row>
    <row r="992" spans="36:36" ht="12.75" customHeight="1" x14ac:dyDescent="0.25">
      <c r="AJ992" s="869"/>
    </row>
    <row r="993" spans="36:36" ht="12.75" customHeight="1" x14ac:dyDescent="0.25">
      <c r="AJ993" s="869"/>
    </row>
    <row r="994" spans="36:36" ht="12.75" customHeight="1" x14ac:dyDescent="0.25">
      <c r="AJ994" s="869"/>
    </row>
    <row r="995" spans="36:36" ht="12.75" customHeight="1" x14ac:dyDescent="0.25">
      <c r="AJ995" s="869"/>
    </row>
    <row r="996" spans="36:36" ht="12.75" customHeight="1" x14ac:dyDescent="0.25">
      <c r="AJ996" s="869"/>
    </row>
    <row r="997" spans="36:36" ht="12.75" customHeight="1" x14ac:dyDescent="0.25">
      <c r="AJ997" s="869"/>
    </row>
    <row r="998" spans="36:36" ht="12.75" customHeight="1" x14ac:dyDescent="0.25">
      <c r="AJ998" s="869"/>
    </row>
    <row r="999" spans="36:36" ht="12.75" customHeight="1" x14ac:dyDescent="0.25">
      <c r="AJ999" s="869"/>
    </row>
    <row r="1000" spans="36:36" ht="12.75" customHeight="1" x14ac:dyDescent="0.25">
      <c r="AJ1000" s="869"/>
    </row>
    <row r="1001" spans="36:36" ht="12.75" customHeight="1" x14ac:dyDescent="0.25">
      <c r="AJ1001" s="869"/>
    </row>
    <row r="1002" spans="36:36" ht="12.75" customHeight="1" x14ac:dyDescent="0.25">
      <c r="AJ1002" s="869"/>
    </row>
    <row r="1003" spans="36:36" ht="12.75" customHeight="1" x14ac:dyDescent="0.25">
      <c r="AJ1003" s="869"/>
    </row>
    <row r="1004" spans="36:36" ht="12.75" customHeight="1" x14ac:dyDescent="0.25">
      <c r="AJ1004" s="869"/>
    </row>
  </sheetData>
  <mergeCells count="54">
    <mergeCell ref="G67:AJ67"/>
    <mergeCell ref="C27:F27"/>
    <mergeCell ref="C28:F28"/>
    <mergeCell ref="C29:F29"/>
    <mergeCell ref="C30:F30"/>
    <mergeCell ref="C31:F31"/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G1:AI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AA1"/>
    <mergeCell ref="AB1:AE1"/>
    <mergeCell ref="C21:F21"/>
    <mergeCell ref="C22:F22"/>
    <mergeCell ref="C23:F23"/>
    <mergeCell ref="C24:F24"/>
    <mergeCell ref="C25:F25"/>
    <mergeCell ref="C26:F26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8"/>
    <mergeCell ref="A37:A44"/>
    <mergeCell ref="B37:B38"/>
    <mergeCell ref="B39:B40"/>
    <mergeCell ref="B41:B42"/>
    <mergeCell ref="B43:B44"/>
    <mergeCell ref="C43:F43"/>
    <mergeCell ref="C44:F44"/>
  </mergeCells>
  <conditionalFormatting sqref="X2">
    <cfRule type="notContainsBlanks" dxfId="2" priority="1">
      <formula>LEN(TRIM(X2))&gt;0</formula>
    </cfRule>
  </conditionalFormatting>
  <pageMargins left="0.7" right="0.7" top="0.75" bottom="0.75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2.21875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8" width="10.109375" customWidth="1"/>
    <col min="29" max="29" width="9" customWidth="1"/>
    <col min="30" max="30" width="8.77734375" customWidth="1"/>
    <col min="31" max="31" width="9.6640625" customWidth="1"/>
    <col min="32" max="37" width="11.44140625" customWidth="1"/>
    <col min="38" max="43" width="8.6640625" customWidth="1"/>
  </cols>
  <sheetData>
    <row r="1" spans="1:43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473</v>
      </c>
      <c r="W1" s="1178"/>
      <c r="X1" s="1178"/>
      <c r="Y1" s="1178"/>
      <c r="Z1" s="1178"/>
      <c r="AA1" s="1179"/>
      <c r="AB1" s="1332" t="s">
        <v>458</v>
      </c>
      <c r="AC1" s="1178"/>
      <c r="AD1" s="1178"/>
      <c r="AE1" s="1178"/>
      <c r="AF1" s="670" t="s">
        <v>91</v>
      </c>
      <c r="AG1" s="1333" t="s">
        <v>459</v>
      </c>
      <c r="AH1" s="1178"/>
      <c r="AI1" s="1179"/>
      <c r="AJ1" s="671" t="s">
        <v>399</v>
      </c>
      <c r="AK1" s="644"/>
      <c r="AL1" s="644"/>
      <c r="AM1" s="399"/>
      <c r="AN1" s="399"/>
      <c r="AO1" s="399"/>
      <c r="AP1" s="399"/>
      <c r="AQ1" s="399"/>
    </row>
    <row r="2" spans="1:43" ht="33" customHeight="1" x14ac:dyDescent="0.3">
      <c r="A2" s="397"/>
      <c r="B2" s="398"/>
      <c r="C2" s="1312"/>
      <c r="D2" s="1201"/>
      <c r="E2" s="1201"/>
      <c r="F2" s="1201"/>
      <c r="G2" s="970" t="s">
        <v>99</v>
      </c>
      <c r="H2" s="525" t="s">
        <v>100</v>
      </c>
      <c r="I2" s="971" t="s">
        <v>198</v>
      </c>
      <c r="J2" s="972" t="s">
        <v>21</v>
      </c>
      <c r="K2" s="973" t="s">
        <v>102</v>
      </c>
      <c r="L2" s="974" t="s">
        <v>395</v>
      </c>
      <c r="M2" s="972" t="s">
        <v>396</v>
      </c>
      <c r="N2" s="972" t="s">
        <v>105</v>
      </c>
      <c r="O2" s="972" t="s">
        <v>106</v>
      </c>
      <c r="P2" s="972" t="s">
        <v>107</v>
      </c>
      <c r="Q2" s="975" t="s">
        <v>215</v>
      </c>
      <c r="R2" s="976" t="s">
        <v>34</v>
      </c>
      <c r="S2" s="977" t="s">
        <v>397</v>
      </c>
      <c r="T2" s="976" t="s">
        <v>110</v>
      </c>
      <c r="U2" s="530" t="s">
        <v>111</v>
      </c>
      <c r="V2" s="978" t="s">
        <v>45</v>
      </c>
      <c r="W2" s="978" t="s">
        <v>49</v>
      </c>
      <c r="X2" s="979" t="s">
        <v>399</v>
      </c>
      <c r="Y2" s="980" t="s">
        <v>341</v>
      </c>
      <c r="Z2" s="980" t="s">
        <v>321</v>
      </c>
      <c r="AA2" s="765" t="s">
        <v>474</v>
      </c>
      <c r="AB2" s="981" t="s">
        <v>115</v>
      </c>
      <c r="AC2" s="982" t="s">
        <v>116</v>
      </c>
      <c r="AD2" s="982" t="s">
        <v>80</v>
      </c>
      <c r="AE2" s="982" t="s">
        <v>117</v>
      </c>
      <c r="AF2" s="724" t="s">
        <v>460</v>
      </c>
      <c r="AG2" s="983" t="s">
        <v>347</v>
      </c>
      <c r="AH2" s="984" t="s">
        <v>70</v>
      </c>
      <c r="AI2" s="768" t="s">
        <v>72</v>
      </c>
      <c r="AJ2" s="728" t="s">
        <v>75</v>
      </c>
      <c r="AK2" s="534" t="s">
        <v>398</v>
      </c>
      <c r="AL2" s="409"/>
      <c r="AM2" s="409"/>
      <c r="AN2" s="729"/>
      <c r="AO2" s="410"/>
      <c r="AP2" s="411"/>
      <c r="AQ2" s="411"/>
    </row>
    <row r="3" spans="1:43" ht="22.5" customHeight="1" x14ac:dyDescent="0.3">
      <c r="A3" s="1248" t="s">
        <v>401</v>
      </c>
      <c r="B3" s="412" t="s">
        <v>402</v>
      </c>
      <c r="C3" s="1314"/>
      <c r="D3" s="1315"/>
      <c r="E3" s="1315"/>
      <c r="F3" s="1316"/>
      <c r="G3" s="677">
        <v>120</v>
      </c>
      <c r="H3" s="677">
        <v>120</v>
      </c>
      <c r="I3" s="677">
        <v>120</v>
      </c>
      <c r="J3" s="677">
        <v>120</v>
      </c>
      <c r="K3" s="677">
        <v>120</v>
      </c>
      <c r="L3" s="677">
        <v>120</v>
      </c>
      <c r="M3" s="677">
        <v>120</v>
      </c>
      <c r="N3" s="677">
        <v>120</v>
      </c>
      <c r="O3" s="677">
        <v>120</v>
      </c>
      <c r="P3" s="677">
        <v>120</v>
      </c>
      <c r="Q3" s="677">
        <v>120</v>
      </c>
      <c r="R3" s="677">
        <v>120</v>
      </c>
      <c r="S3" s="677">
        <v>120</v>
      </c>
      <c r="T3" s="677">
        <v>120</v>
      </c>
      <c r="U3" s="678">
        <v>0</v>
      </c>
      <c r="V3" s="680">
        <v>120</v>
      </c>
      <c r="W3" s="680">
        <v>120</v>
      </c>
      <c r="X3" s="680">
        <v>120</v>
      </c>
      <c r="Y3" s="680">
        <v>120</v>
      </c>
      <c r="Z3" s="680">
        <v>120</v>
      </c>
      <c r="AA3" s="680">
        <v>120</v>
      </c>
      <c r="AB3" s="681">
        <v>120</v>
      </c>
      <c r="AC3" s="682">
        <v>120</v>
      </c>
      <c r="AD3" s="682">
        <v>120</v>
      </c>
      <c r="AE3" s="682">
        <v>120</v>
      </c>
      <c r="AF3" s="730">
        <v>120</v>
      </c>
      <c r="AG3" s="678">
        <v>120</v>
      </c>
      <c r="AH3" s="682">
        <v>120</v>
      </c>
      <c r="AI3" s="682">
        <v>120</v>
      </c>
      <c r="AJ3" s="682">
        <v>120</v>
      </c>
      <c r="AK3" s="536">
        <f t="shared" ref="AK3:AK66" si="0">SUM(G3:AJ3)</f>
        <v>3480</v>
      </c>
      <c r="AL3" s="421">
        <v>3480</v>
      </c>
      <c r="AM3" s="410"/>
      <c r="AN3" s="410"/>
      <c r="AO3" s="410"/>
      <c r="AP3" s="411"/>
      <c r="AQ3" s="411"/>
    </row>
    <row r="4" spans="1:43" ht="27" customHeight="1" x14ac:dyDescent="0.3">
      <c r="A4" s="1249"/>
      <c r="B4" s="417" t="s">
        <v>403</v>
      </c>
      <c r="C4" s="1295"/>
      <c r="D4" s="1201"/>
      <c r="E4" s="1201"/>
      <c r="F4" s="1240"/>
      <c r="G4" s="537">
        <v>80</v>
      </c>
      <c r="H4" s="418">
        <v>120</v>
      </c>
      <c r="I4" s="542">
        <v>119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683">
        <v>119</v>
      </c>
      <c r="W4" s="683">
        <v>51</v>
      </c>
      <c r="X4" s="683"/>
      <c r="Y4" s="683"/>
      <c r="Z4" s="683"/>
      <c r="AA4" s="683"/>
      <c r="AB4" s="684">
        <v>120</v>
      </c>
      <c r="AC4" s="538">
        <v>120</v>
      </c>
      <c r="AD4" s="538">
        <v>120</v>
      </c>
      <c r="AE4" s="539">
        <v>120</v>
      </c>
      <c r="AF4" s="731">
        <v>120</v>
      </c>
      <c r="AG4" s="680"/>
      <c r="AH4" s="680"/>
      <c r="AI4" s="680"/>
      <c r="AJ4" s="542"/>
      <c r="AK4" s="536">
        <f t="shared" si="0"/>
        <v>2299</v>
      </c>
      <c r="AL4" s="421">
        <v>2833</v>
      </c>
      <c r="AM4" s="422"/>
      <c r="AN4" s="422"/>
      <c r="AO4" s="422"/>
      <c r="AP4" s="422"/>
      <c r="AQ4" s="411"/>
    </row>
    <row r="5" spans="1:43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540">
        <v>50</v>
      </c>
      <c r="H5" s="626">
        <v>50</v>
      </c>
      <c r="I5" s="541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683">
        <v>0</v>
      </c>
      <c r="W5" s="683">
        <v>0</v>
      </c>
      <c r="X5" s="683"/>
      <c r="Y5" s="683"/>
      <c r="Z5" s="683"/>
      <c r="AA5" s="683"/>
      <c r="AB5" s="684">
        <v>50</v>
      </c>
      <c r="AC5" s="538">
        <v>50</v>
      </c>
      <c r="AD5" s="538">
        <v>50</v>
      </c>
      <c r="AE5" s="539">
        <v>50</v>
      </c>
      <c r="AF5" s="732">
        <v>50</v>
      </c>
      <c r="AG5" s="985"/>
      <c r="AH5" s="985"/>
      <c r="AI5" s="680"/>
      <c r="AJ5" s="542"/>
      <c r="AK5" s="536">
        <f t="shared" si="0"/>
        <v>1000</v>
      </c>
      <c r="AL5" s="421">
        <v>1000</v>
      </c>
      <c r="AM5" s="410"/>
      <c r="AN5" s="410"/>
      <c r="AO5" s="410"/>
      <c r="AP5" s="411"/>
      <c r="AQ5" s="411"/>
    </row>
    <row r="6" spans="1:43" ht="23.25" customHeight="1" x14ac:dyDescent="0.3">
      <c r="A6" s="1254"/>
      <c r="B6" s="428" t="s">
        <v>406</v>
      </c>
      <c r="C6" s="1295"/>
      <c r="D6" s="1201"/>
      <c r="E6" s="1201"/>
      <c r="F6" s="1240"/>
      <c r="G6" s="540">
        <v>0</v>
      </c>
      <c r="H6" s="986">
        <v>0</v>
      </c>
      <c r="I6" s="987">
        <v>0</v>
      </c>
      <c r="J6" s="544">
        <v>4</v>
      </c>
      <c r="K6" s="544">
        <v>5</v>
      </c>
      <c r="L6" s="544">
        <v>0</v>
      </c>
      <c r="M6" s="545">
        <v>2</v>
      </c>
      <c r="N6" s="545">
        <v>0</v>
      </c>
      <c r="O6" s="545">
        <v>2</v>
      </c>
      <c r="P6" s="546">
        <v>0</v>
      </c>
      <c r="Q6" s="545">
        <v>3</v>
      </c>
      <c r="R6" s="545">
        <v>3</v>
      </c>
      <c r="S6" s="548">
        <v>0</v>
      </c>
      <c r="T6" s="685">
        <v>6</v>
      </c>
      <c r="U6" s="434">
        <v>0</v>
      </c>
      <c r="V6" s="683">
        <v>3</v>
      </c>
      <c r="W6" s="988">
        <v>0</v>
      </c>
      <c r="X6" s="988">
        <v>1</v>
      </c>
      <c r="Y6" s="989">
        <v>10</v>
      </c>
      <c r="Z6" s="988">
        <v>7</v>
      </c>
      <c r="AA6" s="683">
        <v>15</v>
      </c>
      <c r="AB6" s="684">
        <v>0</v>
      </c>
      <c r="AC6" s="538">
        <v>1</v>
      </c>
      <c r="AD6" s="538">
        <v>0</v>
      </c>
      <c r="AE6" s="563">
        <v>0</v>
      </c>
      <c r="AF6" s="733">
        <v>12</v>
      </c>
      <c r="AG6" s="990">
        <v>1</v>
      </c>
      <c r="AH6" s="991">
        <v>12</v>
      </c>
      <c r="AI6" s="990">
        <v>5</v>
      </c>
      <c r="AJ6" s="992">
        <v>1</v>
      </c>
      <c r="AK6" s="536">
        <f t="shared" si="0"/>
        <v>93</v>
      </c>
      <c r="AL6" s="421">
        <v>93</v>
      </c>
      <c r="AM6" s="410"/>
      <c r="AN6" s="410"/>
      <c r="AO6" s="410"/>
      <c r="AP6" s="411"/>
      <c r="AQ6" s="411"/>
    </row>
    <row r="7" spans="1:43" ht="21.75" customHeight="1" x14ac:dyDescent="0.3">
      <c r="A7" s="1254"/>
      <c r="B7" s="428" t="s">
        <v>407</v>
      </c>
      <c r="C7" s="1295"/>
      <c r="D7" s="1201"/>
      <c r="E7" s="1201"/>
      <c r="F7" s="1240"/>
      <c r="G7" s="551">
        <v>0</v>
      </c>
      <c r="H7" s="993">
        <v>0</v>
      </c>
      <c r="I7" s="915">
        <v>0</v>
      </c>
      <c r="J7" s="828">
        <v>0</v>
      </c>
      <c r="K7" s="734">
        <v>2</v>
      </c>
      <c r="L7" s="552">
        <v>0</v>
      </c>
      <c r="M7" s="552">
        <v>2</v>
      </c>
      <c r="N7" s="552">
        <v>0</v>
      </c>
      <c r="O7" s="769">
        <v>2</v>
      </c>
      <c r="P7" s="553">
        <v>0</v>
      </c>
      <c r="Q7" s="769">
        <v>3</v>
      </c>
      <c r="R7" s="829">
        <v>4</v>
      </c>
      <c r="S7" s="554">
        <v>0</v>
      </c>
      <c r="T7" s="555">
        <v>0</v>
      </c>
      <c r="U7" s="441">
        <v>0</v>
      </c>
      <c r="V7" s="687">
        <v>1</v>
      </c>
      <c r="W7" s="994">
        <v>1</v>
      </c>
      <c r="X7" s="995">
        <v>2</v>
      </c>
      <c r="Y7" s="996">
        <v>10</v>
      </c>
      <c r="Z7" s="995">
        <v>8</v>
      </c>
      <c r="AA7" s="687">
        <v>0</v>
      </c>
      <c r="AB7" s="688">
        <v>0</v>
      </c>
      <c r="AC7" s="556">
        <v>0</v>
      </c>
      <c r="AD7" s="538">
        <v>0</v>
      </c>
      <c r="AE7" s="585">
        <v>0</v>
      </c>
      <c r="AF7" s="735">
        <v>7</v>
      </c>
      <c r="AG7" s="997">
        <v>0</v>
      </c>
      <c r="AH7" s="997">
        <v>0</v>
      </c>
      <c r="AI7" s="998">
        <v>4</v>
      </c>
      <c r="AJ7" s="999">
        <v>0</v>
      </c>
      <c r="AK7" s="689">
        <f t="shared" si="0"/>
        <v>46</v>
      </c>
      <c r="AL7" s="421">
        <v>46</v>
      </c>
      <c r="AM7" s="410"/>
      <c r="AN7" s="410"/>
      <c r="AO7" s="410"/>
      <c r="AP7" s="411"/>
      <c r="AQ7" s="411"/>
    </row>
    <row r="8" spans="1:43" ht="26.25" customHeight="1" x14ac:dyDescent="0.3">
      <c r="A8" s="1254"/>
      <c r="B8" s="428" t="s">
        <v>408</v>
      </c>
      <c r="C8" s="1295"/>
      <c r="D8" s="1201"/>
      <c r="E8" s="1201"/>
      <c r="F8" s="1240"/>
      <c r="G8" s="540">
        <v>11</v>
      </c>
      <c r="H8" s="993">
        <v>18</v>
      </c>
      <c r="I8" s="915">
        <v>17</v>
      </c>
      <c r="J8" s="544">
        <v>10</v>
      </c>
      <c r="K8" s="544">
        <v>15</v>
      </c>
      <c r="L8" s="626">
        <v>16</v>
      </c>
      <c r="M8" s="626">
        <v>27</v>
      </c>
      <c r="N8" s="736">
        <v>18</v>
      </c>
      <c r="O8" s="545">
        <v>18</v>
      </c>
      <c r="P8" s="542">
        <v>20</v>
      </c>
      <c r="Q8" s="545">
        <v>18</v>
      </c>
      <c r="R8" s="545">
        <v>34</v>
      </c>
      <c r="S8" s="546">
        <v>14</v>
      </c>
      <c r="T8" s="562">
        <v>15</v>
      </c>
      <c r="U8" s="419">
        <v>0</v>
      </c>
      <c r="V8" s="683">
        <v>23</v>
      </c>
      <c r="W8" s="995">
        <v>18</v>
      </c>
      <c r="X8" s="995">
        <v>14</v>
      </c>
      <c r="Y8" s="996">
        <v>15</v>
      </c>
      <c r="Z8" s="995">
        <v>24</v>
      </c>
      <c r="AA8" s="683">
        <v>19</v>
      </c>
      <c r="AB8" s="684">
        <v>20</v>
      </c>
      <c r="AC8" s="538">
        <v>19</v>
      </c>
      <c r="AD8" s="538">
        <v>20</v>
      </c>
      <c r="AE8" s="563">
        <v>17</v>
      </c>
      <c r="AF8" s="737">
        <v>12</v>
      </c>
      <c r="AG8" s="997">
        <v>31</v>
      </c>
      <c r="AH8" s="998">
        <v>23</v>
      </c>
      <c r="AI8" s="998">
        <v>31</v>
      </c>
      <c r="AJ8" s="999">
        <v>10</v>
      </c>
      <c r="AK8" s="536">
        <f t="shared" si="0"/>
        <v>547</v>
      </c>
      <c r="AL8" s="421">
        <v>547</v>
      </c>
      <c r="AM8" s="410"/>
      <c r="AN8" s="410"/>
      <c r="AO8" s="410"/>
      <c r="AP8" s="411"/>
      <c r="AQ8" s="411"/>
    </row>
    <row r="9" spans="1:43" ht="21.75" customHeight="1" x14ac:dyDescent="0.3">
      <c r="A9" s="1254"/>
      <c r="B9" s="428" t="s">
        <v>409</v>
      </c>
      <c r="C9" s="1295"/>
      <c r="D9" s="1201"/>
      <c r="E9" s="1201"/>
      <c r="F9" s="1240"/>
      <c r="G9" s="540">
        <v>11</v>
      </c>
      <c r="H9" s="993">
        <v>12</v>
      </c>
      <c r="I9" s="915">
        <v>9</v>
      </c>
      <c r="J9" s="544">
        <v>28</v>
      </c>
      <c r="K9" s="544">
        <v>6</v>
      </c>
      <c r="L9" s="626">
        <v>14</v>
      </c>
      <c r="M9" s="626">
        <v>5</v>
      </c>
      <c r="N9" s="736">
        <v>12</v>
      </c>
      <c r="O9" s="545">
        <v>12</v>
      </c>
      <c r="P9" s="542">
        <v>10</v>
      </c>
      <c r="Q9" s="545">
        <v>12</v>
      </c>
      <c r="R9" s="545">
        <v>30</v>
      </c>
      <c r="S9" s="546">
        <v>5</v>
      </c>
      <c r="T9" s="562">
        <v>14</v>
      </c>
      <c r="U9" s="419">
        <v>0</v>
      </c>
      <c r="V9" s="683">
        <v>6</v>
      </c>
      <c r="W9" s="995">
        <v>9</v>
      </c>
      <c r="X9" s="995">
        <v>6</v>
      </c>
      <c r="Y9" s="996">
        <v>15</v>
      </c>
      <c r="Z9" s="995">
        <v>23</v>
      </c>
      <c r="AA9" s="738">
        <v>11</v>
      </c>
      <c r="AB9" s="684">
        <v>10</v>
      </c>
      <c r="AC9" s="538">
        <v>11</v>
      </c>
      <c r="AD9" s="538">
        <v>10</v>
      </c>
      <c r="AE9" s="563">
        <v>13</v>
      </c>
      <c r="AF9" s="737">
        <v>6</v>
      </c>
      <c r="AG9" s="997">
        <v>23</v>
      </c>
      <c r="AH9" s="998">
        <v>23</v>
      </c>
      <c r="AI9" s="998">
        <v>12</v>
      </c>
      <c r="AJ9" s="999">
        <v>3</v>
      </c>
      <c r="AK9" s="536">
        <f t="shared" si="0"/>
        <v>361</v>
      </c>
      <c r="AL9" s="421">
        <v>361</v>
      </c>
      <c r="AM9" s="410"/>
      <c r="AN9" s="410"/>
      <c r="AO9" s="410"/>
      <c r="AP9" s="411"/>
      <c r="AQ9" s="411"/>
    </row>
    <row r="10" spans="1:43" ht="35.25" customHeight="1" x14ac:dyDescent="0.3">
      <c r="A10" s="1255"/>
      <c r="B10" s="834" t="s">
        <v>410</v>
      </c>
      <c r="C10" s="1295"/>
      <c r="D10" s="1201"/>
      <c r="E10" s="1201"/>
      <c r="F10" s="1240"/>
      <c r="G10" s="443">
        <f>SUM(G8+G9)</f>
        <v>22</v>
      </c>
      <c r="H10" s="1000">
        <v>30</v>
      </c>
      <c r="I10" s="1001">
        <v>26</v>
      </c>
      <c r="J10" s="443">
        <f t="shared" ref="J10:V10" si="1">SUM(J8+J9)</f>
        <v>38</v>
      </c>
      <c r="K10" s="443">
        <f t="shared" si="1"/>
        <v>21</v>
      </c>
      <c r="L10" s="443">
        <f t="shared" si="1"/>
        <v>30</v>
      </c>
      <c r="M10" s="443">
        <f t="shared" si="1"/>
        <v>32</v>
      </c>
      <c r="N10" s="443">
        <f t="shared" si="1"/>
        <v>30</v>
      </c>
      <c r="O10" s="443">
        <f t="shared" si="1"/>
        <v>30</v>
      </c>
      <c r="P10" s="443">
        <f t="shared" si="1"/>
        <v>30</v>
      </c>
      <c r="Q10" s="443">
        <f t="shared" si="1"/>
        <v>30</v>
      </c>
      <c r="R10" s="739">
        <f t="shared" si="1"/>
        <v>64</v>
      </c>
      <c r="S10" s="443">
        <f t="shared" si="1"/>
        <v>19</v>
      </c>
      <c r="T10" s="443">
        <f t="shared" si="1"/>
        <v>29</v>
      </c>
      <c r="U10" s="443">
        <f t="shared" si="1"/>
        <v>0</v>
      </c>
      <c r="V10" s="443">
        <f t="shared" si="1"/>
        <v>29</v>
      </c>
      <c r="W10" s="1000">
        <v>27</v>
      </c>
      <c r="X10" s="1002">
        <v>20</v>
      </c>
      <c r="Y10" s="1002">
        <v>30</v>
      </c>
      <c r="Z10" s="1003">
        <v>47</v>
      </c>
      <c r="AA10" s="740">
        <f t="shared" ref="AA10:AF10" si="2">SUM(AA8+AA9)</f>
        <v>30</v>
      </c>
      <c r="AB10" s="691">
        <f t="shared" si="2"/>
        <v>30</v>
      </c>
      <c r="AC10" s="566">
        <f t="shared" si="2"/>
        <v>30</v>
      </c>
      <c r="AD10" s="566">
        <f t="shared" si="2"/>
        <v>30</v>
      </c>
      <c r="AE10" s="567">
        <f t="shared" si="2"/>
        <v>30</v>
      </c>
      <c r="AF10" s="567">
        <f t="shared" si="2"/>
        <v>18</v>
      </c>
      <c r="AG10" s="1004">
        <v>54</v>
      </c>
      <c r="AH10" s="1005">
        <v>46</v>
      </c>
      <c r="AI10" s="1005">
        <v>43</v>
      </c>
      <c r="AJ10" s="1006">
        <v>13</v>
      </c>
      <c r="AK10" s="841">
        <f t="shared" si="0"/>
        <v>908</v>
      </c>
      <c r="AL10" s="421">
        <v>908</v>
      </c>
      <c r="AM10" s="410"/>
      <c r="AN10" s="410"/>
      <c r="AO10" s="410"/>
      <c r="AP10" s="411"/>
      <c r="AQ10" s="411"/>
    </row>
    <row r="11" spans="1:43" ht="28.5" customHeight="1" x14ac:dyDescent="0.3">
      <c r="A11" s="1326" t="s">
        <v>461</v>
      </c>
      <c r="B11" s="692" t="s">
        <v>462</v>
      </c>
      <c r="C11" s="1295"/>
      <c r="D11" s="1201"/>
      <c r="E11" s="1201"/>
      <c r="F11" s="1240"/>
      <c r="G11" s="424"/>
      <c r="H11" s="1007"/>
      <c r="I11" s="1007"/>
      <c r="J11" s="570"/>
      <c r="K11" s="425"/>
      <c r="L11" s="454"/>
      <c r="M11" s="454"/>
      <c r="N11" s="541"/>
      <c r="O11" s="454"/>
      <c r="P11" s="418"/>
      <c r="Q11" s="425"/>
      <c r="R11" s="546"/>
      <c r="S11" s="418"/>
      <c r="T11" s="418"/>
      <c r="U11" s="455"/>
      <c r="V11" s="684">
        <v>406</v>
      </c>
      <c r="W11" s="759"/>
      <c r="X11" s="995">
        <v>330</v>
      </c>
      <c r="Y11" s="996">
        <v>232</v>
      </c>
      <c r="Z11" s="759"/>
      <c r="AA11" s="773">
        <v>335</v>
      </c>
      <c r="AB11" s="634"/>
      <c r="AC11" s="549"/>
      <c r="AD11" s="549"/>
      <c r="AE11" s="532"/>
      <c r="AF11" s="742"/>
      <c r="AG11" s="995">
        <v>0</v>
      </c>
      <c r="AH11" s="759"/>
      <c r="AI11" s="759"/>
      <c r="AJ11" s="755"/>
      <c r="AK11" s="536">
        <f t="shared" si="0"/>
        <v>1303</v>
      </c>
      <c r="AL11" s="421">
        <v>1303</v>
      </c>
      <c r="AM11" s="410"/>
      <c r="AN11" s="410"/>
      <c r="AO11" s="410"/>
      <c r="AP11" s="411"/>
      <c r="AQ11" s="411"/>
    </row>
    <row r="12" spans="1:43" ht="24" customHeight="1" x14ac:dyDescent="0.3">
      <c r="A12" s="1317"/>
      <c r="B12" s="694" t="s">
        <v>463</v>
      </c>
      <c r="C12" s="1295"/>
      <c r="D12" s="1201"/>
      <c r="E12" s="1201"/>
      <c r="F12" s="1240"/>
      <c r="G12" s="654"/>
      <c r="H12" s="1008"/>
      <c r="I12" s="1008"/>
      <c r="J12" s="655"/>
      <c r="K12" s="655"/>
      <c r="L12" s="655"/>
      <c r="M12" s="655"/>
      <c r="N12" s="657"/>
      <c r="O12" s="655"/>
      <c r="P12" s="658"/>
      <c r="Q12" s="655"/>
      <c r="R12" s="658"/>
      <c r="S12" s="658"/>
      <c r="T12" s="658"/>
      <c r="U12" s="659"/>
      <c r="V12" s="684">
        <v>73</v>
      </c>
      <c r="W12" s="1009"/>
      <c r="X12" s="1010">
        <v>16</v>
      </c>
      <c r="Y12" s="1011">
        <v>13</v>
      </c>
      <c r="Z12" s="1010">
        <v>2</v>
      </c>
      <c r="AA12" s="684">
        <v>86</v>
      </c>
      <c r="AB12" s="634"/>
      <c r="AC12" s="549"/>
      <c r="AD12" s="549"/>
      <c r="AE12" s="532"/>
      <c r="AF12" s="742"/>
      <c r="AG12" s="1010">
        <v>0</v>
      </c>
      <c r="AH12" s="1009"/>
      <c r="AI12" s="1010">
        <v>5</v>
      </c>
      <c r="AJ12" s="1012"/>
      <c r="AK12" s="536">
        <f t="shared" si="0"/>
        <v>195</v>
      </c>
      <c r="AL12" s="421">
        <v>195</v>
      </c>
      <c r="AM12" s="410"/>
      <c r="AN12" s="410"/>
      <c r="AO12" s="410"/>
      <c r="AP12" s="411"/>
      <c r="AQ12" s="411"/>
    </row>
    <row r="13" spans="1:43" ht="21.75" customHeight="1" x14ac:dyDescent="0.3">
      <c r="A13" s="1313" t="s">
        <v>411</v>
      </c>
      <c r="B13" s="453" t="s">
        <v>405</v>
      </c>
      <c r="C13" s="1295"/>
      <c r="D13" s="1201"/>
      <c r="E13" s="1201"/>
      <c r="F13" s="1240"/>
      <c r="G13" s="424"/>
      <c r="H13" s="1013"/>
      <c r="I13" s="1007"/>
      <c r="J13" s="425"/>
      <c r="K13" s="425"/>
      <c r="L13" s="425"/>
      <c r="M13" s="425"/>
      <c r="N13" s="425"/>
      <c r="O13" s="425"/>
      <c r="P13" s="17"/>
      <c r="Q13" s="541"/>
      <c r="R13" s="17"/>
      <c r="S13" s="17"/>
      <c r="T13" s="17"/>
      <c r="U13" s="455"/>
      <c r="V13" s="634"/>
      <c r="W13" s="754"/>
      <c r="X13" s="754"/>
      <c r="Y13" s="754"/>
      <c r="Z13" s="754"/>
      <c r="AA13" s="634"/>
      <c r="AB13" s="634"/>
      <c r="AC13" s="549"/>
      <c r="AD13" s="549"/>
      <c r="AE13" s="532"/>
      <c r="AF13" s="743"/>
      <c r="AG13" s="754"/>
      <c r="AH13" s="754"/>
      <c r="AI13" s="754"/>
      <c r="AJ13" s="755"/>
      <c r="AK13" s="536">
        <f t="shared" si="0"/>
        <v>0</v>
      </c>
      <c r="AL13" s="421">
        <v>0</v>
      </c>
      <c r="AM13" s="410"/>
      <c r="AN13" s="410"/>
      <c r="AO13" s="410"/>
      <c r="AP13" s="411"/>
      <c r="AQ13" s="411"/>
    </row>
    <row r="14" spans="1:43" ht="21.75" customHeight="1" x14ac:dyDescent="0.3">
      <c r="A14" s="1170"/>
      <c r="B14" s="578" t="s">
        <v>412</v>
      </c>
      <c r="C14" s="1295"/>
      <c r="D14" s="1201"/>
      <c r="E14" s="1201"/>
      <c r="F14" s="1240"/>
      <c r="G14" s="540"/>
      <c r="H14" s="1013"/>
      <c r="I14" s="1014">
        <v>0</v>
      </c>
      <c r="J14" s="425">
        <v>0</v>
      </c>
      <c r="K14" s="541">
        <v>37</v>
      </c>
      <c r="L14" s="425">
        <v>0</v>
      </c>
      <c r="M14" s="425">
        <v>0</v>
      </c>
      <c r="N14" s="541">
        <v>2</v>
      </c>
      <c r="O14" s="541">
        <v>0</v>
      </c>
      <c r="P14" s="542">
        <v>0</v>
      </c>
      <c r="Q14" s="542">
        <v>15</v>
      </c>
      <c r="R14" s="542">
        <v>0</v>
      </c>
      <c r="S14" s="542">
        <v>0</v>
      </c>
      <c r="T14" s="542">
        <v>12</v>
      </c>
      <c r="U14" s="419">
        <v>0</v>
      </c>
      <c r="V14" s="684">
        <v>16</v>
      </c>
      <c r="W14" s="995">
        <v>2</v>
      </c>
      <c r="X14" s="995">
        <v>16</v>
      </c>
      <c r="Y14" s="996">
        <v>22</v>
      </c>
      <c r="Z14" s="995">
        <v>1</v>
      </c>
      <c r="AA14" s="684">
        <v>86</v>
      </c>
      <c r="AB14" s="634"/>
      <c r="AC14" s="538">
        <v>0</v>
      </c>
      <c r="AD14" s="538">
        <v>36</v>
      </c>
      <c r="AE14" s="532"/>
      <c r="AF14" s="744">
        <v>0</v>
      </c>
      <c r="AG14" s="995">
        <v>0</v>
      </c>
      <c r="AH14" s="1015">
        <v>0</v>
      </c>
      <c r="AI14" s="995">
        <v>0</v>
      </c>
      <c r="AJ14" s="1016">
        <v>2</v>
      </c>
      <c r="AK14" s="536">
        <f t="shared" si="0"/>
        <v>247</v>
      </c>
      <c r="AL14" s="421">
        <v>247</v>
      </c>
      <c r="AM14" s="410"/>
      <c r="AN14" s="410"/>
      <c r="AO14" s="410"/>
      <c r="AP14" s="411"/>
      <c r="AQ14" s="411"/>
    </row>
    <row r="15" spans="1:43" ht="25.5" customHeight="1" x14ac:dyDescent="0.3">
      <c r="A15" s="1170"/>
      <c r="B15" s="579" t="s">
        <v>407</v>
      </c>
      <c r="C15" s="1295"/>
      <c r="D15" s="1201"/>
      <c r="E15" s="1201"/>
      <c r="F15" s="1240"/>
      <c r="G15" s="425"/>
      <c r="H15" s="1017">
        <v>0</v>
      </c>
      <c r="I15" s="1014">
        <v>0</v>
      </c>
      <c r="J15" s="580">
        <v>0</v>
      </c>
      <c r="K15" s="581">
        <v>2</v>
      </c>
      <c r="L15" s="580">
        <v>0</v>
      </c>
      <c r="M15" s="580">
        <v>0</v>
      </c>
      <c r="N15" s="695">
        <v>1</v>
      </c>
      <c r="O15" s="580">
        <v>0</v>
      </c>
      <c r="P15" s="581">
        <v>0</v>
      </c>
      <c r="Q15" s="581">
        <v>15</v>
      </c>
      <c r="R15" s="581">
        <v>0</v>
      </c>
      <c r="S15" s="581">
        <v>0</v>
      </c>
      <c r="T15" s="581">
        <v>11</v>
      </c>
      <c r="U15" s="583">
        <v>0</v>
      </c>
      <c r="V15" s="556">
        <v>0</v>
      </c>
      <c r="W15" s="995">
        <v>0</v>
      </c>
      <c r="X15" s="995">
        <v>0</v>
      </c>
      <c r="Y15" s="996">
        <v>22</v>
      </c>
      <c r="Z15" s="995">
        <v>0</v>
      </c>
      <c r="AA15" s="684">
        <v>0</v>
      </c>
      <c r="AB15" s="696"/>
      <c r="AC15" s="556">
        <v>0</v>
      </c>
      <c r="AD15" s="556">
        <v>0</v>
      </c>
      <c r="AE15" s="585">
        <v>0</v>
      </c>
      <c r="AF15" s="745">
        <v>2</v>
      </c>
      <c r="AG15" s="995">
        <v>0</v>
      </c>
      <c r="AH15" s="1015">
        <v>4</v>
      </c>
      <c r="AI15" s="1015">
        <v>5</v>
      </c>
      <c r="AJ15" s="1016">
        <v>0</v>
      </c>
      <c r="AK15" s="689">
        <f t="shared" si="0"/>
        <v>62</v>
      </c>
      <c r="AL15" s="421">
        <v>62</v>
      </c>
      <c r="AM15" s="410"/>
      <c r="AN15" s="410"/>
      <c r="AO15" s="410"/>
      <c r="AP15" s="411"/>
      <c r="AQ15" s="411"/>
    </row>
    <row r="16" spans="1:43" ht="24" customHeight="1" x14ac:dyDescent="0.3">
      <c r="A16" s="1170"/>
      <c r="B16" s="579" t="s">
        <v>408</v>
      </c>
      <c r="C16" s="1295"/>
      <c r="D16" s="1201"/>
      <c r="E16" s="1201"/>
      <c r="F16" s="1240"/>
      <c r="G16" s="542">
        <v>13</v>
      </c>
      <c r="H16" s="1017">
        <v>14</v>
      </c>
      <c r="I16" s="1018">
        <v>20</v>
      </c>
      <c r="J16" s="425">
        <v>0</v>
      </c>
      <c r="K16" s="541">
        <v>4</v>
      </c>
      <c r="L16" s="542">
        <v>19</v>
      </c>
      <c r="M16" s="746">
        <v>3</v>
      </c>
      <c r="N16" s="746">
        <v>15</v>
      </c>
      <c r="O16" s="541">
        <v>17</v>
      </c>
      <c r="P16" s="418">
        <v>8</v>
      </c>
      <c r="Q16" s="418">
        <v>39</v>
      </c>
      <c r="R16" s="418">
        <v>0</v>
      </c>
      <c r="S16" s="418">
        <v>1</v>
      </c>
      <c r="T16" s="542">
        <v>29</v>
      </c>
      <c r="U16" s="419">
        <v>0</v>
      </c>
      <c r="V16" s="684">
        <v>28</v>
      </c>
      <c r="W16" s="758">
        <v>8</v>
      </c>
      <c r="X16" s="995">
        <v>14</v>
      </c>
      <c r="Y16" s="1019">
        <v>6</v>
      </c>
      <c r="Z16" s="995">
        <v>15</v>
      </c>
      <c r="AA16" s="684">
        <v>15</v>
      </c>
      <c r="AB16" s="634">
        <v>42</v>
      </c>
      <c r="AC16" s="634">
        <v>5</v>
      </c>
      <c r="AD16" s="634">
        <v>18</v>
      </c>
      <c r="AE16" s="634">
        <v>33</v>
      </c>
      <c r="AF16" s="1020">
        <v>20</v>
      </c>
      <c r="AG16" s="995">
        <v>13</v>
      </c>
      <c r="AH16" s="1015">
        <v>11</v>
      </c>
      <c r="AI16" s="995">
        <v>14</v>
      </c>
      <c r="AJ16" s="1016">
        <v>3</v>
      </c>
      <c r="AK16" s="536">
        <f t="shared" si="0"/>
        <v>427</v>
      </c>
      <c r="AL16" s="421">
        <v>427</v>
      </c>
      <c r="AM16" s="410"/>
      <c r="AN16" s="410"/>
      <c r="AO16" s="410"/>
      <c r="AP16" s="411"/>
      <c r="AQ16" s="411"/>
    </row>
    <row r="17" spans="1:43" ht="25.5" customHeight="1" x14ac:dyDescent="0.3">
      <c r="A17" s="1170"/>
      <c r="B17" s="579" t="s">
        <v>409</v>
      </c>
      <c r="C17" s="1295"/>
      <c r="D17" s="1201"/>
      <c r="E17" s="1201"/>
      <c r="F17" s="1240"/>
      <c r="G17" s="542">
        <v>16</v>
      </c>
      <c r="H17" s="1017">
        <v>19</v>
      </c>
      <c r="I17" s="1018">
        <v>18</v>
      </c>
      <c r="J17" s="425">
        <v>0</v>
      </c>
      <c r="K17" s="425">
        <v>1</v>
      </c>
      <c r="L17" s="542">
        <v>20</v>
      </c>
      <c r="M17" s="747">
        <v>5</v>
      </c>
      <c r="N17" s="746">
        <v>12</v>
      </c>
      <c r="O17" s="541">
        <v>9</v>
      </c>
      <c r="P17" s="418">
        <v>7</v>
      </c>
      <c r="Q17" s="418">
        <v>28</v>
      </c>
      <c r="R17" s="418">
        <v>0</v>
      </c>
      <c r="S17" s="418">
        <v>2</v>
      </c>
      <c r="T17" s="542">
        <v>17</v>
      </c>
      <c r="U17" s="419">
        <v>0</v>
      </c>
      <c r="V17" s="684">
        <v>18</v>
      </c>
      <c r="W17" s="758">
        <v>2</v>
      </c>
      <c r="X17" s="995">
        <v>7</v>
      </c>
      <c r="Y17" s="1019">
        <v>16</v>
      </c>
      <c r="Z17" s="758">
        <v>6</v>
      </c>
      <c r="AA17" s="684">
        <v>15</v>
      </c>
      <c r="AB17" s="634">
        <v>23</v>
      </c>
      <c r="AC17" s="634">
        <v>5</v>
      </c>
      <c r="AD17" s="634">
        <v>16</v>
      </c>
      <c r="AE17" s="634">
        <v>12</v>
      </c>
      <c r="AF17" s="856">
        <v>15</v>
      </c>
      <c r="AG17" s="995">
        <v>6</v>
      </c>
      <c r="AH17" s="1015">
        <v>13</v>
      </c>
      <c r="AI17" s="995">
        <v>15</v>
      </c>
      <c r="AJ17" s="1021">
        <v>3</v>
      </c>
      <c r="AK17" s="536">
        <f t="shared" si="0"/>
        <v>326</v>
      </c>
      <c r="AL17" s="421">
        <v>326</v>
      </c>
      <c r="AM17" s="410"/>
      <c r="AN17" s="410"/>
      <c r="AO17" s="410"/>
      <c r="AP17" s="411"/>
      <c r="AQ17" s="411"/>
    </row>
    <row r="18" spans="1:43" ht="23.25" customHeight="1" x14ac:dyDescent="0.3">
      <c r="A18" s="1170"/>
      <c r="B18" s="579" t="s">
        <v>413</v>
      </c>
      <c r="C18" s="1295"/>
      <c r="D18" s="1201"/>
      <c r="E18" s="1201"/>
      <c r="F18" s="1240"/>
      <c r="G18" s="542">
        <v>13</v>
      </c>
      <c r="H18" s="1017">
        <v>27</v>
      </c>
      <c r="I18" s="1018">
        <v>34</v>
      </c>
      <c r="J18" s="425">
        <v>0</v>
      </c>
      <c r="K18" s="541">
        <v>59</v>
      </c>
      <c r="L18" s="542">
        <v>28</v>
      </c>
      <c r="M18" s="747">
        <v>33</v>
      </c>
      <c r="N18" s="746">
        <v>41</v>
      </c>
      <c r="O18" s="541">
        <v>29</v>
      </c>
      <c r="P18" s="418">
        <v>35</v>
      </c>
      <c r="Q18" s="418">
        <v>11</v>
      </c>
      <c r="R18" s="418">
        <v>0</v>
      </c>
      <c r="S18" s="418">
        <v>33</v>
      </c>
      <c r="T18" s="542">
        <v>25</v>
      </c>
      <c r="U18" s="419">
        <v>0</v>
      </c>
      <c r="V18" s="684">
        <v>26</v>
      </c>
      <c r="W18" s="758">
        <v>7</v>
      </c>
      <c r="X18" s="758">
        <v>18</v>
      </c>
      <c r="Y18" s="1019">
        <v>25</v>
      </c>
      <c r="Z18" s="758">
        <v>42</v>
      </c>
      <c r="AA18" s="684">
        <v>42</v>
      </c>
      <c r="AB18" s="634">
        <v>15</v>
      </c>
      <c r="AC18" s="634">
        <v>44</v>
      </c>
      <c r="AD18" s="634">
        <v>15</v>
      </c>
      <c r="AE18" s="634">
        <v>22</v>
      </c>
      <c r="AF18" s="856">
        <v>13</v>
      </c>
      <c r="AG18" s="995">
        <v>4</v>
      </c>
      <c r="AH18" s="995">
        <v>6</v>
      </c>
      <c r="AI18" s="995">
        <v>0</v>
      </c>
      <c r="AJ18" s="1016">
        <v>3</v>
      </c>
      <c r="AK18" s="536">
        <f t="shared" si="0"/>
        <v>650</v>
      </c>
      <c r="AL18" s="421">
        <v>650</v>
      </c>
      <c r="AM18" s="410"/>
      <c r="AN18" s="410"/>
      <c r="AO18" s="410"/>
      <c r="AP18" s="411"/>
      <c r="AQ18" s="411"/>
    </row>
    <row r="19" spans="1:43" ht="21" customHeight="1" x14ac:dyDescent="0.3">
      <c r="A19" s="1170"/>
      <c r="B19" s="579" t="s">
        <v>414</v>
      </c>
      <c r="C19" s="1295"/>
      <c r="D19" s="1201"/>
      <c r="E19" s="1201"/>
      <c r="F19" s="1240"/>
      <c r="G19" s="542">
        <v>41</v>
      </c>
      <c r="H19" s="1017">
        <v>30</v>
      </c>
      <c r="I19" s="1018">
        <v>21</v>
      </c>
      <c r="J19" s="425">
        <v>0</v>
      </c>
      <c r="K19" s="541">
        <v>67</v>
      </c>
      <c r="L19" s="542">
        <v>23</v>
      </c>
      <c r="M19" s="747">
        <v>49</v>
      </c>
      <c r="N19" s="746">
        <v>22</v>
      </c>
      <c r="O19" s="541">
        <v>35</v>
      </c>
      <c r="P19" s="418">
        <v>40</v>
      </c>
      <c r="Q19" s="418">
        <v>12</v>
      </c>
      <c r="R19" s="418">
        <v>0</v>
      </c>
      <c r="S19" s="418">
        <v>24</v>
      </c>
      <c r="T19" s="542">
        <v>19</v>
      </c>
      <c r="U19" s="419">
        <v>0</v>
      </c>
      <c r="V19" s="684">
        <v>18</v>
      </c>
      <c r="W19" s="758">
        <v>7</v>
      </c>
      <c r="X19" s="995">
        <v>41</v>
      </c>
      <c r="Y19" s="996">
        <v>43</v>
      </c>
      <c r="Z19" s="758">
        <v>27</v>
      </c>
      <c r="AA19" s="684">
        <v>45</v>
      </c>
      <c r="AB19" s="634">
        <v>10</v>
      </c>
      <c r="AC19" s="634">
        <v>36</v>
      </c>
      <c r="AD19" s="634">
        <v>41</v>
      </c>
      <c r="AE19" s="634">
        <v>23</v>
      </c>
      <c r="AF19" s="856">
        <v>12</v>
      </c>
      <c r="AG19" s="995">
        <v>18</v>
      </c>
      <c r="AH19" s="995">
        <v>13</v>
      </c>
      <c r="AI19" s="995">
        <v>9</v>
      </c>
      <c r="AJ19" s="1016">
        <v>5</v>
      </c>
      <c r="AK19" s="536">
        <f t="shared" si="0"/>
        <v>731</v>
      </c>
      <c r="AL19" s="421">
        <v>731</v>
      </c>
      <c r="AM19" s="410"/>
      <c r="AN19" s="410"/>
      <c r="AO19" s="410"/>
      <c r="AP19" s="411"/>
      <c r="AQ19" s="411"/>
    </row>
    <row r="20" spans="1:43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f>SUM(G16:G19)</f>
        <v>83</v>
      </c>
      <c r="H20" s="1022">
        <v>90</v>
      </c>
      <c r="I20" s="1023">
        <v>93</v>
      </c>
      <c r="J20" s="590">
        <f t="shared" ref="J20:V20" si="3">SUM(J16:J19)</f>
        <v>0</v>
      </c>
      <c r="K20" s="590">
        <f t="shared" si="3"/>
        <v>131</v>
      </c>
      <c r="L20" s="590">
        <f t="shared" si="3"/>
        <v>90</v>
      </c>
      <c r="M20" s="590">
        <f t="shared" si="3"/>
        <v>90</v>
      </c>
      <c r="N20" s="590">
        <f t="shared" si="3"/>
        <v>90</v>
      </c>
      <c r="O20" s="590">
        <f t="shared" si="3"/>
        <v>90</v>
      </c>
      <c r="P20" s="590">
        <f t="shared" si="3"/>
        <v>90</v>
      </c>
      <c r="Q20" s="590">
        <f t="shared" si="3"/>
        <v>90</v>
      </c>
      <c r="R20" s="590">
        <f t="shared" si="3"/>
        <v>0</v>
      </c>
      <c r="S20" s="590">
        <f t="shared" si="3"/>
        <v>60</v>
      </c>
      <c r="T20" s="590">
        <f t="shared" si="3"/>
        <v>90</v>
      </c>
      <c r="U20" s="590">
        <f t="shared" si="3"/>
        <v>0</v>
      </c>
      <c r="V20" s="590">
        <f t="shared" si="3"/>
        <v>90</v>
      </c>
      <c r="W20" s="1024">
        <v>24</v>
      </c>
      <c r="X20" s="1024">
        <v>80</v>
      </c>
      <c r="Y20" s="1025">
        <f>Y19+Y18+Y17+Y16</f>
        <v>90</v>
      </c>
      <c r="Z20" s="1024">
        <v>90</v>
      </c>
      <c r="AA20" s="590">
        <v>117</v>
      </c>
      <c r="AB20" s="590">
        <f t="shared" ref="AB20:AE20" si="4">SUM(AB16:AB19)</f>
        <v>90</v>
      </c>
      <c r="AC20" s="590">
        <f t="shared" si="4"/>
        <v>90</v>
      </c>
      <c r="AD20" s="666">
        <f t="shared" si="4"/>
        <v>90</v>
      </c>
      <c r="AE20" s="666">
        <f t="shared" si="4"/>
        <v>90</v>
      </c>
      <c r="AF20" s="666">
        <f>SUM(AF16+AF17+AF18+AF19)</f>
        <v>60</v>
      </c>
      <c r="AG20" s="1026">
        <v>41</v>
      </c>
      <c r="AH20" s="1027">
        <v>43</v>
      </c>
      <c r="AI20" s="1027">
        <v>36</v>
      </c>
      <c r="AJ20" s="1028">
        <v>14</v>
      </c>
      <c r="AK20" s="689">
        <f t="shared" si="0"/>
        <v>2132</v>
      </c>
      <c r="AL20" s="421">
        <v>2132</v>
      </c>
      <c r="AM20" s="410"/>
      <c r="AN20" s="410"/>
      <c r="AO20" s="410"/>
      <c r="AP20" s="411"/>
      <c r="AQ20" s="410"/>
    </row>
    <row r="21" spans="1:43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467"/>
      <c r="H21" s="1007"/>
      <c r="I21" s="1007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701"/>
      <c r="W21" s="754"/>
      <c r="X21" s="754"/>
      <c r="Y21" s="1029"/>
      <c r="Z21" s="1030"/>
      <c r="AA21" s="701"/>
      <c r="AB21" s="634"/>
      <c r="AC21" s="549"/>
      <c r="AD21" s="538"/>
      <c r="AE21" s="532"/>
      <c r="AF21" s="593"/>
      <c r="AG21" s="1031">
        <v>0</v>
      </c>
      <c r="AH21" s="1031">
        <v>0</v>
      </c>
      <c r="AI21" s="1031">
        <v>0</v>
      </c>
      <c r="AJ21" s="1032"/>
      <c r="AK21" s="536">
        <f t="shared" si="0"/>
        <v>0</v>
      </c>
      <c r="AL21" s="421">
        <v>0</v>
      </c>
      <c r="AM21" s="410"/>
      <c r="AN21" s="410"/>
      <c r="AO21" s="410"/>
      <c r="AP21" s="411"/>
      <c r="AQ21" s="411"/>
    </row>
    <row r="22" spans="1:43" ht="18.75" customHeight="1" x14ac:dyDescent="0.3">
      <c r="A22" s="1170"/>
      <c r="B22" s="1329"/>
      <c r="C22" s="1257" t="s">
        <v>419</v>
      </c>
      <c r="D22" s="1247"/>
      <c r="E22" s="1247"/>
      <c r="F22" s="1247"/>
      <c r="G22" s="469"/>
      <c r="H22" s="1007"/>
      <c r="I22" s="1007"/>
      <c r="J22" s="470"/>
      <c r="K22" s="470">
        <v>0</v>
      </c>
      <c r="L22" s="425"/>
      <c r="M22" s="425"/>
      <c r="N22" s="425"/>
      <c r="O22" s="425"/>
      <c r="P22" s="425"/>
      <c r="Q22" s="425"/>
      <c r="R22" s="425"/>
      <c r="S22" s="425"/>
      <c r="T22" s="425"/>
      <c r="U22" s="425">
        <v>0</v>
      </c>
      <c r="V22" s="683"/>
      <c r="W22" s="995">
        <v>20</v>
      </c>
      <c r="X22" s="759"/>
      <c r="Y22" s="1033"/>
      <c r="Z22" s="1034"/>
      <c r="AA22" s="683"/>
      <c r="AB22" s="684"/>
      <c r="AC22" s="549"/>
      <c r="AD22" s="549"/>
      <c r="AE22" s="532"/>
      <c r="AF22" s="593"/>
      <c r="AG22" s="1031">
        <v>0</v>
      </c>
      <c r="AH22" s="1031">
        <v>0</v>
      </c>
      <c r="AI22" s="1031">
        <v>0</v>
      </c>
      <c r="AJ22" s="1032"/>
      <c r="AK22" s="536">
        <f t="shared" si="0"/>
        <v>20</v>
      </c>
      <c r="AL22" s="421">
        <v>20</v>
      </c>
      <c r="AM22" s="410"/>
      <c r="AN22" s="410"/>
      <c r="AO22" s="410"/>
      <c r="AP22" s="411"/>
      <c r="AQ22" s="411"/>
    </row>
    <row r="23" spans="1:43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1035">
        <v>150</v>
      </c>
      <c r="I23" s="1036">
        <v>150</v>
      </c>
      <c r="J23" s="596">
        <v>100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600">
        <v>0</v>
      </c>
      <c r="V23" s="702">
        <v>150</v>
      </c>
      <c r="W23" s="1037">
        <v>150</v>
      </c>
      <c r="X23" s="1038"/>
      <c r="Y23" s="1038"/>
      <c r="Z23" s="1039">
        <v>150</v>
      </c>
      <c r="AA23" s="702">
        <v>150</v>
      </c>
      <c r="AB23" s="599">
        <v>150</v>
      </c>
      <c r="AC23" s="599">
        <v>150</v>
      </c>
      <c r="AD23" s="599">
        <v>150</v>
      </c>
      <c r="AE23" s="601">
        <v>150</v>
      </c>
      <c r="AF23" s="602">
        <v>150</v>
      </c>
      <c r="AG23" s="1040">
        <v>150</v>
      </c>
      <c r="AH23" s="1040">
        <v>150</v>
      </c>
      <c r="AI23" s="1040">
        <v>150</v>
      </c>
      <c r="AJ23" s="1041">
        <v>150</v>
      </c>
      <c r="AK23" s="536">
        <f t="shared" si="0"/>
        <v>4100</v>
      </c>
      <c r="AL23" s="421">
        <v>4100</v>
      </c>
      <c r="AM23" s="410"/>
      <c r="AN23" s="410"/>
      <c r="AO23" s="410"/>
      <c r="AP23" s="411"/>
      <c r="AQ23" s="411"/>
    </row>
    <row r="24" spans="1:43" ht="20.25" customHeight="1" x14ac:dyDescent="0.3">
      <c r="A24" s="1171"/>
      <c r="B24" s="1319"/>
      <c r="C24" s="1304" t="s">
        <v>419</v>
      </c>
      <c r="D24" s="1260"/>
      <c r="E24" s="1260"/>
      <c r="F24" s="1260"/>
      <c r="G24" s="603">
        <v>10</v>
      </c>
      <c r="H24" s="1017">
        <v>166</v>
      </c>
      <c r="I24" s="888">
        <v>148</v>
      </c>
      <c r="J24" s="605">
        <v>208</v>
      </c>
      <c r="K24" s="606">
        <v>84</v>
      </c>
      <c r="L24" s="607">
        <v>171</v>
      </c>
      <c r="M24" s="608">
        <v>204</v>
      </c>
      <c r="N24" s="608">
        <v>163</v>
      </c>
      <c r="O24" s="608">
        <v>163</v>
      </c>
      <c r="P24" s="669">
        <v>160</v>
      </c>
      <c r="Q24" s="610">
        <v>93</v>
      </c>
      <c r="R24" s="610">
        <v>256</v>
      </c>
      <c r="S24" s="610">
        <v>90</v>
      </c>
      <c r="T24" s="610">
        <v>136</v>
      </c>
      <c r="U24" s="611">
        <v>0</v>
      </c>
      <c r="V24" s="702">
        <v>155</v>
      </c>
      <c r="W24" s="1026">
        <v>200</v>
      </c>
      <c r="X24" s="1042">
        <v>79</v>
      </c>
      <c r="Y24" s="1043">
        <v>153</v>
      </c>
      <c r="Z24" s="1044">
        <v>180</v>
      </c>
      <c r="AA24" s="702">
        <v>127</v>
      </c>
      <c r="AB24" s="703">
        <v>218</v>
      </c>
      <c r="AC24" s="612">
        <v>83</v>
      </c>
      <c r="AD24" s="612">
        <v>153</v>
      </c>
      <c r="AE24" s="612">
        <v>182</v>
      </c>
      <c r="AF24" s="612">
        <v>102</v>
      </c>
      <c r="AG24" s="1044">
        <f>68+65+70</f>
        <v>203</v>
      </c>
      <c r="AH24" s="1044">
        <f>63+50+50</f>
        <v>163</v>
      </c>
      <c r="AI24" s="1044">
        <f>46+51+40</f>
        <v>137</v>
      </c>
      <c r="AJ24" s="1045">
        <v>86</v>
      </c>
      <c r="AK24" s="705">
        <f t="shared" si="0"/>
        <v>4273</v>
      </c>
      <c r="AL24" s="421">
        <v>4273</v>
      </c>
      <c r="AM24" s="410"/>
      <c r="AN24" s="410"/>
      <c r="AO24" s="410"/>
      <c r="AP24" s="411"/>
      <c r="AQ24" s="411"/>
    </row>
    <row r="25" spans="1:43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541"/>
      <c r="H25" s="1007"/>
      <c r="I25" s="1007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683"/>
      <c r="W25" s="754"/>
      <c r="X25" s="759"/>
      <c r="Y25" s="754"/>
      <c r="Z25" s="754"/>
      <c r="AA25" s="701"/>
      <c r="AB25" s="634"/>
      <c r="AC25" s="549"/>
      <c r="AD25" s="549"/>
      <c r="AE25" s="532"/>
      <c r="AF25" s="593"/>
      <c r="AG25" s="758">
        <v>0</v>
      </c>
      <c r="AH25" s="758">
        <v>0</v>
      </c>
      <c r="AI25" s="758">
        <v>0</v>
      </c>
      <c r="AJ25" s="755"/>
      <c r="AK25" s="536">
        <f t="shared" si="0"/>
        <v>0</v>
      </c>
      <c r="AL25" s="421">
        <v>0</v>
      </c>
      <c r="AM25" s="410"/>
      <c r="AN25" s="410"/>
      <c r="AO25" s="410"/>
      <c r="AP25" s="411"/>
      <c r="AQ25" s="411"/>
    </row>
    <row r="26" spans="1:43" ht="18.75" customHeight="1" x14ac:dyDescent="0.3">
      <c r="A26" s="1273"/>
      <c r="B26" s="1263"/>
      <c r="C26" s="1291" t="s">
        <v>419</v>
      </c>
      <c r="D26" s="1178"/>
      <c r="E26" s="1178"/>
      <c r="F26" s="1179"/>
      <c r="G26" s="541"/>
      <c r="H26" s="1017">
        <v>63</v>
      </c>
      <c r="I26" s="843">
        <v>77</v>
      </c>
      <c r="J26" s="467"/>
      <c r="K26" s="467"/>
      <c r="L26" s="467"/>
      <c r="M26" s="425"/>
      <c r="N26" s="541"/>
      <c r="O26" s="541"/>
      <c r="P26" s="540"/>
      <c r="Q26" s="541"/>
      <c r="R26" s="540"/>
      <c r="S26" s="492"/>
      <c r="T26" s="492"/>
      <c r="U26" s="419">
        <v>0</v>
      </c>
      <c r="V26" s="683">
        <v>30</v>
      </c>
      <c r="W26" s="995">
        <v>6</v>
      </c>
      <c r="X26" s="995">
        <v>80</v>
      </c>
      <c r="Y26" s="996">
        <v>90</v>
      </c>
      <c r="Z26" s="995">
        <v>52</v>
      </c>
      <c r="AA26" s="683"/>
      <c r="AB26" s="634"/>
      <c r="AC26" s="549"/>
      <c r="AD26" s="549"/>
      <c r="AE26" s="532"/>
      <c r="AF26" s="593"/>
      <c r="AG26" s="995">
        <v>0</v>
      </c>
      <c r="AH26" s="758">
        <v>0</v>
      </c>
      <c r="AI26" s="758">
        <v>0</v>
      </c>
      <c r="AJ26" s="1046"/>
      <c r="AK26" s="536">
        <f t="shared" si="0"/>
        <v>398</v>
      </c>
      <c r="AL26" s="421">
        <v>398</v>
      </c>
      <c r="AM26" s="410"/>
      <c r="AN26" s="410"/>
      <c r="AO26" s="410"/>
      <c r="AP26" s="411"/>
      <c r="AQ26" s="411"/>
    </row>
    <row r="27" spans="1:43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541"/>
      <c r="H27" s="1007"/>
      <c r="I27" s="1007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701"/>
      <c r="W27" s="754"/>
      <c r="X27" s="754"/>
      <c r="Y27" s="754"/>
      <c r="Z27" s="754"/>
      <c r="AA27" s="701"/>
      <c r="AB27" s="634"/>
      <c r="AC27" s="549"/>
      <c r="AD27" s="549"/>
      <c r="AE27" s="532"/>
      <c r="AF27" s="593"/>
      <c r="AG27" s="758">
        <v>0</v>
      </c>
      <c r="AH27" s="758">
        <v>0</v>
      </c>
      <c r="AI27" s="758">
        <v>0</v>
      </c>
      <c r="AJ27" s="755"/>
      <c r="AK27" s="536">
        <f t="shared" si="0"/>
        <v>0</v>
      </c>
      <c r="AL27" s="421">
        <v>0</v>
      </c>
      <c r="AM27" s="410"/>
      <c r="AN27" s="410"/>
      <c r="AO27" s="410"/>
      <c r="AP27" s="411"/>
      <c r="AQ27" s="411"/>
    </row>
    <row r="28" spans="1:43" ht="18.75" customHeight="1" x14ac:dyDescent="0.3">
      <c r="A28" s="1273"/>
      <c r="B28" s="1167"/>
      <c r="C28" s="1291" t="s">
        <v>419</v>
      </c>
      <c r="D28" s="1178"/>
      <c r="E28" s="1178"/>
      <c r="F28" s="1179"/>
      <c r="G28" s="541"/>
      <c r="H28" s="1017">
        <v>33</v>
      </c>
      <c r="I28" s="843">
        <v>100</v>
      </c>
      <c r="J28" s="467"/>
      <c r="K28" s="467"/>
      <c r="L28" s="541"/>
      <c r="M28" s="425"/>
      <c r="N28" s="541"/>
      <c r="O28" s="541"/>
      <c r="P28" s="540"/>
      <c r="Q28" s="425"/>
      <c r="R28" s="492"/>
      <c r="S28" s="492"/>
      <c r="T28" s="492"/>
      <c r="U28" s="419"/>
      <c r="V28" s="683">
        <v>60</v>
      </c>
      <c r="W28" s="995">
        <v>16</v>
      </c>
      <c r="X28" s="995">
        <v>60</v>
      </c>
      <c r="Y28" s="996">
        <v>47</v>
      </c>
      <c r="Z28" s="995">
        <v>10</v>
      </c>
      <c r="AA28" s="683"/>
      <c r="AB28" s="634"/>
      <c r="AC28" s="549"/>
      <c r="AD28" s="549"/>
      <c r="AE28" s="532"/>
      <c r="AF28" s="593"/>
      <c r="AG28" s="995">
        <v>0</v>
      </c>
      <c r="AH28" s="758">
        <v>0</v>
      </c>
      <c r="AI28" s="758">
        <v>0</v>
      </c>
      <c r="AJ28" s="1046"/>
      <c r="AK28" s="536">
        <f t="shared" si="0"/>
        <v>326</v>
      </c>
      <c r="AL28" s="421">
        <v>326</v>
      </c>
      <c r="AM28" s="410"/>
      <c r="AN28" s="410"/>
      <c r="AO28" s="410"/>
      <c r="AP28" s="411"/>
      <c r="AQ28" s="411"/>
    </row>
    <row r="29" spans="1:43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541"/>
      <c r="H29" s="1007"/>
      <c r="I29" s="1007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701"/>
      <c r="W29" s="754"/>
      <c r="X29" s="754"/>
      <c r="Y29" s="1019">
        <v>43</v>
      </c>
      <c r="Z29" s="754"/>
      <c r="AA29" s="701"/>
      <c r="AB29" s="634"/>
      <c r="AC29" s="549"/>
      <c r="AD29" s="549"/>
      <c r="AE29" s="532"/>
      <c r="AF29" s="593"/>
      <c r="AG29" s="995"/>
      <c r="AH29" s="758"/>
      <c r="AI29" s="1015">
        <v>0</v>
      </c>
      <c r="AJ29" s="1021"/>
      <c r="AK29" s="536">
        <f t="shared" si="0"/>
        <v>43</v>
      </c>
      <c r="AL29" s="421">
        <v>43</v>
      </c>
      <c r="AM29" s="410"/>
      <c r="AN29" s="410"/>
      <c r="AO29" s="410"/>
      <c r="AP29" s="411"/>
      <c r="AQ29" s="411"/>
    </row>
    <row r="30" spans="1:43" ht="31.5" customHeight="1" x14ac:dyDescent="0.3">
      <c r="A30" s="1273"/>
      <c r="B30" s="1189"/>
      <c r="C30" s="1291" t="s">
        <v>419</v>
      </c>
      <c r="D30" s="1178"/>
      <c r="E30" s="1178"/>
      <c r="F30" s="1179"/>
      <c r="G30" s="541"/>
      <c r="H30" s="1017">
        <v>55</v>
      </c>
      <c r="I30" s="843"/>
      <c r="J30" s="467"/>
      <c r="K30" s="467"/>
      <c r="L30" s="467"/>
      <c r="M30" s="541"/>
      <c r="N30" s="541"/>
      <c r="O30" s="541"/>
      <c r="P30" s="540"/>
      <c r="Q30" s="541"/>
      <c r="R30" s="492"/>
      <c r="S30" s="492"/>
      <c r="T30" s="492"/>
      <c r="U30" s="419"/>
      <c r="V30" s="683">
        <v>50</v>
      </c>
      <c r="W30" s="995">
        <v>13</v>
      </c>
      <c r="X30" s="995">
        <v>2</v>
      </c>
      <c r="Y30" s="759"/>
      <c r="Z30" s="995">
        <v>52</v>
      </c>
      <c r="AA30" s="683"/>
      <c r="AB30" s="634"/>
      <c r="AC30" s="549"/>
      <c r="AD30" s="538"/>
      <c r="AE30" s="532"/>
      <c r="AF30" s="593"/>
      <c r="AG30" s="995">
        <f>30+35+35</f>
        <v>100</v>
      </c>
      <c r="AH30" s="758"/>
      <c r="AI30" s="1015">
        <v>0</v>
      </c>
      <c r="AJ30" s="1016"/>
      <c r="AK30" s="536">
        <f t="shared" si="0"/>
        <v>272</v>
      </c>
      <c r="AL30" s="421">
        <v>272</v>
      </c>
      <c r="AM30" s="410"/>
      <c r="AN30" s="410"/>
      <c r="AO30" s="410"/>
      <c r="AP30" s="411"/>
      <c r="AQ30" s="411"/>
    </row>
    <row r="31" spans="1:43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541"/>
      <c r="H31" s="1007"/>
      <c r="I31" s="1007"/>
      <c r="J31" s="467"/>
      <c r="K31" s="467"/>
      <c r="L31" s="467"/>
      <c r="M31" s="425"/>
      <c r="N31" s="541"/>
      <c r="O31" s="541"/>
      <c r="P31" s="424"/>
      <c r="Q31" s="425"/>
      <c r="R31" s="492"/>
      <c r="S31" s="492"/>
      <c r="T31" s="492"/>
      <c r="U31" s="419">
        <v>0</v>
      </c>
      <c r="V31" s="701"/>
      <c r="W31" s="754"/>
      <c r="X31" s="754"/>
      <c r="Y31" s="754"/>
      <c r="Z31" s="754"/>
      <c r="AA31" s="701"/>
      <c r="AB31" s="634"/>
      <c r="AC31" s="549"/>
      <c r="AD31" s="549"/>
      <c r="AE31" s="532"/>
      <c r="AF31" s="593"/>
      <c r="AG31" s="995">
        <v>0</v>
      </c>
      <c r="AH31" s="754"/>
      <c r="AI31" s="754"/>
      <c r="AJ31" s="755"/>
      <c r="AK31" s="536">
        <f t="shared" si="0"/>
        <v>0</v>
      </c>
      <c r="AL31" s="421">
        <v>0</v>
      </c>
      <c r="AM31" s="410"/>
      <c r="AN31" s="410"/>
      <c r="AO31" s="410"/>
      <c r="AP31" s="411"/>
      <c r="AQ31" s="411"/>
    </row>
    <row r="32" spans="1:43" ht="18.75" customHeight="1" x14ac:dyDescent="0.3">
      <c r="A32" s="1273"/>
      <c r="B32" s="1189"/>
      <c r="C32" s="1291" t="s">
        <v>419</v>
      </c>
      <c r="D32" s="1178"/>
      <c r="E32" s="1178"/>
      <c r="F32" s="1179"/>
      <c r="G32" s="541"/>
      <c r="H32" s="1017">
        <v>7</v>
      </c>
      <c r="I32" s="1013"/>
      <c r="J32" s="467"/>
      <c r="K32" s="467"/>
      <c r="L32" s="467"/>
      <c r="M32" s="425"/>
      <c r="N32" s="541"/>
      <c r="O32" s="541"/>
      <c r="P32" s="424"/>
      <c r="Q32" s="541"/>
      <c r="R32" s="467"/>
      <c r="S32" s="468"/>
      <c r="T32" s="468"/>
      <c r="U32" s="419">
        <v>0</v>
      </c>
      <c r="V32" s="683">
        <v>35</v>
      </c>
      <c r="W32" s="995">
        <v>11</v>
      </c>
      <c r="X32" s="995">
        <v>0</v>
      </c>
      <c r="Y32" s="759"/>
      <c r="Z32" s="995">
        <v>66</v>
      </c>
      <c r="AA32" s="683"/>
      <c r="AB32" s="634"/>
      <c r="AC32" s="549"/>
      <c r="AD32" s="549"/>
      <c r="AE32" s="532"/>
      <c r="AF32" s="593"/>
      <c r="AG32" s="995">
        <v>0</v>
      </c>
      <c r="AH32" s="754"/>
      <c r="AI32" s="758">
        <v>0</v>
      </c>
      <c r="AJ32" s="1046"/>
      <c r="AK32" s="536">
        <f t="shared" si="0"/>
        <v>119</v>
      </c>
      <c r="AL32" s="421">
        <v>119</v>
      </c>
      <c r="AM32" s="410"/>
      <c r="AN32" s="410"/>
      <c r="AO32" s="410"/>
      <c r="AP32" s="411"/>
      <c r="AQ32" s="411"/>
    </row>
    <row r="33" spans="1:43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60">
        <v>180</v>
      </c>
      <c r="H33" s="1047">
        <v>180</v>
      </c>
      <c r="I33" s="888">
        <v>180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704">
        <v>0</v>
      </c>
      <c r="V33" s="458">
        <v>180</v>
      </c>
      <c r="W33" s="1048">
        <v>180</v>
      </c>
      <c r="X33" s="1049">
        <v>180</v>
      </c>
      <c r="Y33" s="1050"/>
      <c r="Z33" s="1051">
        <v>180</v>
      </c>
      <c r="AA33" s="458">
        <v>180</v>
      </c>
      <c r="AB33" s="703">
        <v>180</v>
      </c>
      <c r="AC33" s="612">
        <v>180</v>
      </c>
      <c r="AD33" s="612">
        <v>180</v>
      </c>
      <c r="AE33" s="612">
        <v>180</v>
      </c>
      <c r="AF33" s="612">
        <v>180</v>
      </c>
      <c r="AG33" s="1052">
        <v>180</v>
      </c>
      <c r="AH33" s="1052">
        <v>180</v>
      </c>
      <c r="AI33" s="1052">
        <v>180</v>
      </c>
      <c r="AJ33" s="1053"/>
      <c r="AK33" s="536">
        <f t="shared" si="0"/>
        <v>4500</v>
      </c>
      <c r="AL33" s="421">
        <v>4500</v>
      </c>
      <c r="AM33" s="410"/>
      <c r="AN33" s="410"/>
      <c r="AO33" s="410"/>
      <c r="AP33" s="411"/>
      <c r="AQ33" s="411"/>
    </row>
    <row r="34" spans="1:43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>
        <v>120</v>
      </c>
      <c r="H34" s="1022">
        <v>180</v>
      </c>
      <c r="I34" s="860">
        <v>177</v>
      </c>
      <c r="J34" s="615">
        <f>SUM(J26+J28+J30+J32)</f>
        <v>0</v>
      </c>
      <c r="K34" s="615">
        <v>192</v>
      </c>
      <c r="L34" s="615">
        <v>180</v>
      </c>
      <c r="M34" s="615">
        <v>180</v>
      </c>
      <c r="N34" s="615">
        <v>180</v>
      </c>
      <c r="O34" s="615">
        <v>180</v>
      </c>
      <c r="P34" s="615">
        <v>180</v>
      </c>
      <c r="Q34" s="615">
        <v>180</v>
      </c>
      <c r="R34" s="615">
        <f>SUM(R26+R28+R30+R32)</f>
        <v>0</v>
      </c>
      <c r="S34" s="615">
        <v>120</v>
      </c>
      <c r="T34" s="615">
        <v>175</v>
      </c>
      <c r="U34" s="704">
        <f>SUM(U26+U28+U30+U32)</f>
        <v>0</v>
      </c>
      <c r="V34" s="702">
        <v>175</v>
      </c>
      <c r="W34" s="1004">
        <v>46</v>
      </c>
      <c r="X34" s="1004">
        <v>142</v>
      </c>
      <c r="Y34" s="1054">
        <v>180</v>
      </c>
      <c r="Z34" s="1024">
        <v>180</v>
      </c>
      <c r="AA34" s="702">
        <v>238</v>
      </c>
      <c r="AB34" s="703">
        <v>180</v>
      </c>
      <c r="AC34" s="612">
        <v>135</v>
      </c>
      <c r="AD34" s="612">
        <v>180</v>
      </c>
      <c r="AE34" s="612">
        <v>182</v>
      </c>
      <c r="AF34" s="612">
        <v>73</v>
      </c>
      <c r="AG34" s="1024">
        <v>100</v>
      </c>
      <c r="AH34" s="1055">
        <v>165</v>
      </c>
      <c r="AI34" s="1024">
        <v>101</v>
      </c>
      <c r="AJ34" s="1056">
        <v>28</v>
      </c>
      <c r="AK34" s="705">
        <f t="shared" si="0"/>
        <v>4149</v>
      </c>
      <c r="AL34" s="421">
        <v>4149</v>
      </c>
      <c r="AM34" s="410"/>
      <c r="AN34" s="410"/>
      <c r="AO34" s="410"/>
      <c r="AP34" s="411"/>
      <c r="AQ34" s="411"/>
    </row>
    <row r="35" spans="1:43" ht="25.5" customHeight="1" x14ac:dyDescent="0.25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541">
        <v>30</v>
      </c>
      <c r="H35" s="1013"/>
      <c r="I35" s="1013"/>
      <c r="J35" s="541">
        <v>30</v>
      </c>
      <c r="K35" s="541">
        <v>30</v>
      </c>
      <c r="L35" s="541">
        <v>30</v>
      </c>
      <c r="M35" s="541">
        <v>30</v>
      </c>
      <c r="N35" s="541">
        <v>30</v>
      </c>
      <c r="O35" s="541">
        <v>30</v>
      </c>
      <c r="P35" s="541">
        <v>30</v>
      </c>
      <c r="Q35" s="541">
        <v>30</v>
      </c>
      <c r="R35" s="541">
        <v>30</v>
      </c>
      <c r="S35" s="541">
        <v>30</v>
      </c>
      <c r="T35" s="541">
        <v>30</v>
      </c>
      <c r="U35" s="541">
        <v>30</v>
      </c>
      <c r="V35" s="541"/>
      <c r="W35" s="1033"/>
      <c r="X35" s="1033"/>
      <c r="Y35" s="1033"/>
      <c r="Z35" s="1033"/>
      <c r="AA35" s="541"/>
      <c r="AB35" s="541">
        <v>30</v>
      </c>
      <c r="AC35" s="541">
        <v>30</v>
      </c>
      <c r="AD35" s="541">
        <v>30</v>
      </c>
      <c r="AE35" s="541">
        <v>30</v>
      </c>
      <c r="AF35" s="541">
        <v>30</v>
      </c>
      <c r="AG35" s="1057">
        <v>30</v>
      </c>
      <c r="AH35" s="1058">
        <v>0</v>
      </c>
      <c r="AI35" s="1058">
        <v>0</v>
      </c>
      <c r="AJ35" s="1059"/>
      <c r="AK35" s="536">
        <f t="shared" si="0"/>
        <v>570</v>
      </c>
      <c r="AL35" s="416">
        <v>544</v>
      </c>
      <c r="AM35" s="410"/>
      <c r="AN35" s="410"/>
      <c r="AO35" s="410"/>
      <c r="AP35" s="411"/>
      <c r="AQ35" s="411"/>
    </row>
    <row r="36" spans="1:43" ht="28.5" customHeight="1" x14ac:dyDescent="0.3">
      <c r="A36" s="1249"/>
      <c r="B36" s="1265"/>
      <c r="C36" s="1278" t="s">
        <v>419</v>
      </c>
      <c r="D36" s="1279"/>
      <c r="E36" s="1279"/>
      <c r="F36" s="1279"/>
      <c r="G36" s="732"/>
      <c r="H36" s="1060"/>
      <c r="I36" s="1061">
        <v>6</v>
      </c>
      <c r="J36" s="618">
        <v>8</v>
      </c>
      <c r="K36" s="618">
        <v>13</v>
      </c>
      <c r="L36" s="618">
        <v>11</v>
      </c>
      <c r="M36" s="618">
        <v>15</v>
      </c>
      <c r="N36" s="618">
        <v>15</v>
      </c>
      <c r="O36" s="618">
        <v>12</v>
      </c>
      <c r="P36" s="618">
        <v>15</v>
      </c>
      <c r="Q36" s="618">
        <v>11</v>
      </c>
      <c r="R36" s="618">
        <v>18</v>
      </c>
      <c r="S36" s="618">
        <v>7</v>
      </c>
      <c r="T36" s="618">
        <v>11</v>
      </c>
      <c r="U36" s="777">
        <v>0</v>
      </c>
      <c r="V36" s="749">
        <v>0</v>
      </c>
      <c r="W36" s="1062"/>
      <c r="X36" s="1062"/>
      <c r="Y36" s="1063">
        <v>0</v>
      </c>
      <c r="Z36" s="1064">
        <v>0</v>
      </c>
      <c r="AA36" s="749">
        <v>0</v>
      </c>
      <c r="AB36" s="707">
        <v>15</v>
      </c>
      <c r="AC36" s="708">
        <v>15</v>
      </c>
      <c r="AD36" s="708">
        <v>11</v>
      </c>
      <c r="AE36" s="1065">
        <v>5</v>
      </c>
      <c r="AF36" s="778">
        <v>11</v>
      </c>
      <c r="AG36" s="1064">
        <v>4</v>
      </c>
      <c r="AH36" s="1064">
        <v>0</v>
      </c>
      <c r="AI36" s="1064">
        <v>0</v>
      </c>
      <c r="AJ36" s="1066"/>
      <c r="AK36" s="536">
        <f t="shared" si="0"/>
        <v>203</v>
      </c>
      <c r="AL36" s="416">
        <v>203</v>
      </c>
      <c r="AM36" s="410"/>
      <c r="AN36" s="410"/>
      <c r="AO36" s="410"/>
      <c r="AP36" s="411"/>
      <c r="AQ36" s="411"/>
    </row>
    <row r="37" spans="1:43" ht="18.75" customHeight="1" x14ac:dyDescent="0.25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542"/>
      <c r="H37" s="1007"/>
      <c r="I37" s="1013"/>
      <c r="J37" s="501"/>
      <c r="K37" s="501"/>
      <c r="L37" s="1067"/>
      <c r="M37" s="780">
        <v>1</v>
      </c>
      <c r="N37" s="562"/>
      <c r="O37" s="501"/>
      <c r="P37" s="501"/>
      <c r="Q37" s="562">
        <v>0</v>
      </c>
      <c r="R37" s="562">
        <v>1</v>
      </c>
      <c r="S37" s="562">
        <v>1</v>
      </c>
      <c r="T37" s="625"/>
      <c r="U37" s="626"/>
      <c r="V37" s="637"/>
      <c r="W37" s="759"/>
      <c r="X37" s="759"/>
      <c r="Y37" s="996"/>
      <c r="Z37" s="1068"/>
      <c r="AA37" s="683"/>
      <c r="AB37" s="684">
        <v>1</v>
      </c>
      <c r="AC37" s="538">
        <v>1</v>
      </c>
      <c r="AD37" s="538"/>
      <c r="AE37" s="563">
        <v>1</v>
      </c>
      <c r="AF37" s="550">
        <v>1</v>
      </c>
      <c r="AG37" s="995">
        <v>0</v>
      </c>
      <c r="AH37" s="1069">
        <v>1</v>
      </c>
      <c r="AI37" s="995">
        <v>0</v>
      </c>
      <c r="AJ37" s="1046"/>
      <c r="AK37" s="536">
        <f t="shared" si="0"/>
        <v>8</v>
      </c>
      <c r="AL37" s="416">
        <v>8</v>
      </c>
      <c r="AM37" s="410"/>
      <c r="AN37" s="410"/>
      <c r="AO37" s="410"/>
      <c r="AP37" s="411"/>
      <c r="AQ37" s="411"/>
    </row>
    <row r="38" spans="1:43" ht="18.75" customHeight="1" x14ac:dyDescent="0.25">
      <c r="A38" s="1254"/>
      <c r="B38" s="1165"/>
      <c r="C38" s="1291" t="s">
        <v>419</v>
      </c>
      <c r="D38" s="1178"/>
      <c r="E38" s="1178"/>
      <c r="F38" s="1179"/>
      <c r="G38" s="542"/>
      <c r="H38" s="1007"/>
      <c r="I38" s="1013"/>
      <c r="J38" s="468"/>
      <c r="K38" s="468"/>
      <c r="L38" s="542"/>
      <c r="M38" s="542">
        <v>1</v>
      </c>
      <c r="N38" s="562"/>
      <c r="O38" s="468"/>
      <c r="P38" s="468"/>
      <c r="Q38" s="562">
        <v>0</v>
      </c>
      <c r="R38" s="562">
        <v>1</v>
      </c>
      <c r="S38" s="562">
        <v>1</v>
      </c>
      <c r="T38" s="562"/>
      <c r="U38" s="541"/>
      <c r="V38" s="683">
        <v>1</v>
      </c>
      <c r="W38" s="995">
        <v>1</v>
      </c>
      <c r="X38" s="995">
        <v>1</v>
      </c>
      <c r="Y38" s="996">
        <v>2</v>
      </c>
      <c r="Z38" s="1070">
        <v>1</v>
      </c>
      <c r="AA38" s="683">
        <v>1</v>
      </c>
      <c r="AB38" s="684">
        <v>1</v>
      </c>
      <c r="AC38" s="538">
        <v>1</v>
      </c>
      <c r="AD38" s="538"/>
      <c r="AE38" s="563">
        <v>1</v>
      </c>
      <c r="AF38" s="550">
        <v>1</v>
      </c>
      <c r="AG38" s="995">
        <v>0</v>
      </c>
      <c r="AH38" s="995">
        <v>1</v>
      </c>
      <c r="AI38" s="995">
        <v>0</v>
      </c>
      <c r="AJ38" s="1046"/>
      <c r="AK38" s="536">
        <f t="shared" si="0"/>
        <v>15</v>
      </c>
      <c r="AL38" s="416">
        <v>15</v>
      </c>
      <c r="AM38" s="416">
        <v>349</v>
      </c>
      <c r="AN38" s="410"/>
      <c r="AO38" s="410"/>
      <c r="AP38" s="411"/>
      <c r="AQ38" s="411"/>
    </row>
    <row r="39" spans="1:43" ht="18.75" customHeight="1" x14ac:dyDescent="0.25">
      <c r="A39" s="1254"/>
      <c r="B39" s="1270" t="s">
        <v>428</v>
      </c>
      <c r="C39" s="1291" t="s">
        <v>418</v>
      </c>
      <c r="D39" s="1178"/>
      <c r="E39" s="1178"/>
      <c r="F39" s="1179"/>
      <c r="G39" s="542"/>
      <c r="H39" s="1013"/>
      <c r="I39" s="1013"/>
      <c r="J39" s="542">
        <v>2</v>
      </c>
      <c r="K39" s="542">
        <v>2</v>
      </c>
      <c r="L39" s="542">
        <v>2</v>
      </c>
      <c r="M39" s="542">
        <v>1</v>
      </c>
      <c r="N39" s="542">
        <v>2</v>
      </c>
      <c r="O39" s="542"/>
      <c r="P39" s="542"/>
      <c r="Q39" s="562">
        <v>2</v>
      </c>
      <c r="R39" s="562">
        <v>2</v>
      </c>
      <c r="S39" s="562"/>
      <c r="T39" s="562">
        <v>3</v>
      </c>
      <c r="U39" s="541"/>
      <c r="V39" s="683"/>
      <c r="W39" s="759"/>
      <c r="X39" s="759"/>
      <c r="Y39" s="759"/>
      <c r="Z39" s="759"/>
      <c r="AA39" s="683"/>
      <c r="AB39" s="684">
        <v>2</v>
      </c>
      <c r="AC39" s="538">
        <v>2</v>
      </c>
      <c r="AD39" s="538">
        <v>2</v>
      </c>
      <c r="AE39" s="563">
        <v>2</v>
      </c>
      <c r="AF39" s="550">
        <v>1</v>
      </c>
      <c r="AG39" s="995">
        <v>3</v>
      </c>
      <c r="AH39" s="995">
        <v>2</v>
      </c>
      <c r="AI39" s="995">
        <v>6</v>
      </c>
      <c r="AJ39" s="1046"/>
      <c r="AK39" s="536">
        <f t="shared" si="0"/>
        <v>36</v>
      </c>
      <c r="AL39" s="416">
        <v>36</v>
      </c>
      <c r="AM39" s="410"/>
      <c r="AN39" s="410"/>
      <c r="AO39" s="410"/>
      <c r="AP39" s="411"/>
      <c r="AQ39" s="411"/>
    </row>
    <row r="40" spans="1:43" ht="18.75" customHeight="1" x14ac:dyDescent="0.3">
      <c r="A40" s="1254"/>
      <c r="B40" s="1165"/>
      <c r="C40" s="1291" t="s">
        <v>419</v>
      </c>
      <c r="D40" s="1178"/>
      <c r="E40" s="1178"/>
      <c r="F40" s="1179"/>
      <c r="G40" s="542"/>
      <c r="H40" s="1013"/>
      <c r="I40" s="915">
        <v>3</v>
      </c>
      <c r="J40" s="542">
        <v>2</v>
      </c>
      <c r="K40" s="542">
        <v>2</v>
      </c>
      <c r="L40" s="542">
        <v>1</v>
      </c>
      <c r="M40" s="542">
        <v>2</v>
      </c>
      <c r="N40" s="542">
        <v>2</v>
      </c>
      <c r="O40" s="542"/>
      <c r="P40" s="542"/>
      <c r="Q40" s="562">
        <v>2</v>
      </c>
      <c r="R40" s="562">
        <v>2</v>
      </c>
      <c r="S40" s="562"/>
      <c r="T40" s="562">
        <v>2</v>
      </c>
      <c r="U40" s="497"/>
      <c r="V40" s="1071">
        <v>1</v>
      </c>
      <c r="W40" s="995">
        <v>1</v>
      </c>
      <c r="X40" s="995">
        <v>3</v>
      </c>
      <c r="Y40" s="996">
        <v>1</v>
      </c>
      <c r="Z40" s="1068"/>
      <c r="AA40" s="683">
        <v>1</v>
      </c>
      <c r="AB40" s="684">
        <v>2</v>
      </c>
      <c r="AC40" s="538">
        <v>2</v>
      </c>
      <c r="AD40" s="538">
        <v>2</v>
      </c>
      <c r="AE40" s="563">
        <v>2</v>
      </c>
      <c r="AF40" s="550">
        <v>1</v>
      </c>
      <c r="AG40" s="1015">
        <v>2</v>
      </c>
      <c r="AH40" s="995">
        <v>2</v>
      </c>
      <c r="AI40" s="995">
        <v>4</v>
      </c>
      <c r="AJ40" s="1046"/>
      <c r="AK40" s="536">
        <f t="shared" si="0"/>
        <v>42</v>
      </c>
      <c r="AL40" s="416">
        <v>43</v>
      </c>
      <c r="AM40" s="410"/>
      <c r="AN40" s="410"/>
      <c r="AO40" s="410"/>
      <c r="AP40" s="411"/>
      <c r="AQ40" s="411"/>
    </row>
    <row r="41" spans="1:43" ht="18.75" customHeight="1" x14ac:dyDescent="0.25">
      <c r="A41" s="1254"/>
      <c r="B41" s="1270" t="s">
        <v>429</v>
      </c>
      <c r="C41" s="1291" t="s">
        <v>418</v>
      </c>
      <c r="D41" s="1178"/>
      <c r="E41" s="1178"/>
      <c r="F41" s="1179"/>
      <c r="G41" s="468"/>
      <c r="H41" s="1007"/>
      <c r="I41" s="1007"/>
      <c r="J41" s="418"/>
      <c r="K41" s="468"/>
      <c r="L41" s="468"/>
      <c r="M41" s="542"/>
      <c r="N41" s="468"/>
      <c r="O41" s="468"/>
      <c r="P41" s="542"/>
      <c r="Q41" s="468"/>
      <c r="R41" s="631"/>
      <c r="S41" s="472"/>
      <c r="T41" s="472"/>
      <c r="U41" s="631"/>
      <c r="V41" s="683"/>
      <c r="W41" s="759"/>
      <c r="X41" s="759"/>
      <c r="Y41" s="759"/>
      <c r="Z41" s="1068"/>
      <c r="AA41" s="683"/>
      <c r="AB41" s="684"/>
      <c r="AC41" s="538"/>
      <c r="AD41" s="538"/>
      <c r="AE41" s="563"/>
      <c r="AF41" s="593"/>
      <c r="AG41" s="995">
        <v>0</v>
      </c>
      <c r="AH41" s="995">
        <v>0</v>
      </c>
      <c r="AI41" s="995">
        <v>1</v>
      </c>
      <c r="AJ41" s="1046"/>
      <c r="AK41" s="536">
        <f t="shared" si="0"/>
        <v>1</v>
      </c>
      <c r="AL41" s="416">
        <v>1</v>
      </c>
      <c r="AM41" s="410"/>
      <c r="AN41" s="410"/>
      <c r="AO41" s="410"/>
      <c r="AP41" s="411"/>
      <c r="AQ41" s="411"/>
    </row>
    <row r="42" spans="1:43" ht="18.75" customHeight="1" x14ac:dyDescent="0.3">
      <c r="A42" s="1254"/>
      <c r="B42" s="1165"/>
      <c r="C42" s="1291" t="s">
        <v>419</v>
      </c>
      <c r="D42" s="1178"/>
      <c r="E42" s="1178"/>
      <c r="F42" s="1179"/>
      <c r="G42" s="468"/>
      <c r="H42" s="1007"/>
      <c r="I42" s="1072">
        <v>1</v>
      </c>
      <c r="J42" s="468"/>
      <c r="K42" s="468"/>
      <c r="L42" s="468"/>
      <c r="M42" s="542"/>
      <c r="N42" s="504"/>
      <c r="O42" s="468"/>
      <c r="P42" s="542"/>
      <c r="Q42" s="497"/>
      <c r="R42" s="632"/>
      <c r="S42" s="633"/>
      <c r="T42" s="632"/>
      <c r="U42" s="713"/>
      <c r="V42" s="683"/>
      <c r="W42" s="995">
        <v>1</v>
      </c>
      <c r="X42" s="759"/>
      <c r="Y42" s="759"/>
      <c r="Z42" s="1068"/>
      <c r="AA42" s="683">
        <v>1</v>
      </c>
      <c r="AB42" s="634"/>
      <c r="AC42" s="549"/>
      <c r="AD42" s="549"/>
      <c r="AE42" s="532"/>
      <c r="AF42" s="593"/>
      <c r="AG42" s="995">
        <v>0</v>
      </c>
      <c r="AH42" s="995">
        <v>0</v>
      </c>
      <c r="AI42" s="995">
        <v>1</v>
      </c>
      <c r="AJ42" s="1046"/>
      <c r="AK42" s="536">
        <f t="shared" si="0"/>
        <v>4</v>
      </c>
      <c r="AL42" s="416">
        <v>4</v>
      </c>
      <c r="AM42" s="410"/>
      <c r="AN42" s="410"/>
      <c r="AO42" s="410"/>
      <c r="AP42" s="411"/>
      <c r="AQ42" s="411"/>
    </row>
    <row r="43" spans="1:43" ht="18.75" customHeight="1" x14ac:dyDescent="0.25">
      <c r="A43" s="1254"/>
      <c r="B43" s="1270" t="s">
        <v>430</v>
      </c>
      <c r="C43" s="1291" t="s">
        <v>418</v>
      </c>
      <c r="D43" s="1178"/>
      <c r="E43" s="1178"/>
      <c r="F43" s="1179"/>
      <c r="G43" s="468"/>
      <c r="H43" s="1007"/>
      <c r="I43" s="1007"/>
      <c r="J43" s="468"/>
      <c r="K43" s="468"/>
      <c r="L43" s="468"/>
      <c r="M43" s="468"/>
      <c r="N43" s="468"/>
      <c r="O43" s="468"/>
      <c r="P43" s="468"/>
      <c r="Q43" s="497"/>
      <c r="R43" s="632"/>
      <c r="S43" s="632"/>
      <c r="T43" s="632"/>
      <c r="U43" s="713"/>
      <c r="V43" s="683"/>
      <c r="W43" s="759"/>
      <c r="X43" s="759"/>
      <c r="Y43" s="759"/>
      <c r="Z43" s="759"/>
      <c r="AA43" s="683"/>
      <c r="AB43" s="634"/>
      <c r="AC43" s="549"/>
      <c r="AD43" s="549"/>
      <c r="AE43" s="532"/>
      <c r="AF43" s="593"/>
      <c r="AG43" s="995">
        <v>0</v>
      </c>
      <c r="AH43" s="759"/>
      <c r="AI43" s="759"/>
      <c r="AJ43" s="1046"/>
      <c r="AK43" s="536">
        <f t="shared" si="0"/>
        <v>0</v>
      </c>
      <c r="AL43" s="416">
        <v>0</v>
      </c>
      <c r="AM43" s="410"/>
      <c r="AN43" s="410"/>
      <c r="AO43" s="410"/>
      <c r="AP43" s="411"/>
      <c r="AQ43" s="411"/>
    </row>
    <row r="44" spans="1:43" ht="18.75" customHeight="1" x14ac:dyDescent="0.25">
      <c r="A44" s="1255"/>
      <c r="B44" s="1176"/>
      <c r="C44" s="1297" t="s">
        <v>419</v>
      </c>
      <c r="D44" s="1285"/>
      <c r="E44" s="1285"/>
      <c r="F44" s="1286"/>
      <c r="G44" s="506"/>
      <c r="H44" s="1073"/>
      <c r="I44" s="1008"/>
      <c r="J44" s="506"/>
      <c r="K44" s="506"/>
      <c r="L44" s="506"/>
      <c r="M44" s="506"/>
      <c r="N44" s="506"/>
      <c r="O44" s="506"/>
      <c r="P44" s="506"/>
      <c r="Q44" s="507"/>
      <c r="R44" s="635"/>
      <c r="S44" s="509"/>
      <c r="T44" s="499"/>
      <c r="U44" s="500"/>
      <c r="V44" s="683">
        <v>1</v>
      </c>
      <c r="W44" s="759"/>
      <c r="X44" s="1009"/>
      <c r="Y44" s="683"/>
      <c r="Z44" s="1009"/>
      <c r="AA44" s="683"/>
      <c r="AB44" s="634"/>
      <c r="AC44" s="549"/>
      <c r="AD44" s="549"/>
      <c r="AE44" s="532"/>
      <c r="AF44" s="593"/>
      <c r="AG44" s="550"/>
      <c r="AH44" s="1074"/>
      <c r="AI44" s="588"/>
      <c r="AJ44" s="588"/>
      <c r="AK44" s="536">
        <f t="shared" si="0"/>
        <v>1</v>
      </c>
      <c r="AL44" s="416">
        <v>1</v>
      </c>
      <c r="AM44" s="410"/>
      <c r="AN44" s="410"/>
      <c r="AO44" s="410"/>
      <c r="AP44" s="411"/>
      <c r="AQ44" s="411"/>
    </row>
    <row r="45" spans="1:43" ht="18.75" customHeight="1" x14ac:dyDescent="0.3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1075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513" t="s">
        <v>111</v>
      </c>
      <c r="V45" s="672" t="s">
        <v>45</v>
      </c>
      <c r="W45" s="1076" t="s">
        <v>49</v>
      </c>
      <c r="X45" s="672" t="s">
        <v>399</v>
      </c>
      <c r="Y45" s="672" t="s">
        <v>341</v>
      </c>
      <c r="Z45" s="1077" t="s">
        <v>321</v>
      </c>
      <c r="AA45" s="672" t="s">
        <v>474</v>
      </c>
      <c r="AB45" s="714" t="s">
        <v>454</v>
      </c>
      <c r="AC45" s="636" t="s">
        <v>116</v>
      </c>
      <c r="AD45" s="636" t="s">
        <v>80</v>
      </c>
      <c r="AE45" s="636" t="s">
        <v>117</v>
      </c>
      <c r="AF45" s="636" t="s">
        <v>106</v>
      </c>
      <c r="AG45" s="636" t="s">
        <v>347</v>
      </c>
      <c r="AH45" s="636" t="s">
        <v>70</v>
      </c>
      <c r="AI45" s="715" t="s">
        <v>72</v>
      </c>
      <c r="AJ45" s="715" t="s">
        <v>75</v>
      </c>
      <c r="AK45" s="536">
        <f t="shared" si="0"/>
        <v>0</v>
      </c>
      <c r="AL45" s="515">
        <v>0</v>
      </c>
      <c r="AM45" s="409"/>
      <c r="AN45" s="410"/>
      <c r="AO45" s="410"/>
      <c r="AP45" s="411"/>
      <c r="AQ45" s="411"/>
    </row>
    <row r="46" spans="1:43" ht="18.75" customHeight="1" x14ac:dyDescent="0.25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518"/>
      <c r="I46" s="518"/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1078">
        <v>0</v>
      </c>
      <c r="W46" s="1069">
        <v>0</v>
      </c>
      <c r="X46" s="683">
        <v>0</v>
      </c>
      <c r="Y46" s="785">
        <v>0</v>
      </c>
      <c r="Z46" s="759"/>
      <c r="AA46" s="683"/>
      <c r="AB46" s="634"/>
      <c r="AC46" s="549"/>
      <c r="AD46" s="549"/>
      <c r="AE46" s="532"/>
      <c r="AF46" s="593"/>
      <c r="AG46" s="550"/>
      <c r="AH46" s="1079"/>
      <c r="AI46" s="588"/>
      <c r="AJ46" s="588"/>
      <c r="AK46" s="536">
        <f t="shared" si="0"/>
        <v>0</v>
      </c>
      <c r="AL46" s="416">
        <v>0</v>
      </c>
      <c r="AM46" s="410"/>
      <c r="AN46" s="410"/>
      <c r="AO46" s="410"/>
      <c r="AP46" s="411"/>
      <c r="AQ46" s="411"/>
    </row>
    <row r="47" spans="1:43" ht="18.75" customHeight="1" x14ac:dyDescent="0.25">
      <c r="A47" s="1164"/>
      <c r="B47" s="519" t="s">
        <v>433</v>
      </c>
      <c r="C47" s="1295"/>
      <c r="D47" s="1201"/>
      <c r="E47" s="1201"/>
      <c r="F47" s="1173"/>
      <c r="G47" s="518"/>
      <c r="H47" s="518"/>
      <c r="I47" s="518"/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1069">
        <v>0</v>
      </c>
      <c r="W47" s="1069">
        <v>0</v>
      </c>
      <c r="X47" s="683">
        <v>0</v>
      </c>
      <c r="Y47" s="787">
        <v>0</v>
      </c>
      <c r="Z47" s="759"/>
      <c r="AA47" s="683"/>
      <c r="AB47" s="634"/>
      <c r="AC47" s="549"/>
      <c r="AD47" s="549"/>
      <c r="AE47" s="532"/>
      <c r="AF47" s="593"/>
      <c r="AG47" s="550"/>
      <c r="AH47" s="1080"/>
      <c r="AI47" s="588"/>
      <c r="AJ47" s="588"/>
      <c r="AK47" s="536">
        <f t="shared" si="0"/>
        <v>0</v>
      </c>
      <c r="AL47" s="416">
        <v>0</v>
      </c>
      <c r="AM47" s="410"/>
      <c r="AN47" s="410"/>
      <c r="AO47" s="410"/>
      <c r="AP47" s="411"/>
      <c r="AQ47" s="411"/>
    </row>
    <row r="48" spans="1:43" ht="18.75" customHeight="1" x14ac:dyDescent="0.3">
      <c r="A48" s="1164"/>
      <c r="B48" s="519" t="s">
        <v>434</v>
      </c>
      <c r="C48" s="1295"/>
      <c r="D48" s="1201"/>
      <c r="E48" s="1201"/>
      <c r="F48" s="1173"/>
      <c r="G48" s="518"/>
      <c r="H48" s="518"/>
      <c r="I48" s="518"/>
      <c r="J48" s="518"/>
      <c r="K48" s="637">
        <v>5</v>
      </c>
      <c r="L48" s="637"/>
      <c r="M48" s="637"/>
      <c r="N48" s="637">
        <v>1</v>
      </c>
      <c r="O48" s="518"/>
      <c r="P48" s="637"/>
      <c r="Q48" s="518"/>
      <c r="R48" s="418"/>
      <c r="S48" s="418"/>
      <c r="T48" s="418"/>
      <c r="U48" s="420"/>
      <c r="V48" s="1069">
        <v>0</v>
      </c>
      <c r="W48" s="1069">
        <v>0</v>
      </c>
      <c r="X48" s="683">
        <v>0</v>
      </c>
      <c r="Y48" s="788">
        <v>0</v>
      </c>
      <c r="Z48" s="759"/>
      <c r="AA48" s="683"/>
      <c r="AB48" s="634"/>
      <c r="AC48" s="549"/>
      <c r="AD48" s="549"/>
      <c r="AE48" s="532"/>
      <c r="AF48" s="593"/>
      <c r="AG48" s="550"/>
      <c r="AH48" s="1080"/>
      <c r="AI48" s="588"/>
      <c r="AJ48" s="588"/>
      <c r="AK48" s="536">
        <f t="shared" si="0"/>
        <v>6</v>
      </c>
      <c r="AL48" s="416">
        <v>6</v>
      </c>
      <c r="AM48" s="410"/>
      <c r="AN48" s="410"/>
      <c r="AO48" s="410"/>
      <c r="AP48" s="411"/>
      <c r="AQ48" s="411"/>
    </row>
    <row r="49" spans="1:43" ht="18.75" customHeight="1" x14ac:dyDescent="0.25">
      <c r="A49" s="1164"/>
      <c r="B49" s="519" t="s">
        <v>435</v>
      </c>
      <c r="C49" s="1295"/>
      <c r="D49" s="1201"/>
      <c r="E49" s="1201"/>
      <c r="F49" s="1173"/>
      <c r="G49" s="518"/>
      <c r="H49" s="518"/>
      <c r="I49" s="518"/>
      <c r="J49" s="518"/>
      <c r="K49" s="637">
        <v>5</v>
      </c>
      <c r="L49" s="518"/>
      <c r="M49" s="518"/>
      <c r="N49" s="637">
        <v>1</v>
      </c>
      <c r="O49" s="518"/>
      <c r="P49" s="518"/>
      <c r="Q49" s="518"/>
      <c r="R49" s="418"/>
      <c r="S49" s="418"/>
      <c r="T49" s="418"/>
      <c r="U49" s="420"/>
      <c r="V49" s="1069">
        <v>0</v>
      </c>
      <c r="W49" s="1069">
        <v>0</v>
      </c>
      <c r="X49" s="683">
        <v>0</v>
      </c>
      <c r="Y49" s="787">
        <v>0</v>
      </c>
      <c r="Z49" s="759"/>
      <c r="AA49" s="683"/>
      <c r="AB49" s="634"/>
      <c r="AC49" s="549"/>
      <c r="AD49" s="549"/>
      <c r="AE49" s="532"/>
      <c r="AF49" s="593"/>
      <c r="AG49" s="550"/>
      <c r="AH49" s="1080"/>
      <c r="AI49" s="588"/>
      <c r="AJ49" s="588"/>
      <c r="AK49" s="536">
        <f t="shared" si="0"/>
        <v>6</v>
      </c>
      <c r="AL49" s="416">
        <v>6</v>
      </c>
      <c r="AM49" s="410"/>
      <c r="AN49" s="410"/>
      <c r="AO49" s="410"/>
      <c r="AP49" s="411"/>
      <c r="AQ49" s="411"/>
    </row>
    <row r="50" spans="1:43" ht="18.75" customHeight="1" x14ac:dyDescent="0.25">
      <c r="A50" s="1164"/>
      <c r="B50" s="519" t="s">
        <v>436</v>
      </c>
      <c r="C50" s="1295"/>
      <c r="D50" s="1201"/>
      <c r="E50" s="1201"/>
      <c r="F50" s="1173"/>
      <c r="G50" s="518"/>
      <c r="H50" s="518"/>
      <c r="I50" s="518"/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1069">
        <v>0</v>
      </c>
      <c r="W50" s="1069">
        <v>0</v>
      </c>
      <c r="X50" s="683">
        <v>0</v>
      </c>
      <c r="Y50" s="787">
        <v>0</v>
      </c>
      <c r="Z50" s="759"/>
      <c r="AA50" s="683"/>
      <c r="AB50" s="634"/>
      <c r="AC50" s="549"/>
      <c r="AD50" s="549"/>
      <c r="AE50" s="532"/>
      <c r="AF50" s="593"/>
      <c r="AG50" s="550"/>
      <c r="AH50" s="1080"/>
      <c r="AI50" s="588"/>
      <c r="AJ50" s="588"/>
      <c r="AK50" s="536">
        <f t="shared" si="0"/>
        <v>0</v>
      </c>
      <c r="AL50" s="416">
        <v>0</v>
      </c>
      <c r="AM50" s="410"/>
      <c r="AN50" s="410"/>
      <c r="AO50" s="410"/>
      <c r="AP50" s="411"/>
      <c r="AQ50" s="411"/>
    </row>
    <row r="51" spans="1:43" ht="18.75" customHeight="1" x14ac:dyDescent="0.25">
      <c r="A51" s="1164"/>
      <c r="B51" s="519" t="s">
        <v>437</v>
      </c>
      <c r="C51" s="1295"/>
      <c r="D51" s="1201"/>
      <c r="E51" s="1201"/>
      <c r="F51" s="1173"/>
      <c r="G51" s="518"/>
      <c r="H51" s="518"/>
      <c r="I51" s="637"/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1069">
        <v>0</v>
      </c>
      <c r="W51" s="1069">
        <v>0</v>
      </c>
      <c r="X51" s="683">
        <v>0</v>
      </c>
      <c r="Y51" s="787">
        <v>0</v>
      </c>
      <c r="Z51" s="759"/>
      <c r="AA51" s="683"/>
      <c r="AB51" s="634"/>
      <c r="AC51" s="549"/>
      <c r="AD51" s="549"/>
      <c r="AE51" s="532"/>
      <c r="AF51" s="593"/>
      <c r="AG51" s="550"/>
      <c r="AH51" s="1080"/>
      <c r="AI51" s="588"/>
      <c r="AJ51" s="588"/>
      <c r="AK51" s="536">
        <f t="shared" si="0"/>
        <v>0</v>
      </c>
      <c r="AL51" s="416">
        <v>0</v>
      </c>
      <c r="AM51" s="410"/>
      <c r="AN51" s="410"/>
      <c r="AO51" s="410"/>
      <c r="AP51" s="411"/>
      <c r="AQ51" s="411"/>
    </row>
    <row r="52" spans="1:43" ht="18.75" customHeight="1" x14ac:dyDescent="0.25">
      <c r="A52" s="1164"/>
      <c r="B52" s="519" t="s">
        <v>438</v>
      </c>
      <c r="C52" s="1295"/>
      <c r="D52" s="1201"/>
      <c r="E52" s="1201"/>
      <c r="F52" s="1173"/>
      <c r="G52" s="518"/>
      <c r="H52" s="518"/>
      <c r="I52" s="518"/>
      <c r="J52" s="518"/>
      <c r="K52" s="518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1015">
        <v>0</v>
      </c>
      <c r="W52" s="1069">
        <v>0</v>
      </c>
      <c r="X52" s="683">
        <v>0</v>
      </c>
      <c r="Y52" s="787">
        <v>0</v>
      </c>
      <c r="Z52" s="759"/>
      <c r="AA52" s="683"/>
      <c r="AB52" s="634"/>
      <c r="AC52" s="549"/>
      <c r="AD52" s="549"/>
      <c r="AE52" s="532"/>
      <c r="AF52" s="593"/>
      <c r="AG52" s="550"/>
      <c r="AH52" s="1080"/>
      <c r="AI52" s="588"/>
      <c r="AJ52" s="588"/>
      <c r="AK52" s="536">
        <f t="shared" si="0"/>
        <v>0</v>
      </c>
      <c r="AL52" s="416">
        <v>0</v>
      </c>
      <c r="AM52" s="410"/>
      <c r="AN52" s="410"/>
      <c r="AO52" s="410"/>
      <c r="AP52" s="411"/>
      <c r="AQ52" s="411"/>
    </row>
    <row r="53" spans="1:43" ht="18.75" customHeight="1" x14ac:dyDescent="0.25">
      <c r="A53" s="1164"/>
      <c r="B53" s="519" t="s">
        <v>439</v>
      </c>
      <c r="C53" s="1295"/>
      <c r="D53" s="1201"/>
      <c r="E53" s="1201"/>
      <c r="F53" s="1173"/>
      <c r="G53" s="518"/>
      <c r="H53" s="518"/>
      <c r="I53" s="518"/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1069">
        <v>0</v>
      </c>
      <c r="W53" s="1069">
        <v>0</v>
      </c>
      <c r="X53" s="683">
        <v>0</v>
      </c>
      <c r="Y53" s="787">
        <v>0</v>
      </c>
      <c r="Z53" s="759"/>
      <c r="AA53" s="683"/>
      <c r="AB53" s="634"/>
      <c r="AC53" s="549"/>
      <c r="AD53" s="549"/>
      <c r="AE53" s="532"/>
      <c r="AF53" s="593"/>
      <c r="AG53" s="550"/>
      <c r="AH53" s="1080"/>
      <c r="AI53" s="588"/>
      <c r="AJ53" s="588"/>
      <c r="AK53" s="536">
        <f t="shared" si="0"/>
        <v>0</v>
      </c>
      <c r="AL53" s="416">
        <v>0</v>
      </c>
      <c r="AM53" s="410"/>
      <c r="AN53" s="410"/>
      <c r="AO53" s="410"/>
      <c r="AP53" s="411"/>
      <c r="AQ53" s="411"/>
    </row>
    <row r="54" spans="1:43" ht="18.75" customHeight="1" x14ac:dyDescent="0.25">
      <c r="A54" s="1164"/>
      <c r="B54" s="519" t="s">
        <v>440</v>
      </c>
      <c r="C54" s="1295"/>
      <c r="D54" s="1201"/>
      <c r="E54" s="1201"/>
      <c r="F54" s="1173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1069">
        <v>0</v>
      </c>
      <c r="W54" s="1069">
        <v>0</v>
      </c>
      <c r="X54" s="683">
        <v>0</v>
      </c>
      <c r="Y54" s="787">
        <v>0</v>
      </c>
      <c r="Z54" s="759"/>
      <c r="AA54" s="683"/>
      <c r="AB54" s="634"/>
      <c r="AC54" s="549"/>
      <c r="AD54" s="549"/>
      <c r="AE54" s="532"/>
      <c r="AF54" s="593"/>
      <c r="AG54" s="550"/>
      <c r="AH54" s="1080"/>
      <c r="AI54" s="588"/>
      <c r="AJ54" s="588"/>
      <c r="AK54" s="536">
        <f t="shared" si="0"/>
        <v>0</v>
      </c>
      <c r="AL54" s="416">
        <v>0</v>
      </c>
      <c r="AM54" s="410"/>
      <c r="AN54" s="410"/>
      <c r="AO54" s="410"/>
      <c r="AP54" s="411"/>
      <c r="AQ54" s="411"/>
    </row>
    <row r="55" spans="1:43" ht="18.75" customHeight="1" x14ac:dyDescent="0.25">
      <c r="A55" s="1164"/>
      <c r="B55" s="519" t="s">
        <v>441</v>
      </c>
      <c r="C55" s="1295"/>
      <c r="D55" s="1201"/>
      <c r="E55" s="1201"/>
      <c r="F55" s="1173"/>
      <c r="G55" s="518"/>
      <c r="H55" s="518"/>
      <c r="I55" s="518"/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1069">
        <v>0</v>
      </c>
      <c r="W55" s="1069">
        <v>0</v>
      </c>
      <c r="X55" s="683">
        <v>0</v>
      </c>
      <c r="Y55" s="787">
        <v>0</v>
      </c>
      <c r="Z55" s="759"/>
      <c r="AA55" s="683"/>
      <c r="AB55" s="634"/>
      <c r="AC55" s="549"/>
      <c r="AD55" s="549"/>
      <c r="AE55" s="532"/>
      <c r="AF55" s="593"/>
      <c r="AG55" s="550"/>
      <c r="AH55" s="1080"/>
      <c r="AI55" s="588"/>
      <c r="AJ55" s="588"/>
      <c r="AK55" s="536">
        <f t="shared" si="0"/>
        <v>0</v>
      </c>
      <c r="AL55" s="416">
        <v>0</v>
      </c>
      <c r="AM55" s="410"/>
      <c r="AN55" s="410"/>
      <c r="AO55" s="410"/>
      <c r="AP55" s="411"/>
      <c r="AQ55" s="411"/>
    </row>
    <row r="56" spans="1:43" ht="18.75" customHeight="1" x14ac:dyDescent="0.25">
      <c r="A56" s="1164"/>
      <c r="B56" s="519" t="s">
        <v>442</v>
      </c>
      <c r="C56" s="1295"/>
      <c r="D56" s="1201"/>
      <c r="E56" s="1201"/>
      <c r="F56" s="1173"/>
      <c r="G56" s="518"/>
      <c r="H56" s="518"/>
      <c r="I56" s="518"/>
      <c r="J56" s="518"/>
      <c r="K56" s="518"/>
      <c r="L56" s="518"/>
      <c r="M56" s="518"/>
      <c r="N56" s="518"/>
      <c r="O56" s="518"/>
      <c r="P56" s="637"/>
      <c r="Q56" s="518"/>
      <c r="R56" s="418"/>
      <c r="S56" s="418"/>
      <c r="T56" s="418"/>
      <c r="U56" s="420"/>
      <c r="V56" s="1069">
        <v>0</v>
      </c>
      <c r="W56" s="1069">
        <v>0</v>
      </c>
      <c r="X56" s="683">
        <v>0</v>
      </c>
      <c r="Y56" s="787">
        <v>0</v>
      </c>
      <c r="Z56" s="759"/>
      <c r="AA56" s="683"/>
      <c r="AB56" s="634"/>
      <c r="AC56" s="549"/>
      <c r="AD56" s="549"/>
      <c r="AE56" s="532"/>
      <c r="AF56" s="593"/>
      <c r="AG56" s="550"/>
      <c r="AH56" s="1080"/>
      <c r="AI56" s="588"/>
      <c r="AJ56" s="588"/>
      <c r="AK56" s="536">
        <f t="shared" si="0"/>
        <v>0</v>
      </c>
      <c r="AL56" s="416">
        <v>0</v>
      </c>
      <c r="AM56" s="410"/>
      <c r="AN56" s="410"/>
      <c r="AO56" s="410"/>
      <c r="AP56" s="411"/>
      <c r="AQ56" s="411"/>
    </row>
    <row r="57" spans="1:43" ht="18.75" customHeight="1" x14ac:dyDescent="0.25">
      <c r="A57" s="1164"/>
      <c r="B57" s="519" t="s">
        <v>443</v>
      </c>
      <c r="C57" s="1295"/>
      <c r="D57" s="1201"/>
      <c r="E57" s="1201"/>
      <c r="F57" s="1173"/>
      <c r="G57" s="518"/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1069">
        <v>0</v>
      </c>
      <c r="W57" s="1069">
        <v>0</v>
      </c>
      <c r="X57" s="683">
        <v>0</v>
      </c>
      <c r="Y57" s="787">
        <v>0</v>
      </c>
      <c r="Z57" s="759"/>
      <c r="AA57" s="683"/>
      <c r="AB57" s="634"/>
      <c r="AC57" s="549"/>
      <c r="AD57" s="549"/>
      <c r="AE57" s="532"/>
      <c r="AF57" s="593"/>
      <c r="AG57" s="550"/>
      <c r="AH57" s="1080"/>
      <c r="AI57" s="588"/>
      <c r="AJ57" s="588"/>
      <c r="AK57" s="536">
        <f t="shared" si="0"/>
        <v>0</v>
      </c>
      <c r="AL57" s="416">
        <v>0</v>
      </c>
      <c r="AM57" s="410"/>
      <c r="AN57" s="410"/>
      <c r="AO57" s="410"/>
      <c r="AP57" s="411"/>
      <c r="AQ57" s="411"/>
    </row>
    <row r="58" spans="1:43" ht="18.75" customHeight="1" x14ac:dyDescent="0.25">
      <c r="A58" s="1164"/>
      <c r="B58" s="519" t="s">
        <v>444</v>
      </c>
      <c r="C58" s="1295"/>
      <c r="D58" s="1201"/>
      <c r="E58" s="1201"/>
      <c r="F58" s="1173"/>
      <c r="G58" s="518"/>
      <c r="H58" s="518"/>
      <c r="I58" s="518"/>
      <c r="J58" s="518"/>
      <c r="K58" s="518"/>
      <c r="L58" s="518"/>
      <c r="M58" s="637">
        <v>5</v>
      </c>
      <c r="N58" s="518"/>
      <c r="O58" s="518"/>
      <c r="P58" s="637"/>
      <c r="Q58" s="518"/>
      <c r="R58" s="418"/>
      <c r="S58" s="418"/>
      <c r="T58" s="418"/>
      <c r="U58" s="420"/>
      <c r="V58" s="1069">
        <v>0</v>
      </c>
      <c r="W58" s="1069">
        <v>0</v>
      </c>
      <c r="X58" s="683">
        <v>0</v>
      </c>
      <c r="Y58" s="787">
        <v>0</v>
      </c>
      <c r="Z58" s="759"/>
      <c r="AA58" s="683"/>
      <c r="AB58" s="634"/>
      <c r="AC58" s="549"/>
      <c r="AD58" s="549"/>
      <c r="AE58" s="532"/>
      <c r="AF58" s="593"/>
      <c r="AG58" s="550"/>
      <c r="AH58" s="1080"/>
      <c r="AI58" s="588"/>
      <c r="AJ58" s="588"/>
      <c r="AK58" s="536">
        <f t="shared" si="0"/>
        <v>5</v>
      </c>
      <c r="AL58" s="416">
        <v>5</v>
      </c>
      <c r="AM58" s="410"/>
      <c r="AN58" s="410"/>
      <c r="AO58" s="410"/>
      <c r="AP58" s="411"/>
      <c r="AQ58" s="411"/>
    </row>
    <row r="59" spans="1:43" ht="18.75" customHeight="1" x14ac:dyDescent="0.3">
      <c r="A59" s="1164"/>
      <c r="B59" s="519" t="s">
        <v>445</v>
      </c>
      <c r="C59" s="1295"/>
      <c r="D59" s="1201"/>
      <c r="E59" s="1201"/>
      <c r="F59" s="1173"/>
      <c r="G59" s="518"/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1069">
        <v>0</v>
      </c>
      <c r="W59" s="1069">
        <v>0</v>
      </c>
      <c r="X59" s="683">
        <v>0</v>
      </c>
      <c r="Y59" s="788">
        <v>0</v>
      </c>
      <c r="Z59" s="759"/>
      <c r="AA59" s="683"/>
      <c r="AB59" s="634"/>
      <c r="AC59" s="549"/>
      <c r="AD59" s="549"/>
      <c r="AE59" s="532"/>
      <c r="AF59" s="593"/>
      <c r="AG59" s="550"/>
      <c r="AH59" s="1080"/>
      <c r="AI59" s="588"/>
      <c r="AJ59" s="588"/>
      <c r="AK59" s="536">
        <f t="shared" si="0"/>
        <v>0</v>
      </c>
      <c r="AL59" s="416">
        <v>0</v>
      </c>
      <c r="AM59" s="410"/>
      <c r="AN59" s="410"/>
      <c r="AO59" s="410"/>
      <c r="AP59" s="411"/>
      <c r="AQ59" s="411"/>
    </row>
    <row r="60" spans="1:43" ht="18.75" customHeight="1" x14ac:dyDescent="0.25">
      <c r="A60" s="1164"/>
      <c r="B60" s="519" t="s">
        <v>446</v>
      </c>
      <c r="C60" s="1295"/>
      <c r="D60" s="1201"/>
      <c r="E60" s="1201"/>
      <c r="F60" s="1173"/>
      <c r="G60" s="518"/>
      <c r="H60" s="518"/>
      <c r="I60" s="518"/>
      <c r="J60" s="518"/>
      <c r="K60" s="518"/>
      <c r="L60" s="518"/>
      <c r="M60" s="518"/>
      <c r="N60" s="637">
        <v>1</v>
      </c>
      <c r="O60" s="518"/>
      <c r="P60" s="518"/>
      <c r="Q60" s="637"/>
      <c r="R60" s="418"/>
      <c r="S60" s="418"/>
      <c r="T60" s="542">
        <v>4</v>
      </c>
      <c r="U60" s="420"/>
      <c r="V60" s="1069">
        <v>0</v>
      </c>
      <c r="W60" s="1069">
        <v>0</v>
      </c>
      <c r="X60" s="683">
        <v>0</v>
      </c>
      <c r="Y60" s="787">
        <v>0</v>
      </c>
      <c r="Z60" s="683"/>
      <c r="AA60" s="683"/>
      <c r="AB60" s="634"/>
      <c r="AC60" s="549"/>
      <c r="AD60" s="549"/>
      <c r="AE60" s="532"/>
      <c r="AF60" s="593"/>
      <c r="AG60" s="550"/>
      <c r="AH60" s="1080"/>
      <c r="AI60" s="588"/>
      <c r="AJ60" s="588"/>
      <c r="AK60" s="536">
        <f t="shared" si="0"/>
        <v>5</v>
      </c>
      <c r="AL60" s="416">
        <v>5</v>
      </c>
      <c r="AM60" s="410"/>
      <c r="AN60" s="410"/>
      <c r="AO60" s="410"/>
      <c r="AP60" s="411"/>
      <c r="AQ60" s="411"/>
    </row>
    <row r="61" spans="1:43" ht="18.75" customHeight="1" x14ac:dyDescent="0.25">
      <c r="A61" s="1164"/>
      <c r="B61" s="519" t="s">
        <v>447</v>
      </c>
      <c r="C61" s="1295"/>
      <c r="D61" s="1201"/>
      <c r="E61" s="1201"/>
      <c r="F61" s="1173"/>
      <c r="G61" s="518"/>
      <c r="H61" s="637"/>
      <c r="I61" s="518"/>
      <c r="J61" s="637"/>
      <c r="K61" s="518"/>
      <c r="L61" s="518"/>
      <c r="M61" s="518"/>
      <c r="N61" s="637">
        <v>2</v>
      </c>
      <c r="O61" s="518"/>
      <c r="P61" s="637"/>
      <c r="Q61" s="637"/>
      <c r="R61" s="542"/>
      <c r="S61" s="418"/>
      <c r="T61" s="418"/>
      <c r="U61" s="420"/>
      <c r="V61" s="1069">
        <v>0</v>
      </c>
      <c r="W61" s="1069">
        <v>0</v>
      </c>
      <c r="X61" s="683">
        <v>0</v>
      </c>
      <c r="Y61" s="787">
        <v>0</v>
      </c>
      <c r="Z61" s="683"/>
      <c r="AA61" s="683"/>
      <c r="AB61" s="634"/>
      <c r="AC61" s="549"/>
      <c r="AD61" s="549"/>
      <c r="AE61" s="532"/>
      <c r="AF61" s="593"/>
      <c r="AG61" s="550"/>
      <c r="AH61" s="1080"/>
      <c r="AI61" s="588"/>
      <c r="AJ61" s="588"/>
      <c r="AK61" s="536">
        <f t="shared" si="0"/>
        <v>2</v>
      </c>
      <c r="AL61" s="416">
        <v>2</v>
      </c>
      <c r="AM61" s="410"/>
      <c r="AN61" s="410"/>
      <c r="AO61" s="410"/>
      <c r="AP61" s="411"/>
      <c r="AQ61" s="411"/>
    </row>
    <row r="62" spans="1:43" ht="18.75" customHeight="1" x14ac:dyDescent="0.3">
      <c r="A62" s="1164"/>
      <c r="B62" s="519" t="s">
        <v>448</v>
      </c>
      <c r="C62" s="1295"/>
      <c r="D62" s="1201"/>
      <c r="E62" s="1201"/>
      <c r="F62" s="1173"/>
      <c r="G62" s="518"/>
      <c r="H62" s="637"/>
      <c r="I62" s="518"/>
      <c r="J62" s="518"/>
      <c r="K62" s="518"/>
      <c r="L62" s="518"/>
      <c r="M62" s="518"/>
      <c r="N62" s="637">
        <v>2</v>
      </c>
      <c r="O62" s="518"/>
      <c r="P62" s="518"/>
      <c r="Q62" s="518"/>
      <c r="R62" s="418"/>
      <c r="S62" s="418"/>
      <c r="T62" s="418"/>
      <c r="U62" s="420"/>
      <c r="V62" s="1069">
        <v>0</v>
      </c>
      <c r="W62" s="1069">
        <v>0</v>
      </c>
      <c r="X62" s="683">
        <v>0</v>
      </c>
      <c r="Y62" s="788">
        <v>0</v>
      </c>
      <c r="Z62" s="683"/>
      <c r="AA62" s="683">
        <v>2</v>
      </c>
      <c r="AB62" s="634"/>
      <c r="AC62" s="549"/>
      <c r="AD62" s="549"/>
      <c r="AE62" s="532"/>
      <c r="AF62" s="593"/>
      <c r="AG62" s="550"/>
      <c r="AH62" s="792"/>
      <c r="AI62" s="588"/>
      <c r="AJ62" s="588"/>
      <c r="AK62" s="536">
        <f t="shared" si="0"/>
        <v>4</v>
      </c>
      <c r="AL62" s="416">
        <v>4</v>
      </c>
      <c r="AM62" s="410"/>
      <c r="AN62" s="410"/>
      <c r="AO62" s="410"/>
      <c r="AP62" s="411"/>
      <c r="AQ62" s="411"/>
    </row>
    <row r="63" spans="1:43" ht="18.75" customHeight="1" x14ac:dyDescent="0.25">
      <c r="A63" s="1164"/>
      <c r="B63" s="519" t="s">
        <v>449</v>
      </c>
      <c r="C63" s="1295"/>
      <c r="D63" s="1201"/>
      <c r="E63" s="1201"/>
      <c r="F63" s="1173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637">
        <v>1</v>
      </c>
      <c r="R63" s="418"/>
      <c r="S63" s="418"/>
      <c r="T63" s="418"/>
      <c r="U63" s="420"/>
      <c r="V63" s="1069">
        <v>0</v>
      </c>
      <c r="W63" s="1069">
        <v>0</v>
      </c>
      <c r="X63" s="683">
        <v>0</v>
      </c>
      <c r="Y63" s="787">
        <v>0</v>
      </c>
      <c r="Z63" s="683"/>
      <c r="AA63" s="683"/>
      <c r="AB63" s="634"/>
      <c r="AC63" s="549"/>
      <c r="AD63" s="549"/>
      <c r="AE63" s="532"/>
      <c r="AF63" s="593"/>
      <c r="AG63" s="550"/>
      <c r="AH63" s="792"/>
      <c r="AI63" s="588"/>
      <c r="AJ63" s="588"/>
      <c r="AK63" s="536">
        <f t="shared" si="0"/>
        <v>1</v>
      </c>
      <c r="AL63" s="416">
        <v>1</v>
      </c>
      <c r="AM63" s="410"/>
      <c r="AN63" s="410"/>
      <c r="AO63" s="410"/>
      <c r="AP63" s="411"/>
      <c r="AQ63" s="411"/>
    </row>
    <row r="64" spans="1:43" ht="18.75" customHeight="1" x14ac:dyDescent="0.3">
      <c r="A64" s="1164"/>
      <c r="B64" s="519" t="s">
        <v>455</v>
      </c>
      <c r="C64" s="1295"/>
      <c r="D64" s="1201"/>
      <c r="E64" s="1201"/>
      <c r="F64" s="1173"/>
      <c r="G64" s="518"/>
      <c r="H64" s="520"/>
      <c r="I64" s="520"/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1015">
        <v>0</v>
      </c>
      <c r="W64" s="683">
        <v>0</v>
      </c>
      <c r="X64" s="683">
        <v>0</v>
      </c>
      <c r="Y64" s="788">
        <v>0</v>
      </c>
      <c r="Z64" s="683"/>
      <c r="AA64" s="683"/>
      <c r="AB64" s="634"/>
      <c r="AC64" s="549"/>
      <c r="AD64" s="549"/>
      <c r="AE64" s="532"/>
      <c r="AF64" s="593"/>
      <c r="AG64" s="550"/>
      <c r="AH64" s="792"/>
      <c r="AI64" s="588"/>
      <c r="AJ64" s="588"/>
      <c r="AK64" s="536">
        <f t="shared" si="0"/>
        <v>0</v>
      </c>
      <c r="AL64" s="416">
        <v>0</v>
      </c>
      <c r="AM64" s="410"/>
      <c r="AN64" s="410"/>
      <c r="AO64" s="410"/>
      <c r="AP64" s="411"/>
      <c r="AQ64" s="411"/>
    </row>
    <row r="65" spans="1:43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520"/>
      <c r="I65" s="520"/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683">
        <v>0</v>
      </c>
      <c r="W65" s="683">
        <v>0</v>
      </c>
      <c r="X65" s="683">
        <v>0</v>
      </c>
      <c r="Y65" s="787">
        <v>0</v>
      </c>
      <c r="Z65" s="683"/>
      <c r="AA65" s="683"/>
      <c r="AB65" s="634"/>
      <c r="AC65" s="549"/>
      <c r="AD65" s="549"/>
      <c r="AE65" s="532"/>
      <c r="AF65" s="593"/>
      <c r="AG65" s="550"/>
      <c r="AH65" s="686"/>
      <c r="AI65" s="789"/>
      <c r="AJ65" s="588"/>
      <c r="AK65" s="536">
        <f t="shared" si="0"/>
        <v>0</v>
      </c>
      <c r="AL65" s="416">
        <v>0</v>
      </c>
      <c r="AM65" s="410"/>
      <c r="AN65" s="410"/>
      <c r="AO65" s="410"/>
      <c r="AP65" s="411"/>
      <c r="AQ65" s="411"/>
    </row>
    <row r="66" spans="1:43" ht="18.75" customHeight="1" x14ac:dyDescent="0.25">
      <c r="A66" s="1165"/>
      <c r="B66" s="519" t="s">
        <v>457</v>
      </c>
      <c r="C66" s="1295"/>
      <c r="D66" s="1201"/>
      <c r="E66" s="1201"/>
      <c r="F66" s="1173"/>
      <c r="G66" s="418"/>
      <c r="H66" s="418"/>
      <c r="I66" s="418"/>
      <c r="J66" s="418"/>
      <c r="K66" s="520"/>
      <c r="L66" s="520"/>
      <c r="M66" s="418"/>
      <c r="N66" s="542">
        <v>1</v>
      </c>
      <c r="O66" s="418"/>
      <c r="P66" s="542"/>
      <c r="Q66" s="637">
        <v>26</v>
      </c>
      <c r="R66" s="542"/>
      <c r="S66" s="418"/>
      <c r="T66" s="418"/>
      <c r="U66" s="420"/>
      <c r="V66" s="683">
        <v>0</v>
      </c>
      <c r="W66" s="683">
        <v>0</v>
      </c>
      <c r="X66" s="683">
        <v>0</v>
      </c>
      <c r="Y66" s="683">
        <v>0</v>
      </c>
      <c r="Z66" s="683"/>
      <c r="AA66" s="790"/>
      <c r="AB66" s="634"/>
      <c r="AC66" s="549"/>
      <c r="AD66" s="549"/>
      <c r="AE66" s="532"/>
      <c r="AF66" s="593"/>
      <c r="AG66" s="791"/>
      <c r="AH66" s="792"/>
      <c r="AI66" s="761"/>
      <c r="AJ66" s="588"/>
      <c r="AK66" s="716">
        <f t="shared" si="0"/>
        <v>27</v>
      </c>
      <c r="AL66" s="416">
        <v>27</v>
      </c>
      <c r="AM66" s="410"/>
      <c r="AN66" s="410"/>
      <c r="AO66" s="410"/>
      <c r="AP66" s="411"/>
      <c r="AQ66" s="411"/>
    </row>
    <row r="67" spans="1:43" ht="30" customHeight="1" x14ac:dyDescent="0.3">
      <c r="A67" s="305"/>
      <c r="B67" s="717" t="s">
        <v>482</v>
      </c>
      <c r="C67" s="1295"/>
      <c r="D67" s="1201"/>
      <c r="E67" s="1201"/>
      <c r="F67" s="1173"/>
      <c r="G67" s="1334"/>
      <c r="H67" s="1288"/>
      <c r="I67" s="1288"/>
      <c r="J67" s="1288"/>
      <c r="K67" s="1288"/>
      <c r="L67" s="1288"/>
      <c r="M67" s="1288"/>
      <c r="N67" s="1288"/>
      <c r="O67" s="1288"/>
      <c r="P67" s="1288"/>
      <c r="Q67" s="1288"/>
      <c r="R67" s="1288"/>
      <c r="S67" s="1288"/>
      <c r="T67" s="1288"/>
      <c r="U67" s="1288"/>
      <c r="V67" s="1288"/>
      <c r="W67" s="1288"/>
      <c r="X67" s="1288"/>
      <c r="Y67" s="1288"/>
      <c r="Z67" s="1288"/>
      <c r="AA67" s="1288"/>
      <c r="AB67" s="1288"/>
      <c r="AC67" s="1288"/>
      <c r="AD67" s="1288"/>
      <c r="AE67" s="1288"/>
      <c r="AF67" s="1288"/>
      <c r="AG67" s="1288"/>
      <c r="AH67" s="1288"/>
      <c r="AI67" s="1288"/>
      <c r="AJ67" s="1289"/>
      <c r="AK67" s="718">
        <f>SUM(AK7+AK10+AK15+AK20)</f>
        <v>3148</v>
      </c>
      <c r="AL67" s="416"/>
      <c r="AM67" s="410"/>
      <c r="AN67" s="410"/>
      <c r="AO67" s="410"/>
      <c r="AP67" s="411"/>
      <c r="AQ67" s="411"/>
    </row>
    <row r="68" spans="1:43" ht="23.25" customHeight="1" x14ac:dyDescent="0.3">
      <c r="A68" s="305"/>
      <c r="B68" s="305"/>
      <c r="C68" s="1296"/>
      <c r="D68" s="1288"/>
      <c r="E68" s="1288"/>
      <c r="F68" s="1289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719"/>
      <c r="AL68" s="410"/>
      <c r="AM68" s="410"/>
      <c r="AN68" s="410"/>
      <c r="AO68" s="410"/>
      <c r="AP68" s="411"/>
      <c r="AQ68" s="411"/>
    </row>
    <row r="69" spans="1:43" ht="27" customHeight="1" x14ac:dyDescent="0.25">
      <c r="AQ69" s="411"/>
    </row>
    <row r="70" spans="1:43" ht="18.75" customHeight="1" x14ac:dyDescent="0.25">
      <c r="AQ70" s="522"/>
    </row>
    <row r="71" spans="1:43" ht="15.75" customHeight="1" x14ac:dyDescent="0.25">
      <c r="AQ71" s="522"/>
    </row>
    <row r="72" spans="1:43" ht="12.75" customHeight="1" x14ac:dyDescent="0.25">
      <c r="AQ72" s="522"/>
    </row>
    <row r="73" spans="1:43" ht="12.75" customHeight="1" x14ac:dyDescent="0.25">
      <c r="AQ73" s="522"/>
    </row>
    <row r="74" spans="1:43" ht="12.75" customHeight="1" x14ac:dyDescent="0.25">
      <c r="AQ74" s="522"/>
    </row>
    <row r="75" spans="1:43" ht="12.75" customHeight="1" x14ac:dyDescent="0.25">
      <c r="AQ75" s="522"/>
    </row>
    <row r="76" spans="1:43" ht="12.75" customHeight="1" x14ac:dyDescent="0.25">
      <c r="AQ76" s="522"/>
    </row>
    <row r="77" spans="1:43" ht="12.75" customHeight="1" x14ac:dyDescent="0.25">
      <c r="AQ77" s="522"/>
    </row>
    <row r="78" spans="1:43" ht="12.75" customHeight="1" x14ac:dyDescent="0.25"/>
    <row r="79" spans="1:43" ht="12.75" customHeight="1" x14ac:dyDescent="0.25"/>
    <row r="80" spans="1:43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</sheetData>
  <mergeCells count="54">
    <mergeCell ref="G67:AJ67"/>
    <mergeCell ref="C27:F27"/>
    <mergeCell ref="C28:F28"/>
    <mergeCell ref="C29:F29"/>
    <mergeCell ref="C30:F30"/>
    <mergeCell ref="C31:F31"/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G1:AI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AA1"/>
    <mergeCell ref="AB1:AE1"/>
    <mergeCell ref="C21:F21"/>
    <mergeCell ref="C22:F22"/>
    <mergeCell ref="C23:F23"/>
    <mergeCell ref="C24:F24"/>
    <mergeCell ref="C25:F25"/>
    <mergeCell ref="C26:F26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8"/>
    <mergeCell ref="A37:A44"/>
    <mergeCell ref="B37:B38"/>
    <mergeCell ref="B39:B40"/>
    <mergeCell ref="B41:B42"/>
    <mergeCell ref="B43:B44"/>
    <mergeCell ref="C43:F43"/>
    <mergeCell ref="C44:F44"/>
  </mergeCells>
  <conditionalFormatting sqref="X2">
    <cfRule type="notContainsBlanks" dxfId="1" priority="1">
      <formula>LEN(TRIM(X2))&gt;0</formula>
    </cfRule>
  </conditionalFormatting>
  <pageMargins left="0.7" right="0.7" top="0.75" bottom="0.75" header="0" footer="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1004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43.77734375" customWidth="1" outlineLevel="2"/>
    <col min="3" max="5" width="8.6640625" customWidth="1"/>
    <col min="6" max="6" width="2.21875" customWidth="1"/>
    <col min="7" max="11" width="8.6640625" customWidth="1"/>
    <col min="12" max="12" width="10" customWidth="1"/>
    <col min="13" max="18" width="8.6640625" customWidth="1"/>
    <col min="19" max="19" width="10.77734375" customWidth="1"/>
    <col min="20" max="21" width="8.6640625" customWidth="1"/>
    <col min="22" max="28" width="10.109375" customWidth="1"/>
    <col min="29" max="29" width="9" customWidth="1"/>
    <col min="30" max="30" width="8.77734375" customWidth="1"/>
    <col min="31" max="31" width="9.6640625" customWidth="1"/>
    <col min="32" max="37" width="11.44140625" customWidth="1"/>
    <col min="38" max="43" width="8.6640625" customWidth="1"/>
  </cols>
  <sheetData>
    <row r="1" spans="1:43" ht="28.5" customHeight="1" x14ac:dyDescent="0.4">
      <c r="A1" s="397"/>
      <c r="B1" s="398"/>
      <c r="C1" s="1298" t="s">
        <v>393</v>
      </c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332" t="s">
        <v>473</v>
      </c>
      <c r="W1" s="1178"/>
      <c r="X1" s="1178"/>
      <c r="Y1" s="1178"/>
      <c r="Z1" s="1178"/>
      <c r="AA1" s="1179"/>
      <c r="AB1" s="1332" t="s">
        <v>458</v>
      </c>
      <c r="AC1" s="1178"/>
      <c r="AD1" s="1178"/>
      <c r="AE1" s="1178"/>
      <c r="AF1" s="670" t="s">
        <v>91</v>
      </c>
      <c r="AG1" s="1335" t="s">
        <v>459</v>
      </c>
      <c r="AH1" s="1178"/>
      <c r="AI1" s="1179"/>
      <c r="AJ1" s="671" t="s">
        <v>399</v>
      </c>
      <c r="AK1" s="644"/>
      <c r="AL1" s="644"/>
      <c r="AM1" s="399"/>
      <c r="AN1" s="399"/>
      <c r="AO1" s="399"/>
      <c r="AP1" s="399"/>
      <c r="AQ1" s="399"/>
    </row>
    <row r="2" spans="1:43" ht="33" customHeight="1" x14ac:dyDescent="0.3">
      <c r="A2" s="397"/>
      <c r="B2" s="398"/>
      <c r="C2" s="1312"/>
      <c r="D2" s="1201"/>
      <c r="E2" s="1201"/>
      <c r="F2" s="1201"/>
      <c r="G2" s="970" t="s">
        <v>99</v>
      </c>
      <c r="H2" s="972" t="s">
        <v>100</v>
      </c>
      <c r="I2" s="972" t="s">
        <v>198</v>
      </c>
      <c r="J2" s="1081" t="s">
        <v>21</v>
      </c>
      <c r="K2" s="1082" t="s">
        <v>102</v>
      </c>
      <c r="L2" s="1083" t="s">
        <v>395</v>
      </c>
      <c r="M2" s="1081" t="s">
        <v>396</v>
      </c>
      <c r="N2" s="1081" t="s">
        <v>105</v>
      </c>
      <c r="O2" s="1081" t="s">
        <v>106</v>
      </c>
      <c r="P2" s="1081" t="s">
        <v>107</v>
      </c>
      <c r="Q2" s="1084" t="s">
        <v>215</v>
      </c>
      <c r="R2" s="1085" t="s">
        <v>34</v>
      </c>
      <c r="S2" s="1086" t="s">
        <v>397</v>
      </c>
      <c r="T2" s="1085" t="s">
        <v>110</v>
      </c>
      <c r="U2" s="530" t="s">
        <v>111</v>
      </c>
      <c r="V2" s="1087" t="s">
        <v>45</v>
      </c>
      <c r="W2" s="1087" t="s">
        <v>49</v>
      </c>
      <c r="X2" s="1088" t="s">
        <v>399</v>
      </c>
      <c r="Y2" s="1087" t="s">
        <v>341</v>
      </c>
      <c r="Z2" s="1087" t="s">
        <v>321</v>
      </c>
      <c r="AA2" s="1087" t="s">
        <v>474</v>
      </c>
      <c r="AB2" s="1089" t="s">
        <v>115</v>
      </c>
      <c r="AC2" s="1090" t="s">
        <v>116</v>
      </c>
      <c r="AD2" s="1090" t="s">
        <v>80</v>
      </c>
      <c r="AE2" s="1090" t="s">
        <v>117</v>
      </c>
      <c r="AF2" s="1091" t="s">
        <v>460</v>
      </c>
      <c r="AG2" s="982" t="s">
        <v>347</v>
      </c>
      <c r="AH2" s="1092" t="s">
        <v>70</v>
      </c>
      <c r="AI2" s="802" t="s">
        <v>72</v>
      </c>
      <c r="AJ2" s="802" t="s">
        <v>75</v>
      </c>
      <c r="AK2" s="534" t="s">
        <v>398</v>
      </c>
      <c r="AL2" s="409"/>
      <c r="AM2" s="409"/>
      <c r="AN2" s="729"/>
      <c r="AO2" s="410"/>
      <c r="AP2" s="411"/>
      <c r="AQ2" s="411"/>
    </row>
    <row r="3" spans="1:43" ht="22.5" customHeight="1" x14ac:dyDescent="0.3">
      <c r="A3" s="1248" t="s">
        <v>401</v>
      </c>
      <c r="B3" s="412" t="s">
        <v>402</v>
      </c>
      <c r="C3" s="1314"/>
      <c r="D3" s="1315"/>
      <c r="E3" s="1315"/>
      <c r="F3" s="1316"/>
      <c r="G3" s="677">
        <v>120</v>
      </c>
      <c r="H3" s="677">
        <v>120</v>
      </c>
      <c r="I3" s="677">
        <v>120</v>
      </c>
      <c r="J3" s="677">
        <v>120</v>
      </c>
      <c r="K3" s="677">
        <v>120</v>
      </c>
      <c r="L3" s="677">
        <v>120</v>
      </c>
      <c r="M3" s="677">
        <v>120</v>
      </c>
      <c r="N3" s="677">
        <v>120</v>
      </c>
      <c r="O3" s="677">
        <v>120</v>
      </c>
      <c r="P3" s="677">
        <v>120</v>
      </c>
      <c r="Q3" s="677">
        <v>120</v>
      </c>
      <c r="R3" s="677">
        <v>120</v>
      </c>
      <c r="S3" s="677">
        <v>120</v>
      </c>
      <c r="T3" s="677">
        <v>120</v>
      </c>
      <c r="U3" s="678">
        <v>0</v>
      </c>
      <c r="V3" s="680">
        <v>120</v>
      </c>
      <c r="W3" s="680">
        <v>120</v>
      </c>
      <c r="X3" s="680">
        <v>120</v>
      </c>
      <c r="Y3" s="680">
        <v>120</v>
      </c>
      <c r="Z3" s="680">
        <v>120</v>
      </c>
      <c r="AA3" s="680">
        <v>120</v>
      </c>
      <c r="AB3" s="681">
        <v>120</v>
      </c>
      <c r="AC3" s="682">
        <v>120</v>
      </c>
      <c r="AD3" s="682">
        <v>120</v>
      </c>
      <c r="AE3" s="682">
        <v>120</v>
      </c>
      <c r="AF3" s="730">
        <v>120</v>
      </c>
      <c r="AG3" s="1093">
        <v>120</v>
      </c>
      <c r="AH3" s="1094">
        <v>120</v>
      </c>
      <c r="AI3" s="1094">
        <v>120</v>
      </c>
      <c r="AJ3" s="1094">
        <v>120</v>
      </c>
      <c r="AK3" s="536">
        <f t="shared" ref="AK3:AK66" si="0">SUM(G3:AJ3)</f>
        <v>3480</v>
      </c>
      <c r="AL3" s="421">
        <v>3480</v>
      </c>
      <c r="AM3" s="410"/>
      <c r="AN3" s="410"/>
      <c r="AO3" s="410"/>
      <c r="AP3" s="411"/>
      <c r="AQ3" s="411"/>
    </row>
    <row r="4" spans="1:43" ht="27" customHeight="1" x14ac:dyDescent="0.3">
      <c r="A4" s="1249"/>
      <c r="B4" s="417" t="s">
        <v>403</v>
      </c>
      <c r="C4" s="1295"/>
      <c r="D4" s="1201"/>
      <c r="E4" s="1201"/>
      <c r="F4" s="1240"/>
      <c r="G4" s="1095">
        <v>80</v>
      </c>
      <c r="H4" s="518">
        <v>120</v>
      </c>
      <c r="I4" s="637">
        <v>119</v>
      </c>
      <c r="J4" s="418">
        <v>80</v>
      </c>
      <c r="K4" s="418">
        <v>80</v>
      </c>
      <c r="L4" s="542">
        <v>120</v>
      </c>
      <c r="M4" s="418">
        <v>120</v>
      </c>
      <c r="N4" s="418">
        <v>90</v>
      </c>
      <c r="O4" s="418">
        <v>120</v>
      </c>
      <c r="P4" s="418">
        <v>120</v>
      </c>
      <c r="Q4" s="418">
        <v>120</v>
      </c>
      <c r="R4" s="418">
        <v>120</v>
      </c>
      <c r="S4" s="418">
        <v>120</v>
      </c>
      <c r="T4" s="418">
        <v>120</v>
      </c>
      <c r="U4" s="419">
        <v>0</v>
      </c>
      <c r="V4" s="637">
        <v>120</v>
      </c>
      <c r="W4" s="637">
        <v>120</v>
      </c>
      <c r="X4" s="637">
        <v>120</v>
      </c>
      <c r="Y4" s="637">
        <v>120</v>
      </c>
      <c r="Z4" s="637">
        <v>120</v>
      </c>
      <c r="AA4" s="637">
        <v>120</v>
      </c>
      <c r="AB4" s="684">
        <v>120</v>
      </c>
      <c r="AC4" s="538">
        <v>120</v>
      </c>
      <c r="AD4" s="538">
        <v>120</v>
      </c>
      <c r="AE4" s="539">
        <v>120</v>
      </c>
      <c r="AF4" s="731">
        <v>120</v>
      </c>
      <c r="AG4" s="814">
        <v>120</v>
      </c>
      <c r="AH4" s="814">
        <v>120</v>
      </c>
      <c r="AI4" s="814">
        <v>120</v>
      </c>
      <c r="AJ4" s="814">
        <v>120</v>
      </c>
      <c r="AK4" s="536">
        <f t="shared" si="0"/>
        <v>3329</v>
      </c>
      <c r="AL4" s="421">
        <v>3329</v>
      </c>
      <c r="AM4" s="422"/>
      <c r="AN4" s="422"/>
      <c r="AO4" s="422"/>
      <c r="AP4" s="422"/>
      <c r="AQ4" s="411"/>
    </row>
    <row r="5" spans="1:43" ht="24.75" customHeight="1" x14ac:dyDescent="0.3">
      <c r="A5" s="1253" t="s">
        <v>404</v>
      </c>
      <c r="B5" s="423" t="s">
        <v>405</v>
      </c>
      <c r="C5" s="1295"/>
      <c r="D5" s="1201"/>
      <c r="E5" s="1201"/>
      <c r="F5" s="1240"/>
      <c r="G5" s="1096">
        <v>50</v>
      </c>
      <c r="H5" s="626">
        <v>50</v>
      </c>
      <c r="I5" s="626">
        <v>50</v>
      </c>
      <c r="J5" s="541">
        <v>75</v>
      </c>
      <c r="K5" s="541">
        <v>50</v>
      </c>
      <c r="L5" s="541">
        <v>50</v>
      </c>
      <c r="M5" s="541">
        <v>50</v>
      </c>
      <c r="N5" s="542">
        <v>50</v>
      </c>
      <c r="O5" s="541">
        <v>50</v>
      </c>
      <c r="P5" s="541">
        <v>50</v>
      </c>
      <c r="Q5" s="541">
        <v>50</v>
      </c>
      <c r="R5" s="543">
        <v>75</v>
      </c>
      <c r="S5" s="541">
        <v>50</v>
      </c>
      <c r="T5" s="541">
        <v>50</v>
      </c>
      <c r="U5" s="419">
        <v>0</v>
      </c>
      <c r="V5" s="637">
        <v>50</v>
      </c>
      <c r="W5" s="637">
        <v>50</v>
      </c>
      <c r="X5" s="637">
        <v>50</v>
      </c>
      <c r="Y5" s="637">
        <v>50</v>
      </c>
      <c r="Z5" s="637">
        <v>50</v>
      </c>
      <c r="AA5" s="637">
        <v>50</v>
      </c>
      <c r="AB5" s="684">
        <v>50</v>
      </c>
      <c r="AC5" s="538">
        <v>50</v>
      </c>
      <c r="AD5" s="538">
        <v>50</v>
      </c>
      <c r="AE5" s="539">
        <v>50</v>
      </c>
      <c r="AF5" s="732">
        <v>50</v>
      </c>
      <c r="AG5" s="817">
        <v>50</v>
      </c>
      <c r="AH5" s="817">
        <v>50</v>
      </c>
      <c r="AI5" s="814">
        <v>50</v>
      </c>
      <c r="AJ5" s="814">
        <v>50</v>
      </c>
      <c r="AK5" s="536">
        <f t="shared" si="0"/>
        <v>1500</v>
      </c>
      <c r="AL5" s="421">
        <v>1500</v>
      </c>
      <c r="AM5" s="410"/>
      <c r="AN5" s="410"/>
      <c r="AO5" s="410"/>
      <c r="AP5" s="411"/>
      <c r="AQ5" s="411"/>
    </row>
    <row r="6" spans="1:43" ht="23.25" customHeight="1" x14ac:dyDescent="0.3">
      <c r="A6" s="1254"/>
      <c r="B6" s="428" t="s">
        <v>406</v>
      </c>
      <c r="C6" s="1295"/>
      <c r="D6" s="1201"/>
      <c r="E6" s="1201"/>
      <c r="F6" s="1240"/>
      <c r="G6" s="1096"/>
      <c r="H6" s="1097">
        <v>2</v>
      </c>
      <c r="I6" s="987">
        <v>0</v>
      </c>
      <c r="J6" s="544">
        <v>2</v>
      </c>
      <c r="K6" s="544">
        <v>0</v>
      </c>
      <c r="L6" s="544">
        <v>0</v>
      </c>
      <c r="M6" s="545">
        <v>2</v>
      </c>
      <c r="N6" s="545">
        <v>0</v>
      </c>
      <c r="O6" s="545">
        <v>2</v>
      </c>
      <c r="P6" s="546">
        <v>0</v>
      </c>
      <c r="Q6" s="545">
        <v>7</v>
      </c>
      <c r="R6" s="545">
        <v>1</v>
      </c>
      <c r="S6" s="548">
        <v>0</v>
      </c>
      <c r="T6" s="685">
        <v>6</v>
      </c>
      <c r="U6" s="434">
        <v>0</v>
      </c>
      <c r="V6" s="1098">
        <v>5</v>
      </c>
      <c r="W6" s="824">
        <v>2</v>
      </c>
      <c r="X6" s="824">
        <v>0</v>
      </c>
      <c r="Y6" s="824">
        <v>0</v>
      </c>
      <c r="Z6" s="824">
        <v>2</v>
      </c>
      <c r="AA6" s="823">
        <v>0</v>
      </c>
      <c r="AB6" s="684">
        <v>0</v>
      </c>
      <c r="AC6" s="538">
        <v>1</v>
      </c>
      <c r="AD6" s="538">
        <v>0</v>
      </c>
      <c r="AE6" s="563">
        <v>0</v>
      </c>
      <c r="AF6" s="733">
        <v>4</v>
      </c>
      <c r="AG6" s="819">
        <v>0</v>
      </c>
      <c r="AH6" s="819">
        <v>4</v>
      </c>
      <c r="AI6" s="819">
        <v>3</v>
      </c>
      <c r="AJ6" s="959">
        <v>2</v>
      </c>
      <c r="AK6" s="536">
        <f t="shared" si="0"/>
        <v>45</v>
      </c>
      <c r="AL6" s="421">
        <v>45</v>
      </c>
      <c r="AM6" s="410"/>
      <c r="AN6" s="410"/>
      <c r="AO6" s="410"/>
      <c r="AP6" s="411"/>
      <c r="AQ6" s="411"/>
    </row>
    <row r="7" spans="1:43" ht="21.75" customHeight="1" x14ac:dyDescent="0.3">
      <c r="A7" s="1254"/>
      <c r="B7" s="428" t="s">
        <v>407</v>
      </c>
      <c r="C7" s="1295"/>
      <c r="D7" s="1201"/>
      <c r="E7" s="1201"/>
      <c r="F7" s="1240"/>
      <c r="G7" s="1099"/>
      <c r="H7" s="1100">
        <v>2</v>
      </c>
      <c r="I7" s="830">
        <v>0</v>
      </c>
      <c r="J7" s="828">
        <v>7</v>
      </c>
      <c r="K7" s="734">
        <v>2</v>
      </c>
      <c r="L7" s="829">
        <v>0</v>
      </c>
      <c r="M7" s="829">
        <v>0</v>
      </c>
      <c r="N7" s="829">
        <v>0</v>
      </c>
      <c r="O7" s="829">
        <v>2</v>
      </c>
      <c r="P7" s="829">
        <v>0</v>
      </c>
      <c r="Q7" s="829">
        <v>7</v>
      </c>
      <c r="R7" s="829">
        <v>1</v>
      </c>
      <c r="S7" s="554">
        <v>0</v>
      </c>
      <c r="T7" s="555">
        <v>0</v>
      </c>
      <c r="U7" s="441">
        <v>0</v>
      </c>
      <c r="V7" s="665">
        <v>1</v>
      </c>
      <c r="W7" s="665">
        <v>2</v>
      </c>
      <c r="X7" s="665">
        <v>1</v>
      </c>
      <c r="Y7" s="665">
        <v>0</v>
      </c>
      <c r="Z7" s="665">
        <v>3</v>
      </c>
      <c r="AA7" s="665">
        <v>0</v>
      </c>
      <c r="AB7" s="688">
        <v>0</v>
      </c>
      <c r="AC7" s="556">
        <v>0</v>
      </c>
      <c r="AD7" s="538">
        <v>0</v>
      </c>
      <c r="AE7" s="585">
        <v>0</v>
      </c>
      <c r="AF7" s="735">
        <v>2</v>
      </c>
      <c r="AG7" s="830">
        <v>8</v>
      </c>
      <c r="AH7" s="830">
        <v>12</v>
      </c>
      <c r="AI7" s="830">
        <v>5</v>
      </c>
      <c r="AJ7" s="844">
        <v>2</v>
      </c>
      <c r="AK7" s="689">
        <f t="shared" si="0"/>
        <v>57</v>
      </c>
      <c r="AL7" s="421">
        <v>57</v>
      </c>
      <c r="AM7" s="410"/>
      <c r="AN7" s="410"/>
      <c r="AO7" s="410"/>
      <c r="AP7" s="411"/>
      <c r="AQ7" s="411"/>
    </row>
    <row r="8" spans="1:43" ht="26.25" customHeight="1" x14ac:dyDescent="0.3">
      <c r="A8" s="1254"/>
      <c r="B8" s="428" t="s">
        <v>408</v>
      </c>
      <c r="C8" s="1295"/>
      <c r="D8" s="1201"/>
      <c r="E8" s="1201"/>
      <c r="F8" s="1240"/>
      <c r="G8" s="1096"/>
      <c r="H8" s="1100">
        <v>19</v>
      </c>
      <c r="I8" s="830">
        <v>17</v>
      </c>
      <c r="J8" s="544">
        <v>23</v>
      </c>
      <c r="K8" s="544">
        <v>15</v>
      </c>
      <c r="L8" s="626">
        <v>16</v>
      </c>
      <c r="M8" s="626">
        <v>28</v>
      </c>
      <c r="N8" s="736">
        <v>18</v>
      </c>
      <c r="O8" s="545">
        <v>18</v>
      </c>
      <c r="P8" s="542">
        <v>20</v>
      </c>
      <c r="Q8" s="545">
        <v>18</v>
      </c>
      <c r="R8" s="545">
        <v>35</v>
      </c>
      <c r="S8" s="546">
        <v>14</v>
      </c>
      <c r="T8" s="562">
        <v>15</v>
      </c>
      <c r="U8" s="833">
        <v>13</v>
      </c>
      <c r="V8" s="665">
        <v>22</v>
      </c>
      <c r="W8" s="665">
        <v>17</v>
      </c>
      <c r="X8" s="665">
        <v>14</v>
      </c>
      <c r="Y8" s="665">
        <v>16</v>
      </c>
      <c r="Z8" s="665">
        <v>22</v>
      </c>
      <c r="AA8" s="665">
        <v>20</v>
      </c>
      <c r="AB8" s="684">
        <v>20</v>
      </c>
      <c r="AC8" s="538">
        <v>19</v>
      </c>
      <c r="AD8" s="538">
        <v>20</v>
      </c>
      <c r="AE8" s="563">
        <v>17</v>
      </c>
      <c r="AF8" s="737">
        <v>12</v>
      </c>
      <c r="AG8" s="830">
        <f>32-4</f>
        <v>28</v>
      </c>
      <c r="AH8" s="830">
        <v>25</v>
      </c>
      <c r="AI8" s="830">
        <v>27</v>
      </c>
      <c r="AJ8" s="919">
        <v>10</v>
      </c>
      <c r="AK8" s="536">
        <f t="shared" si="0"/>
        <v>558</v>
      </c>
      <c r="AL8" s="421">
        <v>558</v>
      </c>
      <c r="AM8" s="410"/>
      <c r="AN8" s="410"/>
      <c r="AO8" s="410"/>
      <c r="AP8" s="411"/>
      <c r="AQ8" s="411"/>
    </row>
    <row r="9" spans="1:43" ht="21.75" customHeight="1" x14ac:dyDescent="0.3">
      <c r="A9" s="1254"/>
      <c r="B9" s="428" t="s">
        <v>409</v>
      </c>
      <c r="C9" s="1295"/>
      <c r="D9" s="1201"/>
      <c r="E9" s="1201"/>
      <c r="F9" s="1240"/>
      <c r="G9" s="1096"/>
      <c r="H9" s="1100">
        <v>11</v>
      </c>
      <c r="I9" s="830">
        <v>9</v>
      </c>
      <c r="J9" s="544">
        <v>10</v>
      </c>
      <c r="K9" s="544">
        <v>4</v>
      </c>
      <c r="L9" s="626">
        <v>14</v>
      </c>
      <c r="M9" s="626">
        <v>6</v>
      </c>
      <c r="N9" s="736">
        <v>12</v>
      </c>
      <c r="O9" s="545">
        <v>12</v>
      </c>
      <c r="P9" s="542">
        <v>10</v>
      </c>
      <c r="Q9" s="545">
        <v>12</v>
      </c>
      <c r="R9" s="545">
        <v>29</v>
      </c>
      <c r="S9" s="546">
        <v>5</v>
      </c>
      <c r="T9" s="562">
        <v>14</v>
      </c>
      <c r="U9" s="833">
        <v>4</v>
      </c>
      <c r="V9" s="665">
        <v>9</v>
      </c>
      <c r="W9" s="665">
        <v>10</v>
      </c>
      <c r="X9" s="665">
        <v>6</v>
      </c>
      <c r="Y9" s="665">
        <v>15</v>
      </c>
      <c r="Z9" s="665">
        <v>24</v>
      </c>
      <c r="AA9" s="665">
        <v>10</v>
      </c>
      <c r="AB9" s="684">
        <v>10</v>
      </c>
      <c r="AC9" s="538">
        <v>11</v>
      </c>
      <c r="AD9" s="538">
        <v>10</v>
      </c>
      <c r="AE9" s="563">
        <v>13</v>
      </c>
      <c r="AF9" s="737">
        <v>8</v>
      </c>
      <c r="AG9" s="830">
        <v>14</v>
      </c>
      <c r="AH9" s="830">
        <v>23</v>
      </c>
      <c r="AI9" s="830">
        <v>12</v>
      </c>
      <c r="AJ9" s="844">
        <v>5</v>
      </c>
      <c r="AK9" s="536">
        <f t="shared" si="0"/>
        <v>332</v>
      </c>
      <c r="AL9" s="421">
        <v>332</v>
      </c>
      <c r="AM9" s="410"/>
      <c r="AN9" s="410"/>
      <c r="AO9" s="410"/>
      <c r="AP9" s="411"/>
      <c r="AQ9" s="411"/>
    </row>
    <row r="10" spans="1:43" ht="35.25" customHeight="1" x14ac:dyDescent="0.3">
      <c r="A10" s="1255"/>
      <c r="B10" s="834" t="s">
        <v>410</v>
      </c>
      <c r="C10" s="1295"/>
      <c r="D10" s="1201"/>
      <c r="E10" s="1201"/>
      <c r="F10" s="1240"/>
      <c r="G10" s="443">
        <f>SUM(G8+G9)</f>
        <v>0</v>
      </c>
      <c r="H10" s="1101">
        <v>30</v>
      </c>
      <c r="I10" s="836">
        <v>26</v>
      </c>
      <c r="J10" s="443">
        <f t="shared" ref="J10:U10" si="1">SUM(J8+J9)</f>
        <v>33</v>
      </c>
      <c r="K10" s="443">
        <f t="shared" si="1"/>
        <v>19</v>
      </c>
      <c r="L10" s="443">
        <f t="shared" si="1"/>
        <v>30</v>
      </c>
      <c r="M10" s="443">
        <f t="shared" si="1"/>
        <v>34</v>
      </c>
      <c r="N10" s="443">
        <f t="shared" si="1"/>
        <v>30</v>
      </c>
      <c r="O10" s="443">
        <f t="shared" si="1"/>
        <v>30</v>
      </c>
      <c r="P10" s="443">
        <f t="shared" si="1"/>
        <v>30</v>
      </c>
      <c r="Q10" s="443">
        <f t="shared" si="1"/>
        <v>30</v>
      </c>
      <c r="R10" s="739">
        <f t="shared" si="1"/>
        <v>64</v>
      </c>
      <c r="S10" s="443">
        <f t="shared" si="1"/>
        <v>19</v>
      </c>
      <c r="T10" s="443">
        <f t="shared" si="1"/>
        <v>29</v>
      </c>
      <c r="U10" s="443">
        <f t="shared" si="1"/>
        <v>17</v>
      </c>
      <c r="V10" s="1102">
        <v>31</v>
      </c>
      <c r="W10" s="1102">
        <v>27</v>
      </c>
      <c r="X10" s="1102">
        <v>20</v>
      </c>
      <c r="Y10" s="1102">
        <v>31</v>
      </c>
      <c r="Z10" s="839">
        <v>46</v>
      </c>
      <c r="AA10" s="1102">
        <v>30</v>
      </c>
      <c r="AB10" s="691">
        <f t="shared" ref="AB10:AF10" si="2">SUM(AB8+AB9)</f>
        <v>30</v>
      </c>
      <c r="AC10" s="566">
        <f t="shared" si="2"/>
        <v>30</v>
      </c>
      <c r="AD10" s="566">
        <f t="shared" si="2"/>
        <v>30</v>
      </c>
      <c r="AE10" s="567">
        <f t="shared" si="2"/>
        <v>30</v>
      </c>
      <c r="AF10" s="567">
        <f t="shared" si="2"/>
        <v>20</v>
      </c>
      <c r="AG10" s="1103">
        <f>AG8+AG9</f>
        <v>42</v>
      </c>
      <c r="AH10" s="1103">
        <f>AH9+AH8</f>
        <v>48</v>
      </c>
      <c r="AI10" s="1103">
        <f>AI8+AI9</f>
        <v>39</v>
      </c>
      <c r="AJ10" s="1104">
        <v>15</v>
      </c>
      <c r="AK10" s="841">
        <f t="shared" si="0"/>
        <v>890</v>
      </c>
      <c r="AL10" s="421">
        <v>890</v>
      </c>
      <c r="AM10" s="410"/>
      <c r="AN10" s="410"/>
      <c r="AO10" s="410"/>
      <c r="AP10" s="411"/>
      <c r="AQ10" s="411"/>
    </row>
    <row r="11" spans="1:43" ht="28.5" customHeight="1" x14ac:dyDescent="0.3">
      <c r="A11" s="1326" t="s">
        <v>461</v>
      </c>
      <c r="B11" s="692" t="s">
        <v>462</v>
      </c>
      <c r="C11" s="1295"/>
      <c r="D11" s="1201"/>
      <c r="E11" s="1201"/>
      <c r="F11" s="1240"/>
      <c r="G11" s="1105"/>
      <c r="H11" s="1007"/>
      <c r="I11" s="1007"/>
      <c r="J11" s="570"/>
      <c r="K11" s="425"/>
      <c r="L11" s="454"/>
      <c r="M11" s="454"/>
      <c r="N11" s="541"/>
      <c r="O11" s="454"/>
      <c r="P11" s="418"/>
      <c r="Q11" s="425"/>
      <c r="R11" s="546"/>
      <c r="S11" s="418"/>
      <c r="T11" s="418"/>
      <c r="U11" s="455"/>
      <c r="V11" s="665">
        <v>415</v>
      </c>
      <c r="W11" s="665"/>
      <c r="X11" s="665"/>
      <c r="Y11" s="665">
        <v>232</v>
      </c>
      <c r="Z11" s="665"/>
      <c r="AA11" s="665">
        <v>398</v>
      </c>
      <c r="AB11" s="634"/>
      <c r="AC11" s="549"/>
      <c r="AD11" s="549"/>
      <c r="AE11" s="532"/>
      <c r="AF11" s="742"/>
      <c r="AG11" s="830"/>
      <c r="AH11" s="830"/>
      <c r="AI11" s="830"/>
      <c r="AJ11" s="852"/>
      <c r="AK11" s="536">
        <f t="shared" si="0"/>
        <v>1045</v>
      </c>
      <c r="AL11" s="421">
        <v>1045</v>
      </c>
      <c r="AM11" s="410"/>
      <c r="AN11" s="410"/>
      <c r="AO11" s="410"/>
      <c r="AP11" s="411"/>
      <c r="AQ11" s="411"/>
    </row>
    <row r="12" spans="1:43" ht="24" customHeight="1" x14ac:dyDescent="0.3">
      <c r="A12" s="1317"/>
      <c r="B12" s="694" t="s">
        <v>463</v>
      </c>
      <c r="C12" s="1295"/>
      <c r="D12" s="1201"/>
      <c r="E12" s="1201"/>
      <c r="F12" s="1240"/>
      <c r="G12" s="1106"/>
      <c r="H12" s="1008"/>
      <c r="I12" s="1008"/>
      <c r="J12" s="655"/>
      <c r="K12" s="655"/>
      <c r="L12" s="655"/>
      <c r="M12" s="655"/>
      <c r="N12" s="657"/>
      <c r="O12" s="655"/>
      <c r="P12" s="658"/>
      <c r="Q12" s="655"/>
      <c r="R12" s="658"/>
      <c r="S12" s="658"/>
      <c r="T12" s="658"/>
      <c r="U12" s="659"/>
      <c r="V12" s="850">
        <v>1</v>
      </c>
      <c r="W12" s="850"/>
      <c r="X12" s="850"/>
      <c r="Y12" s="850"/>
      <c r="Z12" s="850"/>
      <c r="AA12" s="850">
        <v>124</v>
      </c>
      <c r="AB12" s="634"/>
      <c r="AC12" s="549"/>
      <c r="AD12" s="549"/>
      <c r="AE12" s="532"/>
      <c r="AF12" s="742"/>
      <c r="AG12" s="848"/>
      <c r="AH12" s="848"/>
      <c r="AI12" s="848"/>
      <c r="AJ12" s="1107"/>
      <c r="AK12" s="536">
        <f t="shared" si="0"/>
        <v>125</v>
      </c>
      <c r="AL12" s="421">
        <v>125</v>
      </c>
      <c r="AM12" s="410"/>
      <c r="AN12" s="410"/>
      <c r="AO12" s="410"/>
      <c r="AP12" s="411"/>
      <c r="AQ12" s="411"/>
    </row>
    <row r="13" spans="1:43" ht="21.75" customHeight="1" x14ac:dyDescent="0.3">
      <c r="A13" s="1313" t="s">
        <v>411</v>
      </c>
      <c r="B13" s="453" t="s">
        <v>405</v>
      </c>
      <c r="C13" s="1295"/>
      <c r="D13" s="1201"/>
      <c r="E13" s="1201"/>
      <c r="F13" s="1240"/>
      <c r="G13" s="1105"/>
      <c r="H13" s="1013"/>
      <c r="I13" s="1007"/>
      <c r="J13" s="425"/>
      <c r="K13" s="425"/>
      <c r="L13" s="425"/>
      <c r="M13" s="425"/>
      <c r="N13" s="425"/>
      <c r="O13" s="425"/>
      <c r="P13" s="17"/>
      <c r="Q13" s="541"/>
      <c r="R13" s="17"/>
      <c r="S13" s="17"/>
      <c r="T13" s="17"/>
      <c r="U13" s="455"/>
      <c r="V13" s="664"/>
      <c r="W13" s="664"/>
      <c r="X13" s="664"/>
      <c r="Y13" s="664"/>
      <c r="Z13" s="664"/>
      <c r="AA13" s="664"/>
      <c r="AB13" s="634"/>
      <c r="AC13" s="549"/>
      <c r="AD13" s="549"/>
      <c r="AE13" s="532"/>
      <c r="AF13" s="743"/>
      <c r="AG13" s="843"/>
      <c r="AH13" s="843"/>
      <c r="AI13" s="843"/>
      <c r="AJ13" s="852"/>
      <c r="AK13" s="536">
        <f t="shared" si="0"/>
        <v>0</v>
      </c>
      <c r="AL13" s="421">
        <v>0</v>
      </c>
      <c r="AM13" s="410"/>
      <c r="AN13" s="410"/>
      <c r="AO13" s="410"/>
      <c r="AP13" s="411"/>
      <c r="AQ13" s="411"/>
    </row>
    <row r="14" spans="1:43" ht="21.75" customHeight="1" x14ac:dyDescent="0.3">
      <c r="A14" s="1170"/>
      <c r="B14" s="578" t="s">
        <v>412</v>
      </c>
      <c r="C14" s="1295"/>
      <c r="D14" s="1201"/>
      <c r="E14" s="1201"/>
      <c r="F14" s="1240"/>
      <c r="G14" s="1096"/>
      <c r="H14" s="1108">
        <v>0</v>
      </c>
      <c r="I14" s="915">
        <v>0</v>
      </c>
      <c r="J14" s="425">
        <v>0</v>
      </c>
      <c r="K14" s="541">
        <v>0</v>
      </c>
      <c r="L14" s="425">
        <v>0</v>
      </c>
      <c r="M14" s="425">
        <v>0</v>
      </c>
      <c r="N14" s="541">
        <v>2</v>
      </c>
      <c r="O14" s="541">
        <v>0</v>
      </c>
      <c r="P14" s="542">
        <v>0</v>
      </c>
      <c r="Q14" s="542">
        <v>11</v>
      </c>
      <c r="R14" s="542">
        <v>0</v>
      </c>
      <c r="S14" s="542">
        <v>0</v>
      </c>
      <c r="T14" s="542">
        <v>12</v>
      </c>
      <c r="U14" s="419">
        <v>0</v>
      </c>
      <c r="V14" s="845">
        <v>0</v>
      </c>
      <c r="W14" s="665">
        <v>0</v>
      </c>
      <c r="X14" s="845">
        <v>0</v>
      </c>
      <c r="Y14" s="845">
        <v>0</v>
      </c>
      <c r="Z14" s="845">
        <v>0</v>
      </c>
      <c r="AA14" s="845">
        <v>32</v>
      </c>
      <c r="AB14" s="634"/>
      <c r="AC14" s="538">
        <v>0</v>
      </c>
      <c r="AD14" s="538">
        <v>36</v>
      </c>
      <c r="AE14" s="532"/>
      <c r="AF14" s="744">
        <v>0</v>
      </c>
      <c r="AG14" s="830">
        <v>0</v>
      </c>
      <c r="AH14" s="830">
        <v>0</v>
      </c>
      <c r="AI14" s="820">
        <v>0</v>
      </c>
      <c r="AJ14" s="844">
        <v>1</v>
      </c>
      <c r="AK14" s="536">
        <f t="shared" si="0"/>
        <v>94</v>
      </c>
      <c r="AL14" s="421">
        <v>94</v>
      </c>
      <c r="AM14" s="410"/>
      <c r="AN14" s="410"/>
      <c r="AO14" s="410"/>
      <c r="AP14" s="411"/>
      <c r="AQ14" s="411"/>
    </row>
    <row r="15" spans="1:43" ht="25.5" customHeight="1" x14ac:dyDescent="0.3">
      <c r="A15" s="1170"/>
      <c r="B15" s="579" t="s">
        <v>407</v>
      </c>
      <c r="C15" s="1295"/>
      <c r="D15" s="1201"/>
      <c r="E15" s="1201"/>
      <c r="F15" s="1240"/>
      <c r="G15" s="1109"/>
      <c r="H15" s="1110">
        <v>0</v>
      </c>
      <c r="I15" s="915">
        <v>0</v>
      </c>
      <c r="J15" s="580">
        <v>0</v>
      </c>
      <c r="K15" s="581">
        <v>0</v>
      </c>
      <c r="L15" s="580">
        <v>0</v>
      </c>
      <c r="M15" s="580">
        <v>0</v>
      </c>
      <c r="N15" s="695">
        <v>1</v>
      </c>
      <c r="O15" s="580">
        <v>0</v>
      </c>
      <c r="P15" s="581">
        <v>0</v>
      </c>
      <c r="Q15" s="581">
        <v>11</v>
      </c>
      <c r="R15" s="581">
        <v>0</v>
      </c>
      <c r="S15" s="581">
        <v>0</v>
      </c>
      <c r="T15" s="581">
        <v>11</v>
      </c>
      <c r="U15" s="583">
        <v>0</v>
      </c>
      <c r="V15" s="665">
        <v>2</v>
      </c>
      <c r="W15" s="665">
        <v>0</v>
      </c>
      <c r="X15" s="665">
        <v>2</v>
      </c>
      <c r="Y15" s="665">
        <v>1</v>
      </c>
      <c r="Z15" s="845">
        <v>0</v>
      </c>
      <c r="AA15" s="665">
        <v>0</v>
      </c>
      <c r="AB15" s="696"/>
      <c r="AC15" s="556">
        <v>0</v>
      </c>
      <c r="AD15" s="556">
        <v>0</v>
      </c>
      <c r="AE15" s="585">
        <v>0</v>
      </c>
      <c r="AF15" s="745">
        <v>0</v>
      </c>
      <c r="AG15" s="830">
        <v>2</v>
      </c>
      <c r="AH15" s="830">
        <v>4</v>
      </c>
      <c r="AI15" s="820">
        <v>2</v>
      </c>
      <c r="AJ15" s="844">
        <v>0</v>
      </c>
      <c r="AK15" s="689">
        <f t="shared" si="0"/>
        <v>36</v>
      </c>
      <c r="AL15" s="421">
        <v>36</v>
      </c>
      <c r="AM15" s="410"/>
      <c r="AN15" s="410"/>
      <c r="AO15" s="410"/>
      <c r="AP15" s="411"/>
      <c r="AQ15" s="411"/>
    </row>
    <row r="16" spans="1:43" ht="24" customHeight="1" x14ac:dyDescent="0.3">
      <c r="A16" s="1170"/>
      <c r="B16" s="579" t="s">
        <v>408</v>
      </c>
      <c r="C16" s="1295"/>
      <c r="D16" s="1201"/>
      <c r="E16" s="1201"/>
      <c r="F16" s="1240"/>
      <c r="G16" s="637"/>
      <c r="H16" s="1110">
        <v>14</v>
      </c>
      <c r="I16" s="830">
        <v>20</v>
      </c>
      <c r="J16" s="425">
        <v>0</v>
      </c>
      <c r="K16" s="541">
        <v>4</v>
      </c>
      <c r="L16" s="542">
        <v>19</v>
      </c>
      <c r="M16" s="746">
        <v>3</v>
      </c>
      <c r="N16" s="746">
        <v>15</v>
      </c>
      <c r="O16" s="541">
        <v>17</v>
      </c>
      <c r="P16" s="418">
        <v>8</v>
      </c>
      <c r="Q16" s="542">
        <v>40</v>
      </c>
      <c r="R16" s="418">
        <v>0</v>
      </c>
      <c r="S16" s="418">
        <v>1</v>
      </c>
      <c r="T16" s="542">
        <v>29</v>
      </c>
      <c r="U16" s="833">
        <v>12</v>
      </c>
      <c r="V16" s="665">
        <v>31</v>
      </c>
      <c r="W16" s="664">
        <v>8</v>
      </c>
      <c r="X16" s="665">
        <v>14</v>
      </c>
      <c r="Y16" s="664">
        <v>6</v>
      </c>
      <c r="Z16" s="665">
        <v>23</v>
      </c>
      <c r="AA16" s="665">
        <v>25</v>
      </c>
      <c r="AB16" s="634">
        <v>42</v>
      </c>
      <c r="AC16" s="634">
        <v>5</v>
      </c>
      <c r="AD16" s="634">
        <v>18</v>
      </c>
      <c r="AE16" s="634">
        <v>33</v>
      </c>
      <c r="AF16" s="855">
        <v>21</v>
      </c>
      <c r="AG16" s="830">
        <v>14</v>
      </c>
      <c r="AH16" s="830">
        <v>13</v>
      </c>
      <c r="AI16" s="830">
        <v>14</v>
      </c>
      <c r="AJ16" s="844">
        <v>3</v>
      </c>
      <c r="AK16" s="536">
        <f t="shared" si="0"/>
        <v>452</v>
      </c>
      <c r="AL16" s="421">
        <v>452</v>
      </c>
      <c r="AM16" s="410"/>
      <c r="AN16" s="410"/>
      <c r="AO16" s="410"/>
      <c r="AP16" s="411"/>
      <c r="AQ16" s="411"/>
    </row>
    <row r="17" spans="1:43" ht="25.5" customHeight="1" x14ac:dyDescent="0.3">
      <c r="A17" s="1170"/>
      <c r="B17" s="579" t="s">
        <v>409</v>
      </c>
      <c r="C17" s="1295"/>
      <c r="D17" s="1201"/>
      <c r="E17" s="1201"/>
      <c r="F17" s="1240"/>
      <c r="G17" s="637"/>
      <c r="H17" s="1110">
        <v>19</v>
      </c>
      <c r="I17" s="830">
        <v>18</v>
      </c>
      <c r="J17" s="425">
        <v>0</v>
      </c>
      <c r="K17" s="425">
        <v>1</v>
      </c>
      <c r="L17" s="542">
        <v>20</v>
      </c>
      <c r="M17" s="747">
        <v>5</v>
      </c>
      <c r="N17" s="746">
        <v>12</v>
      </c>
      <c r="O17" s="541">
        <v>9</v>
      </c>
      <c r="P17" s="418">
        <v>7</v>
      </c>
      <c r="Q17" s="542">
        <v>24</v>
      </c>
      <c r="R17" s="418">
        <v>0</v>
      </c>
      <c r="S17" s="418">
        <v>2</v>
      </c>
      <c r="T17" s="542">
        <v>17</v>
      </c>
      <c r="U17" s="833">
        <v>6</v>
      </c>
      <c r="V17" s="665">
        <v>19</v>
      </c>
      <c r="W17" s="664">
        <v>2</v>
      </c>
      <c r="X17" s="665">
        <v>7</v>
      </c>
      <c r="Y17" s="664">
        <v>17</v>
      </c>
      <c r="Z17" s="664">
        <v>12</v>
      </c>
      <c r="AA17" s="665">
        <v>24</v>
      </c>
      <c r="AB17" s="634">
        <v>23</v>
      </c>
      <c r="AC17" s="634">
        <v>5</v>
      </c>
      <c r="AD17" s="634">
        <v>16</v>
      </c>
      <c r="AE17" s="634">
        <v>12</v>
      </c>
      <c r="AF17" s="856">
        <v>15</v>
      </c>
      <c r="AG17" s="830">
        <v>4</v>
      </c>
      <c r="AH17" s="830">
        <f>17-2</f>
        <v>15</v>
      </c>
      <c r="AI17" s="830">
        <v>19</v>
      </c>
      <c r="AJ17" s="852">
        <v>4</v>
      </c>
      <c r="AK17" s="536">
        <f t="shared" si="0"/>
        <v>334</v>
      </c>
      <c r="AL17" s="421">
        <v>334</v>
      </c>
      <c r="AM17" s="410"/>
      <c r="AN17" s="410"/>
      <c r="AO17" s="410"/>
      <c r="AP17" s="411"/>
      <c r="AQ17" s="411"/>
    </row>
    <row r="18" spans="1:43" ht="23.25" customHeight="1" x14ac:dyDescent="0.3">
      <c r="A18" s="1170"/>
      <c r="B18" s="579" t="s">
        <v>413</v>
      </c>
      <c r="C18" s="1295"/>
      <c r="D18" s="1201"/>
      <c r="E18" s="1201"/>
      <c r="F18" s="1240"/>
      <c r="G18" s="637"/>
      <c r="H18" s="1110">
        <v>27</v>
      </c>
      <c r="I18" s="830">
        <v>34</v>
      </c>
      <c r="J18" s="425">
        <v>0</v>
      </c>
      <c r="K18" s="541">
        <v>59</v>
      </c>
      <c r="L18" s="542">
        <v>28</v>
      </c>
      <c r="M18" s="747">
        <v>33</v>
      </c>
      <c r="N18" s="746">
        <v>41</v>
      </c>
      <c r="O18" s="541">
        <v>29</v>
      </c>
      <c r="P18" s="418">
        <v>35</v>
      </c>
      <c r="Q18" s="418">
        <v>11</v>
      </c>
      <c r="R18" s="418">
        <v>0</v>
      </c>
      <c r="S18" s="418">
        <v>33</v>
      </c>
      <c r="T18" s="542">
        <v>25</v>
      </c>
      <c r="U18" s="833">
        <v>48</v>
      </c>
      <c r="V18" s="665">
        <v>23</v>
      </c>
      <c r="W18" s="664">
        <v>7</v>
      </c>
      <c r="X18" s="664">
        <v>18</v>
      </c>
      <c r="Y18" s="664">
        <v>25</v>
      </c>
      <c r="Z18" s="664">
        <v>33</v>
      </c>
      <c r="AA18" s="665">
        <v>44</v>
      </c>
      <c r="AB18" s="634">
        <v>15</v>
      </c>
      <c r="AC18" s="634">
        <v>44</v>
      </c>
      <c r="AD18" s="634">
        <v>15</v>
      </c>
      <c r="AE18" s="634">
        <v>22</v>
      </c>
      <c r="AF18" s="856">
        <v>3</v>
      </c>
      <c r="AG18" s="830">
        <v>4</v>
      </c>
      <c r="AH18" s="830">
        <v>5</v>
      </c>
      <c r="AI18" s="830">
        <v>0</v>
      </c>
      <c r="AJ18" s="844">
        <v>3</v>
      </c>
      <c r="AK18" s="536">
        <f t="shared" si="0"/>
        <v>664</v>
      </c>
      <c r="AL18" s="421">
        <v>664</v>
      </c>
      <c r="AM18" s="410"/>
      <c r="AN18" s="410"/>
      <c r="AO18" s="410"/>
      <c r="AP18" s="411"/>
      <c r="AQ18" s="411"/>
    </row>
    <row r="19" spans="1:43" ht="21" customHeight="1" x14ac:dyDescent="0.3">
      <c r="A19" s="1170"/>
      <c r="B19" s="579" t="s">
        <v>414</v>
      </c>
      <c r="C19" s="1295"/>
      <c r="D19" s="1201"/>
      <c r="E19" s="1201"/>
      <c r="F19" s="1240"/>
      <c r="G19" s="637"/>
      <c r="H19" s="1110">
        <v>30</v>
      </c>
      <c r="I19" s="915">
        <v>21</v>
      </c>
      <c r="J19" s="425">
        <v>0</v>
      </c>
      <c r="K19" s="541">
        <v>67</v>
      </c>
      <c r="L19" s="542">
        <v>23</v>
      </c>
      <c r="M19" s="747">
        <v>49</v>
      </c>
      <c r="N19" s="858">
        <v>23</v>
      </c>
      <c r="O19" s="541">
        <v>35</v>
      </c>
      <c r="P19" s="418">
        <v>40</v>
      </c>
      <c r="Q19" s="542">
        <v>15</v>
      </c>
      <c r="R19" s="418">
        <v>0</v>
      </c>
      <c r="S19" s="418">
        <v>24</v>
      </c>
      <c r="T19" s="542">
        <v>19</v>
      </c>
      <c r="U19" s="833">
        <v>34</v>
      </c>
      <c r="V19" s="665">
        <v>17</v>
      </c>
      <c r="W19" s="664">
        <v>6</v>
      </c>
      <c r="X19" s="665">
        <v>40</v>
      </c>
      <c r="Y19" s="665">
        <v>43</v>
      </c>
      <c r="Z19" s="664">
        <v>22</v>
      </c>
      <c r="AA19" s="845">
        <v>57</v>
      </c>
      <c r="AB19" s="634">
        <v>10</v>
      </c>
      <c r="AC19" s="634">
        <v>36</v>
      </c>
      <c r="AD19" s="634">
        <v>41</v>
      </c>
      <c r="AE19" s="634">
        <v>23</v>
      </c>
      <c r="AF19" s="856">
        <v>3</v>
      </c>
      <c r="AG19" s="830">
        <v>20</v>
      </c>
      <c r="AH19" s="830">
        <v>13</v>
      </c>
      <c r="AI19" s="820">
        <v>8</v>
      </c>
      <c r="AJ19" s="844">
        <v>5</v>
      </c>
      <c r="AK19" s="536">
        <f t="shared" si="0"/>
        <v>724</v>
      </c>
      <c r="AL19" s="421">
        <v>724</v>
      </c>
      <c r="AM19" s="410"/>
      <c r="AN19" s="410"/>
      <c r="AO19" s="410"/>
      <c r="AP19" s="411"/>
      <c r="AQ19" s="411"/>
    </row>
    <row r="20" spans="1:43" ht="22.5" customHeight="1" x14ac:dyDescent="0.3">
      <c r="A20" s="1171"/>
      <c r="B20" s="589" t="s">
        <v>415</v>
      </c>
      <c r="C20" s="1317"/>
      <c r="D20" s="1318"/>
      <c r="E20" s="1318"/>
      <c r="F20" s="1319"/>
      <c r="G20" s="590">
        <f>SUM(G16:G19)</f>
        <v>0</v>
      </c>
      <c r="H20" s="1111">
        <v>90</v>
      </c>
      <c r="I20" s="860">
        <v>93</v>
      </c>
      <c r="J20" s="590">
        <f t="shared" ref="J20:U20" si="3">SUM(J16:J19)</f>
        <v>0</v>
      </c>
      <c r="K20" s="590">
        <f t="shared" si="3"/>
        <v>131</v>
      </c>
      <c r="L20" s="590">
        <f t="shared" si="3"/>
        <v>90</v>
      </c>
      <c r="M20" s="590">
        <f t="shared" si="3"/>
        <v>90</v>
      </c>
      <c r="N20" s="590">
        <f t="shared" si="3"/>
        <v>91</v>
      </c>
      <c r="O20" s="590">
        <f t="shared" si="3"/>
        <v>90</v>
      </c>
      <c r="P20" s="590">
        <f t="shared" si="3"/>
        <v>90</v>
      </c>
      <c r="Q20" s="590">
        <f t="shared" si="3"/>
        <v>90</v>
      </c>
      <c r="R20" s="590">
        <f t="shared" si="3"/>
        <v>0</v>
      </c>
      <c r="S20" s="590">
        <f t="shared" si="3"/>
        <v>60</v>
      </c>
      <c r="T20" s="590">
        <f t="shared" si="3"/>
        <v>90</v>
      </c>
      <c r="U20" s="590">
        <f t="shared" si="3"/>
        <v>100</v>
      </c>
      <c r="V20" s="839">
        <v>90</v>
      </c>
      <c r="W20" s="839">
        <v>23</v>
      </c>
      <c r="X20" s="839">
        <v>79</v>
      </c>
      <c r="Y20" s="839">
        <v>91</v>
      </c>
      <c r="Z20" s="889">
        <v>90</v>
      </c>
      <c r="AA20" s="1112">
        <v>150</v>
      </c>
      <c r="AB20" s="590">
        <f t="shared" ref="AB20:AE20" si="4">SUM(AB16:AB19)</f>
        <v>90</v>
      </c>
      <c r="AC20" s="590">
        <f t="shared" si="4"/>
        <v>90</v>
      </c>
      <c r="AD20" s="666">
        <f t="shared" si="4"/>
        <v>90</v>
      </c>
      <c r="AE20" s="666">
        <f t="shared" si="4"/>
        <v>90</v>
      </c>
      <c r="AF20" s="666">
        <f>SUM(AF16+AF17+AF18+AF19)</f>
        <v>42</v>
      </c>
      <c r="AG20" s="860">
        <f>AG16+AG17+AG18+AG19</f>
        <v>42</v>
      </c>
      <c r="AH20" s="1103">
        <f>(AH19+AH18+AH17+AH16)</f>
        <v>46</v>
      </c>
      <c r="AI20" s="1113">
        <v>41</v>
      </c>
      <c r="AJ20" s="1114">
        <v>15</v>
      </c>
      <c r="AK20" s="689">
        <f t="shared" si="0"/>
        <v>2174</v>
      </c>
      <c r="AL20" s="421">
        <v>2174</v>
      </c>
      <c r="AM20" s="410"/>
      <c r="AN20" s="410"/>
      <c r="AO20" s="410"/>
      <c r="AP20" s="411"/>
      <c r="AQ20" s="410"/>
    </row>
    <row r="21" spans="1:43" ht="18.75" customHeight="1" x14ac:dyDescent="0.3">
      <c r="A21" s="1327" t="s">
        <v>464</v>
      </c>
      <c r="B21" s="1328" t="s">
        <v>420</v>
      </c>
      <c r="C21" s="1320" t="s">
        <v>418</v>
      </c>
      <c r="D21" s="1288"/>
      <c r="E21" s="1288"/>
      <c r="F21" s="1288"/>
      <c r="G21" s="1115"/>
      <c r="H21" s="1007"/>
      <c r="I21" s="1007"/>
      <c r="J21" s="425"/>
      <c r="K21" s="425">
        <v>0</v>
      </c>
      <c r="L21" s="425"/>
      <c r="M21" s="425"/>
      <c r="N21" s="425"/>
      <c r="O21" s="425"/>
      <c r="P21" s="425"/>
      <c r="Q21" s="425"/>
      <c r="R21" s="425"/>
      <c r="S21" s="425"/>
      <c r="T21" s="425"/>
      <c r="U21" s="425">
        <v>0</v>
      </c>
      <c r="V21" s="866"/>
      <c r="W21" s="866"/>
      <c r="X21" s="866"/>
      <c r="Y21" s="866"/>
      <c r="Z21" s="866"/>
      <c r="AA21" s="866"/>
      <c r="AB21" s="634"/>
      <c r="AC21" s="549"/>
      <c r="AD21" s="538"/>
      <c r="AE21" s="532"/>
      <c r="AF21" s="593"/>
      <c r="AG21" s="864"/>
      <c r="AH21" s="864"/>
      <c r="AI21" s="864"/>
      <c r="AJ21" s="865"/>
      <c r="AK21" s="536">
        <f t="shared" si="0"/>
        <v>0</v>
      </c>
      <c r="AL21" s="421">
        <v>0</v>
      </c>
      <c r="AM21" s="410"/>
      <c r="AN21" s="410"/>
      <c r="AO21" s="410"/>
      <c r="AP21" s="411"/>
      <c r="AQ21" s="411"/>
    </row>
    <row r="22" spans="1:43" ht="18.75" customHeight="1" x14ac:dyDescent="0.3">
      <c r="A22" s="1170"/>
      <c r="B22" s="1329"/>
      <c r="C22" s="1257" t="s">
        <v>419</v>
      </c>
      <c r="D22" s="1247"/>
      <c r="E22" s="1247"/>
      <c r="F22" s="1247"/>
      <c r="G22" s="1116"/>
      <c r="H22" s="1007"/>
      <c r="I22" s="1007"/>
      <c r="J22" s="470"/>
      <c r="K22" s="470">
        <v>0</v>
      </c>
      <c r="L22" s="425"/>
      <c r="M22" s="425"/>
      <c r="N22" s="425"/>
      <c r="O22" s="425"/>
      <c r="P22" s="425"/>
      <c r="R22" s="425"/>
      <c r="S22" s="425"/>
      <c r="T22" s="425"/>
      <c r="U22" s="425">
        <v>0</v>
      </c>
      <c r="V22" s="904"/>
      <c r="W22" s="904"/>
      <c r="X22" s="904"/>
      <c r="Y22" s="904"/>
      <c r="Z22" s="904"/>
      <c r="AA22" s="904"/>
      <c r="AB22" s="684"/>
      <c r="AC22" s="549"/>
      <c r="AD22" s="549"/>
      <c r="AE22" s="532"/>
      <c r="AF22" s="593"/>
      <c r="AG22" s="864"/>
      <c r="AH22" s="864"/>
      <c r="AI22" s="864"/>
      <c r="AJ22" s="865"/>
      <c r="AK22" s="536">
        <f t="shared" si="0"/>
        <v>0</v>
      </c>
      <c r="AL22" s="421">
        <v>0</v>
      </c>
      <c r="AM22" s="410"/>
      <c r="AN22" s="410"/>
      <c r="AO22" s="410"/>
      <c r="AP22" s="411"/>
      <c r="AQ22" s="411"/>
    </row>
    <row r="23" spans="1:43" ht="18.75" customHeight="1" x14ac:dyDescent="0.3">
      <c r="A23" s="1170"/>
      <c r="B23" s="1330" t="s">
        <v>421</v>
      </c>
      <c r="C23" s="1302" t="s">
        <v>418</v>
      </c>
      <c r="D23" s="1247"/>
      <c r="E23" s="1247"/>
      <c r="F23" s="1247"/>
      <c r="G23" s="594">
        <v>100</v>
      </c>
      <c r="H23" s="1117">
        <v>150</v>
      </c>
      <c r="I23" s="1118">
        <v>150</v>
      </c>
      <c r="J23" s="875">
        <v>200</v>
      </c>
      <c r="K23" s="595">
        <v>150</v>
      </c>
      <c r="L23" s="596">
        <v>150</v>
      </c>
      <c r="M23" s="596">
        <v>150</v>
      </c>
      <c r="N23" s="596">
        <v>150</v>
      </c>
      <c r="O23" s="596">
        <v>150</v>
      </c>
      <c r="P23" s="597">
        <v>150</v>
      </c>
      <c r="Q23" s="598">
        <v>150</v>
      </c>
      <c r="R23" s="599">
        <v>300</v>
      </c>
      <c r="S23" s="599">
        <v>150</v>
      </c>
      <c r="T23" s="599">
        <v>150</v>
      </c>
      <c r="U23" s="876">
        <v>100</v>
      </c>
      <c r="V23" s="882">
        <v>150</v>
      </c>
      <c r="W23" s="881">
        <v>150</v>
      </c>
      <c r="X23" s="882">
        <v>150</v>
      </c>
      <c r="Y23" s="882">
        <v>150</v>
      </c>
      <c r="Z23" s="882">
        <v>150</v>
      </c>
      <c r="AA23" s="882">
        <v>150</v>
      </c>
      <c r="AB23" s="599">
        <v>150</v>
      </c>
      <c r="AC23" s="599">
        <v>150</v>
      </c>
      <c r="AD23" s="599">
        <v>150</v>
      </c>
      <c r="AE23" s="601">
        <v>150</v>
      </c>
      <c r="AF23" s="602">
        <v>150</v>
      </c>
      <c r="AG23" s="877">
        <v>150</v>
      </c>
      <c r="AH23" s="877">
        <v>150</v>
      </c>
      <c r="AI23" s="877">
        <v>150</v>
      </c>
      <c r="AJ23" s="897">
        <v>150</v>
      </c>
      <c r="AK23" s="536">
        <f t="shared" si="0"/>
        <v>4600</v>
      </c>
      <c r="AL23" s="421">
        <v>4600</v>
      </c>
      <c r="AM23" s="410"/>
      <c r="AN23" s="410"/>
      <c r="AO23" s="410"/>
      <c r="AP23" s="411"/>
      <c r="AQ23" s="411"/>
    </row>
    <row r="24" spans="1:43" ht="20.25" customHeight="1" x14ac:dyDescent="0.3">
      <c r="A24" s="1171"/>
      <c r="B24" s="1319"/>
      <c r="C24" s="1304" t="s">
        <v>419</v>
      </c>
      <c r="D24" s="1260"/>
      <c r="E24" s="1260"/>
      <c r="F24" s="1260"/>
      <c r="G24" s="603"/>
      <c r="H24" s="1119">
        <v>168</v>
      </c>
      <c r="I24" s="1120">
        <v>157</v>
      </c>
      <c r="J24" s="605">
        <v>185</v>
      </c>
      <c r="K24" s="606">
        <v>80</v>
      </c>
      <c r="L24" s="607">
        <v>162</v>
      </c>
      <c r="M24" s="608">
        <v>205</v>
      </c>
      <c r="N24" s="608">
        <v>153</v>
      </c>
      <c r="O24" s="608">
        <v>156</v>
      </c>
      <c r="P24" s="669">
        <v>172</v>
      </c>
      <c r="Q24" s="610">
        <v>81</v>
      </c>
      <c r="R24" s="610">
        <v>335</v>
      </c>
      <c r="S24" s="1121">
        <v>90</v>
      </c>
      <c r="T24" s="610">
        <v>127</v>
      </c>
      <c r="U24" s="776">
        <v>50</v>
      </c>
      <c r="V24" s="882">
        <v>174</v>
      </c>
      <c r="W24" s="1122">
        <v>200</v>
      </c>
      <c r="X24" s="881">
        <v>64</v>
      </c>
      <c r="Y24" s="881">
        <v>167</v>
      </c>
      <c r="Z24" s="881">
        <v>173</v>
      </c>
      <c r="AA24" s="881">
        <v>150</v>
      </c>
      <c r="AB24" s="703">
        <v>224</v>
      </c>
      <c r="AC24" s="612">
        <v>87</v>
      </c>
      <c r="AD24" s="612">
        <v>140</v>
      </c>
      <c r="AE24" s="612">
        <v>175</v>
      </c>
      <c r="AF24" s="612">
        <v>119</v>
      </c>
      <c r="AG24" s="878">
        <f>67+66+66</f>
        <v>199</v>
      </c>
      <c r="AH24" s="878">
        <f>60+58+50</f>
        <v>168</v>
      </c>
      <c r="AI24" s="878">
        <f>54+52+49</f>
        <v>155</v>
      </c>
      <c r="AJ24" s="879">
        <v>97</v>
      </c>
      <c r="AK24" s="705">
        <f t="shared" si="0"/>
        <v>4413</v>
      </c>
      <c r="AL24" s="421">
        <v>4413</v>
      </c>
      <c r="AM24" s="410"/>
      <c r="AN24" s="410"/>
      <c r="AO24" s="410"/>
      <c r="AP24" s="411"/>
      <c r="AQ24" s="411"/>
    </row>
    <row r="25" spans="1:43" ht="18.75" customHeight="1" x14ac:dyDescent="0.3">
      <c r="A25" s="1275" t="s">
        <v>453</v>
      </c>
      <c r="B25" s="1262" t="s">
        <v>417</v>
      </c>
      <c r="C25" s="1261" t="s">
        <v>418</v>
      </c>
      <c r="D25" s="1244"/>
      <c r="E25" s="1244"/>
      <c r="F25" s="1244"/>
      <c r="G25" s="626"/>
      <c r="H25" s="1007"/>
      <c r="I25" s="1007"/>
      <c r="J25" s="490"/>
      <c r="K25" s="490"/>
      <c r="L25" s="433"/>
      <c r="M25" s="433"/>
      <c r="N25" s="541"/>
      <c r="O25" s="541"/>
      <c r="P25" s="491"/>
      <c r="Q25" s="425"/>
      <c r="R25" s="492"/>
      <c r="S25" s="492"/>
      <c r="T25" s="492"/>
      <c r="U25" s="455">
        <v>0</v>
      </c>
      <c r="V25" s="665"/>
      <c r="W25" s="664"/>
      <c r="X25" s="665"/>
      <c r="Y25" s="664"/>
      <c r="Z25" s="664"/>
      <c r="AA25" s="664"/>
      <c r="AB25" s="634"/>
      <c r="AC25" s="549"/>
      <c r="AD25" s="549"/>
      <c r="AE25" s="532"/>
      <c r="AF25" s="593"/>
      <c r="AG25" s="843"/>
      <c r="AH25" s="843"/>
      <c r="AI25" s="843"/>
      <c r="AJ25" s="852"/>
      <c r="AK25" s="536">
        <f t="shared" si="0"/>
        <v>0</v>
      </c>
      <c r="AL25" s="421">
        <v>0</v>
      </c>
      <c r="AM25" s="410"/>
      <c r="AN25" s="410"/>
      <c r="AO25" s="410"/>
      <c r="AP25" s="411"/>
      <c r="AQ25" s="411"/>
    </row>
    <row r="26" spans="1:43" ht="18.75" customHeight="1" x14ac:dyDescent="0.3">
      <c r="A26" s="1273"/>
      <c r="B26" s="1263"/>
      <c r="C26" s="1291" t="s">
        <v>419</v>
      </c>
      <c r="D26" s="1178"/>
      <c r="E26" s="1178"/>
      <c r="F26" s="1179"/>
      <c r="G26" s="626"/>
      <c r="H26" s="1110">
        <v>63</v>
      </c>
      <c r="I26" s="1123">
        <v>50</v>
      </c>
      <c r="J26" s="467"/>
      <c r="K26" s="467"/>
      <c r="L26" s="467"/>
      <c r="M26" s="425"/>
      <c r="N26" s="541"/>
      <c r="O26" s="541"/>
      <c r="P26" s="540"/>
      <c r="Q26" s="541"/>
      <c r="R26" s="540"/>
      <c r="S26" s="492"/>
      <c r="T26" s="492"/>
      <c r="U26" s="833">
        <v>100</v>
      </c>
      <c r="V26" s="824">
        <v>41</v>
      </c>
      <c r="W26" s="665">
        <v>6</v>
      </c>
      <c r="X26" s="845">
        <v>54</v>
      </c>
      <c r="Y26" s="665">
        <v>90</v>
      </c>
      <c r="Z26" s="665">
        <v>55</v>
      </c>
      <c r="AA26" s="665">
        <v>96</v>
      </c>
      <c r="AB26" s="634"/>
      <c r="AC26" s="549"/>
      <c r="AD26" s="549"/>
      <c r="AE26" s="532"/>
      <c r="AF26" s="550">
        <v>84</v>
      </c>
      <c r="AG26" s="820">
        <v>0</v>
      </c>
      <c r="AH26" s="820">
        <v>0</v>
      </c>
      <c r="AI26" s="820">
        <v>0</v>
      </c>
      <c r="AJ26" s="919">
        <v>0</v>
      </c>
      <c r="AK26" s="536">
        <f t="shared" si="0"/>
        <v>639</v>
      </c>
      <c r="AL26" s="421">
        <v>639</v>
      </c>
      <c r="AM26" s="410"/>
      <c r="AN26" s="410"/>
      <c r="AO26" s="410"/>
      <c r="AP26" s="411"/>
      <c r="AQ26" s="411"/>
    </row>
    <row r="27" spans="1:43" ht="18.75" customHeight="1" x14ac:dyDescent="0.3">
      <c r="A27" s="1273"/>
      <c r="B27" s="1321" t="s">
        <v>420</v>
      </c>
      <c r="C27" s="1291" t="s">
        <v>418</v>
      </c>
      <c r="D27" s="1178"/>
      <c r="E27" s="1178"/>
      <c r="F27" s="1179"/>
      <c r="G27" s="626"/>
      <c r="H27" s="1124"/>
      <c r="I27" s="1007"/>
      <c r="J27" s="467"/>
      <c r="K27" s="467"/>
      <c r="L27" s="467"/>
      <c r="M27" s="425"/>
      <c r="N27" s="541"/>
      <c r="O27" s="541"/>
      <c r="P27" s="424"/>
      <c r="Q27" s="425"/>
      <c r="R27" s="492"/>
      <c r="S27" s="492"/>
      <c r="T27" s="492"/>
      <c r="U27" s="419"/>
      <c r="V27" s="665"/>
      <c r="W27" s="664"/>
      <c r="X27" s="664"/>
      <c r="Y27" s="664"/>
      <c r="Z27" s="664"/>
      <c r="AA27" s="664"/>
      <c r="AB27" s="634"/>
      <c r="AC27" s="549"/>
      <c r="AD27" s="549"/>
      <c r="AE27" s="532"/>
      <c r="AF27" s="593"/>
      <c r="AG27" s="843"/>
      <c r="AH27" s="843"/>
      <c r="AI27" s="843"/>
      <c r="AJ27" s="852"/>
      <c r="AK27" s="536">
        <f t="shared" si="0"/>
        <v>0</v>
      </c>
      <c r="AL27" s="421">
        <v>0</v>
      </c>
      <c r="AM27" s="410"/>
      <c r="AN27" s="410"/>
      <c r="AO27" s="410"/>
      <c r="AP27" s="411"/>
      <c r="AQ27" s="411"/>
    </row>
    <row r="28" spans="1:43" ht="18.75" customHeight="1" x14ac:dyDescent="0.3">
      <c r="A28" s="1273"/>
      <c r="B28" s="1167"/>
      <c r="C28" s="1291" t="s">
        <v>419</v>
      </c>
      <c r="D28" s="1178"/>
      <c r="E28" s="1178"/>
      <c r="F28" s="1179"/>
      <c r="G28" s="626"/>
      <c r="H28" s="1125"/>
      <c r="I28" s="1126">
        <v>131</v>
      </c>
      <c r="J28" s="467"/>
      <c r="K28" s="467"/>
      <c r="L28" s="541"/>
      <c r="M28" s="425"/>
      <c r="N28" s="541"/>
      <c r="O28" s="541"/>
      <c r="P28" s="540"/>
      <c r="Q28" s="425"/>
      <c r="R28" s="492"/>
      <c r="S28" s="492"/>
      <c r="T28" s="492"/>
      <c r="U28" s="833">
        <v>10</v>
      </c>
      <c r="V28" s="665">
        <v>80</v>
      </c>
      <c r="W28" s="665">
        <v>16</v>
      </c>
      <c r="X28" s="845">
        <v>50</v>
      </c>
      <c r="Y28" s="665">
        <v>47</v>
      </c>
      <c r="Z28" s="665">
        <v>33</v>
      </c>
      <c r="AA28" s="665">
        <v>150</v>
      </c>
      <c r="AB28" s="634"/>
      <c r="AC28" s="549"/>
      <c r="AD28" s="549"/>
      <c r="AE28" s="532"/>
      <c r="AF28" s="593"/>
      <c r="AG28" s="820">
        <v>0</v>
      </c>
      <c r="AH28" s="820">
        <v>0</v>
      </c>
      <c r="AI28" s="820">
        <v>0</v>
      </c>
      <c r="AJ28" s="919">
        <v>0</v>
      </c>
      <c r="AK28" s="536">
        <f t="shared" si="0"/>
        <v>517</v>
      </c>
      <c r="AL28" s="421">
        <v>517</v>
      </c>
      <c r="AM28" s="410"/>
      <c r="AN28" s="410"/>
      <c r="AO28" s="410"/>
      <c r="AP28" s="411"/>
      <c r="AQ28" s="411"/>
    </row>
    <row r="29" spans="1:43" ht="30" customHeight="1" x14ac:dyDescent="0.3">
      <c r="A29" s="1273"/>
      <c r="B29" s="1322" t="s">
        <v>465</v>
      </c>
      <c r="C29" s="1291" t="s">
        <v>418</v>
      </c>
      <c r="D29" s="1178"/>
      <c r="E29" s="1178"/>
      <c r="F29" s="1179"/>
      <c r="G29" s="626"/>
      <c r="H29" s="1124"/>
      <c r="I29" s="1007"/>
      <c r="J29" s="467"/>
      <c r="K29" s="467"/>
      <c r="L29" s="467"/>
      <c r="M29" s="425"/>
      <c r="N29" s="541"/>
      <c r="O29" s="541"/>
      <c r="P29" s="424"/>
      <c r="Q29" s="425"/>
      <c r="R29" s="492"/>
      <c r="S29" s="492"/>
      <c r="T29" s="492"/>
      <c r="U29" s="419"/>
      <c r="V29" s="665"/>
      <c r="W29" s="664"/>
      <c r="X29" s="664"/>
      <c r="Y29" s="664"/>
      <c r="Z29" s="664"/>
      <c r="AA29" s="664"/>
      <c r="AB29" s="634"/>
      <c r="AC29" s="549"/>
      <c r="AD29" s="549"/>
      <c r="AE29" s="532"/>
      <c r="AF29" s="593"/>
      <c r="AG29" s="830"/>
      <c r="AH29" s="820"/>
      <c r="AI29" s="820"/>
      <c r="AJ29" s="919"/>
      <c r="AK29" s="536">
        <f t="shared" si="0"/>
        <v>0</v>
      </c>
      <c r="AL29" s="421">
        <v>0</v>
      </c>
      <c r="AM29" s="410"/>
      <c r="AN29" s="410"/>
      <c r="AO29" s="410"/>
      <c r="AP29" s="411"/>
      <c r="AQ29" s="411"/>
    </row>
    <row r="30" spans="1:43" ht="31.5" customHeight="1" x14ac:dyDescent="0.3">
      <c r="A30" s="1273"/>
      <c r="B30" s="1189"/>
      <c r="C30" s="1291" t="s">
        <v>419</v>
      </c>
      <c r="D30" s="1178"/>
      <c r="E30" s="1178"/>
      <c r="F30" s="1179"/>
      <c r="G30" s="626"/>
      <c r="H30" s="1110">
        <v>55</v>
      </c>
      <c r="I30" s="1127">
        <v>0</v>
      </c>
      <c r="J30" s="467"/>
      <c r="K30" s="467"/>
      <c r="L30" s="467"/>
      <c r="M30" s="541"/>
      <c r="N30" s="541"/>
      <c r="O30" s="541"/>
      <c r="P30" s="540"/>
      <c r="Q30" s="541"/>
      <c r="R30" s="492"/>
      <c r="S30" s="492"/>
      <c r="T30" s="492"/>
      <c r="U30" s="419"/>
      <c r="V30" s="665">
        <v>30</v>
      </c>
      <c r="W30" s="665">
        <v>13</v>
      </c>
      <c r="X30" s="665">
        <v>2</v>
      </c>
      <c r="Y30" s="845">
        <v>43</v>
      </c>
      <c r="Z30" s="665">
        <v>53</v>
      </c>
      <c r="AA30" s="665">
        <v>60</v>
      </c>
      <c r="AB30" s="634"/>
      <c r="AC30" s="549"/>
      <c r="AD30" s="538"/>
      <c r="AE30" s="532"/>
      <c r="AF30" s="593"/>
      <c r="AG30" s="830">
        <f>30+30+31</f>
        <v>91</v>
      </c>
      <c r="AH30" s="843">
        <f>57+50+55</f>
        <v>162</v>
      </c>
      <c r="AI30" s="830">
        <f>52+39+12+35</f>
        <v>138</v>
      </c>
      <c r="AJ30" s="844">
        <v>30</v>
      </c>
      <c r="AK30" s="536">
        <f t="shared" si="0"/>
        <v>677</v>
      </c>
      <c r="AL30" s="421">
        <v>677</v>
      </c>
      <c r="AM30" s="410"/>
      <c r="AN30" s="410"/>
      <c r="AO30" s="410"/>
      <c r="AP30" s="411"/>
      <c r="AQ30" s="411"/>
    </row>
    <row r="31" spans="1:43" ht="18.75" customHeight="1" x14ac:dyDescent="0.3">
      <c r="A31" s="1273"/>
      <c r="B31" s="1297" t="s">
        <v>466</v>
      </c>
      <c r="C31" s="1291" t="s">
        <v>418</v>
      </c>
      <c r="D31" s="1178"/>
      <c r="E31" s="1178"/>
      <c r="F31" s="1179"/>
      <c r="G31" s="626"/>
      <c r="H31" s="1124"/>
      <c r="I31" s="1007"/>
      <c r="J31" s="467"/>
      <c r="K31" s="467"/>
      <c r="L31" s="467"/>
      <c r="M31" s="425"/>
      <c r="N31" s="541"/>
      <c r="O31" s="541"/>
      <c r="P31" s="424"/>
      <c r="Q31" s="425"/>
      <c r="R31" s="492"/>
      <c r="S31" s="492"/>
      <c r="T31" s="492"/>
      <c r="U31" s="419">
        <v>0</v>
      </c>
      <c r="V31" s="664"/>
      <c r="W31" s="664"/>
      <c r="X31" s="664"/>
      <c r="Y31" s="664"/>
      <c r="Z31" s="664"/>
      <c r="AA31" s="664"/>
      <c r="AB31" s="634"/>
      <c r="AC31" s="549"/>
      <c r="AD31" s="549"/>
      <c r="AE31" s="532"/>
      <c r="AF31" s="593"/>
      <c r="AG31" s="830"/>
      <c r="AH31" s="843"/>
      <c r="AI31" s="843"/>
      <c r="AJ31" s="852"/>
      <c r="AK31" s="536">
        <f t="shared" si="0"/>
        <v>0</v>
      </c>
      <c r="AL31" s="421">
        <v>0</v>
      </c>
      <c r="AM31" s="410"/>
      <c r="AN31" s="410"/>
      <c r="AO31" s="410"/>
      <c r="AP31" s="411"/>
      <c r="AQ31" s="411"/>
    </row>
    <row r="32" spans="1:43" ht="18.75" customHeight="1" x14ac:dyDescent="0.3">
      <c r="A32" s="1273"/>
      <c r="B32" s="1189"/>
      <c r="C32" s="1291" t="s">
        <v>419</v>
      </c>
      <c r="D32" s="1178"/>
      <c r="E32" s="1178"/>
      <c r="F32" s="1179"/>
      <c r="G32" s="626"/>
      <c r="H32" s="1110">
        <v>10</v>
      </c>
      <c r="I32" s="1014">
        <v>0</v>
      </c>
      <c r="J32" s="467"/>
      <c r="K32" s="467"/>
      <c r="L32" s="467"/>
      <c r="M32" s="425"/>
      <c r="N32" s="541"/>
      <c r="O32" s="541"/>
      <c r="P32" s="424"/>
      <c r="Q32" s="541"/>
      <c r="R32" s="467"/>
      <c r="S32" s="468"/>
      <c r="T32" s="468"/>
      <c r="U32" s="419">
        <v>0</v>
      </c>
      <c r="V32" s="665">
        <v>30</v>
      </c>
      <c r="W32" s="665">
        <v>11</v>
      </c>
      <c r="X32" s="665">
        <v>0</v>
      </c>
      <c r="Y32" s="845">
        <v>0</v>
      </c>
      <c r="Z32" s="665">
        <v>39</v>
      </c>
      <c r="AA32" s="665">
        <v>17</v>
      </c>
      <c r="AB32" s="634"/>
      <c r="AC32" s="549"/>
      <c r="AD32" s="549"/>
      <c r="AE32" s="532"/>
      <c r="AF32" s="593"/>
      <c r="AG32" s="820">
        <v>0</v>
      </c>
      <c r="AH32" s="843">
        <v>10</v>
      </c>
      <c r="AI32" s="820">
        <v>0</v>
      </c>
      <c r="AJ32" s="919">
        <v>0</v>
      </c>
      <c r="AK32" s="536">
        <f t="shared" si="0"/>
        <v>117</v>
      </c>
      <c r="AL32" s="421">
        <v>117</v>
      </c>
      <c r="AM32" s="410"/>
      <c r="AN32" s="410"/>
      <c r="AO32" s="410"/>
      <c r="AP32" s="411"/>
      <c r="AQ32" s="411"/>
    </row>
    <row r="33" spans="1:43" ht="18.75" customHeight="1" x14ac:dyDescent="0.3">
      <c r="A33" s="1273"/>
      <c r="B33" s="1323" t="s">
        <v>467</v>
      </c>
      <c r="C33" s="1331" t="s">
        <v>418</v>
      </c>
      <c r="D33" s="1288"/>
      <c r="E33" s="1288"/>
      <c r="F33" s="1288"/>
      <c r="G33" s="460">
        <v>180</v>
      </c>
      <c r="H33" s="1128">
        <v>180</v>
      </c>
      <c r="I33" s="888">
        <v>180</v>
      </c>
      <c r="J33" s="459">
        <v>0</v>
      </c>
      <c r="K33" s="459">
        <v>180</v>
      </c>
      <c r="L33" s="459">
        <v>180</v>
      </c>
      <c r="M33" s="459">
        <v>180</v>
      </c>
      <c r="N33" s="459">
        <v>180</v>
      </c>
      <c r="O33" s="614">
        <v>180</v>
      </c>
      <c r="P33" s="458">
        <v>180</v>
      </c>
      <c r="Q33" s="458">
        <v>180</v>
      </c>
      <c r="R33" s="458">
        <v>0</v>
      </c>
      <c r="S33" s="458">
        <v>180</v>
      </c>
      <c r="T33" s="458">
        <v>180</v>
      </c>
      <c r="U33" s="704">
        <v>0</v>
      </c>
      <c r="V33" s="1129">
        <v>180</v>
      </c>
      <c r="W33" s="1130">
        <v>180</v>
      </c>
      <c r="X33" s="882">
        <v>180</v>
      </c>
      <c r="Y33" s="882">
        <v>180</v>
      </c>
      <c r="Z33" s="882">
        <v>180</v>
      </c>
      <c r="AA33" s="882">
        <v>180</v>
      </c>
      <c r="AB33" s="703">
        <v>180</v>
      </c>
      <c r="AC33" s="612">
        <v>180</v>
      </c>
      <c r="AD33" s="612">
        <v>180</v>
      </c>
      <c r="AE33" s="612">
        <v>180</v>
      </c>
      <c r="AF33" s="612">
        <v>180</v>
      </c>
      <c r="AG33" s="877">
        <v>180</v>
      </c>
      <c r="AH33" s="877">
        <v>180</v>
      </c>
      <c r="AI33" s="877">
        <v>180</v>
      </c>
      <c r="AJ33" s="897">
        <v>60</v>
      </c>
      <c r="AK33" s="536">
        <f t="shared" si="0"/>
        <v>4740</v>
      </c>
      <c r="AL33" s="421">
        <v>4740</v>
      </c>
      <c r="AM33" s="410"/>
      <c r="AN33" s="410"/>
      <c r="AO33" s="410"/>
      <c r="AP33" s="411"/>
      <c r="AQ33" s="411"/>
    </row>
    <row r="34" spans="1:43" ht="18.75" customHeight="1" x14ac:dyDescent="0.3">
      <c r="A34" s="1249"/>
      <c r="B34" s="1324"/>
      <c r="C34" s="1307" t="s">
        <v>419</v>
      </c>
      <c r="D34" s="1260"/>
      <c r="E34" s="1260"/>
      <c r="F34" s="1260"/>
      <c r="G34" s="615"/>
      <c r="H34" s="1131">
        <v>128</v>
      </c>
      <c r="I34" s="837">
        <v>181</v>
      </c>
      <c r="J34" s="615">
        <f>SUM(J26+J28+J30+J32)</f>
        <v>0</v>
      </c>
      <c r="K34" s="615">
        <v>190</v>
      </c>
      <c r="L34" s="615">
        <v>170</v>
      </c>
      <c r="M34" s="615">
        <v>180</v>
      </c>
      <c r="N34" s="615">
        <v>182</v>
      </c>
      <c r="O34" s="615">
        <v>125</v>
      </c>
      <c r="P34" s="615">
        <v>180</v>
      </c>
      <c r="Q34" s="615">
        <v>175</v>
      </c>
      <c r="R34" s="615">
        <f>SUM(R26+R28+R30+R32)</f>
        <v>0</v>
      </c>
      <c r="S34" s="615">
        <v>120</v>
      </c>
      <c r="T34" s="615">
        <v>170</v>
      </c>
      <c r="U34" s="704">
        <v>110</v>
      </c>
      <c r="V34" s="862">
        <v>181</v>
      </c>
      <c r="W34" s="862">
        <v>46</v>
      </c>
      <c r="X34" s="1122">
        <v>106</v>
      </c>
      <c r="Y34" s="1122">
        <v>180</v>
      </c>
      <c r="Z34" s="862">
        <v>180</v>
      </c>
      <c r="AA34" s="862">
        <v>323</v>
      </c>
      <c r="AB34" s="703">
        <v>180</v>
      </c>
      <c r="AC34" s="612">
        <v>180</v>
      </c>
      <c r="AD34" s="612">
        <v>170</v>
      </c>
      <c r="AE34" s="612">
        <v>180</v>
      </c>
      <c r="AF34" s="612">
        <v>84</v>
      </c>
      <c r="AG34" s="1132">
        <v>91</v>
      </c>
      <c r="AH34" s="886">
        <f>AH32+AH30</f>
        <v>172</v>
      </c>
      <c r="AI34" s="1132">
        <v>138</v>
      </c>
      <c r="AJ34" s="1133">
        <v>30</v>
      </c>
      <c r="AK34" s="705">
        <f t="shared" si="0"/>
        <v>4152</v>
      </c>
      <c r="AL34" s="421">
        <v>4152</v>
      </c>
      <c r="AM34" s="410"/>
      <c r="AN34" s="410"/>
      <c r="AO34" s="410"/>
      <c r="AP34" s="411"/>
      <c r="AQ34" s="411"/>
    </row>
    <row r="35" spans="1:43" ht="25.5" customHeight="1" x14ac:dyDescent="0.3">
      <c r="A35" s="1266" t="s">
        <v>424</v>
      </c>
      <c r="B35" s="1325" t="s">
        <v>425</v>
      </c>
      <c r="C35" s="1256" t="s">
        <v>418</v>
      </c>
      <c r="D35" s="1244"/>
      <c r="E35" s="1244"/>
      <c r="F35" s="1244"/>
      <c r="G35" s="626">
        <v>30</v>
      </c>
      <c r="H35" s="1013"/>
      <c r="I35" s="1013"/>
      <c r="J35" s="541">
        <v>30</v>
      </c>
      <c r="K35" s="541">
        <v>30</v>
      </c>
      <c r="L35" s="541">
        <v>30</v>
      </c>
      <c r="M35" s="541">
        <v>30</v>
      </c>
      <c r="N35" s="541">
        <v>30</v>
      </c>
      <c r="O35" s="541">
        <v>30</v>
      </c>
      <c r="P35" s="541">
        <v>30</v>
      </c>
      <c r="Q35" s="541">
        <v>30</v>
      </c>
      <c r="R35" s="541">
        <v>30</v>
      </c>
      <c r="S35" s="541">
        <v>30</v>
      </c>
      <c r="T35" s="541">
        <v>30</v>
      </c>
      <c r="U35" s="541">
        <v>30</v>
      </c>
      <c r="V35" s="541">
        <v>30</v>
      </c>
      <c r="W35" s="541">
        <v>30</v>
      </c>
      <c r="X35" s="541">
        <v>30</v>
      </c>
      <c r="Y35" s="541">
        <v>30</v>
      </c>
      <c r="Z35" s="541">
        <v>30</v>
      </c>
      <c r="AA35" s="541">
        <v>30</v>
      </c>
      <c r="AB35" s="541">
        <v>30</v>
      </c>
      <c r="AC35" s="541">
        <v>30</v>
      </c>
      <c r="AD35" s="541">
        <v>30</v>
      </c>
      <c r="AE35" s="541">
        <v>30</v>
      </c>
      <c r="AF35" s="541">
        <v>30</v>
      </c>
      <c r="AG35" s="748">
        <v>30</v>
      </c>
      <c r="AH35" s="748">
        <v>30</v>
      </c>
      <c r="AI35" s="748">
        <v>30</v>
      </c>
      <c r="AJ35" s="748">
        <v>30</v>
      </c>
      <c r="AK35" s="536">
        <f t="shared" si="0"/>
        <v>840</v>
      </c>
      <c r="AL35" s="416">
        <v>840</v>
      </c>
      <c r="AM35" s="410"/>
      <c r="AN35" s="410"/>
      <c r="AO35" s="410"/>
      <c r="AP35" s="411"/>
      <c r="AQ35" s="411"/>
    </row>
    <row r="36" spans="1:43" ht="28.5" customHeight="1" x14ac:dyDescent="0.3">
      <c r="A36" s="1249"/>
      <c r="B36" s="1265"/>
      <c r="C36" s="1278" t="s">
        <v>419</v>
      </c>
      <c r="D36" s="1279"/>
      <c r="E36" s="1279"/>
      <c r="F36" s="1279"/>
      <c r="G36" s="732"/>
      <c r="H36" s="1062"/>
      <c r="I36" s="1134"/>
      <c r="J36" s="777">
        <v>15</v>
      </c>
      <c r="K36" s="777">
        <v>13</v>
      </c>
      <c r="L36" s="618">
        <v>11</v>
      </c>
      <c r="M36" s="618">
        <v>15</v>
      </c>
      <c r="N36" s="618">
        <v>15</v>
      </c>
      <c r="O36" s="618">
        <v>12</v>
      </c>
      <c r="P36" s="618">
        <v>15</v>
      </c>
      <c r="Q36" s="618">
        <v>22</v>
      </c>
      <c r="R36" s="618">
        <v>18</v>
      </c>
      <c r="S36" s="618">
        <v>7</v>
      </c>
      <c r="T36" s="618">
        <v>11</v>
      </c>
      <c r="U36" s="777">
        <v>9</v>
      </c>
      <c r="V36" s="905">
        <v>0</v>
      </c>
      <c r="W36" s="913">
        <v>0</v>
      </c>
      <c r="X36" s="913">
        <v>0</v>
      </c>
      <c r="Y36" s="912">
        <v>12</v>
      </c>
      <c r="Z36" s="912">
        <v>0</v>
      </c>
      <c r="AA36" s="913">
        <v>0</v>
      </c>
      <c r="AB36" s="707">
        <v>15</v>
      </c>
      <c r="AC36" s="708">
        <v>15</v>
      </c>
      <c r="AD36" s="708">
        <v>11</v>
      </c>
      <c r="AE36" s="709">
        <v>15</v>
      </c>
      <c r="AF36" s="778">
        <v>11</v>
      </c>
      <c r="AG36" s="907">
        <v>0</v>
      </c>
      <c r="AH36" s="911">
        <v>0</v>
      </c>
      <c r="AI36" s="907">
        <v>0</v>
      </c>
      <c r="AJ36" s="1135">
        <v>0</v>
      </c>
      <c r="AK36" s="536">
        <f t="shared" si="0"/>
        <v>242</v>
      </c>
      <c r="AL36" s="416">
        <v>242</v>
      </c>
      <c r="AM36" s="410"/>
      <c r="AN36" s="410"/>
      <c r="AO36" s="410"/>
      <c r="AP36" s="411"/>
      <c r="AQ36" s="411"/>
    </row>
    <row r="37" spans="1:43" ht="18.75" customHeight="1" x14ac:dyDescent="0.3">
      <c r="A37" s="1268" t="s">
        <v>426</v>
      </c>
      <c r="B37" s="1269" t="s">
        <v>427</v>
      </c>
      <c r="C37" s="1261" t="s">
        <v>418</v>
      </c>
      <c r="D37" s="1244"/>
      <c r="E37" s="1244"/>
      <c r="F37" s="1290"/>
      <c r="G37" s="637"/>
      <c r="H37" s="931">
        <v>1</v>
      </c>
      <c r="I37" s="1136">
        <v>1</v>
      </c>
      <c r="J37" s="915">
        <v>1</v>
      </c>
      <c r="K37" s="501"/>
      <c r="L37" s="1067"/>
      <c r="M37" s="780">
        <v>1</v>
      </c>
      <c r="N37" s="562">
        <v>1</v>
      </c>
      <c r="O37" s="501"/>
      <c r="P37" s="915">
        <v>1</v>
      </c>
      <c r="Q37" s="562">
        <v>2</v>
      </c>
      <c r="R37" s="562">
        <v>1</v>
      </c>
      <c r="S37" s="562"/>
      <c r="T37" s="625"/>
      <c r="U37" s="626"/>
      <c r="V37" s="850"/>
      <c r="W37" s="845">
        <v>1</v>
      </c>
      <c r="X37" s="845">
        <v>1</v>
      </c>
      <c r="Y37" s="845">
        <v>1</v>
      </c>
      <c r="Z37" s="1137">
        <v>1</v>
      </c>
      <c r="AA37" s="845">
        <v>1</v>
      </c>
      <c r="AB37" s="684">
        <v>1</v>
      </c>
      <c r="AC37" s="538">
        <v>1</v>
      </c>
      <c r="AD37" s="538"/>
      <c r="AE37" s="563">
        <v>1</v>
      </c>
      <c r="AF37" s="550">
        <v>1</v>
      </c>
      <c r="AG37" s="820">
        <v>1</v>
      </c>
      <c r="AH37" s="820">
        <v>1</v>
      </c>
      <c r="AI37" s="830"/>
      <c r="AJ37" s="844"/>
      <c r="AK37" s="536">
        <f t="shared" si="0"/>
        <v>20</v>
      </c>
      <c r="AL37" s="416">
        <v>20</v>
      </c>
      <c r="AM37" s="410"/>
      <c r="AN37" s="410"/>
      <c r="AO37" s="410"/>
      <c r="AP37" s="411"/>
      <c r="AQ37" s="411"/>
    </row>
    <row r="38" spans="1:43" ht="18.75" customHeight="1" x14ac:dyDescent="0.3">
      <c r="A38" s="1254"/>
      <c r="B38" s="1165"/>
      <c r="C38" s="1336" t="s">
        <v>419</v>
      </c>
      <c r="D38" s="1178"/>
      <c r="E38" s="1178"/>
      <c r="F38" s="1179"/>
      <c r="G38" s="718"/>
      <c r="H38" s="1138">
        <v>1</v>
      </c>
      <c r="I38" s="1139">
        <v>1</v>
      </c>
      <c r="J38" s="1140">
        <v>1</v>
      </c>
      <c r="K38" s="1141"/>
      <c r="L38" s="718"/>
      <c r="M38" s="718">
        <v>1</v>
      </c>
      <c r="N38" s="1142">
        <v>2</v>
      </c>
      <c r="O38" s="1141"/>
      <c r="P38" s="1140">
        <v>2</v>
      </c>
      <c r="Q38" s="1142">
        <v>2</v>
      </c>
      <c r="R38" s="1142">
        <v>1</v>
      </c>
      <c r="S38" s="1142"/>
      <c r="T38" s="1142"/>
      <c r="U38" s="1143"/>
      <c r="V38" s="1139"/>
      <c r="W38" s="1144">
        <v>0</v>
      </c>
      <c r="X38" s="1144">
        <v>0</v>
      </c>
      <c r="Y38" s="1139">
        <v>1</v>
      </c>
      <c r="Z38" s="1144">
        <v>0</v>
      </c>
      <c r="AA38" s="1139">
        <v>0</v>
      </c>
      <c r="AB38" s="1145">
        <v>1</v>
      </c>
      <c r="AC38" s="1146">
        <v>1</v>
      </c>
      <c r="AD38" s="1146">
        <v>1</v>
      </c>
      <c r="AE38" s="1147">
        <v>1</v>
      </c>
      <c r="AF38" s="1148">
        <v>0</v>
      </c>
      <c r="AG38" s="1149">
        <v>0</v>
      </c>
      <c r="AH38" s="1150">
        <v>0</v>
      </c>
      <c r="AI38" s="1149">
        <v>0</v>
      </c>
      <c r="AJ38" s="1151">
        <v>1</v>
      </c>
      <c r="AK38" s="689">
        <f t="shared" si="0"/>
        <v>17</v>
      </c>
      <c r="AL38" s="925">
        <v>17</v>
      </c>
      <c r="AM38" s="925"/>
      <c r="AN38" s="926"/>
      <c r="AO38" s="926"/>
      <c r="AP38" s="927"/>
      <c r="AQ38" s="927"/>
    </row>
    <row r="39" spans="1:43" ht="18.75" customHeight="1" x14ac:dyDescent="0.3">
      <c r="A39" s="1254"/>
      <c r="B39" s="1270" t="s">
        <v>428</v>
      </c>
      <c r="C39" s="1291" t="s">
        <v>418</v>
      </c>
      <c r="D39" s="1178"/>
      <c r="E39" s="1178"/>
      <c r="F39" s="1179"/>
      <c r="G39" s="637"/>
      <c r="H39" s="931">
        <v>1</v>
      </c>
      <c r="I39" s="845">
        <v>1</v>
      </c>
      <c r="J39" s="915">
        <v>1</v>
      </c>
      <c r="K39" s="542">
        <v>2</v>
      </c>
      <c r="L39" s="542">
        <v>2</v>
      </c>
      <c r="M39" s="542">
        <v>1</v>
      </c>
      <c r="N39" s="542">
        <v>2</v>
      </c>
      <c r="O39" s="542"/>
      <c r="P39" s="542">
        <v>2</v>
      </c>
      <c r="Q39" s="562">
        <v>4</v>
      </c>
      <c r="R39" s="562">
        <v>2</v>
      </c>
      <c r="S39" s="562"/>
      <c r="T39" s="562">
        <v>2</v>
      </c>
      <c r="U39" s="541"/>
      <c r="V39" s="665"/>
      <c r="W39" s="845">
        <v>1</v>
      </c>
      <c r="X39" s="845">
        <v>1</v>
      </c>
      <c r="Y39" s="845">
        <v>1</v>
      </c>
      <c r="Z39" s="845">
        <v>1</v>
      </c>
      <c r="AA39" s="845">
        <v>1</v>
      </c>
      <c r="AB39" s="684">
        <v>1</v>
      </c>
      <c r="AC39" s="538"/>
      <c r="AD39" s="538"/>
      <c r="AE39" s="563"/>
      <c r="AF39" s="550"/>
      <c r="AG39" s="820">
        <v>1</v>
      </c>
      <c r="AH39" s="820">
        <v>1</v>
      </c>
      <c r="AI39" s="830"/>
      <c r="AJ39" s="844"/>
      <c r="AK39" s="536">
        <f t="shared" si="0"/>
        <v>28</v>
      </c>
      <c r="AL39" s="416">
        <v>28</v>
      </c>
      <c r="AM39" s="410"/>
      <c r="AN39" s="410"/>
      <c r="AO39" s="410"/>
      <c r="AP39" s="411"/>
      <c r="AQ39" s="411"/>
    </row>
    <row r="40" spans="1:43" ht="18.75" customHeight="1" x14ac:dyDescent="0.3">
      <c r="A40" s="1254"/>
      <c r="B40" s="1165"/>
      <c r="C40" s="1291" t="s">
        <v>419</v>
      </c>
      <c r="D40" s="1178"/>
      <c r="E40" s="1178"/>
      <c r="F40" s="1179"/>
      <c r="G40" s="637"/>
      <c r="H40" s="1152">
        <v>2</v>
      </c>
      <c r="I40" s="665">
        <v>2</v>
      </c>
      <c r="J40" s="915">
        <v>3</v>
      </c>
      <c r="K40" s="542">
        <v>0</v>
      </c>
      <c r="L40" s="542">
        <v>2</v>
      </c>
      <c r="M40" s="542">
        <v>2</v>
      </c>
      <c r="N40" s="542">
        <v>2</v>
      </c>
      <c r="O40" s="542"/>
      <c r="P40" s="542">
        <v>3</v>
      </c>
      <c r="Q40" s="562">
        <v>4</v>
      </c>
      <c r="R40" s="562">
        <v>2</v>
      </c>
      <c r="S40" s="562"/>
      <c r="T40" s="562">
        <v>2</v>
      </c>
      <c r="U40" s="497"/>
      <c r="V40" s="665">
        <v>1</v>
      </c>
      <c r="W40" s="665">
        <v>1</v>
      </c>
      <c r="X40" s="845">
        <v>0</v>
      </c>
      <c r="Y40" s="665">
        <v>2</v>
      </c>
      <c r="Z40" s="665">
        <v>1</v>
      </c>
      <c r="AA40" s="665">
        <v>2</v>
      </c>
      <c r="AB40" s="684">
        <v>1</v>
      </c>
      <c r="AC40" s="538">
        <v>0</v>
      </c>
      <c r="AD40" s="538">
        <v>0</v>
      </c>
      <c r="AE40" s="563">
        <v>0</v>
      </c>
      <c r="AF40" s="550">
        <v>0</v>
      </c>
      <c r="AG40" s="820">
        <v>4</v>
      </c>
      <c r="AH40" s="830">
        <v>0</v>
      </c>
      <c r="AI40" s="830">
        <v>1</v>
      </c>
      <c r="AJ40" s="844">
        <v>4</v>
      </c>
      <c r="AK40" s="536">
        <f t="shared" si="0"/>
        <v>41</v>
      </c>
      <c r="AL40" s="416">
        <v>43</v>
      </c>
      <c r="AM40" s="410"/>
      <c r="AN40" s="410"/>
      <c r="AO40" s="410"/>
      <c r="AP40" s="411"/>
      <c r="AQ40" s="411"/>
    </row>
    <row r="41" spans="1:43" ht="18.75" customHeight="1" x14ac:dyDescent="0.3">
      <c r="A41" s="1254"/>
      <c r="B41" s="1270" t="s">
        <v>429</v>
      </c>
      <c r="C41" s="1291" t="s">
        <v>418</v>
      </c>
      <c r="D41" s="1178"/>
      <c r="E41" s="1178"/>
      <c r="F41" s="1179"/>
      <c r="G41" s="517"/>
      <c r="H41" s="931">
        <v>1</v>
      </c>
      <c r="I41" s="845">
        <v>1</v>
      </c>
      <c r="J41" s="915">
        <v>1</v>
      </c>
      <c r="K41" s="468"/>
      <c r="L41" s="468"/>
      <c r="M41" s="542"/>
      <c r="N41" s="542">
        <v>1</v>
      </c>
      <c r="O41" s="468"/>
      <c r="P41" s="542"/>
      <c r="Q41" s="542">
        <v>1</v>
      </c>
      <c r="R41" s="631"/>
      <c r="S41" s="472"/>
      <c r="T41" s="472"/>
      <c r="U41" s="631"/>
      <c r="V41" s="665"/>
      <c r="W41" s="845">
        <v>1</v>
      </c>
      <c r="X41" s="845">
        <v>1</v>
      </c>
      <c r="Y41" s="845">
        <v>1</v>
      </c>
      <c r="Z41" s="1137">
        <v>1</v>
      </c>
      <c r="AA41" s="845">
        <v>1</v>
      </c>
      <c r="AB41" s="684"/>
      <c r="AC41" s="538"/>
      <c r="AD41" s="538"/>
      <c r="AE41" s="563"/>
      <c r="AF41" s="593"/>
      <c r="AG41" s="820">
        <v>1</v>
      </c>
      <c r="AH41" s="820">
        <v>1</v>
      </c>
      <c r="AI41" s="830"/>
      <c r="AJ41" s="919">
        <v>0</v>
      </c>
      <c r="AK41" s="536">
        <f t="shared" si="0"/>
        <v>12</v>
      </c>
      <c r="AL41" s="416">
        <v>12</v>
      </c>
      <c r="AM41" s="410"/>
      <c r="AN41" s="410"/>
      <c r="AO41" s="410"/>
      <c r="AP41" s="411"/>
      <c r="AQ41" s="411"/>
    </row>
    <row r="42" spans="1:43" ht="18.75" customHeight="1" x14ac:dyDescent="0.3">
      <c r="A42" s="1254"/>
      <c r="B42" s="1165"/>
      <c r="C42" s="1291" t="s">
        <v>419</v>
      </c>
      <c r="D42" s="1178"/>
      <c r="E42" s="1178"/>
      <c r="F42" s="1179"/>
      <c r="G42" s="517"/>
      <c r="H42" s="931">
        <v>0</v>
      </c>
      <c r="I42" s="845">
        <v>0</v>
      </c>
      <c r="J42" s="915">
        <v>1</v>
      </c>
      <c r="K42" s="468"/>
      <c r="L42" s="468"/>
      <c r="M42" s="542"/>
      <c r="N42" s="542">
        <v>1</v>
      </c>
      <c r="O42" s="468"/>
      <c r="P42" s="542"/>
      <c r="Q42" s="542">
        <v>1</v>
      </c>
      <c r="R42" s="632"/>
      <c r="S42" s="633"/>
      <c r="T42" s="632"/>
      <c r="U42" s="713"/>
      <c r="V42" s="665"/>
      <c r="W42" s="665">
        <v>1</v>
      </c>
      <c r="X42" s="845">
        <v>0</v>
      </c>
      <c r="Y42" s="845">
        <v>0</v>
      </c>
      <c r="Z42" s="1137">
        <v>0</v>
      </c>
      <c r="AA42" s="665">
        <v>1</v>
      </c>
      <c r="AB42" s="634"/>
      <c r="AC42" s="549"/>
      <c r="AD42" s="549"/>
      <c r="AE42" s="532"/>
      <c r="AF42" s="593"/>
      <c r="AG42" s="830">
        <v>0</v>
      </c>
      <c r="AH42" s="830">
        <v>0</v>
      </c>
      <c r="AI42" s="820">
        <v>0</v>
      </c>
      <c r="AJ42" s="919">
        <v>0</v>
      </c>
      <c r="AK42" s="536">
        <f t="shared" si="0"/>
        <v>5</v>
      </c>
      <c r="AL42" s="416">
        <v>5</v>
      </c>
      <c r="AM42" s="410"/>
      <c r="AN42" s="410"/>
      <c r="AO42" s="410"/>
      <c r="AP42" s="411"/>
      <c r="AQ42" s="411"/>
    </row>
    <row r="43" spans="1:43" ht="18.75" customHeight="1" x14ac:dyDescent="0.3">
      <c r="A43" s="1254"/>
      <c r="B43" s="1270" t="s">
        <v>430</v>
      </c>
      <c r="C43" s="1291" t="s">
        <v>418</v>
      </c>
      <c r="D43" s="1178"/>
      <c r="E43" s="1178"/>
      <c r="F43" s="1179"/>
      <c r="G43" s="517"/>
      <c r="H43" s="931">
        <v>1</v>
      </c>
      <c r="I43" s="845">
        <v>1</v>
      </c>
      <c r="J43" s="915"/>
      <c r="K43" s="468"/>
      <c r="L43" s="468"/>
      <c r="M43" s="468"/>
      <c r="N43" s="542"/>
      <c r="O43" s="468"/>
      <c r="P43" s="468"/>
      <c r="Q43" s="497"/>
      <c r="R43" s="632"/>
      <c r="S43" s="632"/>
      <c r="T43" s="632"/>
      <c r="U43" s="713"/>
      <c r="V43" s="665"/>
      <c r="W43" s="845">
        <v>1</v>
      </c>
      <c r="X43" s="845">
        <v>1</v>
      </c>
      <c r="Y43" s="845">
        <v>1</v>
      </c>
      <c r="Z43" s="845">
        <v>1</v>
      </c>
      <c r="AA43" s="845">
        <v>1</v>
      </c>
      <c r="AB43" s="634"/>
      <c r="AC43" s="549"/>
      <c r="AD43" s="549"/>
      <c r="AE43" s="532"/>
      <c r="AF43" s="593"/>
      <c r="AG43" s="820">
        <v>1</v>
      </c>
      <c r="AH43" s="820">
        <v>1</v>
      </c>
      <c r="AI43" s="820">
        <v>0</v>
      </c>
      <c r="AJ43" s="919">
        <v>0</v>
      </c>
      <c r="AK43" s="536">
        <f t="shared" si="0"/>
        <v>9</v>
      </c>
      <c r="AL43" s="416">
        <v>9</v>
      </c>
      <c r="AM43" s="410"/>
      <c r="AN43" s="410"/>
      <c r="AO43" s="410"/>
      <c r="AP43" s="411"/>
      <c r="AQ43" s="411"/>
    </row>
    <row r="44" spans="1:43" ht="18.75" customHeight="1" x14ac:dyDescent="0.3">
      <c r="A44" s="1255"/>
      <c r="B44" s="1176"/>
      <c r="C44" s="1297" t="s">
        <v>419</v>
      </c>
      <c r="D44" s="1285"/>
      <c r="E44" s="1285"/>
      <c r="F44" s="1286"/>
      <c r="G44" s="1073"/>
      <c r="H44" s="1153">
        <v>0</v>
      </c>
      <c r="I44" s="946">
        <v>0</v>
      </c>
      <c r="J44" s="915"/>
      <c r="K44" s="506"/>
      <c r="L44" s="506"/>
      <c r="M44" s="506"/>
      <c r="N44" s="542"/>
      <c r="O44" s="506"/>
      <c r="P44" s="506"/>
      <c r="Q44" s="507"/>
      <c r="R44" s="635"/>
      <c r="S44" s="509"/>
      <c r="T44" s="499"/>
      <c r="U44" s="500"/>
      <c r="V44" s="665"/>
      <c r="W44" s="845">
        <v>0</v>
      </c>
      <c r="X44" s="946">
        <v>0</v>
      </c>
      <c r="Y44" s="815">
        <v>0</v>
      </c>
      <c r="Z44" s="946">
        <v>0</v>
      </c>
      <c r="AA44" s="850">
        <v>0</v>
      </c>
      <c r="AB44" s="634"/>
      <c r="AC44" s="549"/>
      <c r="AD44" s="549"/>
      <c r="AE44" s="532"/>
      <c r="AF44" s="593"/>
      <c r="AG44" s="848">
        <v>0</v>
      </c>
      <c r="AH44" s="939">
        <v>0</v>
      </c>
      <c r="AI44" s="814">
        <v>0</v>
      </c>
      <c r="AJ44" s="814">
        <v>0</v>
      </c>
      <c r="AK44" s="536">
        <f t="shared" si="0"/>
        <v>0</v>
      </c>
      <c r="AL44" s="416">
        <v>0</v>
      </c>
      <c r="AM44" s="410"/>
      <c r="AN44" s="410"/>
      <c r="AO44" s="410"/>
      <c r="AP44" s="411"/>
      <c r="AQ44" s="411"/>
    </row>
    <row r="45" spans="1:43" ht="18.75" customHeight="1" x14ac:dyDescent="0.35">
      <c r="A45" s="510"/>
      <c r="B45" s="511"/>
      <c r="C45" s="1292"/>
      <c r="D45" s="1242"/>
      <c r="E45" s="1242"/>
      <c r="F45" s="1293"/>
      <c r="G45" s="512" t="s">
        <v>99</v>
      </c>
      <c r="H45" s="307" t="s">
        <v>100</v>
      </c>
      <c r="I45" s="1075" t="s">
        <v>198</v>
      </c>
      <c r="J45" s="307" t="s">
        <v>21</v>
      </c>
      <c r="K45" s="307" t="s">
        <v>102</v>
      </c>
      <c r="L45" s="308" t="s">
        <v>395</v>
      </c>
      <c r="M45" s="307" t="s">
        <v>396</v>
      </c>
      <c r="N45" s="307" t="s">
        <v>105</v>
      </c>
      <c r="O45" s="307" t="s">
        <v>106</v>
      </c>
      <c r="P45" s="307" t="s">
        <v>107</v>
      </c>
      <c r="Q45" s="309" t="s">
        <v>215</v>
      </c>
      <c r="R45" s="310" t="s">
        <v>34</v>
      </c>
      <c r="S45" s="311" t="s">
        <v>397</v>
      </c>
      <c r="T45" s="310" t="s">
        <v>110</v>
      </c>
      <c r="U45" s="950" t="s">
        <v>111</v>
      </c>
      <c r="V45" s="1154" t="s">
        <v>112</v>
      </c>
      <c r="W45" s="1155" t="s">
        <v>49</v>
      </c>
      <c r="X45" s="1156" t="s">
        <v>399</v>
      </c>
      <c r="Y45" s="1156" t="s">
        <v>341</v>
      </c>
      <c r="Z45" s="1157" t="s">
        <v>321</v>
      </c>
      <c r="AA45" s="1156" t="s">
        <v>474</v>
      </c>
      <c r="AB45" s="714" t="s">
        <v>454</v>
      </c>
      <c r="AC45" s="636" t="s">
        <v>116</v>
      </c>
      <c r="AD45" s="636" t="s">
        <v>80</v>
      </c>
      <c r="AE45" s="636" t="s">
        <v>117</v>
      </c>
      <c r="AF45" s="636" t="s">
        <v>106</v>
      </c>
      <c r="AG45" s="1158" t="s">
        <v>347</v>
      </c>
      <c r="AH45" s="1158" t="s">
        <v>70</v>
      </c>
      <c r="AI45" s="1159" t="s">
        <v>72</v>
      </c>
      <c r="AJ45" s="1159" t="s">
        <v>75</v>
      </c>
      <c r="AK45" s="536">
        <f t="shared" si="0"/>
        <v>0</v>
      </c>
      <c r="AL45" s="515">
        <v>0</v>
      </c>
      <c r="AM45" s="409"/>
      <c r="AN45" s="410"/>
      <c r="AO45" s="410"/>
      <c r="AP45" s="411"/>
      <c r="AQ45" s="411"/>
    </row>
    <row r="46" spans="1:43" ht="18.75" customHeight="1" x14ac:dyDescent="0.3">
      <c r="A46" s="1303" t="s">
        <v>431</v>
      </c>
      <c r="B46" s="516" t="s">
        <v>432</v>
      </c>
      <c r="C46" s="1294"/>
      <c r="D46" s="1201"/>
      <c r="E46" s="1201"/>
      <c r="F46" s="1173"/>
      <c r="G46" s="518"/>
      <c r="H46" s="637">
        <v>0</v>
      </c>
      <c r="I46" s="637">
        <v>0</v>
      </c>
      <c r="J46" s="518"/>
      <c r="K46" s="518"/>
      <c r="L46" s="518"/>
      <c r="M46" s="518"/>
      <c r="N46" s="518"/>
      <c r="O46" s="518"/>
      <c r="P46" s="518"/>
      <c r="Q46" s="518"/>
      <c r="R46" s="418"/>
      <c r="S46" s="427"/>
      <c r="T46" s="427"/>
      <c r="U46" s="425"/>
      <c r="V46" s="1160">
        <v>0</v>
      </c>
      <c r="W46" s="962">
        <v>0</v>
      </c>
      <c r="X46" s="637">
        <v>0</v>
      </c>
      <c r="Y46" s="1161">
        <v>0</v>
      </c>
      <c r="Z46" s="962">
        <v>0</v>
      </c>
      <c r="AA46" s="1162">
        <v>0</v>
      </c>
      <c r="AB46" s="634"/>
      <c r="AC46" s="549"/>
      <c r="AD46" s="549"/>
      <c r="AE46" s="532"/>
      <c r="AF46" s="593"/>
      <c r="AG46" s="961">
        <v>0</v>
      </c>
      <c r="AH46" s="821">
        <v>0</v>
      </c>
      <c r="AI46" s="814">
        <v>0</v>
      </c>
      <c r="AJ46" s="959">
        <v>0</v>
      </c>
      <c r="AK46" s="536">
        <f t="shared" si="0"/>
        <v>0</v>
      </c>
      <c r="AL46" s="416">
        <v>0</v>
      </c>
      <c r="AM46" s="410"/>
      <c r="AN46" s="410"/>
      <c r="AO46" s="410"/>
      <c r="AP46" s="411"/>
      <c r="AQ46" s="411"/>
    </row>
    <row r="47" spans="1:43" ht="18.75" customHeight="1" x14ac:dyDescent="0.3">
      <c r="A47" s="1164"/>
      <c r="B47" s="519" t="s">
        <v>433</v>
      </c>
      <c r="C47" s="1295"/>
      <c r="D47" s="1201"/>
      <c r="E47" s="1201"/>
      <c r="F47" s="1173"/>
      <c r="G47" s="518"/>
      <c r="H47" s="637">
        <v>0</v>
      </c>
      <c r="I47" s="637">
        <v>0</v>
      </c>
      <c r="J47" s="518"/>
      <c r="K47" s="518"/>
      <c r="L47" s="518"/>
      <c r="M47" s="518"/>
      <c r="N47" s="518"/>
      <c r="O47" s="518"/>
      <c r="P47" s="518"/>
      <c r="Q47" s="518"/>
      <c r="R47" s="418"/>
      <c r="S47" s="418"/>
      <c r="T47" s="418"/>
      <c r="U47" s="420"/>
      <c r="V47" s="962">
        <v>0</v>
      </c>
      <c r="W47" s="962">
        <v>0</v>
      </c>
      <c r="X47" s="637">
        <v>0</v>
      </c>
      <c r="Y47" s="963">
        <v>0</v>
      </c>
      <c r="Z47" s="962">
        <v>0</v>
      </c>
      <c r="AA47" s="964">
        <v>1</v>
      </c>
      <c r="AB47" s="634"/>
      <c r="AC47" s="549"/>
      <c r="AD47" s="549"/>
      <c r="AE47" s="532"/>
      <c r="AF47" s="593"/>
      <c r="AG47" s="961">
        <v>0</v>
      </c>
      <c r="AH47" s="820">
        <v>0</v>
      </c>
      <c r="AI47" s="814">
        <v>0</v>
      </c>
      <c r="AJ47" s="919">
        <v>0</v>
      </c>
      <c r="AK47" s="536">
        <f t="shared" si="0"/>
        <v>1</v>
      </c>
      <c r="AL47" s="416">
        <v>1</v>
      </c>
      <c r="AM47" s="410"/>
      <c r="AN47" s="410"/>
      <c r="AO47" s="410"/>
      <c r="AP47" s="411"/>
      <c r="AQ47" s="411"/>
    </row>
    <row r="48" spans="1:43" ht="18.75" customHeight="1" x14ac:dyDescent="0.3">
      <c r="A48" s="1164"/>
      <c r="B48" s="519" t="s">
        <v>434</v>
      </c>
      <c r="C48" s="1295"/>
      <c r="D48" s="1201"/>
      <c r="E48" s="1201"/>
      <c r="F48" s="1173"/>
      <c r="G48" s="518"/>
      <c r="H48" s="637">
        <v>0</v>
      </c>
      <c r="I48" s="637">
        <v>0</v>
      </c>
      <c r="J48" s="518"/>
      <c r="K48" s="637">
        <v>7</v>
      </c>
      <c r="L48" s="637"/>
      <c r="M48" s="637"/>
      <c r="N48" s="637"/>
      <c r="O48" s="518"/>
      <c r="P48" s="637"/>
      <c r="Q48" s="518"/>
      <c r="R48" s="418"/>
      <c r="S48" s="418"/>
      <c r="T48" s="418"/>
      <c r="U48" s="420"/>
      <c r="V48" s="962">
        <v>0</v>
      </c>
      <c r="W48" s="962">
        <v>0</v>
      </c>
      <c r="X48" s="637">
        <v>0</v>
      </c>
      <c r="Y48" s="966">
        <v>0</v>
      </c>
      <c r="Z48" s="962">
        <v>0</v>
      </c>
      <c r="AA48" s="964">
        <v>1</v>
      </c>
      <c r="AB48" s="634"/>
      <c r="AC48" s="549"/>
      <c r="AD48" s="549"/>
      <c r="AE48" s="532"/>
      <c r="AF48" s="593"/>
      <c r="AG48" s="961">
        <v>0</v>
      </c>
      <c r="AH48" s="820">
        <v>0</v>
      </c>
      <c r="AI48" s="814">
        <v>0</v>
      </c>
      <c r="AJ48" s="919">
        <v>0</v>
      </c>
      <c r="AK48" s="536">
        <f t="shared" si="0"/>
        <v>8</v>
      </c>
      <c r="AL48" s="416">
        <v>8</v>
      </c>
      <c r="AM48" s="410"/>
      <c r="AN48" s="410"/>
      <c r="AO48" s="410"/>
      <c r="AP48" s="411"/>
      <c r="AQ48" s="411"/>
    </row>
    <row r="49" spans="1:43" ht="18.75" customHeight="1" x14ac:dyDescent="0.3">
      <c r="A49" s="1164"/>
      <c r="B49" s="519" t="s">
        <v>435</v>
      </c>
      <c r="C49" s="1295"/>
      <c r="D49" s="1201"/>
      <c r="E49" s="1201"/>
      <c r="F49" s="1173"/>
      <c r="G49" s="518"/>
      <c r="H49" s="637">
        <v>0</v>
      </c>
      <c r="I49" s="637">
        <v>0</v>
      </c>
      <c r="J49" s="518"/>
      <c r="K49" s="637">
        <v>3</v>
      </c>
      <c r="L49" s="518"/>
      <c r="M49" s="518"/>
      <c r="N49" s="637"/>
      <c r="O49" s="518"/>
      <c r="P49" s="518"/>
      <c r="Q49" s="518"/>
      <c r="R49" s="418"/>
      <c r="S49" s="418"/>
      <c r="T49" s="418"/>
      <c r="U49" s="420"/>
      <c r="V49" s="962">
        <v>0</v>
      </c>
      <c r="W49" s="962">
        <v>0</v>
      </c>
      <c r="X49" s="637">
        <v>0</v>
      </c>
      <c r="Y49" s="963">
        <v>0</v>
      </c>
      <c r="Z49" s="962">
        <v>0</v>
      </c>
      <c r="AA49" s="964">
        <v>0</v>
      </c>
      <c r="AB49" s="634"/>
      <c r="AC49" s="549"/>
      <c r="AD49" s="549"/>
      <c r="AE49" s="532"/>
      <c r="AF49" s="593"/>
      <c r="AG49" s="961">
        <v>0</v>
      </c>
      <c r="AH49" s="820">
        <v>0</v>
      </c>
      <c r="AI49" s="814">
        <v>0</v>
      </c>
      <c r="AJ49" s="919">
        <v>0</v>
      </c>
      <c r="AK49" s="536">
        <f t="shared" si="0"/>
        <v>3</v>
      </c>
      <c r="AL49" s="416">
        <v>3</v>
      </c>
      <c r="AM49" s="410"/>
      <c r="AN49" s="410"/>
      <c r="AO49" s="410"/>
      <c r="AP49" s="411"/>
      <c r="AQ49" s="411"/>
    </row>
    <row r="50" spans="1:43" ht="18.75" customHeight="1" x14ac:dyDescent="0.3">
      <c r="A50" s="1164"/>
      <c r="B50" s="519" t="s">
        <v>436</v>
      </c>
      <c r="C50" s="1295"/>
      <c r="D50" s="1201"/>
      <c r="E50" s="1201"/>
      <c r="F50" s="1173"/>
      <c r="G50" s="518"/>
      <c r="H50" s="637">
        <v>0</v>
      </c>
      <c r="I50" s="637">
        <v>0</v>
      </c>
      <c r="J50" s="518"/>
      <c r="K50" s="518"/>
      <c r="L50" s="518"/>
      <c r="M50" s="518"/>
      <c r="N50" s="518"/>
      <c r="O50" s="518"/>
      <c r="P50" s="518"/>
      <c r="Q50" s="518"/>
      <c r="R50" s="418"/>
      <c r="S50" s="418"/>
      <c r="T50" s="418"/>
      <c r="U50" s="420"/>
      <c r="V50" s="962">
        <v>0</v>
      </c>
      <c r="W50" s="962">
        <v>0</v>
      </c>
      <c r="X50" s="637">
        <v>0</v>
      </c>
      <c r="Y50" s="963">
        <v>0</v>
      </c>
      <c r="Z50" s="962">
        <v>0</v>
      </c>
      <c r="AA50" s="964">
        <v>0</v>
      </c>
      <c r="AB50" s="634"/>
      <c r="AC50" s="549"/>
      <c r="AD50" s="549"/>
      <c r="AE50" s="532"/>
      <c r="AF50" s="593"/>
      <c r="AG50" s="961">
        <v>0</v>
      </c>
      <c r="AH50" s="820">
        <v>0</v>
      </c>
      <c r="AI50" s="814">
        <v>0</v>
      </c>
      <c r="AJ50" s="919">
        <v>0</v>
      </c>
      <c r="AK50" s="536">
        <f t="shared" si="0"/>
        <v>0</v>
      </c>
      <c r="AL50" s="416">
        <v>0</v>
      </c>
      <c r="AM50" s="410"/>
      <c r="AN50" s="410"/>
      <c r="AO50" s="410"/>
      <c r="AP50" s="411"/>
      <c r="AQ50" s="411"/>
    </row>
    <row r="51" spans="1:43" ht="18.75" customHeight="1" x14ac:dyDescent="0.3">
      <c r="A51" s="1164"/>
      <c r="B51" s="519" t="s">
        <v>437</v>
      </c>
      <c r="C51" s="1295"/>
      <c r="D51" s="1201"/>
      <c r="E51" s="1201"/>
      <c r="F51" s="1173"/>
      <c r="G51" s="518"/>
      <c r="H51" s="637">
        <v>0</v>
      </c>
      <c r="I51" s="637">
        <v>0</v>
      </c>
      <c r="J51" s="518"/>
      <c r="K51" s="518"/>
      <c r="L51" s="518"/>
      <c r="M51" s="518"/>
      <c r="N51" s="518"/>
      <c r="O51" s="518"/>
      <c r="P51" s="518"/>
      <c r="Q51" s="518"/>
      <c r="R51" s="418"/>
      <c r="S51" s="418"/>
      <c r="T51" s="418"/>
      <c r="U51" s="420"/>
      <c r="V51" s="962">
        <v>0</v>
      </c>
      <c r="W51" s="962">
        <v>0</v>
      </c>
      <c r="X51" s="637">
        <v>0</v>
      </c>
      <c r="Y51" s="963">
        <v>0</v>
      </c>
      <c r="Z51" s="962">
        <v>0</v>
      </c>
      <c r="AA51" s="964">
        <v>0</v>
      </c>
      <c r="AB51" s="634"/>
      <c r="AC51" s="549"/>
      <c r="AD51" s="549"/>
      <c r="AE51" s="532"/>
      <c r="AF51" s="593"/>
      <c r="AG51" s="961">
        <v>0</v>
      </c>
      <c r="AH51" s="820">
        <v>0</v>
      </c>
      <c r="AI51" s="814">
        <v>0</v>
      </c>
      <c r="AJ51" s="919">
        <v>0</v>
      </c>
      <c r="AK51" s="536">
        <f t="shared" si="0"/>
        <v>0</v>
      </c>
      <c r="AL51" s="416">
        <v>0</v>
      </c>
      <c r="AM51" s="410"/>
      <c r="AN51" s="410"/>
      <c r="AO51" s="410"/>
      <c r="AP51" s="411"/>
      <c r="AQ51" s="411"/>
    </row>
    <row r="52" spans="1:43" ht="18.75" customHeight="1" x14ac:dyDescent="0.3">
      <c r="A52" s="1164"/>
      <c r="B52" s="519" t="s">
        <v>438</v>
      </c>
      <c r="C52" s="1295"/>
      <c r="D52" s="1201"/>
      <c r="E52" s="1201"/>
      <c r="F52" s="1173"/>
      <c r="G52" s="518"/>
      <c r="H52" s="637">
        <v>0</v>
      </c>
      <c r="I52" s="637">
        <v>0</v>
      </c>
      <c r="J52" s="518"/>
      <c r="K52" s="518"/>
      <c r="L52" s="518"/>
      <c r="M52" s="518"/>
      <c r="N52" s="518"/>
      <c r="O52" s="518"/>
      <c r="P52" s="518"/>
      <c r="Q52" s="518"/>
      <c r="R52" s="542"/>
      <c r="S52" s="418"/>
      <c r="T52" s="418"/>
      <c r="U52" s="420"/>
      <c r="V52" s="962">
        <v>0</v>
      </c>
      <c r="W52" s="962">
        <v>0</v>
      </c>
      <c r="X52" s="637">
        <v>0</v>
      </c>
      <c r="Y52" s="963">
        <v>0</v>
      </c>
      <c r="Z52" s="962">
        <v>0</v>
      </c>
      <c r="AA52" s="964">
        <v>0</v>
      </c>
      <c r="AB52" s="634"/>
      <c r="AC52" s="549"/>
      <c r="AD52" s="549"/>
      <c r="AE52" s="532"/>
      <c r="AF52" s="593"/>
      <c r="AG52" s="961">
        <v>0</v>
      </c>
      <c r="AH52" s="820">
        <v>0</v>
      </c>
      <c r="AI52" s="814">
        <v>0</v>
      </c>
      <c r="AJ52" s="919">
        <v>0</v>
      </c>
      <c r="AK52" s="536">
        <f t="shared" si="0"/>
        <v>0</v>
      </c>
      <c r="AL52" s="416">
        <v>0</v>
      </c>
      <c r="AM52" s="410"/>
      <c r="AN52" s="410"/>
      <c r="AO52" s="410"/>
      <c r="AP52" s="411"/>
      <c r="AQ52" s="411"/>
    </row>
    <row r="53" spans="1:43" ht="18.75" customHeight="1" x14ac:dyDescent="0.3">
      <c r="A53" s="1164"/>
      <c r="B53" s="519" t="s">
        <v>439</v>
      </c>
      <c r="C53" s="1295"/>
      <c r="D53" s="1201"/>
      <c r="E53" s="1201"/>
      <c r="F53" s="1173"/>
      <c r="G53" s="518"/>
      <c r="H53" s="637">
        <v>0</v>
      </c>
      <c r="I53" s="637">
        <v>0</v>
      </c>
      <c r="J53" s="518"/>
      <c r="K53" s="518"/>
      <c r="L53" s="518"/>
      <c r="M53" s="518"/>
      <c r="N53" s="518"/>
      <c r="O53" s="518"/>
      <c r="P53" s="518"/>
      <c r="Q53" s="518"/>
      <c r="R53" s="418"/>
      <c r="S53" s="418"/>
      <c r="T53" s="418"/>
      <c r="U53" s="420"/>
      <c r="V53" s="962">
        <v>0</v>
      </c>
      <c r="W53" s="962">
        <v>0</v>
      </c>
      <c r="X53" s="637">
        <v>0</v>
      </c>
      <c r="Y53" s="963">
        <v>0</v>
      </c>
      <c r="Z53" s="962">
        <v>0</v>
      </c>
      <c r="AA53" s="964">
        <v>0</v>
      </c>
      <c r="AB53" s="634"/>
      <c r="AC53" s="549"/>
      <c r="AD53" s="549"/>
      <c r="AE53" s="532"/>
      <c r="AF53" s="593"/>
      <c r="AG53" s="961">
        <v>0</v>
      </c>
      <c r="AH53" s="820">
        <v>0</v>
      </c>
      <c r="AI53" s="814">
        <v>0</v>
      </c>
      <c r="AJ53" s="919">
        <v>0</v>
      </c>
      <c r="AK53" s="536">
        <f t="shared" si="0"/>
        <v>0</v>
      </c>
      <c r="AL53" s="416">
        <v>0</v>
      </c>
      <c r="AM53" s="410"/>
      <c r="AN53" s="410"/>
      <c r="AO53" s="410"/>
      <c r="AP53" s="411"/>
      <c r="AQ53" s="411"/>
    </row>
    <row r="54" spans="1:43" ht="18.75" customHeight="1" x14ac:dyDescent="0.3">
      <c r="A54" s="1164"/>
      <c r="B54" s="519" t="s">
        <v>440</v>
      </c>
      <c r="C54" s="1295"/>
      <c r="D54" s="1201"/>
      <c r="E54" s="1201"/>
      <c r="F54" s="1173"/>
      <c r="G54" s="518"/>
      <c r="H54" s="637">
        <v>0</v>
      </c>
      <c r="I54" s="637">
        <v>0</v>
      </c>
      <c r="J54" s="518"/>
      <c r="K54" s="518"/>
      <c r="L54" s="518"/>
      <c r="M54" s="518"/>
      <c r="N54" s="518"/>
      <c r="O54" s="518"/>
      <c r="P54" s="518"/>
      <c r="Q54" s="518"/>
      <c r="R54" s="418"/>
      <c r="S54" s="418"/>
      <c r="T54" s="418"/>
      <c r="U54" s="420"/>
      <c r="V54" s="962">
        <v>0</v>
      </c>
      <c r="W54" s="962">
        <v>0</v>
      </c>
      <c r="X54" s="637">
        <v>0</v>
      </c>
      <c r="Y54" s="963">
        <v>0</v>
      </c>
      <c r="Z54" s="962">
        <v>0</v>
      </c>
      <c r="AA54" s="964">
        <v>0</v>
      </c>
      <c r="AB54" s="634"/>
      <c r="AC54" s="549"/>
      <c r="AD54" s="549"/>
      <c r="AE54" s="532"/>
      <c r="AF54" s="593"/>
      <c r="AG54" s="961">
        <v>0</v>
      </c>
      <c r="AH54" s="820">
        <v>0</v>
      </c>
      <c r="AI54" s="814">
        <v>0</v>
      </c>
      <c r="AJ54" s="919">
        <v>0</v>
      </c>
      <c r="AK54" s="536">
        <f t="shared" si="0"/>
        <v>0</v>
      </c>
      <c r="AL54" s="416">
        <v>0</v>
      </c>
      <c r="AM54" s="410"/>
      <c r="AN54" s="410"/>
      <c r="AO54" s="410"/>
      <c r="AP54" s="411"/>
      <c r="AQ54" s="411"/>
    </row>
    <row r="55" spans="1:43" ht="18.75" customHeight="1" x14ac:dyDescent="0.3">
      <c r="A55" s="1164"/>
      <c r="B55" s="519" t="s">
        <v>441</v>
      </c>
      <c r="C55" s="1295"/>
      <c r="D55" s="1201"/>
      <c r="E55" s="1201"/>
      <c r="F55" s="1173"/>
      <c r="G55" s="518"/>
      <c r="H55" s="637">
        <v>0</v>
      </c>
      <c r="I55" s="637">
        <v>0</v>
      </c>
      <c r="J55" s="518"/>
      <c r="K55" s="518"/>
      <c r="L55" s="518"/>
      <c r="M55" s="518"/>
      <c r="N55" s="518"/>
      <c r="O55" s="518"/>
      <c r="P55" s="518"/>
      <c r="Q55" s="518"/>
      <c r="R55" s="418"/>
      <c r="S55" s="418"/>
      <c r="T55" s="418"/>
      <c r="U55" s="420"/>
      <c r="V55" s="962">
        <v>0</v>
      </c>
      <c r="W55" s="962">
        <v>0</v>
      </c>
      <c r="X55" s="637">
        <v>0</v>
      </c>
      <c r="Y55" s="963">
        <v>0</v>
      </c>
      <c r="Z55" s="962">
        <v>0</v>
      </c>
      <c r="AA55" s="964">
        <v>0</v>
      </c>
      <c r="AB55" s="634"/>
      <c r="AC55" s="549"/>
      <c r="AD55" s="549"/>
      <c r="AE55" s="532"/>
      <c r="AF55" s="593"/>
      <c r="AG55" s="961">
        <v>0</v>
      </c>
      <c r="AH55" s="820">
        <v>0</v>
      </c>
      <c r="AI55" s="814">
        <v>0</v>
      </c>
      <c r="AJ55" s="919">
        <v>0</v>
      </c>
      <c r="AK55" s="536">
        <f t="shared" si="0"/>
        <v>0</v>
      </c>
      <c r="AL55" s="416">
        <v>0</v>
      </c>
      <c r="AM55" s="410"/>
      <c r="AN55" s="410"/>
      <c r="AO55" s="410"/>
      <c r="AP55" s="411"/>
      <c r="AQ55" s="411"/>
    </row>
    <row r="56" spans="1:43" ht="18.75" customHeight="1" x14ac:dyDescent="0.3">
      <c r="A56" s="1164"/>
      <c r="B56" s="519" t="s">
        <v>442</v>
      </c>
      <c r="C56" s="1295"/>
      <c r="D56" s="1201"/>
      <c r="E56" s="1201"/>
      <c r="F56" s="1173"/>
      <c r="G56" s="518"/>
      <c r="H56" s="637">
        <v>0</v>
      </c>
      <c r="I56" s="637">
        <v>0</v>
      </c>
      <c r="J56" s="518"/>
      <c r="K56" s="518"/>
      <c r="L56" s="518"/>
      <c r="M56" s="518"/>
      <c r="N56" s="518"/>
      <c r="O56" s="518"/>
      <c r="P56" s="637"/>
      <c r="Q56" s="518"/>
      <c r="R56" s="418"/>
      <c r="S56" s="418"/>
      <c r="T56" s="418"/>
      <c r="U56" s="420"/>
      <c r="V56" s="962">
        <v>0</v>
      </c>
      <c r="W56" s="962">
        <v>0</v>
      </c>
      <c r="X56" s="637">
        <v>0</v>
      </c>
      <c r="Y56" s="963">
        <v>0</v>
      </c>
      <c r="Z56" s="962">
        <v>0</v>
      </c>
      <c r="AA56" s="964">
        <v>0</v>
      </c>
      <c r="AB56" s="634"/>
      <c r="AC56" s="549"/>
      <c r="AD56" s="549"/>
      <c r="AE56" s="532"/>
      <c r="AF56" s="593"/>
      <c r="AG56" s="961">
        <v>0</v>
      </c>
      <c r="AH56" s="820">
        <v>0</v>
      </c>
      <c r="AI56" s="814">
        <v>0</v>
      </c>
      <c r="AJ56" s="919">
        <v>0</v>
      </c>
      <c r="AK56" s="536">
        <f t="shared" si="0"/>
        <v>0</v>
      </c>
      <c r="AL56" s="416">
        <v>0</v>
      </c>
      <c r="AM56" s="410"/>
      <c r="AN56" s="410"/>
      <c r="AO56" s="410"/>
      <c r="AP56" s="411"/>
      <c r="AQ56" s="411"/>
    </row>
    <row r="57" spans="1:43" ht="18.75" customHeight="1" x14ac:dyDescent="0.3">
      <c r="A57" s="1164"/>
      <c r="B57" s="519" t="s">
        <v>443</v>
      </c>
      <c r="C57" s="1295"/>
      <c r="D57" s="1201"/>
      <c r="E57" s="1201"/>
      <c r="F57" s="1173"/>
      <c r="G57" s="518"/>
      <c r="H57" s="637">
        <v>0</v>
      </c>
      <c r="I57" s="637">
        <v>0</v>
      </c>
      <c r="J57" s="518"/>
      <c r="K57" s="518"/>
      <c r="L57" s="518"/>
      <c r="M57" s="518"/>
      <c r="N57" s="518"/>
      <c r="O57" s="518"/>
      <c r="P57" s="518"/>
      <c r="Q57" s="518"/>
      <c r="R57" s="418"/>
      <c r="S57" s="418"/>
      <c r="T57" s="418"/>
      <c r="U57" s="420"/>
      <c r="V57" s="962">
        <v>0</v>
      </c>
      <c r="W57" s="962">
        <v>0</v>
      </c>
      <c r="X57" s="637">
        <v>0</v>
      </c>
      <c r="Y57" s="963">
        <v>0</v>
      </c>
      <c r="Z57" s="962">
        <v>0</v>
      </c>
      <c r="AA57" s="964">
        <v>0</v>
      </c>
      <c r="AB57" s="634"/>
      <c r="AC57" s="549"/>
      <c r="AD57" s="549"/>
      <c r="AE57" s="532"/>
      <c r="AF57" s="593"/>
      <c r="AG57" s="961">
        <v>0</v>
      </c>
      <c r="AH57" s="820">
        <v>0</v>
      </c>
      <c r="AI57" s="814">
        <v>0</v>
      </c>
      <c r="AJ57" s="844">
        <v>1</v>
      </c>
      <c r="AK57" s="536">
        <f t="shared" si="0"/>
        <v>1</v>
      </c>
      <c r="AL57" s="416">
        <v>1</v>
      </c>
      <c r="AM57" s="410"/>
      <c r="AN57" s="410"/>
      <c r="AO57" s="410"/>
      <c r="AP57" s="411"/>
      <c r="AQ57" s="411"/>
    </row>
    <row r="58" spans="1:43" ht="18.75" customHeight="1" x14ac:dyDescent="0.3">
      <c r="A58" s="1164"/>
      <c r="B58" s="519" t="s">
        <v>444</v>
      </c>
      <c r="C58" s="1295"/>
      <c r="D58" s="1201"/>
      <c r="E58" s="1201"/>
      <c r="F58" s="1173"/>
      <c r="G58" s="518"/>
      <c r="H58" s="637">
        <v>0</v>
      </c>
      <c r="I58" s="637">
        <v>0</v>
      </c>
      <c r="J58" s="518"/>
      <c r="K58" s="518"/>
      <c r="L58" s="518"/>
      <c r="M58" s="637"/>
      <c r="N58" s="518"/>
      <c r="O58" s="518"/>
      <c r="P58" s="637"/>
      <c r="Q58" s="518"/>
      <c r="R58" s="418"/>
      <c r="S58" s="418"/>
      <c r="T58" s="418"/>
      <c r="U58" s="420"/>
      <c r="V58" s="962">
        <v>0</v>
      </c>
      <c r="W58" s="962">
        <v>0</v>
      </c>
      <c r="X58" s="637">
        <v>0</v>
      </c>
      <c r="Y58" s="963">
        <v>0</v>
      </c>
      <c r="Z58" s="962">
        <v>0</v>
      </c>
      <c r="AA58" s="964">
        <v>0</v>
      </c>
      <c r="AB58" s="634"/>
      <c r="AC58" s="549"/>
      <c r="AD58" s="549"/>
      <c r="AE58" s="532"/>
      <c r="AF58" s="593"/>
      <c r="AG58" s="961">
        <v>0</v>
      </c>
      <c r="AH58" s="820">
        <v>0</v>
      </c>
      <c r="AI58" s="814">
        <v>0</v>
      </c>
      <c r="AJ58" s="919">
        <v>0</v>
      </c>
      <c r="AK58" s="536">
        <f t="shared" si="0"/>
        <v>0</v>
      </c>
      <c r="AL58" s="416">
        <v>0</v>
      </c>
      <c r="AM58" s="410"/>
      <c r="AN58" s="410"/>
      <c r="AO58" s="410"/>
      <c r="AP58" s="411"/>
      <c r="AQ58" s="411"/>
    </row>
    <row r="59" spans="1:43" ht="18.75" customHeight="1" x14ac:dyDescent="0.3">
      <c r="A59" s="1164"/>
      <c r="B59" s="519" t="s">
        <v>445</v>
      </c>
      <c r="C59" s="1295"/>
      <c r="D59" s="1201"/>
      <c r="E59" s="1201"/>
      <c r="F59" s="1173"/>
      <c r="G59" s="518"/>
      <c r="H59" s="637">
        <v>0</v>
      </c>
      <c r="I59" s="637">
        <v>0</v>
      </c>
      <c r="J59" s="518"/>
      <c r="K59" s="518"/>
      <c r="L59" s="518"/>
      <c r="M59" s="518"/>
      <c r="N59" s="518"/>
      <c r="O59" s="518"/>
      <c r="P59" s="518"/>
      <c r="Q59" s="518"/>
      <c r="R59" s="418"/>
      <c r="S59" s="418"/>
      <c r="T59" s="418"/>
      <c r="U59" s="420"/>
      <c r="V59" s="962">
        <v>0</v>
      </c>
      <c r="W59" s="962">
        <v>0</v>
      </c>
      <c r="X59" s="637">
        <v>0</v>
      </c>
      <c r="Y59" s="966">
        <v>0</v>
      </c>
      <c r="Z59" s="962">
        <v>0</v>
      </c>
      <c r="AA59" s="964">
        <v>0</v>
      </c>
      <c r="AB59" s="634"/>
      <c r="AC59" s="549"/>
      <c r="AD59" s="549"/>
      <c r="AE59" s="532"/>
      <c r="AF59" s="593"/>
      <c r="AG59" s="961">
        <v>0</v>
      </c>
      <c r="AH59" s="820">
        <v>0</v>
      </c>
      <c r="AI59" s="814">
        <v>0</v>
      </c>
      <c r="AJ59" s="919">
        <v>0</v>
      </c>
      <c r="AK59" s="536">
        <f t="shared" si="0"/>
        <v>0</v>
      </c>
      <c r="AL59" s="416">
        <v>0</v>
      </c>
      <c r="AM59" s="410"/>
      <c r="AN59" s="410"/>
      <c r="AO59" s="410"/>
      <c r="AP59" s="411"/>
      <c r="AQ59" s="411"/>
    </row>
    <row r="60" spans="1:43" ht="18.75" customHeight="1" x14ac:dyDescent="0.3">
      <c r="A60" s="1164"/>
      <c r="B60" s="519" t="s">
        <v>446</v>
      </c>
      <c r="C60" s="1295"/>
      <c r="D60" s="1201"/>
      <c r="E60" s="1201"/>
      <c r="F60" s="1173"/>
      <c r="G60" s="518"/>
      <c r="H60" s="637">
        <v>0</v>
      </c>
      <c r="I60" s="637">
        <v>0</v>
      </c>
      <c r="J60" s="518"/>
      <c r="K60" s="518"/>
      <c r="L60" s="518"/>
      <c r="M60" s="518"/>
      <c r="N60" s="637"/>
      <c r="O60" s="518"/>
      <c r="P60" s="518"/>
      <c r="Q60" s="637"/>
      <c r="R60" s="418"/>
      <c r="S60" s="418"/>
      <c r="T60" s="542"/>
      <c r="U60" s="420"/>
      <c r="V60" s="962">
        <v>0</v>
      </c>
      <c r="W60" s="962">
        <v>0</v>
      </c>
      <c r="X60" s="637">
        <v>0</v>
      </c>
      <c r="Y60" s="963">
        <v>0</v>
      </c>
      <c r="Z60" s="962">
        <v>0</v>
      </c>
      <c r="AA60" s="964">
        <v>0</v>
      </c>
      <c r="AB60" s="634"/>
      <c r="AC60" s="549"/>
      <c r="AD60" s="549"/>
      <c r="AE60" s="532"/>
      <c r="AF60" s="593"/>
      <c r="AG60" s="961">
        <v>0</v>
      </c>
      <c r="AH60" s="820">
        <v>0</v>
      </c>
      <c r="AI60" s="814">
        <v>0</v>
      </c>
      <c r="AJ60" s="919">
        <v>0</v>
      </c>
      <c r="AK60" s="536">
        <f t="shared" si="0"/>
        <v>0</v>
      </c>
      <c r="AL60" s="416">
        <v>0</v>
      </c>
      <c r="AM60" s="410"/>
      <c r="AN60" s="410"/>
      <c r="AO60" s="410"/>
      <c r="AP60" s="411"/>
      <c r="AQ60" s="411"/>
    </row>
    <row r="61" spans="1:43" ht="18.75" customHeight="1" x14ac:dyDescent="0.3">
      <c r="A61" s="1164"/>
      <c r="B61" s="519" t="s">
        <v>447</v>
      </c>
      <c r="C61" s="1295"/>
      <c r="D61" s="1201"/>
      <c r="E61" s="1201"/>
      <c r="F61" s="1173"/>
      <c r="G61" s="518"/>
      <c r="H61" s="637">
        <v>0</v>
      </c>
      <c r="I61" s="637">
        <v>5</v>
      </c>
      <c r="J61" s="637"/>
      <c r="K61" s="637">
        <v>2</v>
      </c>
      <c r="L61" s="518"/>
      <c r="M61" s="637">
        <v>20</v>
      </c>
      <c r="N61" s="637"/>
      <c r="O61" s="518"/>
      <c r="P61" s="637"/>
      <c r="Q61" s="637"/>
      <c r="R61" s="542"/>
      <c r="S61" s="418"/>
      <c r="T61" s="542">
        <v>7</v>
      </c>
      <c r="U61" s="420"/>
      <c r="V61" s="962">
        <v>0</v>
      </c>
      <c r="W61" s="962">
        <v>0</v>
      </c>
      <c r="X61" s="637">
        <v>0</v>
      </c>
      <c r="Y61" s="963">
        <v>0</v>
      </c>
      <c r="Z61" s="962">
        <v>0</v>
      </c>
      <c r="AA61" s="964">
        <v>9</v>
      </c>
      <c r="AB61" s="634"/>
      <c r="AC61" s="549"/>
      <c r="AD61" s="549"/>
      <c r="AE61" s="532"/>
      <c r="AF61" s="550">
        <v>5</v>
      </c>
      <c r="AG61" s="961">
        <v>0</v>
      </c>
      <c r="AH61" s="820">
        <v>0</v>
      </c>
      <c r="AI61" s="814">
        <v>0</v>
      </c>
      <c r="AJ61" s="844">
        <v>1</v>
      </c>
      <c r="AK61" s="536">
        <f t="shared" si="0"/>
        <v>49</v>
      </c>
      <c r="AL61" s="416">
        <v>49</v>
      </c>
      <c r="AM61" s="410"/>
      <c r="AN61" s="410"/>
      <c r="AO61" s="410"/>
      <c r="AP61" s="411"/>
      <c r="AQ61" s="411"/>
    </row>
    <row r="62" spans="1:43" ht="18.75" customHeight="1" x14ac:dyDescent="0.3">
      <c r="A62" s="1164"/>
      <c r="B62" s="519" t="s">
        <v>448</v>
      </c>
      <c r="C62" s="1295"/>
      <c r="D62" s="1201"/>
      <c r="E62" s="1201"/>
      <c r="F62" s="1173"/>
      <c r="G62" s="518"/>
      <c r="H62" s="637">
        <v>1</v>
      </c>
      <c r="I62" s="637">
        <v>0</v>
      </c>
      <c r="J62" s="518"/>
      <c r="K62" s="637">
        <v>2</v>
      </c>
      <c r="L62" s="518"/>
      <c r="M62" s="518"/>
      <c r="N62" s="637"/>
      <c r="O62" s="518"/>
      <c r="P62" s="518"/>
      <c r="Q62" s="518"/>
      <c r="R62" s="418"/>
      <c r="S62" s="418"/>
      <c r="T62" s="418"/>
      <c r="U62" s="420"/>
      <c r="V62" s="962">
        <v>0</v>
      </c>
      <c r="W62" s="962">
        <v>0</v>
      </c>
      <c r="X62" s="637">
        <v>0</v>
      </c>
      <c r="Y62" s="966">
        <v>0</v>
      </c>
      <c r="Z62" s="962">
        <v>0</v>
      </c>
      <c r="AA62" s="964">
        <v>0</v>
      </c>
      <c r="AB62" s="634"/>
      <c r="AC62" s="549"/>
      <c r="AD62" s="549"/>
      <c r="AE62" s="532"/>
      <c r="AF62" s="593"/>
      <c r="AG62" s="961">
        <v>0</v>
      </c>
      <c r="AH62" s="820">
        <v>0</v>
      </c>
      <c r="AI62" s="814">
        <v>0</v>
      </c>
      <c r="AJ62" s="919">
        <v>0</v>
      </c>
      <c r="AK62" s="536">
        <f t="shared" si="0"/>
        <v>3</v>
      </c>
      <c r="AL62" s="416">
        <v>3</v>
      </c>
      <c r="AM62" s="410"/>
      <c r="AN62" s="410"/>
      <c r="AO62" s="410"/>
      <c r="AP62" s="411"/>
      <c r="AQ62" s="411"/>
    </row>
    <row r="63" spans="1:43" ht="18.75" customHeight="1" x14ac:dyDescent="0.3">
      <c r="A63" s="1164"/>
      <c r="B63" s="519" t="s">
        <v>449</v>
      </c>
      <c r="C63" s="1295"/>
      <c r="D63" s="1201"/>
      <c r="E63" s="1201"/>
      <c r="F63" s="1173"/>
      <c r="G63" s="518"/>
      <c r="H63" s="637">
        <v>0</v>
      </c>
      <c r="I63" s="637">
        <v>0</v>
      </c>
      <c r="J63" s="518"/>
      <c r="K63" s="518"/>
      <c r="L63" s="518"/>
      <c r="M63" s="518"/>
      <c r="N63" s="518"/>
      <c r="O63" s="518"/>
      <c r="P63" s="518"/>
      <c r="Q63" s="637">
        <v>1</v>
      </c>
      <c r="R63" s="418"/>
      <c r="S63" s="418"/>
      <c r="T63" s="418"/>
      <c r="U63" s="420"/>
      <c r="V63" s="962">
        <v>0</v>
      </c>
      <c r="W63" s="962">
        <v>0</v>
      </c>
      <c r="X63" s="637">
        <v>0</v>
      </c>
      <c r="Y63" s="963">
        <v>0</v>
      </c>
      <c r="Z63" s="962">
        <v>0</v>
      </c>
      <c r="AA63" s="964">
        <v>0</v>
      </c>
      <c r="AB63" s="634"/>
      <c r="AC63" s="549"/>
      <c r="AD63" s="549"/>
      <c r="AE63" s="532"/>
      <c r="AF63" s="593"/>
      <c r="AG63" s="961">
        <v>0</v>
      </c>
      <c r="AH63" s="820">
        <v>0</v>
      </c>
      <c r="AI63" s="814">
        <v>0</v>
      </c>
      <c r="AJ63" s="919">
        <v>0</v>
      </c>
      <c r="AK63" s="536">
        <f t="shared" si="0"/>
        <v>1</v>
      </c>
      <c r="AL63" s="416">
        <v>1</v>
      </c>
      <c r="AM63" s="410"/>
      <c r="AN63" s="410"/>
      <c r="AO63" s="410"/>
      <c r="AP63" s="411"/>
      <c r="AQ63" s="411"/>
    </row>
    <row r="64" spans="1:43" ht="18.75" customHeight="1" x14ac:dyDescent="0.3">
      <c r="A64" s="1164"/>
      <c r="B64" s="519" t="s">
        <v>455</v>
      </c>
      <c r="C64" s="1295"/>
      <c r="D64" s="1201"/>
      <c r="E64" s="1201"/>
      <c r="F64" s="1173"/>
      <c r="G64" s="518"/>
      <c r="H64" s="637">
        <v>0</v>
      </c>
      <c r="I64" s="637">
        <v>0</v>
      </c>
      <c r="J64" s="518"/>
      <c r="K64" s="518"/>
      <c r="L64" s="518"/>
      <c r="M64" s="518"/>
      <c r="N64" s="518"/>
      <c r="O64" s="518"/>
      <c r="P64" s="518"/>
      <c r="Q64" s="518"/>
      <c r="R64" s="418"/>
      <c r="S64" s="418"/>
      <c r="T64" s="418"/>
      <c r="U64" s="420"/>
      <c r="V64" s="962">
        <v>0</v>
      </c>
      <c r="W64" s="637">
        <v>0</v>
      </c>
      <c r="X64" s="637">
        <v>0</v>
      </c>
      <c r="Y64" s="966">
        <v>0</v>
      </c>
      <c r="Z64" s="962">
        <v>0</v>
      </c>
      <c r="AA64" s="964">
        <v>0</v>
      </c>
      <c r="AB64" s="634"/>
      <c r="AC64" s="549"/>
      <c r="AD64" s="549"/>
      <c r="AE64" s="532"/>
      <c r="AF64" s="593"/>
      <c r="AG64" s="961">
        <v>0</v>
      </c>
      <c r="AH64" s="820">
        <v>0</v>
      </c>
      <c r="AI64" s="814">
        <v>0</v>
      </c>
      <c r="AJ64" s="919">
        <v>0</v>
      </c>
      <c r="AK64" s="536">
        <f t="shared" si="0"/>
        <v>0</v>
      </c>
      <c r="AL64" s="416">
        <v>0</v>
      </c>
      <c r="AM64" s="410"/>
      <c r="AN64" s="410"/>
      <c r="AO64" s="410"/>
      <c r="AP64" s="411"/>
      <c r="AQ64" s="411"/>
    </row>
    <row r="65" spans="1:43" ht="18.75" customHeight="1" x14ac:dyDescent="0.25">
      <c r="A65" s="1164"/>
      <c r="B65" s="519" t="s">
        <v>456</v>
      </c>
      <c r="C65" s="1295"/>
      <c r="D65" s="1201"/>
      <c r="E65" s="1201"/>
      <c r="F65" s="1173"/>
      <c r="G65" s="518"/>
      <c r="H65" s="637">
        <v>0</v>
      </c>
      <c r="I65" s="637">
        <v>0</v>
      </c>
      <c r="J65" s="518"/>
      <c r="K65" s="518"/>
      <c r="L65" s="518"/>
      <c r="M65" s="518"/>
      <c r="N65" s="518"/>
      <c r="O65" s="518"/>
      <c r="P65" s="518"/>
      <c r="Q65" s="518"/>
      <c r="R65" s="418"/>
      <c r="S65" s="418"/>
      <c r="T65" s="418"/>
      <c r="U65" s="420"/>
      <c r="V65" s="637">
        <v>0</v>
      </c>
      <c r="W65" s="637">
        <v>0</v>
      </c>
      <c r="X65" s="637">
        <v>0</v>
      </c>
      <c r="Y65" s="963">
        <v>0</v>
      </c>
      <c r="Z65" s="962">
        <v>0</v>
      </c>
      <c r="AA65" s="637">
        <v>0</v>
      </c>
      <c r="AB65" s="634"/>
      <c r="AC65" s="549"/>
      <c r="AD65" s="549"/>
      <c r="AE65" s="532"/>
      <c r="AF65" s="593"/>
      <c r="AG65" s="961">
        <v>0</v>
      </c>
      <c r="AH65" s="967">
        <v>0</v>
      </c>
      <c r="AI65" s="814">
        <v>0</v>
      </c>
      <c r="AJ65" s="814">
        <v>0</v>
      </c>
      <c r="AK65" s="536">
        <f t="shared" si="0"/>
        <v>0</v>
      </c>
      <c r="AL65" s="416">
        <v>0</v>
      </c>
      <c r="AM65" s="410"/>
      <c r="AN65" s="410"/>
      <c r="AO65" s="410"/>
      <c r="AP65" s="411"/>
      <c r="AQ65" s="411"/>
    </row>
    <row r="66" spans="1:43" ht="18.75" customHeight="1" x14ac:dyDescent="0.3">
      <c r="A66" s="1165"/>
      <c r="B66" s="519" t="s">
        <v>457</v>
      </c>
      <c r="C66" s="1295"/>
      <c r="D66" s="1201"/>
      <c r="E66" s="1201"/>
      <c r="F66" s="1173"/>
      <c r="G66" s="518"/>
      <c r="H66" s="637">
        <v>0</v>
      </c>
      <c r="I66" s="637">
        <v>0</v>
      </c>
      <c r="J66" s="418"/>
      <c r="K66" s="968">
        <v>4</v>
      </c>
      <c r="L66" s="520"/>
      <c r="M66" s="418"/>
      <c r="N66" s="542"/>
      <c r="O66" s="418"/>
      <c r="P66" s="542"/>
      <c r="Q66" s="637">
        <v>26</v>
      </c>
      <c r="R66" s="542"/>
      <c r="S66" s="418"/>
      <c r="T66" s="418"/>
      <c r="U66" s="420"/>
      <c r="V66" s="637">
        <v>0</v>
      </c>
      <c r="W66" s="637">
        <v>0</v>
      </c>
      <c r="X66" s="637">
        <v>0</v>
      </c>
      <c r="Y66" s="637">
        <v>0</v>
      </c>
      <c r="Z66" s="962">
        <v>0</v>
      </c>
      <c r="AA66" s="637">
        <v>0</v>
      </c>
      <c r="AB66" s="634"/>
      <c r="AC66" s="549"/>
      <c r="AD66" s="549"/>
      <c r="AE66" s="532"/>
      <c r="AF66" s="593"/>
      <c r="AG66" s="961">
        <v>0</v>
      </c>
      <c r="AH66" s="820">
        <v>0</v>
      </c>
      <c r="AI66" s="821">
        <v>0</v>
      </c>
      <c r="AJ66" s="814">
        <v>0</v>
      </c>
      <c r="AK66" s="716">
        <f t="shared" si="0"/>
        <v>30</v>
      </c>
      <c r="AL66" s="416">
        <v>30</v>
      </c>
      <c r="AM66" s="410"/>
      <c r="AN66" s="410"/>
      <c r="AO66" s="410"/>
      <c r="AP66" s="411"/>
      <c r="AQ66" s="411"/>
    </row>
    <row r="67" spans="1:43" ht="30" customHeight="1" x14ac:dyDescent="0.3">
      <c r="A67" s="305"/>
      <c r="B67" s="717" t="s">
        <v>486</v>
      </c>
      <c r="C67" s="1295"/>
      <c r="D67" s="1201"/>
      <c r="E67" s="1201"/>
      <c r="F67" s="1173"/>
      <c r="G67" s="1334"/>
      <c r="H67" s="1288"/>
      <c r="I67" s="1288"/>
      <c r="J67" s="1288"/>
      <c r="K67" s="1288"/>
      <c r="L67" s="1288"/>
      <c r="M67" s="1288"/>
      <c r="N67" s="1288"/>
      <c r="O67" s="1288"/>
      <c r="P67" s="1288"/>
      <c r="Q67" s="1288"/>
      <c r="R67" s="1288"/>
      <c r="S67" s="1288"/>
      <c r="T67" s="1288"/>
      <c r="U67" s="1288"/>
      <c r="V67" s="1288"/>
      <c r="W67" s="1288"/>
      <c r="X67" s="1288"/>
      <c r="Y67" s="1288"/>
      <c r="Z67" s="1288"/>
      <c r="AA67" s="1288"/>
      <c r="AB67" s="1288"/>
      <c r="AC67" s="1288"/>
      <c r="AD67" s="1288"/>
      <c r="AE67" s="1288"/>
      <c r="AF67" s="1288"/>
      <c r="AG67" s="1288"/>
      <c r="AH67" s="1288"/>
      <c r="AI67" s="1288"/>
      <c r="AJ67" s="1289"/>
      <c r="AK67" s="718">
        <f>SUM(AK7+AK10+AK15+AK20)</f>
        <v>3157</v>
      </c>
      <c r="AL67" s="416"/>
      <c r="AM67" s="410"/>
      <c r="AN67" s="410"/>
      <c r="AO67" s="410"/>
      <c r="AP67" s="411"/>
      <c r="AQ67" s="411"/>
    </row>
    <row r="68" spans="1:43" ht="23.25" customHeight="1" x14ac:dyDescent="0.3">
      <c r="A68" s="305"/>
      <c r="B68" s="305"/>
      <c r="C68" s="1296"/>
      <c r="D68" s="1288"/>
      <c r="E68" s="1288"/>
      <c r="F68" s="1289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39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1"/>
      <c r="AK68" s="719"/>
      <c r="AL68" s="410"/>
      <c r="AM68" s="410"/>
      <c r="AN68" s="410"/>
      <c r="AO68" s="410"/>
      <c r="AP68" s="411"/>
      <c r="AQ68" s="411"/>
    </row>
    <row r="69" spans="1:43" ht="27" customHeight="1" x14ac:dyDescent="0.25">
      <c r="AJ69" s="869"/>
      <c r="AQ69" s="411"/>
    </row>
    <row r="70" spans="1:43" ht="18.75" customHeight="1" x14ac:dyDescent="0.25">
      <c r="AJ70" s="869"/>
      <c r="AQ70" s="522"/>
    </row>
    <row r="71" spans="1:43" ht="15.75" customHeight="1" x14ac:dyDescent="0.25">
      <c r="AJ71" s="869"/>
      <c r="AQ71" s="522"/>
    </row>
    <row r="72" spans="1:43" ht="12.75" customHeight="1" x14ac:dyDescent="0.25">
      <c r="AJ72" s="869"/>
      <c r="AQ72" s="522"/>
    </row>
    <row r="73" spans="1:43" ht="12.75" customHeight="1" x14ac:dyDescent="0.25">
      <c r="AJ73" s="869"/>
      <c r="AQ73" s="522"/>
    </row>
    <row r="74" spans="1:43" ht="12.75" customHeight="1" x14ac:dyDescent="0.25">
      <c r="AJ74" s="869"/>
      <c r="AQ74" s="522"/>
    </row>
    <row r="75" spans="1:43" ht="12.75" customHeight="1" x14ac:dyDescent="0.25">
      <c r="AJ75" s="869"/>
      <c r="AQ75" s="522"/>
    </row>
    <row r="76" spans="1:43" ht="12.75" customHeight="1" x14ac:dyDescent="0.25">
      <c r="AJ76" s="869"/>
      <c r="AQ76" s="522"/>
    </row>
    <row r="77" spans="1:43" ht="12.75" customHeight="1" x14ac:dyDescent="0.25">
      <c r="AJ77" s="869"/>
      <c r="AQ77" s="522"/>
    </row>
    <row r="78" spans="1:43" ht="12.75" customHeight="1" x14ac:dyDescent="0.25">
      <c r="AJ78" s="869"/>
    </row>
    <row r="79" spans="1:43" ht="12.75" customHeight="1" x14ac:dyDescent="0.25">
      <c r="AJ79" s="869"/>
    </row>
    <row r="80" spans="1:43" ht="12.75" customHeight="1" x14ac:dyDescent="0.25">
      <c r="AJ80" s="869"/>
    </row>
    <row r="81" spans="36:36" ht="12.75" customHeight="1" x14ac:dyDescent="0.25">
      <c r="AJ81" s="869"/>
    </row>
    <row r="82" spans="36:36" ht="12.75" customHeight="1" x14ac:dyDescent="0.25">
      <c r="AJ82" s="869"/>
    </row>
    <row r="83" spans="36:36" ht="12.75" customHeight="1" x14ac:dyDescent="0.25">
      <c r="AJ83" s="869"/>
    </row>
    <row r="84" spans="36:36" ht="12.75" customHeight="1" x14ac:dyDescent="0.25">
      <c r="AJ84" s="869"/>
    </row>
    <row r="85" spans="36:36" ht="12.75" customHeight="1" x14ac:dyDescent="0.25">
      <c r="AJ85" s="869"/>
    </row>
    <row r="86" spans="36:36" ht="12.75" customHeight="1" x14ac:dyDescent="0.25">
      <c r="AJ86" s="869"/>
    </row>
    <row r="87" spans="36:36" ht="12.75" customHeight="1" x14ac:dyDescent="0.25">
      <c r="AJ87" s="869"/>
    </row>
    <row r="88" spans="36:36" ht="12.75" customHeight="1" x14ac:dyDescent="0.25">
      <c r="AJ88" s="869"/>
    </row>
    <row r="89" spans="36:36" ht="12.75" customHeight="1" x14ac:dyDescent="0.25">
      <c r="AJ89" s="869"/>
    </row>
    <row r="90" spans="36:36" ht="12.75" customHeight="1" x14ac:dyDescent="0.25">
      <c r="AJ90" s="869"/>
    </row>
    <row r="91" spans="36:36" ht="12.75" customHeight="1" x14ac:dyDescent="0.25">
      <c r="AJ91" s="869"/>
    </row>
    <row r="92" spans="36:36" ht="12.75" customHeight="1" x14ac:dyDescent="0.25">
      <c r="AJ92" s="869"/>
    </row>
    <row r="93" spans="36:36" ht="12.75" customHeight="1" x14ac:dyDescent="0.25">
      <c r="AJ93" s="869"/>
    </row>
    <row r="94" spans="36:36" ht="12.75" customHeight="1" x14ac:dyDescent="0.25">
      <c r="AJ94" s="869"/>
    </row>
    <row r="95" spans="36:36" ht="12.75" customHeight="1" x14ac:dyDescent="0.25">
      <c r="AJ95" s="869"/>
    </row>
    <row r="96" spans="36:36" ht="12.75" customHeight="1" x14ac:dyDescent="0.25">
      <c r="AJ96" s="869"/>
    </row>
    <row r="97" spans="36:36" ht="12.75" customHeight="1" x14ac:dyDescent="0.25">
      <c r="AJ97" s="869"/>
    </row>
    <row r="98" spans="36:36" ht="12.75" customHeight="1" x14ac:dyDescent="0.25">
      <c r="AJ98" s="869"/>
    </row>
    <row r="99" spans="36:36" ht="12.75" customHeight="1" x14ac:dyDescent="0.25">
      <c r="AJ99" s="869"/>
    </row>
    <row r="100" spans="36:36" ht="12.75" customHeight="1" x14ac:dyDescent="0.25">
      <c r="AJ100" s="869"/>
    </row>
    <row r="101" spans="36:36" ht="12.75" customHeight="1" x14ac:dyDescent="0.25">
      <c r="AJ101" s="869"/>
    </row>
    <row r="102" spans="36:36" ht="12.75" customHeight="1" x14ac:dyDescent="0.25">
      <c r="AJ102" s="869"/>
    </row>
    <row r="103" spans="36:36" ht="12.75" customHeight="1" x14ac:dyDescent="0.25">
      <c r="AJ103" s="869"/>
    </row>
    <row r="104" spans="36:36" ht="12.75" customHeight="1" x14ac:dyDescent="0.25">
      <c r="AJ104" s="869"/>
    </row>
    <row r="105" spans="36:36" ht="12.75" customHeight="1" x14ac:dyDescent="0.25">
      <c r="AJ105" s="869"/>
    </row>
    <row r="106" spans="36:36" ht="12.75" customHeight="1" x14ac:dyDescent="0.25">
      <c r="AJ106" s="869"/>
    </row>
    <row r="107" spans="36:36" ht="12.75" customHeight="1" x14ac:dyDescent="0.25">
      <c r="AJ107" s="869"/>
    </row>
    <row r="108" spans="36:36" ht="12.75" customHeight="1" x14ac:dyDescent="0.25">
      <c r="AJ108" s="869"/>
    </row>
    <row r="109" spans="36:36" ht="12.75" customHeight="1" x14ac:dyDescent="0.25">
      <c r="AJ109" s="869"/>
    </row>
    <row r="110" spans="36:36" ht="12.75" customHeight="1" x14ac:dyDescent="0.25">
      <c r="AJ110" s="869"/>
    </row>
    <row r="111" spans="36:36" ht="12.75" customHeight="1" x14ac:dyDescent="0.25">
      <c r="AJ111" s="869"/>
    </row>
    <row r="112" spans="36:36" ht="12.75" customHeight="1" x14ac:dyDescent="0.25">
      <c r="AJ112" s="869"/>
    </row>
    <row r="113" spans="36:36" ht="12.75" customHeight="1" x14ac:dyDescent="0.25">
      <c r="AJ113" s="869"/>
    </row>
    <row r="114" spans="36:36" ht="12.75" customHeight="1" x14ac:dyDescent="0.25">
      <c r="AJ114" s="869"/>
    </row>
    <row r="115" spans="36:36" ht="12.75" customHeight="1" x14ac:dyDescent="0.25">
      <c r="AJ115" s="869"/>
    </row>
    <row r="116" spans="36:36" ht="12.75" customHeight="1" x14ac:dyDescent="0.25">
      <c r="AJ116" s="869"/>
    </row>
    <row r="117" spans="36:36" ht="12.75" customHeight="1" x14ac:dyDescent="0.25">
      <c r="AJ117" s="869"/>
    </row>
    <row r="118" spans="36:36" ht="12.75" customHeight="1" x14ac:dyDescent="0.25">
      <c r="AJ118" s="869"/>
    </row>
    <row r="119" spans="36:36" ht="12.75" customHeight="1" x14ac:dyDescent="0.25">
      <c r="AJ119" s="869"/>
    </row>
    <row r="120" spans="36:36" ht="12.75" customHeight="1" x14ac:dyDescent="0.25">
      <c r="AJ120" s="869"/>
    </row>
    <row r="121" spans="36:36" ht="12.75" customHeight="1" x14ac:dyDescent="0.25">
      <c r="AJ121" s="869"/>
    </row>
    <row r="122" spans="36:36" ht="12.75" customHeight="1" x14ac:dyDescent="0.25">
      <c r="AJ122" s="869"/>
    </row>
    <row r="123" spans="36:36" ht="12.75" customHeight="1" x14ac:dyDescent="0.25">
      <c r="AJ123" s="869"/>
    </row>
    <row r="124" spans="36:36" ht="12.75" customHeight="1" x14ac:dyDescent="0.25">
      <c r="AJ124" s="869"/>
    </row>
    <row r="125" spans="36:36" ht="12.75" customHeight="1" x14ac:dyDescent="0.25">
      <c r="AJ125" s="869"/>
    </row>
    <row r="126" spans="36:36" ht="12.75" customHeight="1" x14ac:dyDescent="0.25">
      <c r="AJ126" s="869"/>
    </row>
    <row r="127" spans="36:36" ht="12.75" customHeight="1" x14ac:dyDescent="0.25">
      <c r="AJ127" s="869"/>
    </row>
    <row r="128" spans="36:36" ht="12.75" customHeight="1" x14ac:dyDescent="0.25">
      <c r="AJ128" s="869"/>
    </row>
    <row r="129" spans="36:36" ht="12.75" customHeight="1" x14ac:dyDescent="0.25">
      <c r="AJ129" s="869"/>
    </row>
    <row r="130" spans="36:36" ht="12.75" customHeight="1" x14ac:dyDescent="0.25">
      <c r="AJ130" s="869"/>
    </row>
    <row r="131" spans="36:36" ht="12.75" customHeight="1" x14ac:dyDescent="0.25">
      <c r="AJ131" s="869"/>
    </row>
    <row r="132" spans="36:36" ht="12.75" customHeight="1" x14ac:dyDescent="0.25">
      <c r="AJ132" s="869"/>
    </row>
    <row r="133" spans="36:36" ht="12.75" customHeight="1" x14ac:dyDescent="0.25">
      <c r="AJ133" s="869"/>
    </row>
    <row r="134" spans="36:36" ht="12.75" customHeight="1" x14ac:dyDescent="0.25">
      <c r="AJ134" s="869"/>
    </row>
    <row r="135" spans="36:36" ht="12.75" customHeight="1" x14ac:dyDescent="0.25">
      <c r="AJ135" s="869"/>
    </row>
    <row r="136" spans="36:36" ht="12.75" customHeight="1" x14ac:dyDescent="0.25">
      <c r="AJ136" s="869"/>
    </row>
    <row r="137" spans="36:36" ht="12.75" customHeight="1" x14ac:dyDescent="0.25">
      <c r="AJ137" s="869"/>
    </row>
    <row r="138" spans="36:36" ht="12.75" customHeight="1" x14ac:dyDescent="0.25">
      <c r="AJ138" s="869"/>
    </row>
    <row r="139" spans="36:36" ht="12.75" customHeight="1" x14ac:dyDescent="0.25">
      <c r="AJ139" s="869"/>
    </row>
    <row r="140" spans="36:36" ht="12.75" customHeight="1" x14ac:dyDescent="0.25">
      <c r="AJ140" s="869"/>
    </row>
    <row r="141" spans="36:36" ht="12.75" customHeight="1" x14ac:dyDescent="0.25">
      <c r="AJ141" s="869"/>
    </row>
    <row r="142" spans="36:36" ht="12.75" customHeight="1" x14ac:dyDescent="0.25">
      <c r="AJ142" s="869"/>
    </row>
    <row r="143" spans="36:36" ht="12.75" customHeight="1" x14ac:dyDescent="0.25">
      <c r="AJ143" s="869"/>
    </row>
    <row r="144" spans="36:36" ht="12.75" customHeight="1" x14ac:dyDescent="0.25">
      <c r="AJ144" s="869"/>
    </row>
    <row r="145" spans="36:36" ht="12.75" customHeight="1" x14ac:dyDescent="0.25">
      <c r="AJ145" s="869"/>
    </row>
    <row r="146" spans="36:36" ht="12.75" customHeight="1" x14ac:dyDescent="0.25">
      <c r="AJ146" s="869"/>
    </row>
    <row r="147" spans="36:36" ht="12.75" customHeight="1" x14ac:dyDescent="0.25">
      <c r="AJ147" s="869"/>
    </row>
    <row r="148" spans="36:36" ht="12.75" customHeight="1" x14ac:dyDescent="0.25">
      <c r="AJ148" s="869"/>
    </row>
    <row r="149" spans="36:36" ht="12.75" customHeight="1" x14ac:dyDescent="0.25">
      <c r="AJ149" s="869"/>
    </row>
    <row r="150" spans="36:36" ht="12.75" customHeight="1" x14ac:dyDescent="0.25">
      <c r="AJ150" s="869"/>
    </row>
    <row r="151" spans="36:36" ht="12.75" customHeight="1" x14ac:dyDescent="0.25">
      <c r="AJ151" s="869"/>
    </row>
    <row r="152" spans="36:36" ht="12.75" customHeight="1" x14ac:dyDescent="0.25">
      <c r="AJ152" s="869"/>
    </row>
    <row r="153" spans="36:36" ht="12.75" customHeight="1" x14ac:dyDescent="0.25">
      <c r="AJ153" s="869"/>
    </row>
    <row r="154" spans="36:36" ht="12.75" customHeight="1" x14ac:dyDescent="0.25">
      <c r="AJ154" s="869"/>
    </row>
    <row r="155" spans="36:36" ht="12.75" customHeight="1" x14ac:dyDescent="0.25">
      <c r="AJ155" s="869"/>
    </row>
    <row r="156" spans="36:36" ht="12.75" customHeight="1" x14ac:dyDescent="0.25">
      <c r="AJ156" s="869"/>
    </row>
    <row r="157" spans="36:36" ht="12.75" customHeight="1" x14ac:dyDescent="0.25">
      <c r="AJ157" s="869"/>
    </row>
    <row r="158" spans="36:36" ht="12.75" customHeight="1" x14ac:dyDescent="0.25">
      <c r="AJ158" s="869"/>
    </row>
    <row r="159" spans="36:36" ht="12.75" customHeight="1" x14ac:dyDescent="0.25">
      <c r="AJ159" s="869"/>
    </row>
    <row r="160" spans="36:36" ht="12.75" customHeight="1" x14ac:dyDescent="0.25">
      <c r="AJ160" s="869"/>
    </row>
    <row r="161" spans="36:36" ht="12.75" customHeight="1" x14ac:dyDescent="0.25">
      <c r="AJ161" s="869"/>
    </row>
    <row r="162" spans="36:36" ht="12.75" customHeight="1" x14ac:dyDescent="0.25">
      <c r="AJ162" s="869"/>
    </row>
    <row r="163" spans="36:36" ht="12.75" customHeight="1" x14ac:dyDescent="0.25">
      <c r="AJ163" s="869"/>
    </row>
    <row r="164" spans="36:36" ht="12.75" customHeight="1" x14ac:dyDescent="0.25">
      <c r="AJ164" s="869"/>
    </row>
    <row r="165" spans="36:36" ht="12.75" customHeight="1" x14ac:dyDescent="0.25">
      <c r="AJ165" s="869"/>
    </row>
    <row r="166" spans="36:36" ht="12.75" customHeight="1" x14ac:dyDescent="0.25">
      <c r="AJ166" s="869"/>
    </row>
    <row r="167" spans="36:36" ht="12.75" customHeight="1" x14ac:dyDescent="0.25">
      <c r="AJ167" s="869"/>
    </row>
    <row r="168" spans="36:36" ht="12.75" customHeight="1" x14ac:dyDescent="0.25">
      <c r="AJ168" s="869"/>
    </row>
    <row r="169" spans="36:36" ht="12.75" customHeight="1" x14ac:dyDescent="0.25">
      <c r="AJ169" s="869"/>
    </row>
    <row r="170" spans="36:36" ht="12.75" customHeight="1" x14ac:dyDescent="0.25">
      <c r="AJ170" s="869"/>
    </row>
    <row r="171" spans="36:36" ht="12.75" customHeight="1" x14ac:dyDescent="0.25">
      <c r="AJ171" s="869"/>
    </row>
    <row r="172" spans="36:36" ht="12.75" customHeight="1" x14ac:dyDescent="0.25">
      <c r="AJ172" s="869"/>
    </row>
    <row r="173" spans="36:36" ht="12.75" customHeight="1" x14ac:dyDescent="0.25">
      <c r="AJ173" s="869"/>
    </row>
    <row r="174" spans="36:36" ht="12.75" customHeight="1" x14ac:dyDescent="0.25">
      <c r="AJ174" s="869"/>
    </row>
    <row r="175" spans="36:36" ht="12.75" customHeight="1" x14ac:dyDescent="0.25">
      <c r="AJ175" s="869"/>
    </row>
    <row r="176" spans="36:36" ht="12.75" customHeight="1" x14ac:dyDescent="0.25">
      <c r="AJ176" s="869"/>
    </row>
    <row r="177" spans="36:36" ht="12.75" customHeight="1" x14ac:dyDescent="0.25">
      <c r="AJ177" s="869"/>
    </row>
    <row r="178" spans="36:36" ht="12.75" customHeight="1" x14ac:dyDescent="0.25">
      <c r="AJ178" s="869"/>
    </row>
    <row r="179" spans="36:36" ht="12.75" customHeight="1" x14ac:dyDescent="0.25">
      <c r="AJ179" s="869"/>
    </row>
    <row r="180" spans="36:36" ht="12.75" customHeight="1" x14ac:dyDescent="0.25">
      <c r="AJ180" s="869"/>
    </row>
    <row r="181" spans="36:36" ht="12.75" customHeight="1" x14ac:dyDescent="0.25">
      <c r="AJ181" s="869"/>
    </row>
    <row r="182" spans="36:36" ht="12.75" customHeight="1" x14ac:dyDescent="0.25">
      <c r="AJ182" s="869"/>
    </row>
    <row r="183" spans="36:36" ht="12.75" customHeight="1" x14ac:dyDescent="0.25">
      <c r="AJ183" s="869"/>
    </row>
    <row r="184" spans="36:36" ht="12.75" customHeight="1" x14ac:dyDescent="0.25">
      <c r="AJ184" s="869"/>
    </row>
    <row r="185" spans="36:36" ht="12.75" customHeight="1" x14ac:dyDescent="0.25">
      <c r="AJ185" s="869"/>
    </row>
    <row r="186" spans="36:36" ht="12.75" customHeight="1" x14ac:dyDescent="0.25">
      <c r="AJ186" s="869"/>
    </row>
    <row r="187" spans="36:36" ht="12.75" customHeight="1" x14ac:dyDescent="0.25">
      <c r="AJ187" s="869"/>
    </row>
    <row r="188" spans="36:36" ht="12.75" customHeight="1" x14ac:dyDescent="0.25">
      <c r="AJ188" s="869"/>
    </row>
    <row r="189" spans="36:36" ht="12.75" customHeight="1" x14ac:dyDescent="0.25">
      <c r="AJ189" s="869"/>
    </row>
    <row r="190" spans="36:36" ht="12.75" customHeight="1" x14ac:dyDescent="0.25">
      <c r="AJ190" s="869"/>
    </row>
    <row r="191" spans="36:36" ht="12.75" customHeight="1" x14ac:dyDescent="0.25">
      <c r="AJ191" s="869"/>
    </row>
    <row r="192" spans="36:36" ht="12.75" customHeight="1" x14ac:dyDescent="0.25">
      <c r="AJ192" s="869"/>
    </row>
    <row r="193" spans="36:36" ht="12.75" customHeight="1" x14ac:dyDescent="0.25">
      <c r="AJ193" s="869"/>
    </row>
    <row r="194" spans="36:36" ht="12.75" customHeight="1" x14ac:dyDescent="0.25">
      <c r="AJ194" s="869"/>
    </row>
    <row r="195" spans="36:36" ht="12.75" customHeight="1" x14ac:dyDescent="0.25">
      <c r="AJ195" s="869"/>
    </row>
    <row r="196" spans="36:36" ht="12.75" customHeight="1" x14ac:dyDescent="0.25">
      <c r="AJ196" s="869"/>
    </row>
    <row r="197" spans="36:36" ht="12.75" customHeight="1" x14ac:dyDescent="0.25">
      <c r="AJ197" s="869"/>
    </row>
    <row r="198" spans="36:36" ht="12.75" customHeight="1" x14ac:dyDescent="0.25">
      <c r="AJ198" s="869"/>
    </row>
    <row r="199" spans="36:36" ht="12.75" customHeight="1" x14ac:dyDescent="0.25">
      <c r="AJ199" s="869"/>
    </row>
    <row r="200" spans="36:36" ht="12.75" customHeight="1" x14ac:dyDescent="0.25">
      <c r="AJ200" s="869"/>
    </row>
    <row r="201" spans="36:36" ht="12.75" customHeight="1" x14ac:dyDescent="0.25">
      <c r="AJ201" s="869"/>
    </row>
    <row r="202" spans="36:36" ht="12.75" customHeight="1" x14ac:dyDescent="0.25">
      <c r="AJ202" s="869"/>
    </row>
    <row r="203" spans="36:36" ht="12.75" customHeight="1" x14ac:dyDescent="0.25">
      <c r="AJ203" s="869"/>
    </row>
    <row r="204" spans="36:36" ht="12.75" customHeight="1" x14ac:dyDescent="0.25">
      <c r="AJ204" s="869"/>
    </row>
    <row r="205" spans="36:36" ht="12.75" customHeight="1" x14ac:dyDescent="0.25">
      <c r="AJ205" s="869"/>
    </row>
    <row r="206" spans="36:36" ht="12.75" customHeight="1" x14ac:dyDescent="0.25">
      <c r="AJ206" s="869"/>
    </row>
    <row r="207" spans="36:36" ht="12.75" customHeight="1" x14ac:dyDescent="0.25">
      <c r="AJ207" s="869"/>
    </row>
    <row r="208" spans="36:36" ht="12.75" customHeight="1" x14ac:dyDescent="0.25">
      <c r="AJ208" s="869"/>
    </row>
    <row r="209" spans="36:36" ht="12.75" customHeight="1" x14ac:dyDescent="0.25">
      <c r="AJ209" s="869"/>
    </row>
    <row r="210" spans="36:36" ht="12.75" customHeight="1" x14ac:dyDescent="0.25">
      <c r="AJ210" s="869"/>
    </row>
    <row r="211" spans="36:36" ht="12.75" customHeight="1" x14ac:dyDescent="0.25">
      <c r="AJ211" s="869"/>
    </row>
    <row r="212" spans="36:36" ht="12.75" customHeight="1" x14ac:dyDescent="0.25">
      <c r="AJ212" s="869"/>
    </row>
    <row r="213" spans="36:36" ht="12.75" customHeight="1" x14ac:dyDescent="0.25">
      <c r="AJ213" s="869"/>
    </row>
    <row r="214" spans="36:36" ht="12.75" customHeight="1" x14ac:dyDescent="0.25">
      <c r="AJ214" s="869"/>
    </row>
    <row r="215" spans="36:36" ht="12.75" customHeight="1" x14ac:dyDescent="0.25">
      <c r="AJ215" s="869"/>
    </row>
    <row r="216" spans="36:36" ht="12.75" customHeight="1" x14ac:dyDescent="0.25">
      <c r="AJ216" s="869"/>
    </row>
    <row r="217" spans="36:36" ht="12.75" customHeight="1" x14ac:dyDescent="0.25">
      <c r="AJ217" s="869"/>
    </row>
    <row r="218" spans="36:36" ht="12.75" customHeight="1" x14ac:dyDescent="0.25">
      <c r="AJ218" s="869"/>
    </row>
    <row r="219" spans="36:36" ht="12.75" customHeight="1" x14ac:dyDescent="0.25">
      <c r="AJ219" s="869"/>
    </row>
    <row r="220" spans="36:36" ht="12.75" customHeight="1" x14ac:dyDescent="0.25">
      <c r="AJ220" s="869"/>
    </row>
    <row r="221" spans="36:36" ht="12.75" customHeight="1" x14ac:dyDescent="0.25">
      <c r="AJ221" s="869"/>
    </row>
    <row r="222" spans="36:36" ht="12.75" customHeight="1" x14ac:dyDescent="0.25">
      <c r="AJ222" s="869"/>
    </row>
    <row r="223" spans="36:36" ht="12.75" customHeight="1" x14ac:dyDescent="0.25">
      <c r="AJ223" s="869"/>
    </row>
    <row r="224" spans="36:36" ht="12.75" customHeight="1" x14ac:dyDescent="0.25">
      <c r="AJ224" s="869"/>
    </row>
    <row r="225" spans="36:36" ht="12.75" customHeight="1" x14ac:dyDescent="0.25">
      <c r="AJ225" s="869"/>
    </row>
    <row r="226" spans="36:36" ht="12.75" customHeight="1" x14ac:dyDescent="0.25">
      <c r="AJ226" s="869"/>
    </row>
    <row r="227" spans="36:36" ht="12.75" customHeight="1" x14ac:dyDescent="0.25">
      <c r="AJ227" s="869"/>
    </row>
    <row r="228" spans="36:36" ht="12.75" customHeight="1" x14ac:dyDescent="0.25">
      <c r="AJ228" s="869"/>
    </row>
    <row r="229" spans="36:36" ht="12.75" customHeight="1" x14ac:dyDescent="0.25">
      <c r="AJ229" s="869"/>
    </row>
    <row r="230" spans="36:36" ht="12.75" customHeight="1" x14ac:dyDescent="0.25">
      <c r="AJ230" s="869"/>
    </row>
    <row r="231" spans="36:36" ht="12.75" customHeight="1" x14ac:dyDescent="0.25">
      <c r="AJ231" s="869"/>
    </row>
    <row r="232" spans="36:36" ht="12.75" customHeight="1" x14ac:dyDescent="0.25">
      <c r="AJ232" s="869"/>
    </row>
    <row r="233" spans="36:36" ht="12.75" customHeight="1" x14ac:dyDescent="0.25">
      <c r="AJ233" s="869"/>
    </row>
    <row r="234" spans="36:36" ht="12.75" customHeight="1" x14ac:dyDescent="0.25">
      <c r="AJ234" s="869"/>
    </row>
    <row r="235" spans="36:36" ht="12.75" customHeight="1" x14ac:dyDescent="0.25">
      <c r="AJ235" s="869"/>
    </row>
    <row r="236" spans="36:36" ht="12.75" customHeight="1" x14ac:dyDescent="0.25">
      <c r="AJ236" s="869"/>
    </row>
    <row r="237" spans="36:36" ht="12.75" customHeight="1" x14ac:dyDescent="0.25">
      <c r="AJ237" s="869"/>
    </row>
    <row r="238" spans="36:36" ht="12.75" customHeight="1" x14ac:dyDescent="0.25">
      <c r="AJ238" s="869"/>
    </row>
    <row r="239" spans="36:36" ht="12.75" customHeight="1" x14ac:dyDescent="0.25">
      <c r="AJ239" s="869"/>
    </row>
    <row r="240" spans="36:36" ht="12.75" customHeight="1" x14ac:dyDescent="0.25">
      <c r="AJ240" s="869"/>
    </row>
    <row r="241" spans="36:36" ht="12.75" customHeight="1" x14ac:dyDescent="0.25">
      <c r="AJ241" s="869"/>
    </row>
    <row r="242" spans="36:36" ht="12.75" customHeight="1" x14ac:dyDescent="0.25">
      <c r="AJ242" s="869"/>
    </row>
    <row r="243" spans="36:36" ht="12.75" customHeight="1" x14ac:dyDescent="0.25">
      <c r="AJ243" s="869"/>
    </row>
    <row r="244" spans="36:36" ht="12.75" customHeight="1" x14ac:dyDescent="0.25">
      <c r="AJ244" s="869"/>
    </row>
    <row r="245" spans="36:36" ht="12.75" customHeight="1" x14ac:dyDescent="0.25">
      <c r="AJ245" s="869"/>
    </row>
    <row r="246" spans="36:36" ht="12.75" customHeight="1" x14ac:dyDescent="0.25">
      <c r="AJ246" s="869"/>
    </row>
    <row r="247" spans="36:36" ht="12.75" customHeight="1" x14ac:dyDescent="0.25">
      <c r="AJ247" s="869"/>
    </row>
    <row r="248" spans="36:36" ht="12.75" customHeight="1" x14ac:dyDescent="0.25">
      <c r="AJ248" s="869"/>
    </row>
    <row r="249" spans="36:36" ht="12.75" customHeight="1" x14ac:dyDescent="0.25">
      <c r="AJ249" s="869"/>
    </row>
    <row r="250" spans="36:36" ht="12.75" customHeight="1" x14ac:dyDescent="0.25">
      <c r="AJ250" s="869"/>
    </row>
    <row r="251" spans="36:36" ht="12.75" customHeight="1" x14ac:dyDescent="0.25">
      <c r="AJ251" s="869"/>
    </row>
    <row r="252" spans="36:36" ht="12.75" customHeight="1" x14ac:dyDescent="0.25">
      <c r="AJ252" s="869"/>
    </row>
    <row r="253" spans="36:36" ht="12.75" customHeight="1" x14ac:dyDescent="0.25">
      <c r="AJ253" s="869"/>
    </row>
    <row r="254" spans="36:36" ht="12.75" customHeight="1" x14ac:dyDescent="0.25">
      <c r="AJ254" s="869"/>
    </row>
    <row r="255" spans="36:36" ht="12.75" customHeight="1" x14ac:dyDescent="0.25">
      <c r="AJ255" s="869"/>
    </row>
    <row r="256" spans="36:36" ht="12.75" customHeight="1" x14ac:dyDescent="0.25">
      <c r="AJ256" s="869"/>
    </row>
    <row r="257" spans="36:36" ht="12.75" customHeight="1" x14ac:dyDescent="0.25">
      <c r="AJ257" s="869"/>
    </row>
    <row r="258" spans="36:36" ht="12.75" customHeight="1" x14ac:dyDescent="0.25">
      <c r="AJ258" s="869"/>
    </row>
    <row r="259" spans="36:36" ht="12.75" customHeight="1" x14ac:dyDescent="0.25">
      <c r="AJ259" s="869"/>
    </row>
    <row r="260" spans="36:36" ht="12.75" customHeight="1" x14ac:dyDescent="0.25">
      <c r="AJ260" s="869"/>
    </row>
    <row r="261" spans="36:36" ht="12.75" customHeight="1" x14ac:dyDescent="0.25">
      <c r="AJ261" s="869"/>
    </row>
    <row r="262" spans="36:36" ht="12.75" customHeight="1" x14ac:dyDescent="0.25">
      <c r="AJ262" s="869"/>
    </row>
    <row r="263" spans="36:36" ht="12.75" customHeight="1" x14ac:dyDescent="0.25">
      <c r="AJ263" s="869"/>
    </row>
    <row r="264" spans="36:36" ht="12.75" customHeight="1" x14ac:dyDescent="0.25">
      <c r="AJ264" s="869"/>
    </row>
    <row r="265" spans="36:36" ht="12.75" customHeight="1" x14ac:dyDescent="0.25">
      <c r="AJ265" s="869"/>
    </row>
    <row r="266" spans="36:36" ht="12.75" customHeight="1" x14ac:dyDescent="0.25">
      <c r="AJ266" s="869"/>
    </row>
    <row r="267" spans="36:36" ht="12.75" customHeight="1" x14ac:dyDescent="0.25">
      <c r="AJ267" s="869"/>
    </row>
    <row r="268" spans="36:36" ht="12.75" customHeight="1" x14ac:dyDescent="0.25">
      <c r="AJ268" s="869"/>
    </row>
    <row r="269" spans="36:36" ht="12.75" customHeight="1" x14ac:dyDescent="0.25">
      <c r="AJ269" s="869"/>
    </row>
    <row r="270" spans="36:36" ht="12.75" customHeight="1" x14ac:dyDescent="0.25">
      <c r="AJ270" s="869"/>
    </row>
    <row r="271" spans="36:36" ht="12.75" customHeight="1" x14ac:dyDescent="0.25">
      <c r="AJ271" s="869"/>
    </row>
    <row r="272" spans="36:36" ht="12.75" customHeight="1" x14ac:dyDescent="0.25">
      <c r="AJ272" s="869"/>
    </row>
    <row r="273" spans="36:36" ht="12.75" customHeight="1" x14ac:dyDescent="0.25">
      <c r="AJ273" s="869"/>
    </row>
    <row r="274" spans="36:36" ht="12.75" customHeight="1" x14ac:dyDescent="0.25">
      <c r="AJ274" s="869"/>
    </row>
    <row r="275" spans="36:36" ht="12.75" customHeight="1" x14ac:dyDescent="0.25">
      <c r="AJ275" s="869"/>
    </row>
    <row r="276" spans="36:36" ht="12.75" customHeight="1" x14ac:dyDescent="0.25">
      <c r="AJ276" s="869"/>
    </row>
    <row r="277" spans="36:36" ht="12.75" customHeight="1" x14ac:dyDescent="0.25">
      <c r="AJ277" s="869"/>
    </row>
    <row r="278" spans="36:36" ht="12.75" customHeight="1" x14ac:dyDescent="0.25">
      <c r="AJ278" s="869"/>
    </row>
    <row r="279" spans="36:36" ht="12.75" customHeight="1" x14ac:dyDescent="0.25">
      <c r="AJ279" s="869"/>
    </row>
    <row r="280" spans="36:36" ht="12.75" customHeight="1" x14ac:dyDescent="0.25">
      <c r="AJ280" s="869"/>
    </row>
    <row r="281" spans="36:36" ht="12.75" customHeight="1" x14ac:dyDescent="0.25">
      <c r="AJ281" s="869"/>
    </row>
    <row r="282" spans="36:36" ht="12.75" customHeight="1" x14ac:dyDescent="0.25">
      <c r="AJ282" s="869"/>
    </row>
    <row r="283" spans="36:36" ht="12.75" customHeight="1" x14ac:dyDescent="0.25">
      <c r="AJ283" s="869"/>
    </row>
    <row r="284" spans="36:36" ht="12.75" customHeight="1" x14ac:dyDescent="0.25">
      <c r="AJ284" s="869"/>
    </row>
    <row r="285" spans="36:36" ht="12.75" customHeight="1" x14ac:dyDescent="0.25">
      <c r="AJ285" s="869"/>
    </row>
    <row r="286" spans="36:36" ht="12.75" customHeight="1" x14ac:dyDescent="0.25">
      <c r="AJ286" s="869"/>
    </row>
    <row r="287" spans="36:36" ht="12.75" customHeight="1" x14ac:dyDescent="0.25">
      <c r="AJ287" s="869"/>
    </row>
    <row r="288" spans="36:36" ht="12.75" customHeight="1" x14ac:dyDescent="0.25">
      <c r="AJ288" s="869"/>
    </row>
    <row r="289" spans="36:36" ht="12.75" customHeight="1" x14ac:dyDescent="0.25">
      <c r="AJ289" s="869"/>
    </row>
    <row r="290" spans="36:36" ht="12.75" customHeight="1" x14ac:dyDescent="0.25">
      <c r="AJ290" s="869"/>
    </row>
    <row r="291" spans="36:36" ht="12.75" customHeight="1" x14ac:dyDescent="0.25">
      <c r="AJ291" s="869"/>
    </row>
    <row r="292" spans="36:36" ht="12.75" customHeight="1" x14ac:dyDescent="0.25">
      <c r="AJ292" s="869"/>
    </row>
    <row r="293" spans="36:36" ht="12.75" customHeight="1" x14ac:dyDescent="0.25">
      <c r="AJ293" s="869"/>
    </row>
    <row r="294" spans="36:36" ht="12.75" customHeight="1" x14ac:dyDescent="0.25">
      <c r="AJ294" s="869"/>
    </row>
    <row r="295" spans="36:36" ht="12.75" customHeight="1" x14ac:dyDescent="0.25">
      <c r="AJ295" s="869"/>
    </row>
    <row r="296" spans="36:36" ht="12.75" customHeight="1" x14ac:dyDescent="0.25">
      <c r="AJ296" s="869"/>
    </row>
    <row r="297" spans="36:36" ht="12.75" customHeight="1" x14ac:dyDescent="0.25">
      <c r="AJ297" s="869"/>
    </row>
    <row r="298" spans="36:36" ht="12.75" customHeight="1" x14ac:dyDescent="0.25">
      <c r="AJ298" s="869"/>
    </row>
    <row r="299" spans="36:36" ht="12.75" customHeight="1" x14ac:dyDescent="0.25">
      <c r="AJ299" s="869"/>
    </row>
    <row r="300" spans="36:36" ht="12.75" customHeight="1" x14ac:dyDescent="0.25">
      <c r="AJ300" s="869"/>
    </row>
    <row r="301" spans="36:36" ht="12.75" customHeight="1" x14ac:dyDescent="0.25">
      <c r="AJ301" s="869"/>
    </row>
    <row r="302" spans="36:36" ht="12.75" customHeight="1" x14ac:dyDescent="0.25">
      <c r="AJ302" s="869"/>
    </row>
    <row r="303" spans="36:36" ht="12.75" customHeight="1" x14ac:dyDescent="0.25">
      <c r="AJ303" s="869"/>
    </row>
    <row r="304" spans="36:36" ht="12.75" customHeight="1" x14ac:dyDescent="0.25">
      <c r="AJ304" s="869"/>
    </row>
    <row r="305" spans="36:36" ht="12.75" customHeight="1" x14ac:dyDescent="0.25">
      <c r="AJ305" s="869"/>
    </row>
    <row r="306" spans="36:36" ht="12.75" customHeight="1" x14ac:dyDescent="0.25">
      <c r="AJ306" s="869"/>
    </row>
    <row r="307" spans="36:36" ht="12.75" customHeight="1" x14ac:dyDescent="0.25">
      <c r="AJ307" s="869"/>
    </row>
    <row r="308" spans="36:36" ht="12.75" customHeight="1" x14ac:dyDescent="0.25">
      <c r="AJ308" s="869"/>
    </row>
    <row r="309" spans="36:36" ht="12.75" customHeight="1" x14ac:dyDescent="0.25">
      <c r="AJ309" s="869"/>
    </row>
    <row r="310" spans="36:36" ht="12.75" customHeight="1" x14ac:dyDescent="0.25">
      <c r="AJ310" s="869"/>
    </row>
    <row r="311" spans="36:36" ht="12.75" customHeight="1" x14ac:dyDescent="0.25">
      <c r="AJ311" s="869"/>
    </row>
    <row r="312" spans="36:36" ht="12.75" customHeight="1" x14ac:dyDescent="0.25">
      <c r="AJ312" s="869"/>
    </row>
    <row r="313" spans="36:36" ht="12.75" customHeight="1" x14ac:dyDescent="0.25">
      <c r="AJ313" s="869"/>
    </row>
    <row r="314" spans="36:36" ht="12.75" customHeight="1" x14ac:dyDescent="0.25">
      <c r="AJ314" s="869"/>
    </row>
    <row r="315" spans="36:36" ht="12.75" customHeight="1" x14ac:dyDescent="0.25">
      <c r="AJ315" s="869"/>
    </row>
    <row r="316" spans="36:36" ht="12.75" customHeight="1" x14ac:dyDescent="0.25">
      <c r="AJ316" s="869"/>
    </row>
    <row r="317" spans="36:36" ht="12.75" customHeight="1" x14ac:dyDescent="0.25">
      <c r="AJ317" s="869"/>
    </row>
    <row r="318" spans="36:36" ht="12.75" customHeight="1" x14ac:dyDescent="0.25">
      <c r="AJ318" s="869"/>
    </row>
    <row r="319" spans="36:36" ht="12.75" customHeight="1" x14ac:dyDescent="0.25">
      <c r="AJ319" s="869"/>
    </row>
    <row r="320" spans="36:36" ht="12.75" customHeight="1" x14ac:dyDescent="0.25">
      <c r="AJ320" s="869"/>
    </row>
    <row r="321" spans="36:36" ht="12.75" customHeight="1" x14ac:dyDescent="0.25">
      <c r="AJ321" s="869"/>
    </row>
    <row r="322" spans="36:36" ht="12.75" customHeight="1" x14ac:dyDescent="0.25">
      <c r="AJ322" s="869"/>
    </row>
    <row r="323" spans="36:36" ht="12.75" customHeight="1" x14ac:dyDescent="0.25">
      <c r="AJ323" s="869"/>
    </row>
    <row r="324" spans="36:36" ht="12.75" customHeight="1" x14ac:dyDescent="0.25">
      <c r="AJ324" s="869"/>
    </row>
    <row r="325" spans="36:36" ht="12.75" customHeight="1" x14ac:dyDescent="0.25">
      <c r="AJ325" s="869"/>
    </row>
    <row r="326" spans="36:36" ht="12.75" customHeight="1" x14ac:dyDescent="0.25">
      <c r="AJ326" s="869"/>
    </row>
    <row r="327" spans="36:36" ht="12.75" customHeight="1" x14ac:dyDescent="0.25">
      <c r="AJ327" s="869"/>
    </row>
    <row r="328" spans="36:36" ht="12.75" customHeight="1" x14ac:dyDescent="0.25">
      <c r="AJ328" s="869"/>
    </row>
    <row r="329" spans="36:36" ht="12.75" customHeight="1" x14ac:dyDescent="0.25">
      <c r="AJ329" s="869"/>
    </row>
    <row r="330" spans="36:36" ht="12.75" customHeight="1" x14ac:dyDescent="0.25">
      <c r="AJ330" s="869"/>
    </row>
    <row r="331" spans="36:36" ht="12.75" customHeight="1" x14ac:dyDescent="0.25">
      <c r="AJ331" s="869"/>
    </row>
    <row r="332" spans="36:36" ht="12.75" customHeight="1" x14ac:dyDescent="0.25">
      <c r="AJ332" s="869"/>
    </row>
    <row r="333" spans="36:36" ht="12.75" customHeight="1" x14ac:dyDescent="0.25">
      <c r="AJ333" s="869"/>
    </row>
    <row r="334" spans="36:36" ht="12.75" customHeight="1" x14ac:dyDescent="0.25">
      <c r="AJ334" s="869"/>
    </row>
    <row r="335" spans="36:36" ht="12.75" customHeight="1" x14ac:dyDescent="0.25">
      <c r="AJ335" s="869"/>
    </row>
    <row r="336" spans="36:36" ht="12.75" customHeight="1" x14ac:dyDescent="0.25">
      <c r="AJ336" s="869"/>
    </row>
    <row r="337" spans="36:36" ht="12.75" customHeight="1" x14ac:dyDescent="0.25">
      <c r="AJ337" s="869"/>
    </row>
    <row r="338" spans="36:36" ht="12.75" customHeight="1" x14ac:dyDescent="0.25">
      <c r="AJ338" s="869"/>
    </row>
    <row r="339" spans="36:36" ht="12.75" customHeight="1" x14ac:dyDescent="0.25">
      <c r="AJ339" s="869"/>
    </row>
    <row r="340" spans="36:36" ht="12.75" customHeight="1" x14ac:dyDescent="0.25">
      <c r="AJ340" s="869"/>
    </row>
    <row r="341" spans="36:36" ht="12.75" customHeight="1" x14ac:dyDescent="0.25">
      <c r="AJ341" s="869"/>
    </row>
    <row r="342" spans="36:36" ht="12.75" customHeight="1" x14ac:dyDescent="0.25">
      <c r="AJ342" s="869"/>
    </row>
    <row r="343" spans="36:36" ht="12.75" customHeight="1" x14ac:dyDescent="0.25">
      <c r="AJ343" s="869"/>
    </row>
    <row r="344" spans="36:36" ht="12.75" customHeight="1" x14ac:dyDescent="0.25">
      <c r="AJ344" s="869"/>
    </row>
    <row r="345" spans="36:36" ht="12.75" customHeight="1" x14ac:dyDescent="0.25">
      <c r="AJ345" s="869"/>
    </row>
    <row r="346" spans="36:36" ht="12.75" customHeight="1" x14ac:dyDescent="0.25">
      <c r="AJ346" s="869"/>
    </row>
    <row r="347" spans="36:36" ht="12.75" customHeight="1" x14ac:dyDescent="0.25">
      <c r="AJ347" s="869"/>
    </row>
    <row r="348" spans="36:36" ht="12.75" customHeight="1" x14ac:dyDescent="0.25">
      <c r="AJ348" s="869"/>
    </row>
    <row r="349" spans="36:36" ht="12.75" customHeight="1" x14ac:dyDescent="0.25">
      <c r="AJ349" s="869"/>
    </row>
    <row r="350" spans="36:36" ht="12.75" customHeight="1" x14ac:dyDescent="0.25">
      <c r="AJ350" s="869"/>
    </row>
    <row r="351" spans="36:36" ht="12.75" customHeight="1" x14ac:dyDescent="0.25">
      <c r="AJ351" s="869"/>
    </row>
    <row r="352" spans="36:36" ht="12.75" customHeight="1" x14ac:dyDescent="0.25">
      <c r="AJ352" s="869"/>
    </row>
    <row r="353" spans="36:36" ht="12.75" customHeight="1" x14ac:dyDescent="0.25">
      <c r="AJ353" s="869"/>
    </row>
    <row r="354" spans="36:36" ht="12.75" customHeight="1" x14ac:dyDescent="0.25">
      <c r="AJ354" s="869"/>
    </row>
    <row r="355" spans="36:36" ht="12.75" customHeight="1" x14ac:dyDescent="0.25">
      <c r="AJ355" s="869"/>
    </row>
    <row r="356" spans="36:36" ht="12.75" customHeight="1" x14ac:dyDescent="0.25">
      <c r="AJ356" s="869"/>
    </row>
    <row r="357" spans="36:36" ht="12.75" customHeight="1" x14ac:dyDescent="0.25">
      <c r="AJ357" s="869"/>
    </row>
    <row r="358" spans="36:36" ht="12.75" customHeight="1" x14ac:dyDescent="0.25">
      <c r="AJ358" s="869"/>
    </row>
    <row r="359" spans="36:36" ht="12.75" customHeight="1" x14ac:dyDescent="0.25">
      <c r="AJ359" s="869"/>
    </row>
    <row r="360" spans="36:36" ht="12.75" customHeight="1" x14ac:dyDescent="0.25">
      <c r="AJ360" s="869"/>
    </row>
    <row r="361" spans="36:36" ht="12.75" customHeight="1" x14ac:dyDescent="0.25">
      <c r="AJ361" s="869"/>
    </row>
    <row r="362" spans="36:36" ht="12.75" customHeight="1" x14ac:dyDescent="0.25">
      <c r="AJ362" s="869"/>
    </row>
    <row r="363" spans="36:36" ht="12.75" customHeight="1" x14ac:dyDescent="0.25">
      <c r="AJ363" s="869"/>
    </row>
    <row r="364" spans="36:36" ht="12.75" customHeight="1" x14ac:dyDescent="0.25">
      <c r="AJ364" s="869"/>
    </row>
    <row r="365" spans="36:36" ht="12.75" customHeight="1" x14ac:dyDescent="0.25">
      <c r="AJ365" s="869"/>
    </row>
    <row r="366" spans="36:36" ht="12.75" customHeight="1" x14ac:dyDescent="0.25">
      <c r="AJ366" s="869"/>
    </row>
    <row r="367" spans="36:36" ht="12.75" customHeight="1" x14ac:dyDescent="0.25">
      <c r="AJ367" s="869"/>
    </row>
    <row r="368" spans="36:36" ht="12.75" customHeight="1" x14ac:dyDescent="0.25">
      <c r="AJ368" s="869"/>
    </row>
    <row r="369" spans="36:36" ht="12.75" customHeight="1" x14ac:dyDescent="0.25">
      <c r="AJ369" s="869"/>
    </row>
    <row r="370" spans="36:36" ht="12.75" customHeight="1" x14ac:dyDescent="0.25">
      <c r="AJ370" s="869"/>
    </row>
    <row r="371" spans="36:36" ht="12.75" customHeight="1" x14ac:dyDescent="0.25">
      <c r="AJ371" s="869"/>
    </row>
    <row r="372" spans="36:36" ht="12.75" customHeight="1" x14ac:dyDescent="0.25">
      <c r="AJ372" s="869"/>
    </row>
    <row r="373" spans="36:36" ht="12.75" customHeight="1" x14ac:dyDescent="0.25">
      <c r="AJ373" s="869"/>
    </row>
    <row r="374" spans="36:36" ht="12.75" customHeight="1" x14ac:dyDescent="0.25">
      <c r="AJ374" s="869"/>
    </row>
    <row r="375" spans="36:36" ht="12.75" customHeight="1" x14ac:dyDescent="0.25">
      <c r="AJ375" s="869"/>
    </row>
    <row r="376" spans="36:36" ht="12.75" customHeight="1" x14ac:dyDescent="0.25">
      <c r="AJ376" s="869"/>
    </row>
    <row r="377" spans="36:36" ht="12.75" customHeight="1" x14ac:dyDescent="0.25">
      <c r="AJ377" s="869"/>
    </row>
    <row r="378" spans="36:36" ht="12.75" customHeight="1" x14ac:dyDescent="0.25">
      <c r="AJ378" s="869"/>
    </row>
    <row r="379" spans="36:36" ht="12.75" customHeight="1" x14ac:dyDescent="0.25">
      <c r="AJ379" s="869"/>
    </row>
    <row r="380" spans="36:36" ht="12.75" customHeight="1" x14ac:dyDescent="0.25">
      <c r="AJ380" s="869"/>
    </row>
    <row r="381" spans="36:36" ht="12.75" customHeight="1" x14ac:dyDescent="0.25">
      <c r="AJ381" s="869"/>
    </row>
    <row r="382" spans="36:36" ht="12.75" customHeight="1" x14ac:dyDescent="0.25">
      <c r="AJ382" s="869"/>
    </row>
    <row r="383" spans="36:36" ht="12.75" customHeight="1" x14ac:dyDescent="0.25">
      <c r="AJ383" s="869"/>
    </row>
    <row r="384" spans="36:36" ht="12.75" customHeight="1" x14ac:dyDescent="0.25">
      <c r="AJ384" s="869"/>
    </row>
    <row r="385" spans="36:36" ht="12.75" customHeight="1" x14ac:dyDescent="0.25">
      <c r="AJ385" s="869"/>
    </row>
    <row r="386" spans="36:36" ht="12.75" customHeight="1" x14ac:dyDescent="0.25">
      <c r="AJ386" s="869"/>
    </row>
    <row r="387" spans="36:36" ht="12.75" customHeight="1" x14ac:dyDescent="0.25">
      <c r="AJ387" s="869"/>
    </row>
    <row r="388" spans="36:36" ht="12.75" customHeight="1" x14ac:dyDescent="0.25">
      <c r="AJ388" s="869"/>
    </row>
    <row r="389" spans="36:36" ht="12.75" customHeight="1" x14ac:dyDescent="0.25">
      <c r="AJ389" s="869"/>
    </row>
    <row r="390" spans="36:36" ht="12.75" customHeight="1" x14ac:dyDescent="0.25">
      <c r="AJ390" s="869"/>
    </row>
    <row r="391" spans="36:36" ht="12.75" customHeight="1" x14ac:dyDescent="0.25">
      <c r="AJ391" s="869"/>
    </row>
    <row r="392" spans="36:36" ht="12.75" customHeight="1" x14ac:dyDescent="0.25">
      <c r="AJ392" s="869"/>
    </row>
    <row r="393" spans="36:36" ht="12.75" customHeight="1" x14ac:dyDescent="0.25">
      <c r="AJ393" s="869"/>
    </row>
    <row r="394" spans="36:36" ht="12.75" customHeight="1" x14ac:dyDescent="0.25">
      <c r="AJ394" s="869"/>
    </row>
    <row r="395" spans="36:36" ht="12.75" customHeight="1" x14ac:dyDescent="0.25">
      <c r="AJ395" s="869"/>
    </row>
    <row r="396" spans="36:36" ht="12.75" customHeight="1" x14ac:dyDescent="0.25">
      <c r="AJ396" s="869"/>
    </row>
    <row r="397" spans="36:36" ht="12.75" customHeight="1" x14ac:dyDescent="0.25">
      <c r="AJ397" s="869"/>
    </row>
    <row r="398" spans="36:36" ht="12.75" customHeight="1" x14ac:dyDescent="0.25">
      <c r="AJ398" s="869"/>
    </row>
    <row r="399" spans="36:36" ht="12.75" customHeight="1" x14ac:dyDescent="0.25">
      <c r="AJ399" s="869"/>
    </row>
    <row r="400" spans="36:36" ht="12.75" customHeight="1" x14ac:dyDescent="0.25">
      <c r="AJ400" s="869"/>
    </row>
    <row r="401" spans="36:36" ht="12.75" customHeight="1" x14ac:dyDescent="0.25">
      <c r="AJ401" s="869"/>
    </row>
    <row r="402" spans="36:36" ht="12.75" customHeight="1" x14ac:dyDescent="0.25">
      <c r="AJ402" s="869"/>
    </row>
    <row r="403" spans="36:36" ht="12.75" customHeight="1" x14ac:dyDescent="0.25">
      <c r="AJ403" s="869"/>
    </row>
    <row r="404" spans="36:36" ht="12.75" customHeight="1" x14ac:dyDescent="0.25">
      <c r="AJ404" s="869"/>
    </row>
    <row r="405" spans="36:36" ht="12.75" customHeight="1" x14ac:dyDescent="0.25">
      <c r="AJ405" s="869"/>
    </row>
    <row r="406" spans="36:36" ht="12.75" customHeight="1" x14ac:dyDescent="0.25">
      <c r="AJ406" s="869"/>
    </row>
    <row r="407" spans="36:36" ht="12.75" customHeight="1" x14ac:dyDescent="0.25">
      <c r="AJ407" s="869"/>
    </row>
    <row r="408" spans="36:36" ht="12.75" customHeight="1" x14ac:dyDescent="0.25">
      <c r="AJ408" s="869"/>
    </row>
    <row r="409" spans="36:36" ht="12.75" customHeight="1" x14ac:dyDescent="0.25">
      <c r="AJ409" s="869"/>
    </row>
    <row r="410" spans="36:36" ht="12.75" customHeight="1" x14ac:dyDescent="0.25">
      <c r="AJ410" s="869"/>
    </row>
    <row r="411" spans="36:36" ht="12.75" customHeight="1" x14ac:dyDescent="0.25">
      <c r="AJ411" s="869"/>
    </row>
    <row r="412" spans="36:36" ht="12.75" customHeight="1" x14ac:dyDescent="0.25">
      <c r="AJ412" s="869"/>
    </row>
    <row r="413" spans="36:36" ht="12.75" customHeight="1" x14ac:dyDescent="0.25">
      <c r="AJ413" s="869"/>
    </row>
    <row r="414" spans="36:36" ht="12.75" customHeight="1" x14ac:dyDescent="0.25">
      <c r="AJ414" s="869"/>
    </row>
    <row r="415" spans="36:36" ht="12.75" customHeight="1" x14ac:dyDescent="0.25">
      <c r="AJ415" s="869"/>
    </row>
    <row r="416" spans="36:36" ht="12.75" customHeight="1" x14ac:dyDescent="0.25">
      <c r="AJ416" s="869"/>
    </row>
    <row r="417" spans="36:36" ht="12.75" customHeight="1" x14ac:dyDescent="0.25">
      <c r="AJ417" s="869"/>
    </row>
    <row r="418" spans="36:36" ht="12.75" customHeight="1" x14ac:dyDescent="0.25">
      <c r="AJ418" s="869"/>
    </row>
    <row r="419" spans="36:36" ht="12.75" customHeight="1" x14ac:dyDescent="0.25">
      <c r="AJ419" s="869"/>
    </row>
    <row r="420" spans="36:36" ht="12.75" customHeight="1" x14ac:dyDescent="0.25">
      <c r="AJ420" s="869"/>
    </row>
    <row r="421" spans="36:36" ht="12.75" customHeight="1" x14ac:dyDescent="0.25">
      <c r="AJ421" s="869"/>
    </row>
    <row r="422" spans="36:36" ht="12.75" customHeight="1" x14ac:dyDescent="0.25">
      <c r="AJ422" s="869"/>
    </row>
    <row r="423" spans="36:36" ht="12.75" customHeight="1" x14ac:dyDescent="0.25">
      <c r="AJ423" s="869"/>
    </row>
    <row r="424" spans="36:36" ht="12.75" customHeight="1" x14ac:dyDescent="0.25">
      <c r="AJ424" s="869"/>
    </row>
    <row r="425" spans="36:36" ht="12.75" customHeight="1" x14ac:dyDescent="0.25">
      <c r="AJ425" s="869"/>
    </row>
    <row r="426" spans="36:36" ht="12.75" customHeight="1" x14ac:dyDescent="0.25">
      <c r="AJ426" s="869"/>
    </row>
    <row r="427" spans="36:36" ht="12.75" customHeight="1" x14ac:dyDescent="0.25">
      <c r="AJ427" s="869"/>
    </row>
    <row r="428" spans="36:36" ht="12.75" customHeight="1" x14ac:dyDescent="0.25">
      <c r="AJ428" s="869"/>
    </row>
    <row r="429" spans="36:36" ht="12.75" customHeight="1" x14ac:dyDescent="0.25">
      <c r="AJ429" s="869"/>
    </row>
    <row r="430" spans="36:36" ht="12.75" customHeight="1" x14ac:dyDescent="0.25">
      <c r="AJ430" s="869"/>
    </row>
    <row r="431" spans="36:36" ht="12.75" customHeight="1" x14ac:dyDescent="0.25">
      <c r="AJ431" s="869"/>
    </row>
    <row r="432" spans="36:36" ht="12.75" customHeight="1" x14ac:dyDescent="0.25">
      <c r="AJ432" s="869"/>
    </row>
    <row r="433" spans="36:36" ht="12.75" customHeight="1" x14ac:dyDescent="0.25">
      <c r="AJ433" s="869"/>
    </row>
    <row r="434" spans="36:36" ht="12.75" customHeight="1" x14ac:dyDescent="0.25">
      <c r="AJ434" s="869"/>
    </row>
    <row r="435" spans="36:36" ht="12.75" customHeight="1" x14ac:dyDescent="0.25">
      <c r="AJ435" s="869"/>
    </row>
    <row r="436" spans="36:36" ht="12.75" customHeight="1" x14ac:dyDescent="0.25">
      <c r="AJ436" s="869"/>
    </row>
    <row r="437" spans="36:36" ht="12.75" customHeight="1" x14ac:dyDescent="0.25">
      <c r="AJ437" s="869"/>
    </row>
    <row r="438" spans="36:36" ht="12.75" customHeight="1" x14ac:dyDescent="0.25">
      <c r="AJ438" s="869"/>
    </row>
    <row r="439" spans="36:36" ht="12.75" customHeight="1" x14ac:dyDescent="0.25">
      <c r="AJ439" s="869"/>
    </row>
    <row r="440" spans="36:36" ht="12.75" customHeight="1" x14ac:dyDescent="0.25">
      <c r="AJ440" s="869"/>
    </row>
    <row r="441" spans="36:36" ht="12.75" customHeight="1" x14ac:dyDescent="0.25">
      <c r="AJ441" s="869"/>
    </row>
    <row r="442" spans="36:36" ht="12.75" customHeight="1" x14ac:dyDescent="0.25">
      <c r="AJ442" s="869"/>
    </row>
    <row r="443" spans="36:36" ht="12.75" customHeight="1" x14ac:dyDescent="0.25">
      <c r="AJ443" s="869"/>
    </row>
    <row r="444" spans="36:36" ht="12.75" customHeight="1" x14ac:dyDescent="0.25">
      <c r="AJ444" s="869"/>
    </row>
    <row r="445" spans="36:36" ht="12.75" customHeight="1" x14ac:dyDescent="0.25">
      <c r="AJ445" s="869"/>
    </row>
    <row r="446" spans="36:36" ht="12.75" customHeight="1" x14ac:dyDescent="0.25">
      <c r="AJ446" s="869"/>
    </row>
    <row r="447" spans="36:36" ht="12.75" customHeight="1" x14ac:dyDescent="0.25">
      <c r="AJ447" s="869"/>
    </row>
    <row r="448" spans="36:36" ht="12.75" customHeight="1" x14ac:dyDescent="0.25">
      <c r="AJ448" s="869"/>
    </row>
    <row r="449" spans="36:36" ht="12.75" customHeight="1" x14ac:dyDescent="0.25">
      <c r="AJ449" s="869"/>
    </row>
    <row r="450" spans="36:36" ht="12.75" customHeight="1" x14ac:dyDescent="0.25">
      <c r="AJ450" s="869"/>
    </row>
    <row r="451" spans="36:36" ht="12.75" customHeight="1" x14ac:dyDescent="0.25">
      <c r="AJ451" s="869"/>
    </row>
    <row r="452" spans="36:36" ht="12.75" customHeight="1" x14ac:dyDescent="0.25">
      <c r="AJ452" s="869"/>
    </row>
    <row r="453" spans="36:36" ht="12.75" customHeight="1" x14ac:dyDescent="0.25">
      <c r="AJ453" s="869"/>
    </row>
    <row r="454" spans="36:36" ht="12.75" customHeight="1" x14ac:dyDescent="0.25">
      <c r="AJ454" s="869"/>
    </row>
    <row r="455" spans="36:36" ht="12.75" customHeight="1" x14ac:dyDescent="0.25">
      <c r="AJ455" s="869"/>
    </row>
    <row r="456" spans="36:36" ht="12.75" customHeight="1" x14ac:dyDescent="0.25">
      <c r="AJ456" s="869"/>
    </row>
    <row r="457" spans="36:36" ht="12.75" customHeight="1" x14ac:dyDescent="0.25">
      <c r="AJ457" s="869"/>
    </row>
    <row r="458" spans="36:36" ht="12.75" customHeight="1" x14ac:dyDescent="0.25">
      <c r="AJ458" s="869"/>
    </row>
    <row r="459" spans="36:36" ht="12.75" customHeight="1" x14ac:dyDescent="0.25">
      <c r="AJ459" s="869"/>
    </row>
    <row r="460" spans="36:36" ht="12.75" customHeight="1" x14ac:dyDescent="0.25">
      <c r="AJ460" s="869"/>
    </row>
    <row r="461" spans="36:36" ht="12.75" customHeight="1" x14ac:dyDescent="0.25">
      <c r="AJ461" s="869"/>
    </row>
    <row r="462" spans="36:36" ht="12.75" customHeight="1" x14ac:dyDescent="0.25">
      <c r="AJ462" s="869"/>
    </row>
    <row r="463" spans="36:36" ht="12.75" customHeight="1" x14ac:dyDescent="0.25">
      <c r="AJ463" s="869"/>
    </row>
    <row r="464" spans="36:36" ht="12.75" customHeight="1" x14ac:dyDescent="0.25">
      <c r="AJ464" s="869"/>
    </row>
    <row r="465" spans="36:36" ht="12.75" customHeight="1" x14ac:dyDescent="0.25">
      <c r="AJ465" s="869"/>
    </row>
    <row r="466" spans="36:36" ht="12.75" customHeight="1" x14ac:dyDescent="0.25">
      <c r="AJ466" s="869"/>
    </row>
    <row r="467" spans="36:36" ht="12.75" customHeight="1" x14ac:dyDescent="0.25">
      <c r="AJ467" s="869"/>
    </row>
    <row r="468" spans="36:36" ht="12.75" customHeight="1" x14ac:dyDescent="0.25">
      <c r="AJ468" s="869"/>
    </row>
    <row r="469" spans="36:36" ht="12.75" customHeight="1" x14ac:dyDescent="0.25">
      <c r="AJ469" s="869"/>
    </row>
    <row r="470" spans="36:36" ht="12.75" customHeight="1" x14ac:dyDescent="0.25">
      <c r="AJ470" s="869"/>
    </row>
    <row r="471" spans="36:36" ht="12.75" customHeight="1" x14ac:dyDescent="0.25">
      <c r="AJ471" s="869"/>
    </row>
    <row r="472" spans="36:36" ht="12.75" customHeight="1" x14ac:dyDescent="0.25">
      <c r="AJ472" s="869"/>
    </row>
    <row r="473" spans="36:36" ht="12.75" customHeight="1" x14ac:dyDescent="0.25">
      <c r="AJ473" s="869"/>
    </row>
    <row r="474" spans="36:36" ht="12.75" customHeight="1" x14ac:dyDescent="0.25">
      <c r="AJ474" s="869"/>
    </row>
    <row r="475" spans="36:36" ht="12.75" customHeight="1" x14ac:dyDescent="0.25">
      <c r="AJ475" s="869"/>
    </row>
    <row r="476" spans="36:36" ht="12.75" customHeight="1" x14ac:dyDescent="0.25">
      <c r="AJ476" s="869"/>
    </row>
    <row r="477" spans="36:36" ht="12.75" customHeight="1" x14ac:dyDescent="0.25">
      <c r="AJ477" s="869"/>
    </row>
    <row r="478" spans="36:36" ht="12.75" customHeight="1" x14ac:dyDescent="0.25">
      <c r="AJ478" s="869"/>
    </row>
    <row r="479" spans="36:36" ht="12.75" customHeight="1" x14ac:dyDescent="0.25">
      <c r="AJ479" s="869"/>
    </row>
    <row r="480" spans="36:36" ht="12.75" customHeight="1" x14ac:dyDescent="0.25">
      <c r="AJ480" s="869"/>
    </row>
    <row r="481" spans="36:36" ht="12.75" customHeight="1" x14ac:dyDescent="0.25">
      <c r="AJ481" s="869"/>
    </row>
    <row r="482" spans="36:36" ht="12.75" customHeight="1" x14ac:dyDescent="0.25">
      <c r="AJ482" s="869"/>
    </row>
    <row r="483" spans="36:36" ht="12.75" customHeight="1" x14ac:dyDescent="0.25">
      <c r="AJ483" s="869"/>
    </row>
    <row r="484" spans="36:36" ht="12.75" customHeight="1" x14ac:dyDescent="0.25">
      <c r="AJ484" s="869"/>
    </row>
    <row r="485" spans="36:36" ht="12.75" customHeight="1" x14ac:dyDescent="0.25">
      <c r="AJ485" s="869"/>
    </row>
    <row r="486" spans="36:36" ht="12.75" customHeight="1" x14ac:dyDescent="0.25">
      <c r="AJ486" s="869"/>
    </row>
    <row r="487" spans="36:36" ht="12.75" customHeight="1" x14ac:dyDescent="0.25">
      <c r="AJ487" s="869"/>
    </row>
    <row r="488" spans="36:36" ht="12.75" customHeight="1" x14ac:dyDescent="0.25">
      <c r="AJ488" s="869"/>
    </row>
    <row r="489" spans="36:36" ht="12.75" customHeight="1" x14ac:dyDescent="0.25">
      <c r="AJ489" s="869"/>
    </row>
    <row r="490" spans="36:36" ht="12.75" customHeight="1" x14ac:dyDescent="0.25">
      <c r="AJ490" s="869"/>
    </row>
    <row r="491" spans="36:36" ht="12.75" customHeight="1" x14ac:dyDescent="0.25">
      <c r="AJ491" s="869"/>
    </row>
    <row r="492" spans="36:36" ht="12.75" customHeight="1" x14ac:dyDescent="0.25">
      <c r="AJ492" s="869"/>
    </row>
    <row r="493" spans="36:36" ht="12.75" customHeight="1" x14ac:dyDescent="0.25">
      <c r="AJ493" s="869"/>
    </row>
    <row r="494" spans="36:36" ht="12.75" customHeight="1" x14ac:dyDescent="0.25">
      <c r="AJ494" s="869"/>
    </row>
    <row r="495" spans="36:36" ht="12.75" customHeight="1" x14ac:dyDescent="0.25">
      <c r="AJ495" s="869"/>
    </row>
    <row r="496" spans="36:36" ht="12.75" customHeight="1" x14ac:dyDescent="0.25">
      <c r="AJ496" s="869"/>
    </row>
    <row r="497" spans="36:36" ht="12.75" customHeight="1" x14ac:dyDescent="0.25">
      <c r="AJ497" s="869"/>
    </row>
    <row r="498" spans="36:36" ht="12.75" customHeight="1" x14ac:dyDescent="0.25">
      <c r="AJ498" s="869"/>
    </row>
    <row r="499" spans="36:36" ht="12.75" customHeight="1" x14ac:dyDescent="0.25">
      <c r="AJ499" s="869"/>
    </row>
    <row r="500" spans="36:36" ht="12.75" customHeight="1" x14ac:dyDescent="0.25">
      <c r="AJ500" s="869"/>
    </row>
    <row r="501" spans="36:36" ht="12.75" customHeight="1" x14ac:dyDescent="0.25">
      <c r="AJ501" s="869"/>
    </row>
    <row r="502" spans="36:36" ht="12.75" customHeight="1" x14ac:dyDescent="0.25">
      <c r="AJ502" s="869"/>
    </row>
    <row r="503" spans="36:36" ht="12.75" customHeight="1" x14ac:dyDescent="0.25">
      <c r="AJ503" s="869"/>
    </row>
    <row r="504" spans="36:36" ht="12.75" customHeight="1" x14ac:dyDescent="0.25">
      <c r="AJ504" s="869"/>
    </row>
    <row r="505" spans="36:36" ht="12.75" customHeight="1" x14ac:dyDescent="0.25">
      <c r="AJ505" s="869"/>
    </row>
    <row r="506" spans="36:36" ht="12.75" customHeight="1" x14ac:dyDescent="0.25">
      <c r="AJ506" s="869"/>
    </row>
    <row r="507" spans="36:36" ht="12.75" customHeight="1" x14ac:dyDescent="0.25">
      <c r="AJ507" s="869"/>
    </row>
    <row r="508" spans="36:36" ht="12.75" customHeight="1" x14ac:dyDescent="0.25">
      <c r="AJ508" s="869"/>
    </row>
    <row r="509" spans="36:36" ht="12.75" customHeight="1" x14ac:dyDescent="0.25">
      <c r="AJ509" s="869"/>
    </row>
    <row r="510" spans="36:36" ht="12.75" customHeight="1" x14ac:dyDescent="0.25">
      <c r="AJ510" s="869"/>
    </row>
    <row r="511" spans="36:36" ht="12.75" customHeight="1" x14ac:dyDescent="0.25">
      <c r="AJ511" s="869"/>
    </row>
    <row r="512" spans="36:36" ht="12.75" customHeight="1" x14ac:dyDescent="0.25">
      <c r="AJ512" s="869"/>
    </row>
    <row r="513" spans="36:36" ht="12.75" customHeight="1" x14ac:dyDescent="0.25">
      <c r="AJ513" s="869"/>
    </row>
    <row r="514" spans="36:36" ht="12.75" customHeight="1" x14ac:dyDescent="0.25">
      <c r="AJ514" s="869"/>
    </row>
    <row r="515" spans="36:36" ht="12.75" customHeight="1" x14ac:dyDescent="0.25">
      <c r="AJ515" s="869"/>
    </row>
    <row r="516" spans="36:36" ht="12.75" customHeight="1" x14ac:dyDescent="0.25">
      <c r="AJ516" s="869"/>
    </row>
    <row r="517" spans="36:36" ht="12.75" customHeight="1" x14ac:dyDescent="0.25">
      <c r="AJ517" s="869"/>
    </row>
    <row r="518" spans="36:36" ht="12.75" customHeight="1" x14ac:dyDescent="0.25">
      <c r="AJ518" s="869"/>
    </row>
    <row r="519" spans="36:36" ht="12.75" customHeight="1" x14ac:dyDescent="0.25">
      <c r="AJ519" s="869"/>
    </row>
    <row r="520" spans="36:36" ht="12.75" customHeight="1" x14ac:dyDescent="0.25">
      <c r="AJ520" s="869"/>
    </row>
    <row r="521" spans="36:36" ht="12.75" customHeight="1" x14ac:dyDescent="0.25">
      <c r="AJ521" s="869"/>
    </row>
    <row r="522" spans="36:36" ht="12.75" customHeight="1" x14ac:dyDescent="0.25">
      <c r="AJ522" s="869"/>
    </row>
    <row r="523" spans="36:36" ht="12.75" customHeight="1" x14ac:dyDescent="0.25">
      <c r="AJ523" s="869"/>
    </row>
    <row r="524" spans="36:36" ht="12.75" customHeight="1" x14ac:dyDescent="0.25">
      <c r="AJ524" s="869"/>
    </row>
    <row r="525" spans="36:36" ht="12.75" customHeight="1" x14ac:dyDescent="0.25">
      <c r="AJ525" s="869"/>
    </row>
    <row r="526" spans="36:36" ht="12.75" customHeight="1" x14ac:dyDescent="0.25">
      <c r="AJ526" s="869"/>
    </row>
    <row r="527" spans="36:36" ht="12.75" customHeight="1" x14ac:dyDescent="0.25">
      <c r="AJ527" s="869"/>
    </row>
    <row r="528" spans="36:36" ht="12.75" customHeight="1" x14ac:dyDescent="0.25">
      <c r="AJ528" s="869"/>
    </row>
    <row r="529" spans="36:36" ht="12.75" customHeight="1" x14ac:dyDescent="0.25">
      <c r="AJ529" s="869"/>
    </row>
    <row r="530" spans="36:36" ht="12.75" customHeight="1" x14ac:dyDescent="0.25">
      <c r="AJ530" s="869"/>
    </row>
    <row r="531" spans="36:36" ht="12.75" customHeight="1" x14ac:dyDescent="0.25">
      <c r="AJ531" s="869"/>
    </row>
    <row r="532" spans="36:36" ht="12.75" customHeight="1" x14ac:dyDescent="0.25">
      <c r="AJ532" s="869"/>
    </row>
    <row r="533" spans="36:36" ht="12.75" customHeight="1" x14ac:dyDescent="0.25">
      <c r="AJ533" s="869"/>
    </row>
    <row r="534" spans="36:36" ht="12.75" customHeight="1" x14ac:dyDescent="0.25">
      <c r="AJ534" s="869"/>
    </row>
    <row r="535" spans="36:36" ht="12.75" customHeight="1" x14ac:dyDescent="0.25">
      <c r="AJ535" s="869"/>
    </row>
    <row r="536" spans="36:36" ht="12.75" customHeight="1" x14ac:dyDescent="0.25">
      <c r="AJ536" s="869"/>
    </row>
    <row r="537" spans="36:36" ht="12.75" customHeight="1" x14ac:dyDescent="0.25">
      <c r="AJ537" s="869"/>
    </row>
    <row r="538" spans="36:36" ht="12.75" customHeight="1" x14ac:dyDescent="0.25">
      <c r="AJ538" s="869"/>
    </row>
    <row r="539" spans="36:36" ht="12.75" customHeight="1" x14ac:dyDescent="0.25">
      <c r="AJ539" s="869"/>
    </row>
    <row r="540" spans="36:36" ht="12.75" customHeight="1" x14ac:dyDescent="0.25">
      <c r="AJ540" s="869"/>
    </row>
    <row r="541" spans="36:36" ht="12.75" customHeight="1" x14ac:dyDescent="0.25">
      <c r="AJ541" s="869"/>
    </row>
    <row r="542" spans="36:36" ht="12.75" customHeight="1" x14ac:dyDescent="0.25">
      <c r="AJ542" s="869"/>
    </row>
    <row r="543" spans="36:36" ht="12.75" customHeight="1" x14ac:dyDescent="0.25">
      <c r="AJ543" s="869"/>
    </row>
    <row r="544" spans="36:36" ht="12.75" customHeight="1" x14ac:dyDescent="0.25">
      <c r="AJ544" s="869"/>
    </row>
    <row r="545" spans="36:36" ht="12.75" customHeight="1" x14ac:dyDescent="0.25">
      <c r="AJ545" s="869"/>
    </row>
    <row r="546" spans="36:36" ht="12.75" customHeight="1" x14ac:dyDescent="0.25">
      <c r="AJ546" s="869"/>
    </row>
    <row r="547" spans="36:36" ht="12.75" customHeight="1" x14ac:dyDescent="0.25">
      <c r="AJ547" s="869"/>
    </row>
    <row r="548" spans="36:36" ht="12.75" customHeight="1" x14ac:dyDescent="0.25">
      <c r="AJ548" s="869"/>
    </row>
    <row r="549" spans="36:36" ht="12.75" customHeight="1" x14ac:dyDescent="0.25">
      <c r="AJ549" s="869"/>
    </row>
    <row r="550" spans="36:36" ht="12.75" customHeight="1" x14ac:dyDescent="0.25">
      <c r="AJ550" s="869"/>
    </row>
    <row r="551" spans="36:36" ht="12.75" customHeight="1" x14ac:dyDescent="0.25">
      <c r="AJ551" s="869"/>
    </row>
    <row r="552" spans="36:36" ht="12.75" customHeight="1" x14ac:dyDescent="0.25">
      <c r="AJ552" s="869"/>
    </row>
    <row r="553" spans="36:36" ht="12.75" customHeight="1" x14ac:dyDescent="0.25">
      <c r="AJ553" s="869"/>
    </row>
    <row r="554" spans="36:36" ht="12.75" customHeight="1" x14ac:dyDescent="0.25">
      <c r="AJ554" s="869"/>
    </row>
    <row r="555" spans="36:36" ht="12.75" customHeight="1" x14ac:dyDescent="0.25">
      <c r="AJ555" s="869"/>
    </row>
    <row r="556" spans="36:36" ht="12.75" customHeight="1" x14ac:dyDescent="0.25">
      <c r="AJ556" s="869"/>
    </row>
    <row r="557" spans="36:36" ht="12.75" customHeight="1" x14ac:dyDescent="0.25">
      <c r="AJ557" s="869"/>
    </row>
    <row r="558" spans="36:36" ht="12.75" customHeight="1" x14ac:dyDescent="0.25">
      <c r="AJ558" s="869"/>
    </row>
    <row r="559" spans="36:36" ht="12.75" customHeight="1" x14ac:dyDescent="0.25">
      <c r="AJ559" s="869"/>
    </row>
    <row r="560" spans="36:36" ht="12.75" customHeight="1" x14ac:dyDescent="0.25">
      <c r="AJ560" s="869"/>
    </row>
    <row r="561" spans="36:36" ht="12.75" customHeight="1" x14ac:dyDescent="0.25">
      <c r="AJ561" s="869"/>
    </row>
    <row r="562" spans="36:36" ht="12.75" customHeight="1" x14ac:dyDescent="0.25">
      <c r="AJ562" s="869"/>
    </row>
    <row r="563" spans="36:36" ht="12.75" customHeight="1" x14ac:dyDescent="0.25">
      <c r="AJ563" s="869"/>
    </row>
    <row r="564" spans="36:36" ht="12.75" customHeight="1" x14ac:dyDescent="0.25">
      <c r="AJ564" s="869"/>
    </row>
    <row r="565" spans="36:36" ht="12.75" customHeight="1" x14ac:dyDescent="0.25">
      <c r="AJ565" s="869"/>
    </row>
    <row r="566" spans="36:36" ht="12.75" customHeight="1" x14ac:dyDescent="0.25">
      <c r="AJ566" s="869"/>
    </row>
    <row r="567" spans="36:36" ht="12.75" customHeight="1" x14ac:dyDescent="0.25">
      <c r="AJ567" s="869"/>
    </row>
    <row r="568" spans="36:36" ht="12.75" customHeight="1" x14ac:dyDescent="0.25">
      <c r="AJ568" s="869"/>
    </row>
    <row r="569" spans="36:36" ht="12.75" customHeight="1" x14ac:dyDescent="0.25">
      <c r="AJ569" s="869"/>
    </row>
    <row r="570" spans="36:36" ht="12.75" customHeight="1" x14ac:dyDescent="0.25">
      <c r="AJ570" s="869"/>
    </row>
    <row r="571" spans="36:36" ht="12.75" customHeight="1" x14ac:dyDescent="0.25">
      <c r="AJ571" s="869"/>
    </row>
    <row r="572" spans="36:36" ht="12.75" customHeight="1" x14ac:dyDescent="0.25">
      <c r="AJ572" s="869"/>
    </row>
    <row r="573" spans="36:36" ht="12.75" customHeight="1" x14ac:dyDescent="0.25">
      <c r="AJ573" s="869"/>
    </row>
    <row r="574" spans="36:36" ht="12.75" customHeight="1" x14ac:dyDescent="0.25">
      <c r="AJ574" s="869"/>
    </row>
    <row r="575" spans="36:36" ht="12.75" customHeight="1" x14ac:dyDescent="0.25">
      <c r="AJ575" s="869"/>
    </row>
    <row r="576" spans="36:36" ht="12.75" customHeight="1" x14ac:dyDescent="0.25">
      <c r="AJ576" s="869"/>
    </row>
    <row r="577" spans="36:36" ht="12.75" customHeight="1" x14ac:dyDescent="0.25">
      <c r="AJ577" s="869"/>
    </row>
    <row r="578" spans="36:36" ht="12.75" customHeight="1" x14ac:dyDescent="0.25">
      <c r="AJ578" s="869"/>
    </row>
    <row r="579" spans="36:36" ht="12.75" customHeight="1" x14ac:dyDescent="0.25">
      <c r="AJ579" s="869"/>
    </row>
    <row r="580" spans="36:36" ht="12.75" customHeight="1" x14ac:dyDescent="0.25">
      <c r="AJ580" s="869"/>
    </row>
    <row r="581" spans="36:36" ht="12.75" customHeight="1" x14ac:dyDescent="0.25">
      <c r="AJ581" s="869"/>
    </row>
    <row r="582" spans="36:36" ht="12.75" customHeight="1" x14ac:dyDescent="0.25">
      <c r="AJ582" s="869"/>
    </row>
    <row r="583" spans="36:36" ht="12.75" customHeight="1" x14ac:dyDescent="0.25">
      <c r="AJ583" s="869"/>
    </row>
    <row r="584" spans="36:36" ht="12.75" customHeight="1" x14ac:dyDescent="0.25">
      <c r="AJ584" s="869"/>
    </row>
    <row r="585" spans="36:36" ht="12.75" customHeight="1" x14ac:dyDescent="0.25">
      <c r="AJ585" s="869"/>
    </row>
    <row r="586" spans="36:36" ht="12.75" customHeight="1" x14ac:dyDescent="0.25">
      <c r="AJ586" s="869"/>
    </row>
    <row r="587" spans="36:36" ht="12.75" customHeight="1" x14ac:dyDescent="0.25">
      <c r="AJ587" s="869"/>
    </row>
    <row r="588" spans="36:36" ht="12.75" customHeight="1" x14ac:dyDescent="0.25">
      <c r="AJ588" s="869"/>
    </row>
    <row r="589" spans="36:36" ht="12.75" customHeight="1" x14ac:dyDescent="0.25">
      <c r="AJ589" s="869"/>
    </row>
    <row r="590" spans="36:36" ht="12.75" customHeight="1" x14ac:dyDescent="0.25">
      <c r="AJ590" s="869"/>
    </row>
    <row r="591" spans="36:36" ht="12.75" customHeight="1" x14ac:dyDescent="0.25">
      <c r="AJ591" s="869"/>
    </row>
    <row r="592" spans="36:36" ht="12.75" customHeight="1" x14ac:dyDescent="0.25">
      <c r="AJ592" s="869"/>
    </row>
    <row r="593" spans="36:36" ht="12.75" customHeight="1" x14ac:dyDescent="0.25">
      <c r="AJ593" s="869"/>
    </row>
    <row r="594" spans="36:36" ht="12.75" customHeight="1" x14ac:dyDescent="0.25">
      <c r="AJ594" s="869"/>
    </row>
    <row r="595" spans="36:36" ht="12.75" customHeight="1" x14ac:dyDescent="0.25">
      <c r="AJ595" s="869"/>
    </row>
    <row r="596" spans="36:36" ht="12.75" customHeight="1" x14ac:dyDescent="0.25">
      <c r="AJ596" s="869"/>
    </row>
    <row r="597" spans="36:36" ht="12.75" customHeight="1" x14ac:dyDescent="0.25">
      <c r="AJ597" s="869"/>
    </row>
    <row r="598" spans="36:36" ht="12.75" customHeight="1" x14ac:dyDescent="0.25">
      <c r="AJ598" s="869"/>
    </row>
    <row r="599" spans="36:36" ht="12.75" customHeight="1" x14ac:dyDescent="0.25">
      <c r="AJ599" s="869"/>
    </row>
    <row r="600" spans="36:36" ht="12.75" customHeight="1" x14ac:dyDescent="0.25">
      <c r="AJ600" s="869"/>
    </row>
    <row r="601" spans="36:36" ht="12.75" customHeight="1" x14ac:dyDescent="0.25">
      <c r="AJ601" s="869"/>
    </row>
    <row r="602" spans="36:36" ht="12.75" customHeight="1" x14ac:dyDescent="0.25">
      <c r="AJ602" s="869"/>
    </row>
    <row r="603" spans="36:36" ht="12.75" customHeight="1" x14ac:dyDescent="0.25">
      <c r="AJ603" s="869"/>
    </row>
    <row r="604" spans="36:36" ht="12.75" customHeight="1" x14ac:dyDescent="0.25">
      <c r="AJ604" s="869"/>
    </row>
    <row r="605" spans="36:36" ht="12.75" customHeight="1" x14ac:dyDescent="0.25">
      <c r="AJ605" s="869"/>
    </row>
    <row r="606" spans="36:36" ht="12.75" customHeight="1" x14ac:dyDescent="0.25">
      <c r="AJ606" s="869"/>
    </row>
    <row r="607" spans="36:36" ht="12.75" customHeight="1" x14ac:dyDescent="0.25">
      <c r="AJ607" s="869"/>
    </row>
    <row r="608" spans="36:36" ht="12.75" customHeight="1" x14ac:dyDescent="0.25">
      <c r="AJ608" s="869"/>
    </row>
    <row r="609" spans="36:36" ht="12.75" customHeight="1" x14ac:dyDescent="0.25">
      <c r="AJ609" s="869"/>
    </row>
    <row r="610" spans="36:36" ht="12.75" customHeight="1" x14ac:dyDescent="0.25">
      <c r="AJ610" s="869"/>
    </row>
    <row r="611" spans="36:36" ht="12.75" customHeight="1" x14ac:dyDescent="0.25">
      <c r="AJ611" s="869"/>
    </row>
    <row r="612" spans="36:36" ht="12.75" customHeight="1" x14ac:dyDescent="0.25">
      <c r="AJ612" s="869"/>
    </row>
    <row r="613" spans="36:36" ht="12.75" customHeight="1" x14ac:dyDescent="0.25">
      <c r="AJ613" s="869"/>
    </row>
    <row r="614" spans="36:36" ht="12.75" customHeight="1" x14ac:dyDescent="0.25">
      <c r="AJ614" s="869"/>
    </row>
    <row r="615" spans="36:36" ht="12.75" customHeight="1" x14ac:dyDescent="0.25">
      <c r="AJ615" s="869"/>
    </row>
    <row r="616" spans="36:36" ht="12.75" customHeight="1" x14ac:dyDescent="0.25">
      <c r="AJ616" s="869"/>
    </row>
    <row r="617" spans="36:36" ht="12.75" customHeight="1" x14ac:dyDescent="0.25">
      <c r="AJ617" s="869"/>
    </row>
    <row r="618" spans="36:36" ht="12.75" customHeight="1" x14ac:dyDescent="0.25">
      <c r="AJ618" s="869"/>
    </row>
    <row r="619" spans="36:36" ht="12.75" customHeight="1" x14ac:dyDescent="0.25">
      <c r="AJ619" s="869"/>
    </row>
    <row r="620" spans="36:36" ht="12.75" customHeight="1" x14ac:dyDescent="0.25">
      <c r="AJ620" s="869"/>
    </row>
    <row r="621" spans="36:36" ht="12.75" customHeight="1" x14ac:dyDescent="0.25">
      <c r="AJ621" s="869"/>
    </row>
    <row r="622" spans="36:36" ht="12.75" customHeight="1" x14ac:dyDescent="0.25">
      <c r="AJ622" s="869"/>
    </row>
    <row r="623" spans="36:36" ht="12.75" customHeight="1" x14ac:dyDescent="0.25">
      <c r="AJ623" s="869"/>
    </row>
    <row r="624" spans="36:36" ht="12.75" customHeight="1" x14ac:dyDescent="0.25">
      <c r="AJ624" s="869"/>
    </row>
    <row r="625" spans="36:36" ht="12.75" customHeight="1" x14ac:dyDescent="0.25">
      <c r="AJ625" s="869"/>
    </row>
    <row r="626" spans="36:36" ht="12.75" customHeight="1" x14ac:dyDescent="0.25">
      <c r="AJ626" s="869"/>
    </row>
    <row r="627" spans="36:36" ht="12.75" customHeight="1" x14ac:dyDescent="0.25">
      <c r="AJ627" s="869"/>
    </row>
    <row r="628" spans="36:36" ht="12.75" customHeight="1" x14ac:dyDescent="0.25">
      <c r="AJ628" s="869"/>
    </row>
    <row r="629" spans="36:36" ht="12.75" customHeight="1" x14ac:dyDescent="0.25">
      <c r="AJ629" s="869"/>
    </row>
    <row r="630" spans="36:36" ht="12.75" customHeight="1" x14ac:dyDescent="0.25">
      <c r="AJ630" s="869"/>
    </row>
    <row r="631" spans="36:36" ht="12.75" customHeight="1" x14ac:dyDescent="0.25">
      <c r="AJ631" s="869"/>
    </row>
    <row r="632" spans="36:36" ht="12.75" customHeight="1" x14ac:dyDescent="0.25">
      <c r="AJ632" s="869"/>
    </row>
    <row r="633" spans="36:36" ht="12.75" customHeight="1" x14ac:dyDescent="0.25">
      <c r="AJ633" s="869"/>
    </row>
    <row r="634" spans="36:36" ht="12.75" customHeight="1" x14ac:dyDescent="0.25">
      <c r="AJ634" s="869"/>
    </row>
    <row r="635" spans="36:36" ht="12.75" customHeight="1" x14ac:dyDescent="0.25">
      <c r="AJ635" s="869"/>
    </row>
    <row r="636" spans="36:36" ht="12.75" customHeight="1" x14ac:dyDescent="0.25">
      <c r="AJ636" s="869"/>
    </row>
    <row r="637" spans="36:36" ht="12.75" customHeight="1" x14ac:dyDescent="0.25">
      <c r="AJ637" s="869"/>
    </row>
    <row r="638" spans="36:36" ht="12.75" customHeight="1" x14ac:dyDescent="0.25">
      <c r="AJ638" s="869"/>
    </row>
    <row r="639" spans="36:36" ht="12.75" customHeight="1" x14ac:dyDescent="0.25">
      <c r="AJ639" s="869"/>
    </row>
    <row r="640" spans="36:36" ht="12.75" customHeight="1" x14ac:dyDescent="0.25">
      <c r="AJ640" s="869"/>
    </row>
    <row r="641" spans="36:36" ht="12.75" customHeight="1" x14ac:dyDescent="0.25">
      <c r="AJ641" s="869"/>
    </row>
    <row r="642" spans="36:36" ht="12.75" customHeight="1" x14ac:dyDescent="0.25">
      <c r="AJ642" s="869"/>
    </row>
    <row r="643" spans="36:36" ht="12.75" customHeight="1" x14ac:dyDescent="0.25">
      <c r="AJ643" s="869"/>
    </row>
    <row r="644" spans="36:36" ht="12.75" customHeight="1" x14ac:dyDescent="0.25">
      <c r="AJ644" s="869"/>
    </row>
    <row r="645" spans="36:36" ht="12.75" customHeight="1" x14ac:dyDescent="0.25">
      <c r="AJ645" s="869"/>
    </row>
    <row r="646" spans="36:36" ht="12.75" customHeight="1" x14ac:dyDescent="0.25">
      <c r="AJ646" s="869"/>
    </row>
    <row r="647" spans="36:36" ht="12.75" customHeight="1" x14ac:dyDescent="0.25">
      <c r="AJ647" s="869"/>
    </row>
    <row r="648" spans="36:36" ht="12.75" customHeight="1" x14ac:dyDescent="0.25">
      <c r="AJ648" s="869"/>
    </row>
    <row r="649" spans="36:36" ht="12.75" customHeight="1" x14ac:dyDescent="0.25">
      <c r="AJ649" s="869"/>
    </row>
    <row r="650" spans="36:36" ht="12.75" customHeight="1" x14ac:dyDescent="0.25">
      <c r="AJ650" s="869"/>
    </row>
    <row r="651" spans="36:36" ht="12.75" customHeight="1" x14ac:dyDescent="0.25">
      <c r="AJ651" s="869"/>
    </row>
    <row r="652" spans="36:36" ht="12.75" customHeight="1" x14ac:dyDescent="0.25">
      <c r="AJ652" s="869"/>
    </row>
    <row r="653" spans="36:36" ht="12.75" customHeight="1" x14ac:dyDescent="0.25">
      <c r="AJ653" s="869"/>
    </row>
    <row r="654" spans="36:36" ht="12.75" customHeight="1" x14ac:dyDescent="0.25">
      <c r="AJ654" s="869"/>
    </row>
    <row r="655" spans="36:36" ht="12.75" customHeight="1" x14ac:dyDescent="0.25">
      <c r="AJ655" s="869"/>
    </row>
    <row r="656" spans="36:36" ht="12.75" customHeight="1" x14ac:dyDescent="0.25">
      <c r="AJ656" s="869"/>
    </row>
    <row r="657" spans="36:36" ht="12.75" customHeight="1" x14ac:dyDescent="0.25">
      <c r="AJ657" s="869"/>
    </row>
    <row r="658" spans="36:36" ht="12.75" customHeight="1" x14ac:dyDescent="0.25">
      <c r="AJ658" s="869"/>
    </row>
    <row r="659" spans="36:36" ht="12.75" customHeight="1" x14ac:dyDescent="0.25">
      <c r="AJ659" s="869"/>
    </row>
    <row r="660" spans="36:36" ht="12.75" customHeight="1" x14ac:dyDescent="0.25">
      <c r="AJ660" s="869"/>
    </row>
    <row r="661" spans="36:36" ht="12.75" customHeight="1" x14ac:dyDescent="0.25">
      <c r="AJ661" s="869"/>
    </row>
    <row r="662" spans="36:36" ht="12.75" customHeight="1" x14ac:dyDescent="0.25">
      <c r="AJ662" s="869"/>
    </row>
    <row r="663" spans="36:36" ht="12.75" customHeight="1" x14ac:dyDescent="0.25">
      <c r="AJ663" s="869"/>
    </row>
    <row r="664" spans="36:36" ht="12.75" customHeight="1" x14ac:dyDescent="0.25">
      <c r="AJ664" s="869"/>
    </row>
    <row r="665" spans="36:36" ht="12.75" customHeight="1" x14ac:dyDescent="0.25">
      <c r="AJ665" s="869"/>
    </row>
    <row r="666" spans="36:36" ht="12.75" customHeight="1" x14ac:dyDescent="0.25">
      <c r="AJ666" s="869"/>
    </row>
    <row r="667" spans="36:36" ht="12.75" customHeight="1" x14ac:dyDescent="0.25">
      <c r="AJ667" s="869"/>
    </row>
    <row r="668" spans="36:36" ht="12.75" customHeight="1" x14ac:dyDescent="0.25">
      <c r="AJ668" s="869"/>
    </row>
    <row r="669" spans="36:36" ht="12.75" customHeight="1" x14ac:dyDescent="0.25">
      <c r="AJ669" s="869"/>
    </row>
    <row r="670" spans="36:36" ht="12.75" customHeight="1" x14ac:dyDescent="0.25">
      <c r="AJ670" s="869"/>
    </row>
    <row r="671" spans="36:36" ht="12.75" customHeight="1" x14ac:dyDescent="0.25">
      <c r="AJ671" s="869"/>
    </row>
    <row r="672" spans="36:36" ht="12.75" customHeight="1" x14ac:dyDescent="0.25">
      <c r="AJ672" s="869"/>
    </row>
    <row r="673" spans="36:36" ht="12.75" customHeight="1" x14ac:dyDescent="0.25">
      <c r="AJ673" s="869"/>
    </row>
    <row r="674" spans="36:36" ht="12.75" customHeight="1" x14ac:dyDescent="0.25">
      <c r="AJ674" s="869"/>
    </row>
    <row r="675" spans="36:36" ht="12.75" customHeight="1" x14ac:dyDescent="0.25">
      <c r="AJ675" s="869"/>
    </row>
    <row r="676" spans="36:36" ht="12.75" customHeight="1" x14ac:dyDescent="0.25">
      <c r="AJ676" s="869"/>
    </row>
    <row r="677" spans="36:36" ht="12.75" customHeight="1" x14ac:dyDescent="0.25">
      <c r="AJ677" s="869"/>
    </row>
    <row r="678" spans="36:36" ht="12.75" customHeight="1" x14ac:dyDescent="0.25">
      <c r="AJ678" s="869"/>
    </row>
    <row r="679" spans="36:36" ht="12.75" customHeight="1" x14ac:dyDescent="0.25">
      <c r="AJ679" s="869"/>
    </row>
    <row r="680" spans="36:36" ht="12.75" customHeight="1" x14ac:dyDescent="0.25">
      <c r="AJ680" s="869"/>
    </row>
    <row r="681" spans="36:36" ht="12.75" customHeight="1" x14ac:dyDescent="0.25">
      <c r="AJ681" s="869"/>
    </row>
    <row r="682" spans="36:36" ht="12.75" customHeight="1" x14ac:dyDescent="0.25">
      <c r="AJ682" s="869"/>
    </row>
    <row r="683" spans="36:36" ht="12.75" customHeight="1" x14ac:dyDescent="0.25">
      <c r="AJ683" s="869"/>
    </row>
    <row r="684" spans="36:36" ht="12.75" customHeight="1" x14ac:dyDescent="0.25">
      <c r="AJ684" s="869"/>
    </row>
    <row r="685" spans="36:36" ht="12.75" customHeight="1" x14ac:dyDescent="0.25">
      <c r="AJ685" s="869"/>
    </row>
    <row r="686" spans="36:36" ht="12.75" customHeight="1" x14ac:dyDescent="0.25">
      <c r="AJ686" s="869"/>
    </row>
    <row r="687" spans="36:36" ht="12.75" customHeight="1" x14ac:dyDescent="0.25">
      <c r="AJ687" s="869"/>
    </row>
    <row r="688" spans="36:36" ht="12.75" customHeight="1" x14ac:dyDescent="0.25">
      <c r="AJ688" s="869"/>
    </row>
    <row r="689" spans="36:36" ht="12.75" customHeight="1" x14ac:dyDescent="0.25">
      <c r="AJ689" s="869"/>
    </row>
    <row r="690" spans="36:36" ht="12.75" customHeight="1" x14ac:dyDescent="0.25">
      <c r="AJ690" s="869"/>
    </row>
    <row r="691" spans="36:36" ht="12.75" customHeight="1" x14ac:dyDescent="0.25">
      <c r="AJ691" s="869"/>
    </row>
    <row r="692" spans="36:36" ht="12.75" customHeight="1" x14ac:dyDescent="0.25">
      <c r="AJ692" s="869"/>
    </row>
    <row r="693" spans="36:36" ht="12.75" customHeight="1" x14ac:dyDescent="0.25">
      <c r="AJ693" s="869"/>
    </row>
    <row r="694" spans="36:36" ht="12.75" customHeight="1" x14ac:dyDescent="0.25">
      <c r="AJ694" s="869"/>
    </row>
    <row r="695" spans="36:36" ht="12.75" customHeight="1" x14ac:dyDescent="0.25">
      <c r="AJ695" s="869"/>
    </row>
    <row r="696" spans="36:36" ht="12.75" customHeight="1" x14ac:dyDescent="0.25">
      <c r="AJ696" s="869"/>
    </row>
    <row r="697" spans="36:36" ht="12.75" customHeight="1" x14ac:dyDescent="0.25">
      <c r="AJ697" s="869"/>
    </row>
    <row r="698" spans="36:36" ht="12.75" customHeight="1" x14ac:dyDescent="0.25">
      <c r="AJ698" s="869"/>
    </row>
    <row r="699" spans="36:36" ht="12.75" customHeight="1" x14ac:dyDescent="0.25">
      <c r="AJ699" s="869"/>
    </row>
    <row r="700" spans="36:36" ht="12.75" customHeight="1" x14ac:dyDescent="0.25">
      <c r="AJ700" s="869"/>
    </row>
    <row r="701" spans="36:36" ht="12.75" customHeight="1" x14ac:dyDescent="0.25">
      <c r="AJ701" s="869"/>
    </row>
    <row r="702" spans="36:36" ht="12.75" customHeight="1" x14ac:dyDescent="0.25">
      <c r="AJ702" s="869"/>
    </row>
    <row r="703" spans="36:36" ht="12.75" customHeight="1" x14ac:dyDescent="0.25">
      <c r="AJ703" s="869"/>
    </row>
    <row r="704" spans="36:36" ht="12.75" customHeight="1" x14ac:dyDescent="0.25">
      <c r="AJ704" s="869"/>
    </row>
    <row r="705" spans="36:36" ht="12.75" customHeight="1" x14ac:dyDescent="0.25">
      <c r="AJ705" s="869"/>
    </row>
    <row r="706" spans="36:36" ht="12.75" customHeight="1" x14ac:dyDescent="0.25">
      <c r="AJ706" s="869"/>
    </row>
    <row r="707" spans="36:36" ht="12.75" customHeight="1" x14ac:dyDescent="0.25">
      <c r="AJ707" s="869"/>
    </row>
    <row r="708" spans="36:36" ht="12.75" customHeight="1" x14ac:dyDescent="0.25">
      <c r="AJ708" s="869"/>
    </row>
    <row r="709" spans="36:36" ht="12.75" customHeight="1" x14ac:dyDescent="0.25">
      <c r="AJ709" s="869"/>
    </row>
    <row r="710" spans="36:36" ht="12.75" customHeight="1" x14ac:dyDescent="0.25">
      <c r="AJ710" s="869"/>
    </row>
    <row r="711" spans="36:36" ht="12.75" customHeight="1" x14ac:dyDescent="0.25">
      <c r="AJ711" s="869"/>
    </row>
    <row r="712" spans="36:36" ht="12.75" customHeight="1" x14ac:dyDescent="0.25">
      <c r="AJ712" s="869"/>
    </row>
    <row r="713" spans="36:36" ht="12.75" customHeight="1" x14ac:dyDescent="0.25">
      <c r="AJ713" s="869"/>
    </row>
    <row r="714" spans="36:36" ht="12.75" customHeight="1" x14ac:dyDescent="0.25">
      <c r="AJ714" s="869"/>
    </row>
    <row r="715" spans="36:36" ht="12.75" customHeight="1" x14ac:dyDescent="0.25">
      <c r="AJ715" s="869"/>
    </row>
    <row r="716" spans="36:36" ht="12.75" customHeight="1" x14ac:dyDescent="0.25">
      <c r="AJ716" s="869"/>
    </row>
    <row r="717" spans="36:36" ht="12.75" customHeight="1" x14ac:dyDescent="0.25">
      <c r="AJ717" s="869"/>
    </row>
    <row r="718" spans="36:36" ht="12.75" customHeight="1" x14ac:dyDescent="0.25">
      <c r="AJ718" s="869"/>
    </row>
    <row r="719" spans="36:36" ht="12.75" customHeight="1" x14ac:dyDescent="0.25">
      <c r="AJ719" s="869"/>
    </row>
    <row r="720" spans="36:36" ht="12.75" customHeight="1" x14ac:dyDescent="0.25">
      <c r="AJ720" s="869"/>
    </row>
    <row r="721" spans="36:36" ht="12.75" customHeight="1" x14ac:dyDescent="0.25">
      <c r="AJ721" s="869"/>
    </row>
    <row r="722" spans="36:36" ht="12.75" customHeight="1" x14ac:dyDescent="0.25">
      <c r="AJ722" s="869"/>
    </row>
    <row r="723" spans="36:36" ht="12.75" customHeight="1" x14ac:dyDescent="0.25">
      <c r="AJ723" s="869"/>
    </row>
    <row r="724" spans="36:36" ht="12.75" customHeight="1" x14ac:dyDescent="0.25">
      <c r="AJ724" s="869"/>
    </row>
    <row r="725" spans="36:36" ht="12.75" customHeight="1" x14ac:dyDescent="0.25">
      <c r="AJ725" s="869"/>
    </row>
    <row r="726" spans="36:36" ht="12.75" customHeight="1" x14ac:dyDescent="0.25">
      <c r="AJ726" s="869"/>
    </row>
    <row r="727" spans="36:36" ht="12.75" customHeight="1" x14ac:dyDescent="0.25">
      <c r="AJ727" s="869"/>
    </row>
    <row r="728" spans="36:36" ht="12.75" customHeight="1" x14ac:dyDescent="0.25">
      <c r="AJ728" s="869"/>
    </row>
    <row r="729" spans="36:36" ht="12.75" customHeight="1" x14ac:dyDescent="0.25">
      <c r="AJ729" s="869"/>
    </row>
    <row r="730" spans="36:36" ht="12.75" customHeight="1" x14ac:dyDescent="0.25">
      <c r="AJ730" s="869"/>
    </row>
    <row r="731" spans="36:36" ht="12.75" customHeight="1" x14ac:dyDescent="0.25">
      <c r="AJ731" s="869"/>
    </row>
    <row r="732" spans="36:36" ht="12.75" customHeight="1" x14ac:dyDescent="0.25">
      <c r="AJ732" s="869"/>
    </row>
    <row r="733" spans="36:36" ht="12.75" customHeight="1" x14ac:dyDescent="0.25">
      <c r="AJ733" s="869"/>
    </row>
    <row r="734" spans="36:36" ht="12.75" customHeight="1" x14ac:dyDescent="0.25">
      <c r="AJ734" s="869"/>
    </row>
    <row r="735" spans="36:36" ht="12.75" customHeight="1" x14ac:dyDescent="0.25">
      <c r="AJ735" s="869"/>
    </row>
    <row r="736" spans="36:36" ht="12.75" customHeight="1" x14ac:dyDescent="0.25">
      <c r="AJ736" s="869"/>
    </row>
    <row r="737" spans="36:36" ht="12.75" customHeight="1" x14ac:dyDescent="0.25">
      <c r="AJ737" s="869"/>
    </row>
    <row r="738" spans="36:36" ht="12.75" customHeight="1" x14ac:dyDescent="0.25">
      <c r="AJ738" s="869"/>
    </row>
    <row r="739" spans="36:36" ht="12.75" customHeight="1" x14ac:dyDescent="0.25">
      <c r="AJ739" s="869"/>
    </row>
    <row r="740" spans="36:36" ht="12.75" customHeight="1" x14ac:dyDescent="0.25">
      <c r="AJ740" s="869"/>
    </row>
    <row r="741" spans="36:36" ht="12.75" customHeight="1" x14ac:dyDescent="0.25">
      <c r="AJ741" s="869"/>
    </row>
    <row r="742" spans="36:36" ht="12.75" customHeight="1" x14ac:dyDescent="0.25">
      <c r="AJ742" s="869"/>
    </row>
    <row r="743" spans="36:36" ht="12.75" customHeight="1" x14ac:dyDescent="0.25">
      <c r="AJ743" s="869"/>
    </row>
    <row r="744" spans="36:36" ht="12.75" customHeight="1" x14ac:dyDescent="0.25">
      <c r="AJ744" s="869"/>
    </row>
    <row r="745" spans="36:36" ht="12.75" customHeight="1" x14ac:dyDescent="0.25">
      <c r="AJ745" s="869"/>
    </row>
    <row r="746" spans="36:36" ht="12.75" customHeight="1" x14ac:dyDescent="0.25">
      <c r="AJ746" s="869"/>
    </row>
    <row r="747" spans="36:36" ht="12.75" customHeight="1" x14ac:dyDescent="0.25">
      <c r="AJ747" s="869"/>
    </row>
    <row r="748" spans="36:36" ht="12.75" customHeight="1" x14ac:dyDescent="0.25">
      <c r="AJ748" s="869"/>
    </row>
    <row r="749" spans="36:36" ht="12.75" customHeight="1" x14ac:dyDescent="0.25">
      <c r="AJ749" s="869"/>
    </row>
    <row r="750" spans="36:36" ht="12.75" customHeight="1" x14ac:dyDescent="0.25">
      <c r="AJ750" s="869"/>
    </row>
    <row r="751" spans="36:36" ht="12.75" customHeight="1" x14ac:dyDescent="0.25">
      <c r="AJ751" s="869"/>
    </row>
    <row r="752" spans="36:36" ht="12.75" customHeight="1" x14ac:dyDescent="0.25">
      <c r="AJ752" s="869"/>
    </row>
    <row r="753" spans="36:36" ht="12.75" customHeight="1" x14ac:dyDescent="0.25">
      <c r="AJ753" s="869"/>
    </row>
    <row r="754" spans="36:36" ht="12.75" customHeight="1" x14ac:dyDescent="0.25">
      <c r="AJ754" s="869"/>
    </row>
    <row r="755" spans="36:36" ht="12.75" customHeight="1" x14ac:dyDescent="0.25">
      <c r="AJ755" s="869"/>
    </row>
    <row r="756" spans="36:36" ht="12.75" customHeight="1" x14ac:dyDescent="0.25">
      <c r="AJ756" s="869"/>
    </row>
    <row r="757" spans="36:36" ht="12.75" customHeight="1" x14ac:dyDescent="0.25">
      <c r="AJ757" s="869"/>
    </row>
    <row r="758" spans="36:36" ht="12.75" customHeight="1" x14ac:dyDescent="0.25">
      <c r="AJ758" s="869"/>
    </row>
    <row r="759" spans="36:36" ht="12.75" customHeight="1" x14ac:dyDescent="0.25">
      <c r="AJ759" s="869"/>
    </row>
    <row r="760" spans="36:36" ht="12.75" customHeight="1" x14ac:dyDescent="0.25">
      <c r="AJ760" s="869"/>
    </row>
    <row r="761" spans="36:36" ht="12.75" customHeight="1" x14ac:dyDescent="0.25">
      <c r="AJ761" s="869"/>
    </row>
    <row r="762" spans="36:36" ht="12.75" customHeight="1" x14ac:dyDescent="0.25">
      <c r="AJ762" s="869"/>
    </row>
    <row r="763" spans="36:36" ht="12.75" customHeight="1" x14ac:dyDescent="0.25">
      <c r="AJ763" s="869"/>
    </row>
    <row r="764" spans="36:36" ht="12.75" customHeight="1" x14ac:dyDescent="0.25">
      <c r="AJ764" s="869"/>
    </row>
    <row r="765" spans="36:36" ht="12.75" customHeight="1" x14ac:dyDescent="0.25">
      <c r="AJ765" s="869"/>
    </row>
    <row r="766" spans="36:36" ht="12.75" customHeight="1" x14ac:dyDescent="0.25">
      <c r="AJ766" s="869"/>
    </row>
    <row r="767" spans="36:36" ht="12.75" customHeight="1" x14ac:dyDescent="0.25">
      <c r="AJ767" s="869"/>
    </row>
    <row r="768" spans="36:36" ht="12.75" customHeight="1" x14ac:dyDescent="0.25">
      <c r="AJ768" s="869"/>
    </row>
    <row r="769" spans="36:36" ht="12.75" customHeight="1" x14ac:dyDescent="0.25">
      <c r="AJ769" s="869"/>
    </row>
    <row r="770" spans="36:36" ht="12.75" customHeight="1" x14ac:dyDescent="0.25">
      <c r="AJ770" s="869"/>
    </row>
    <row r="771" spans="36:36" ht="12.75" customHeight="1" x14ac:dyDescent="0.25">
      <c r="AJ771" s="869"/>
    </row>
    <row r="772" spans="36:36" ht="12.75" customHeight="1" x14ac:dyDescent="0.25">
      <c r="AJ772" s="869"/>
    </row>
    <row r="773" spans="36:36" ht="12.75" customHeight="1" x14ac:dyDescent="0.25">
      <c r="AJ773" s="869"/>
    </row>
    <row r="774" spans="36:36" ht="12.75" customHeight="1" x14ac:dyDescent="0.25">
      <c r="AJ774" s="869"/>
    </row>
    <row r="775" spans="36:36" ht="12.75" customHeight="1" x14ac:dyDescent="0.25">
      <c r="AJ775" s="869"/>
    </row>
    <row r="776" spans="36:36" ht="12.75" customHeight="1" x14ac:dyDescent="0.25">
      <c r="AJ776" s="869"/>
    </row>
    <row r="777" spans="36:36" ht="12.75" customHeight="1" x14ac:dyDescent="0.25">
      <c r="AJ777" s="869"/>
    </row>
    <row r="778" spans="36:36" ht="12.75" customHeight="1" x14ac:dyDescent="0.25">
      <c r="AJ778" s="869"/>
    </row>
    <row r="779" spans="36:36" ht="12.75" customHeight="1" x14ac:dyDescent="0.25">
      <c r="AJ779" s="869"/>
    </row>
    <row r="780" spans="36:36" ht="12.75" customHeight="1" x14ac:dyDescent="0.25">
      <c r="AJ780" s="869"/>
    </row>
    <row r="781" spans="36:36" ht="12.75" customHeight="1" x14ac:dyDescent="0.25">
      <c r="AJ781" s="869"/>
    </row>
    <row r="782" spans="36:36" ht="12.75" customHeight="1" x14ac:dyDescent="0.25">
      <c r="AJ782" s="869"/>
    </row>
    <row r="783" spans="36:36" ht="12.75" customHeight="1" x14ac:dyDescent="0.25">
      <c r="AJ783" s="869"/>
    </row>
    <row r="784" spans="36:36" ht="12.75" customHeight="1" x14ac:dyDescent="0.25">
      <c r="AJ784" s="869"/>
    </row>
    <row r="785" spans="36:36" ht="12.75" customHeight="1" x14ac:dyDescent="0.25">
      <c r="AJ785" s="869"/>
    </row>
    <row r="786" spans="36:36" ht="12.75" customHeight="1" x14ac:dyDescent="0.25">
      <c r="AJ786" s="869"/>
    </row>
    <row r="787" spans="36:36" ht="12.75" customHeight="1" x14ac:dyDescent="0.25">
      <c r="AJ787" s="869"/>
    </row>
    <row r="788" spans="36:36" ht="12.75" customHeight="1" x14ac:dyDescent="0.25">
      <c r="AJ788" s="869"/>
    </row>
    <row r="789" spans="36:36" ht="12.75" customHeight="1" x14ac:dyDescent="0.25">
      <c r="AJ789" s="869"/>
    </row>
    <row r="790" spans="36:36" ht="12.75" customHeight="1" x14ac:dyDescent="0.25">
      <c r="AJ790" s="869"/>
    </row>
    <row r="791" spans="36:36" ht="12.75" customHeight="1" x14ac:dyDescent="0.25">
      <c r="AJ791" s="869"/>
    </row>
    <row r="792" spans="36:36" ht="12.75" customHeight="1" x14ac:dyDescent="0.25">
      <c r="AJ792" s="869"/>
    </row>
    <row r="793" spans="36:36" ht="12.75" customHeight="1" x14ac:dyDescent="0.25">
      <c r="AJ793" s="869"/>
    </row>
    <row r="794" spans="36:36" ht="12.75" customHeight="1" x14ac:dyDescent="0.25">
      <c r="AJ794" s="869"/>
    </row>
    <row r="795" spans="36:36" ht="12.75" customHeight="1" x14ac:dyDescent="0.25">
      <c r="AJ795" s="869"/>
    </row>
    <row r="796" spans="36:36" ht="12.75" customHeight="1" x14ac:dyDescent="0.25">
      <c r="AJ796" s="869"/>
    </row>
    <row r="797" spans="36:36" ht="12.75" customHeight="1" x14ac:dyDescent="0.25">
      <c r="AJ797" s="869"/>
    </row>
    <row r="798" spans="36:36" ht="12.75" customHeight="1" x14ac:dyDescent="0.25">
      <c r="AJ798" s="869"/>
    </row>
    <row r="799" spans="36:36" ht="12.75" customHeight="1" x14ac:dyDescent="0.25">
      <c r="AJ799" s="869"/>
    </row>
    <row r="800" spans="36:36" ht="12.75" customHeight="1" x14ac:dyDescent="0.25">
      <c r="AJ800" s="869"/>
    </row>
    <row r="801" spans="36:36" ht="12.75" customHeight="1" x14ac:dyDescent="0.25">
      <c r="AJ801" s="869"/>
    </row>
    <row r="802" spans="36:36" ht="12.75" customHeight="1" x14ac:dyDescent="0.25">
      <c r="AJ802" s="869"/>
    </row>
    <row r="803" spans="36:36" ht="12.75" customHeight="1" x14ac:dyDescent="0.25">
      <c r="AJ803" s="869"/>
    </row>
    <row r="804" spans="36:36" ht="12.75" customHeight="1" x14ac:dyDescent="0.25">
      <c r="AJ804" s="869"/>
    </row>
    <row r="805" spans="36:36" ht="12.75" customHeight="1" x14ac:dyDescent="0.25">
      <c r="AJ805" s="869"/>
    </row>
    <row r="806" spans="36:36" ht="12.75" customHeight="1" x14ac:dyDescent="0.25">
      <c r="AJ806" s="869"/>
    </row>
    <row r="807" spans="36:36" ht="12.75" customHeight="1" x14ac:dyDescent="0.25">
      <c r="AJ807" s="869"/>
    </row>
    <row r="808" spans="36:36" ht="12.75" customHeight="1" x14ac:dyDescent="0.25">
      <c r="AJ808" s="869"/>
    </row>
    <row r="809" spans="36:36" ht="12.75" customHeight="1" x14ac:dyDescent="0.25">
      <c r="AJ809" s="869"/>
    </row>
    <row r="810" spans="36:36" ht="12.75" customHeight="1" x14ac:dyDescent="0.25">
      <c r="AJ810" s="869"/>
    </row>
    <row r="811" spans="36:36" ht="12.75" customHeight="1" x14ac:dyDescent="0.25">
      <c r="AJ811" s="869"/>
    </row>
    <row r="812" spans="36:36" ht="12.75" customHeight="1" x14ac:dyDescent="0.25">
      <c r="AJ812" s="869"/>
    </row>
    <row r="813" spans="36:36" ht="12.75" customHeight="1" x14ac:dyDescent="0.25">
      <c r="AJ813" s="869"/>
    </row>
    <row r="814" spans="36:36" ht="12.75" customHeight="1" x14ac:dyDescent="0.25">
      <c r="AJ814" s="869"/>
    </row>
    <row r="815" spans="36:36" ht="12.75" customHeight="1" x14ac:dyDescent="0.25">
      <c r="AJ815" s="869"/>
    </row>
    <row r="816" spans="36:36" ht="12.75" customHeight="1" x14ac:dyDescent="0.25">
      <c r="AJ816" s="869"/>
    </row>
    <row r="817" spans="36:36" ht="12.75" customHeight="1" x14ac:dyDescent="0.25">
      <c r="AJ817" s="869"/>
    </row>
    <row r="818" spans="36:36" ht="12.75" customHeight="1" x14ac:dyDescent="0.25">
      <c r="AJ818" s="869"/>
    </row>
    <row r="819" spans="36:36" ht="12.75" customHeight="1" x14ac:dyDescent="0.25">
      <c r="AJ819" s="869"/>
    </row>
    <row r="820" spans="36:36" ht="12.75" customHeight="1" x14ac:dyDescent="0.25">
      <c r="AJ820" s="869"/>
    </row>
    <row r="821" spans="36:36" ht="12.75" customHeight="1" x14ac:dyDescent="0.25">
      <c r="AJ821" s="869"/>
    </row>
    <row r="822" spans="36:36" ht="12.75" customHeight="1" x14ac:dyDescent="0.25">
      <c r="AJ822" s="869"/>
    </row>
    <row r="823" spans="36:36" ht="12.75" customHeight="1" x14ac:dyDescent="0.25">
      <c r="AJ823" s="869"/>
    </row>
    <row r="824" spans="36:36" ht="12.75" customHeight="1" x14ac:dyDescent="0.25">
      <c r="AJ824" s="869"/>
    </row>
    <row r="825" spans="36:36" ht="12.75" customHeight="1" x14ac:dyDescent="0.25">
      <c r="AJ825" s="869"/>
    </row>
    <row r="826" spans="36:36" ht="12.75" customHeight="1" x14ac:dyDescent="0.25">
      <c r="AJ826" s="869"/>
    </row>
    <row r="827" spans="36:36" ht="12.75" customHeight="1" x14ac:dyDescent="0.25">
      <c r="AJ827" s="869"/>
    </row>
    <row r="828" spans="36:36" ht="12.75" customHeight="1" x14ac:dyDescent="0.25">
      <c r="AJ828" s="869"/>
    </row>
    <row r="829" spans="36:36" ht="12.75" customHeight="1" x14ac:dyDescent="0.25">
      <c r="AJ829" s="869"/>
    </row>
    <row r="830" spans="36:36" ht="12.75" customHeight="1" x14ac:dyDescent="0.25">
      <c r="AJ830" s="869"/>
    </row>
    <row r="831" spans="36:36" ht="12.75" customHeight="1" x14ac:dyDescent="0.25">
      <c r="AJ831" s="869"/>
    </row>
    <row r="832" spans="36:36" ht="12.75" customHeight="1" x14ac:dyDescent="0.25">
      <c r="AJ832" s="869"/>
    </row>
    <row r="833" spans="36:36" ht="12.75" customHeight="1" x14ac:dyDescent="0.25">
      <c r="AJ833" s="869"/>
    </row>
    <row r="834" spans="36:36" ht="12.75" customHeight="1" x14ac:dyDescent="0.25">
      <c r="AJ834" s="869"/>
    </row>
    <row r="835" spans="36:36" ht="12.75" customHeight="1" x14ac:dyDescent="0.25">
      <c r="AJ835" s="869"/>
    </row>
    <row r="836" spans="36:36" ht="12.75" customHeight="1" x14ac:dyDescent="0.25">
      <c r="AJ836" s="869"/>
    </row>
    <row r="837" spans="36:36" ht="12.75" customHeight="1" x14ac:dyDescent="0.25">
      <c r="AJ837" s="869"/>
    </row>
    <row r="838" spans="36:36" ht="12.75" customHeight="1" x14ac:dyDescent="0.25">
      <c r="AJ838" s="869"/>
    </row>
    <row r="839" spans="36:36" ht="12.75" customHeight="1" x14ac:dyDescent="0.25">
      <c r="AJ839" s="869"/>
    </row>
    <row r="840" spans="36:36" ht="12.75" customHeight="1" x14ac:dyDescent="0.25">
      <c r="AJ840" s="869"/>
    </row>
    <row r="841" spans="36:36" ht="12.75" customHeight="1" x14ac:dyDescent="0.25">
      <c r="AJ841" s="869"/>
    </row>
    <row r="842" spans="36:36" ht="12.75" customHeight="1" x14ac:dyDescent="0.25">
      <c r="AJ842" s="869"/>
    </row>
    <row r="843" spans="36:36" ht="12.75" customHeight="1" x14ac:dyDescent="0.25">
      <c r="AJ843" s="869"/>
    </row>
    <row r="844" spans="36:36" ht="12.75" customHeight="1" x14ac:dyDescent="0.25">
      <c r="AJ844" s="869"/>
    </row>
    <row r="845" spans="36:36" ht="12.75" customHeight="1" x14ac:dyDescent="0.25">
      <c r="AJ845" s="869"/>
    </row>
    <row r="846" spans="36:36" ht="12.75" customHeight="1" x14ac:dyDescent="0.25">
      <c r="AJ846" s="869"/>
    </row>
    <row r="847" spans="36:36" ht="12.75" customHeight="1" x14ac:dyDescent="0.25">
      <c r="AJ847" s="869"/>
    </row>
    <row r="848" spans="36:36" ht="12.75" customHeight="1" x14ac:dyDescent="0.25">
      <c r="AJ848" s="869"/>
    </row>
    <row r="849" spans="36:36" ht="12.75" customHeight="1" x14ac:dyDescent="0.25">
      <c r="AJ849" s="869"/>
    </row>
    <row r="850" spans="36:36" ht="12.75" customHeight="1" x14ac:dyDescent="0.25">
      <c r="AJ850" s="869"/>
    </row>
    <row r="851" spans="36:36" ht="12.75" customHeight="1" x14ac:dyDescent="0.25">
      <c r="AJ851" s="869"/>
    </row>
    <row r="852" spans="36:36" ht="12.75" customHeight="1" x14ac:dyDescent="0.25">
      <c r="AJ852" s="869"/>
    </row>
    <row r="853" spans="36:36" ht="12.75" customHeight="1" x14ac:dyDescent="0.25">
      <c r="AJ853" s="869"/>
    </row>
    <row r="854" spans="36:36" ht="12.75" customHeight="1" x14ac:dyDescent="0.25">
      <c r="AJ854" s="869"/>
    </row>
    <row r="855" spans="36:36" ht="12.75" customHeight="1" x14ac:dyDescent="0.25">
      <c r="AJ855" s="869"/>
    </row>
    <row r="856" spans="36:36" ht="12.75" customHeight="1" x14ac:dyDescent="0.25">
      <c r="AJ856" s="869"/>
    </row>
    <row r="857" spans="36:36" ht="12.75" customHeight="1" x14ac:dyDescent="0.25">
      <c r="AJ857" s="869"/>
    </row>
    <row r="858" spans="36:36" ht="12.75" customHeight="1" x14ac:dyDescent="0.25">
      <c r="AJ858" s="869"/>
    </row>
    <row r="859" spans="36:36" ht="12.75" customHeight="1" x14ac:dyDescent="0.25">
      <c r="AJ859" s="869"/>
    </row>
    <row r="860" spans="36:36" ht="12.75" customHeight="1" x14ac:dyDescent="0.25">
      <c r="AJ860" s="869"/>
    </row>
    <row r="861" spans="36:36" ht="12.75" customHeight="1" x14ac:dyDescent="0.25">
      <c r="AJ861" s="869"/>
    </row>
    <row r="862" spans="36:36" ht="12.75" customHeight="1" x14ac:dyDescent="0.25">
      <c r="AJ862" s="869"/>
    </row>
    <row r="863" spans="36:36" ht="12.75" customHeight="1" x14ac:dyDescent="0.25">
      <c r="AJ863" s="869"/>
    </row>
    <row r="864" spans="36:36" ht="12.75" customHeight="1" x14ac:dyDescent="0.25">
      <c r="AJ864" s="869"/>
    </row>
    <row r="865" spans="36:36" ht="12.75" customHeight="1" x14ac:dyDescent="0.25">
      <c r="AJ865" s="869"/>
    </row>
    <row r="866" spans="36:36" ht="12.75" customHeight="1" x14ac:dyDescent="0.25">
      <c r="AJ866" s="869"/>
    </row>
    <row r="867" spans="36:36" ht="12.75" customHeight="1" x14ac:dyDescent="0.25">
      <c r="AJ867" s="869"/>
    </row>
    <row r="868" spans="36:36" ht="12.75" customHeight="1" x14ac:dyDescent="0.25">
      <c r="AJ868" s="869"/>
    </row>
    <row r="869" spans="36:36" ht="12.75" customHeight="1" x14ac:dyDescent="0.25">
      <c r="AJ869" s="869"/>
    </row>
    <row r="870" spans="36:36" ht="12.75" customHeight="1" x14ac:dyDescent="0.25">
      <c r="AJ870" s="869"/>
    </row>
    <row r="871" spans="36:36" ht="12.75" customHeight="1" x14ac:dyDescent="0.25">
      <c r="AJ871" s="869"/>
    </row>
    <row r="872" spans="36:36" ht="12.75" customHeight="1" x14ac:dyDescent="0.25">
      <c r="AJ872" s="869"/>
    </row>
    <row r="873" spans="36:36" ht="12.75" customHeight="1" x14ac:dyDescent="0.25">
      <c r="AJ873" s="869"/>
    </row>
    <row r="874" spans="36:36" ht="12.75" customHeight="1" x14ac:dyDescent="0.25">
      <c r="AJ874" s="869"/>
    </row>
    <row r="875" spans="36:36" ht="12.75" customHeight="1" x14ac:dyDescent="0.25">
      <c r="AJ875" s="869"/>
    </row>
    <row r="876" spans="36:36" ht="12.75" customHeight="1" x14ac:dyDescent="0.25">
      <c r="AJ876" s="869"/>
    </row>
    <row r="877" spans="36:36" ht="12.75" customHeight="1" x14ac:dyDescent="0.25">
      <c r="AJ877" s="869"/>
    </row>
    <row r="878" spans="36:36" ht="12.75" customHeight="1" x14ac:dyDescent="0.25">
      <c r="AJ878" s="869"/>
    </row>
    <row r="879" spans="36:36" ht="12.75" customHeight="1" x14ac:dyDescent="0.25">
      <c r="AJ879" s="869"/>
    </row>
    <row r="880" spans="36:36" ht="12.75" customHeight="1" x14ac:dyDescent="0.25">
      <c r="AJ880" s="869"/>
    </row>
    <row r="881" spans="36:36" ht="12.75" customHeight="1" x14ac:dyDescent="0.25">
      <c r="AJ881" s="869"/>
    </row>
    <row r="882" spans="36:36" ht="12.75" customHeight="1" x14ac:dyDescent="0.25">
      <c r="AJ882" s="869"/>
    </row>
    <row r="883" spans="36:36" ht="12.75" customHeight="1" x14ac:dyDescent="0.25">
      <c r="AJ883" s="869"/>
    </row>
    <row r="884" spans="36:36" ht="12.75" customHeight="1" x14ac:dyDescent="0.25">
      <c r="AJ884" s="869"/>
    </row>
    <row r="885" spans="36:36" ht="12.75" customHeight="1" x14ac:dyDescent="0.25">
      <c r="AJ885" s="869"/>
    </row>
    <row r="886" spans="36:36" ht="12.75" customHeight="1" x14ac:dyDescent="0.25">
      <c r="AJ886" s="869"/>
    </row>
    <row r="887" spans="36:36" ht="12.75" customHeight="1" x14ac:dyDescent="0.25">
      <c r="AJ887" s="869"/>
    </row>
    <row r="888" spans="36:36" ht="12.75" customHeight="1" x14ac:dyDescent="0.25">
      <c r="AJ888" s="869"/>
    </row>
    <row r="889" spans="36:36" ht="12.75" customHeight="1" x14ac:dyDescent="0.25">
      <c r="AJ889" s="869"/>
    </row>
    <row r="890" spans="36:36" ht="12.75" customHeight="1" x14ac:dyDescent="0.25">
      <c r="AJ890" s="869"/>
    </row>
    <row r="891" spans="36:36" ht="12.75" customHeight="1" x14ac:dyDescent="0.25">
      <c r="AJ891" s="869"/>
    </row>
    <row r="892" spans="36:36" ht="12.75" customHeight="1" x14ac:dyDescent="0.25">
      <c r="AJ892" s="869"/>
    </row>
    <row r="893" spans="36:36" ht="12.75" customHeight="1" x14ac:dyDescent="0.25">
      <c r="AJ893" s="869"/>
    </row>
    <row r="894" spans="36:36" ht="12.75" customHeight="1" x14ac:dyDescent="0.25">
      <c r="AJ894" s="869"/>
    </row>
    <row r="895" spans="36:36" ht="12.75" customHeight="1" x14ac:dyDescent="0.25">
      <c r="AJ895" s="869"/>
    </row>
    <row r="896" spans="36:36" ht="12.75" customHeight="1" x14ac:dyDescent="0.25">
      <c r="AJ896" s="869"/>
    </row>
    <row r="897" spans="36:36" ht="12.75" customHeight="1" x14ac:dyDescent="0.25">
      <c r="AJ897" s="869"/>
    </row>
    <row r="898" spans="36:36" ht="12.75" customHeight="1" x14ac:dyDescent="0.25">
      <c r="AJ898" s="869"/>
    </row>
    <row r="899" spans="36:36" ht="12.75" customHeight="1" x14ac:dyDescent="0.25">
      <c r="AJ899" s="869"/>
    </row>
    <row r="900" spans="36:36" ht="12.75" customHeight="1" x14ac:dyDescent="0.25">
      <c r="AJ900" s="869"/>
    </row>
    <row r="901" spans="36:36" ht="12.75" customHeight="1" x14ac:dyDescent="0.25">
      <c r="AJ901" s="869"/>
    </row>
    <row r="902" spans="36:36" ht="12.75" customHeight="1" x14ac:dyDescent="0.25">
      <c r="AJ902" s="869"/>
    </row>
    <row r="903" spans="36:36" ht="12.75" customHeight="1" x14ac:dyDescent="0.25">
      <c r="AJ903" s="869"/>
    </row>
    <row r="904" spans="36:36" ht="12.75" customHeight="1" x14ac:dyDescent="0.25">
      <c r="AJ904" s="869"/>
    </row>
    <row r="905" spans="36:36" ht="12.75" customHeight="1" x14ac:dyDescent="0.25">
      <c r="AJ905" s="869"/>
    </row>
    <row r="906" spans="36:36" ht="12.75" customHeight="1" x14ac:dyDescent="0.25">
      <c r="AJ906" s="869"/>
    </row>
    <row r="907" spans="36:36" ht="12.75" customHeight="1" x14ac:dyDescent="0.25">
      <c r="AJ907" s="869"/>
    </row>
    <row r="908" spans="36:36" ht="12.75" customHeight="1" x14ac:dyDescent="0.25">
      <c r="AJ908" s="869"/>
    </row>
    <row r="909" spans="36:36" ht="12.75" customHeight="1" x14ac:dyDescent="0.25">
      <c r="AJ909" s="869"/>
    </row>
    <row r="910" spans="36:36" ht="12.75" customHeight="1" x14ac:dyDescent="0.25">
      <c r="AJ910" s="869"/>
    </row>
    <row r="911" spans="36:36" ht="12.75" customHeight="1" x14ac:dyDescent="0.25">
      <c r="AJ911" s="869"/>
    </row>
    <row r="912" spans="36:36" ht="12.75" customHeight="1" x14ac:dyDescent="0.25">
      <c r="AJ912" s="869"/>
    </row>
    <row r="913" spans="36:36" ht="12.75" customHeight="1" x14ac:dyDescent="0.25">
      <c r="AJ913" s="869"/>
    </row>
    <row r="914" spans="36:36" ht="12.75" customHeight="1" x14ac:dyDescent="0.25">
      <c r="AJ914" s="869"/>
    </row>
    <row r="915" spans="36:36" ht="12.75" customHeight="1" x14ac:dyDescent="0.25">
      <c r="AJ915" s="869"/>
    </row>
    <row r="916" spans="36:36" ht="12.75" customHeight="1" x14ac:dyDescent="0.25">
      <c r="AJ916" s="869"/>
    </row>
    <row r="917" spans="36:36" ht="12.75" customHeight="1" x14ac:dyDescent="0.25">
      <c r="AJ917" s="869"/>
    </row>
    <row r="918" spans="36:36" ht="12.75" customHeight="1" x14ac:dyDescent="0.25">
      <c r="AJ918" s="869"/>
    </row>
    <row r="919" spans="36:36" ht="12.75" customHeight="1" x14ac:dyDescent="0.25">
      <c r="AJ919" s="869"/>
    </row>
    <row r="920" spans="36:36" ht="12.75" customHeight="1" x14ac:dyDescent="0.25">
      <c r="AJ920" s="869"/>
    </row>
    <row r="921" spans="36:36" ht="12.75" customHeight="1" x14ac:dyDescent="0.25">
      <c r="AJ921" s="869"/>
    </row>
    <row r="922" spans="36:36" ht="12.75" customHeight="1" x14ac:dyDescent="0.25">
      <c r="AJ922" s="869"/>
    </row>
    <row r="923" spans="36:36" ht="12.75" customHeight="1" x14ac:dyDescent="0.25">
      <c r="AJ923" s="869"/>
    </row>
    <row r="924" spans="36:36" ht="12.75" customHeight="1" x14ac:dyDescent="0.25">
      <c r="AJ924" s="869"/>
    </row>
    <row r="925" spans="36:36" ht="12.75" customHeight="1" x14ac:dyDescent="0.25">
      <c r="AJ925" s="869"/>
    </row>
    <row r="926" spans="36:36" ht="12.75" customHeight="1" x14ac:dyDescent="0.25">
      <c r="AJ926" s="869"/>
    </row>
    <row r="927" spans="36:36" ht="12.75" customHeight="1" x14ac:dyDescent="0.25">
      <c r="AJ927" s="869"/>
    </row>
    <row r="928" spans="36:36" ht="12.75" customHeight="1" x14ac:dyDescent="0.25">
      <c r="AJ928" s="869"/>
    </row>
    <row r="929" spans="36:36" ht="12.75" customHeight="1" x14ac:dyDescent="0.25">
      <c r="AJ929" s="869"/>
    </row>
    <row r="930" spans="36:36" ht="12.75" customHeight="1" x14ac:dyDescent="0.25">
      <c r="AJ930" s="869"/>
    </row>
    <row r="931" spans="36:36" ht="12.75" customHeight="1" x14ac:dyDescent="0.25">
      <c r="AJ931" s="869"/>
    </row>
    <row r="932" spans="36:36" ht="12.75" customHeight="1" x14ac:dyDescent="0.25">
      <c r="AJ932" s="869"/>
    </row>
    <row r="933" spans="36:36" ht="12.75" customHeight="1" x14ac:dyDescent="0.25">
      <c r="AJ933" s="869"/>
    </row>
    <row r="934" spans="36:36" ht="12.75" customHeight="1" x14ac:dyDescent="0.25">
      <c r="AJ934" s="869"/>
    </row>
    <row r="935" spans="36:36" ht="12.75" customHeight="1" x14ac:dyDescent="0.25">
      <c r="AJ935" s="869"/>
    </row>
    <row r="936" spans="36:36" ht="12.75" customHeight="1" x14ac:dyDescent="0.25">
      <c r="AJ936" s="869"/>
    </row>
    <row r="937" spans="36:36" ht="12.75" customHeight="1" x14ac:dyDescent="0.25">
      <c r="AJ937" s="869"/>
    </row>
    <row r="938" spans="36:36" ht="12.75" customHeight="1" x14ac:dyDescent="0.25">
      <c r="AJ938" s="869"/>
    </row>
    <row r="939" spans="36:36" ht="12.75" customHeight="1" x14ac:dyDescent="0.25">
      <c r="AJ939" s="869"/>
    </row>
    <row r="940" spans="36:36" ht="12.75" customHeight="1" x14ac:dyDescent="0.25">
      <c r="AJ940" s="869"/>
    </row>
    <row r="941" spans="36:36" ht="12.75" customHeight="1" x14ac:dyDescent="0.25">
      <c r="AJ941" s="869"/>
    </row>
    <row r="942" spans="36:36" ht="12.75" customHeight="1" x14ac:dyDescent="0.25">
      <c r="AJ942" s="869"/>
    </row>
    <row r="943" spans="36:36" ht="12.75" customHeight="1" x14ac:dyDescent="0.25">
      <c r="AJ943" s="869"/>
    </row>
    <row r="944" spans="36:36" ht="12.75" customHeight="1" x14ac:dyDescent="0.25">
      <c r="AJ944" s="869"/>
    </row>
    <row r="945" spans="36:36" ht="12.75" customHeight="1" x14ac:dyDescent="0.25">
      <c r="AJ945" s="869"/>
    </row>
    <row r="946" spans="36:36" ht="12.75" customHeight="1" x14ac:dyDescent="0.25">
      <c r="AJ946" s="869"/>
    </row>
    <row r="947" spans="36:36" ht="12.75" customHeight="1" x14ac:dyDescent="0.25">
      <c r="AJ947" s="869"/>
    </row>
    <row r="948" spans="36:36" ht="12.75" customHeight="1" x14ac:dyDescent="0.25">
      <c r="AJ948" s="869"/>
    </row>
    <row r="949" spans="36:36" ht="12.75" customHeight="1" x14ac:dyDescent="0.25">
      <c r="AJ949" s="869"/>
    </row>
    <row r="950" spans="36:36" ht="12.75" customHeight="1" x14ac:dyDescent="0.25">
      <c r="AJ950" s="869"/>
    </row>
    <row r="951" spans="36:36" ht="12.75" customHeight="1" x14ac:dyDescent="0.25">
      <c r="AJ951" s="869"/>
    </row>
    <row r="952" spans="36:36" ht="12.75" customHeight="1" x14ac:dyDescent="0.25">
      <c r="AJ952" s="869"/>
    </row>
    <row r="953" spans="36:36" ht="12.75" customHeight="1" x14ac:dyDescent="0.25">
      <c r="AJ953" s="869"/>
    </row>
    <row r="954" spans="36:36" ht="12.75" customHeight="1" x14ac:dyDescent="0.25">
      <c r="AJ954" s="869"/>
    </row>
    <row r="955" spans="36:36" ht="12.75" customHeight="1" x14ac:dyDescent="0.25">
      <c r="AJ955" s="869"/>
    </row>
    <row r="956" spans="36:36" ht="12.75" customHeight="1" x14ac:dyDescent="0.25">
      <c r="AJ956" s="869"/>
    </row>
    <row r="957" spans="36:36" ht="12.75" customHeight="1" x14ac:dyDescent="0.25">
      <c r="AJ957" s="869"/>
    </row>
    <row r="958" spans="36:36" ht="12.75" customHeight="1" x14ac:dyDescent="0.25">
      <c r="AJ958" s="869"/>
    </row>
    <row r="959" spans="36:36" ht="12.75" customHeight="1" x14ac:dyDescent="0.25">
      <c r="AJ959" s="869"/>
    </row>
    <row r="960" spans="36:36" ht="12.75" customHeight="1" x14ac:dyDescent="0.25">
      <c r="AJ960" s="869"/>
    </row>
    <row r="961" spans="36:36" ht="12.75" customHeight="1" x14ac:dyDescent="0.25">
      <c r="AJ961" s="869"/>
    </row>
    <row r="962" spans="36:36" ht="12.75" customHeight="1" x14ac:dyDescent="0.25">
      <c r="AJ962" s="869"/>
    </row>
    <row r="963" spans="36:36" ht="12.75" customHeight="1" x14ac:dyDescent="0.25">
      <c r="AJ963" s="869"/>
    </row>
    <row r="964" spans="36:36" ht="12.75" customHeight="1" x14ac:dyDescent="0.25">
      <c r="AJ964" s="869"/>
    </row>
    <row r="965" spans="36:36" ht="12.75" customHeight="1" x14ac:dyDescent="0.25">
      <c r="AJ965" s="869"/>
    </row>
    <row r="966" spans="36:36" ht="12.75" customHeight="1" x14ac:dyDescent="0.25">
      <c r="AJ966" s="869"/>
    </row>
    <row r="967" spans="36:36" ht="12.75" customHeight="1" x14ac:dyDescent="0.25">
      <c r="AJ967" s="869"/>
    </row>
    <row r="968" spans="36:36" ht="12.75" customHeight="1" x14ac:dyDescent="0.25">
      <c r="AJ968" s="869"/>
    </row>
    <row r="969" spans="36:36" ht="12.75" customHeight="1" x14ac:dyDescent="0.25">
      <c r="AJ969" s="869"/>
    </row>
    <row r="970" spans="36:36" ht="12.75" customHeight="1" x14ac:dyDescent="0.25">
      <c r="AJ970" s="869"/>
    </row>
    <row r="971" spans="36:36" ht="12.75" customHeight="1" x14ac:dyDescent="0.25">
      <c r="AJ971" s="869"/>
    </row>
    <row r="972" spans="36:36" ht="12.75" customHeight="1" x14ac:dyDescent="0.25">
      <c r="AJ972" s="869"/>
    </row>
    <row r="973" spans="36:36" ht="12.75" customHeight="1" x14ac:dyDescent="0.25">
      <c r="AJ973" s="869"/>
    </row>
    <row r="974" spans="36:36" ht="12.75" customHeight="1" x14ac:dyDescent="0.25">
      <c r="AJ974" s="869"/>
    </row>
    <row r="975" spans="36:36" ht="12.75" customHeight="1" x14ac:dyDescent="0.25">
      <c r="AJ975" s="869"/>
    </row>
    <row r="976" spans="36:36" ht="12.75" customHeight="1" x14ac:dyDescent="0.25">
      <c r="AJ976" s="869"/>
    </row>
    <row r="977" spans="36:36" ht="12.75" customHeight="1" x14ac:dyDescent="0.25">
      <c r="AJ977" s="869"/>
    </row>
    <row r="978" spans="36:36" ht="12.75" customHeight="1" x14ac:dyDescent="0.25">
      <c r="AJ978" s="869"/>
    </row>
    <row r="979" spans="36:36" ht="12.75" customHeight="1" x14ac:dyDescent="0.25">
      <c r="AJ979" s="869"/>
    </row>
    <row r="980" spans="36:36" ht="12.75" customHeight="1" x14ac:dyDescent="0.25">
      <c r="AJ980" s="869"/>
    </row>
    <row r="981" spans="36:36" ht="12.75" customHeight="1" x14ac:dyDescent="0.25">
      <c r="AJ981" s="869"/>
    </row>
    <row r="982" spans="36:36" ht="12.75" customHeight="1" x14ac:dyDescent="0.25">
      <c r="AJ982" s="869"/>
    </row>
    <row r="983" spans="36:36" ht="12.75" customHeight="1" x14ac:dyDescent="0.25">
      <c r="AJ983" s="869"/>
    </row>
    <row r="984" spans="36:36" ht="12.75" customHeight="1" x14ac:dyDescent="0.25">
      <c r="AJ984" s="869"/>
    </row>
    <row r="985" spans="36:36" ht="12.75" customHeight="1" x14ac:dyDescent="0.25">
      <c r="AJ985" s="869"/>
    </row>
    <row r="986" spans="36:36" ht="12.75" customHeight="1" x14ac:dyDescent="0.25">
      <c r="AJ986" s="869"/>
    </row>
    <row r="987" spans="36:36" ht="12.75" customHeight="1" x14ac:dyDescent="0.25">
      <c r="AJ987" s="869"/>
    </row>
    <row r="988" spans="36:36" ht="12.75" customHeight="1" x14ac:dyDescent="0.25">
      <c r="AJ988" s="869"/>
    </row>
    <row r="989" spans="36:36" ht="12.75" customHeight="1" x14ac:dyDescent="0.25">
      <c r="AJ989" s="869"/>
    </row>
    <row r="990" spans="36:36" ht="12.75" customHeight="1" x14ac:dyDescent="0.25">
      <c r="AJ990" s="869"/>
    </row>
    <row r="991" spans="36:36" ht="12.75" customHeight="1" x14ac:dyDescent="0.25">
      <c r="AJ991" s="869"/>
    </row>
    <row r="992" spans="36:36" ht="12.75" customHeight="1" x14ac:dyDescent="0.25">
      <c r="AJ992" s="869"/>
    </row>
    <row r="993" spans="36:36" ht="12.75" customHeight="1" x14ac:dyDescent="0.25">
      <c r="AJ993" s="869"/>
    </row>
    <row r="994" spans="36:36" ht="12.75" customHeight="1" x14ac:dyDescent="0.25">
      <c r="AJ994" s="869"/>
    </row>
    <row r="995" spans="36:36" ht="12.75" customHeight="1" x14ac:dyDescent="0.25">
      <c r="AJ995" s="869"/>
    </row>
    <row r="996" spans="36:36" ht="12.75" customHeight="1" x14ac:dyDescent="0.25">
      <c r="AJ996" s="869"/>
    </row>
    <row r="997" spans="36:36" ht="12.75" customHeight="1" x14ac:dyDescent="0.25">
      <c r="AJ997" s="869"/>
    </row>
    <row r="998" spans="36:36" ht="12.75" customHeight="1" x14ac:dyDescent="0.25">
      <c r="AJ998" s="869"/>
    </row>
    <row r="999" spans="36:36" ht="12.75" customHeight="1" x14ac:dyDescent="0.25">
      <c r="AJ999" s="869"/>
    </row>
    <row r="1000" spans="36:36" ht="12.75" customHeight="1" x14ac:dyDescent="0.25">
      <c r="AJ1000" s="869"/>
    </row>
    <row r="1001" spans="36:36" ht="12.75" customHeight="1" x14ac:dyDescent="0.25">
      <c r="AJ1001" s="869"/>
    </row>
    <row r="1002" spans="36:36" ht="12.75" customHeight="1" x14ac:dyDescent="0.25">
      <c r="AJ1002" s="869"/>
    </row>
    <row r="1003" spans="36:36" ht="12.75" customHeight="1" x14ac:dyDescent="0.25">
      <c r="AJ1003" s="869"/>
    </row>
    <row r="1004" spans="36:36" ht="12.75" customHeight="1" x14ac:dyDescent="0.25">
      <c r="AJ1004" s="869"/>
    </row>
  </sheetData>
  <mergeCells count="54">
    <mergeCell ref="G67:AJ67"/>
    <mergeCell ref="C27:F27"/>
    <mergeCell ref="C28:F28"/>
    <mergeCell ref="C29:F29"/>
    <mergeCell ref="C30:F30"/>
    <mergeCell ref="C31:F31"/>
    <mergeCell ref="C32:F32"/>
    <mergeCell ref="C33:F33"/>
    <mergeCell ref="A21:A24"/>
    <mergeCell ref="B21:B22"/>
    <mergeCell ref="B23:B24"/>
    <mergeCell ref="A25:A34"/>
    <mergeCell ref="B25:B26"/>
    <mergeCell ref="B27:B28"/>
    <mergeCell ref="B29:B30"/>
    <mergeCell ref="B31:B32"/>
    <mergeCell ref="B33:B34"/>
    <mergeCell ref="A35:A36"/>
    <mergeCell ref="B35:B36"/>
    <mergeCell ref="AG1:AI1"/>
    <mergeCell ref="C2:F2"/>
    <mergeCell ref="A3:A4"/>
    <mergeCell ref="A13:A20"/>
    <mergeCell ref="C3:F20"/>
    <mergeCell ref="A5:A10"/>
    <mergeCell ref="A11:A12"/>
    <mergeCell ref="C39:F39"/>
    <mergeCell ref="C40:F40"/>
    <mergeCell ref="C1:U1"/>
    <mergeCell ref="V1:AA1"/>
    <mergeCell ref="AB1:AE1"/>
    <mergeCell ref="C21:F21"/>
    <mergeCell ref="C22:F22"/>
    <mergeCell ref="C23:F23"/>
    <mergeCell ref="C24:F24"/>
    <mergeCell ref="C25:F25"/>
    <mergeCell ref="C26:F26"/>
    <mergeCell ref="C34:F34"/>
    <mergeCell ref="C35:F35"/>
    <mergeCell ref="C36:F36"/>
    <mergeCell ref="C37:F37"/>
    <mergeCell ref="C38:F38"/>
    <mergeCell ref="C41:F41"/>
    <mergeCell ref="C42:F42"/>
    <mergeCell ref="C45:F45"/>
    <mergeCell ref="A46:A66"/>
    <mergeCell ref="C46:F68"/>
    <mergeCell ref="A37:A44"/>
    <mergeCell ref="B37:B38"/>
    <mergeCell ref="B39:B40"/>
    <mergeCell ref="B41:B42"/>
    <mergeCell ref="B43:B44"/>
    <mergeCell ref="C43:F43"/>
    <mergeCell ref="C44:F44"/>
  </mergeCells>
  <conditionalFormatting sqref="X2">
    <cfRule type="notContainsBlanks" dxfId="0" priority="1">
      <formula>LEN(TRIM(X2))&gt;0</formula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قاعدة بيانات مقدمي الدعم </vt:lpstr>
      <vt:lpstr>تقرير مجمع</vt:lpstr>
      <vt:lpstr>قاعدة بيانات مسئولات التاهيل </vt:lpstr>
      <vt:lpstr>تقرير شهر يناير</vt:lpstr>
      <vt:lpstr>تقرير فبراير 2023</vt:lpstr>
      <vt:lpstr>تقرير مارس 2023</vt:lpstr>
      <vt:lpstr>تقرير أبريل 2023</vt:lpstr>
      <vt:lpstr>تقرير مجمع مايو 2023</vt:lpstr>
      <vt:lpstr>تقرير مجمع يونيو 2023</vt:lpstr>
      <vt:lpstr>تقرير مجمع يوليو 2023</vt:lpstr>
      <vt:lpstr>تقرير اكتوبر 2023</vt:lpstr>
      <vt:lpstr>تقرير أغسطس 2023</vt:lpstr>
      <vt:lpstr>تقري ستمبر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2023-11-04T11:40:58Z</dcterms:modified>
</cp:coreProperties>
</file>