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ديسمبر 23\"/>
    </mc:Choice>
  </mc:AlternateContent>
  <xr:revisionPtr revIDLastSave="0" documentId="13_ncr:1_{FC1F7AAF-8390-4DFE-AE5F-6A8EB2B29747}" xr6:coauthVersionLast="41" xr6:coauthVersionMax="41" xr10:uidLastSave="{00000000-0000-0000-0000-000000000000}"/>
  <bookViews>
    <workbookView xWindow="-108" yWindow="-108" windowWidth="23256" windowHeight="12576" activeTab="1" xr2:uid="{00000000-000D-0000-FFFF-FFFF00000000}"/>
  </bookViews>
  <sheets>
    <sheet name="نوفمبر" sheetId="4" r:id="rId1"/>
    <sheet name="ديسمبر" sheetId="5" r:id="rId2"/>
    <sheet name="نسخة من بيان فلترة" sheetId="6" state="hidden" r:id="rId3"/>
  </sheets>
  <calcPr calcId="181029"/>
</workbook>
</file>

<file path=xl/calcChain.xml><?xml version="1.0" encoding="utf-8"?>
<calcChain xmlns="http://schemas.openxmlformats.org/spreadsheetml/2006/main">
  <c r="I34" i="6" l="1"/>
  <c r="H34" i="6"/>
  <c r="G34" i="6"/>
  <c r="F34" i="6"/>
  <c r="E34" i="6"/>
  <c r="D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L4" i="6"/>
  <c r="I34" i="5"/>
  <c r="H35" i="5" s="1"/>
  <c r="H34" i="5"/>
  <c r="G34" i="5"/>
  <c r="F34" i="5"/>
  <c r="F35" i="5" s="1"/>
  <c r="E34" i="5"/>
  <c r="D34" i="5"/>
  <c r="D35" i="5" s="1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4" i="5" s="1"/>
  <c r="H35" i="4"/>
  <c r="F35" i="4"/>
  <c r="D35" i="4"/>
  <c r="J34" i="4"/>
  <c r="I34" i="4"/>
  <c r="H34" i="4"/>
  <c r="G34" i="4"/>
  <c r="F34" i="4"/>
  <c r="E34" i="4"/>
  <c r="D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</calcChain>
</file>

<file path=xl/sharedStrings.xml><?xml version="1.0" encoding="utf-8"?>
<sst xmlns="http://schemas.openxmlformats.org/spreadsheetml/2006/main" count="125" uniqueCount="49">
  <si>
    <t>بيان وحدات</t>
  </si>
  <si>
    <t>م</t>
  </si>
  <si>
    <t>اسم الوحدة</t>
  </si>
  <si>
    <t>كود الوحدة</t>
  </si>
  <si>
    <t>ذكور</t>
  </si>
  <si>
    <t>إناث</t>
  </si>
  <si>
    <t xml:space="preserve">أطفال </t>
  </si>
  <si>
    <t>بالغين</t>
  </si>
  <si>
    <t>داخلي</t>
  </si>
  <si>
    <t>خارجي</t>
  </si>
  <si>
    <t>عدد  المستفديين</t>
  </si>
  <si>
    <t>قرية جحدم</t>
  </si>
  <si>
    <t>قرية الحواتكة</t>
  </si>
  <si>
    <t>قرية بنى شقير</t>
  </si>
  <si>
    <t>قرية عرب الجهمة</t>
  </si>
  <si>
    <t>رزقة الدير</t>
  </si>
  <si>
    <t>قرية التمساحية</t>
  </si>
  <si>
    <t>قرية فزارة</t>
  </si>
  <si>
    <t>قرية تناغة</t>
  </si>
  <si>
    <t>قرية القصير</t>
  </si>
  <si>
    <t>مدينة القوصية</t>
  </si>
  <si>
    <t>مدينة ديروط</t>
  </si>
  <si>
    <t>قرية دشلوط</t>
  </si>
  <si>
    <t>قرية زاوية هارون</t>
  </si>
  <si>
    <t>قرية الحوطا الغربية</t>
  </si>
  <si>
    <t>قرية نزلة ضاهر</t>
  </si>
  <si>
    <t>قرية الواسطي</t>
  </si>
  <si>
    <t>قرية كوم المنصورة</t>
  </si>
  <si>
    <t>أبو تيج</t>
  </si>
  <si>
    <t>قرية منقباد</t>
  </si>
  <si>
    <t>قرية البورة</t>
  </si>
  <si>
    <t>قرية ريفا</t>
  </si>
  <si>
    <t>قرية كوم بدار</t>
  </si>
  <si>
    <t>العسيرات</t>
  </si>
  <si>
    <t>المنشاة</t>
  </si>
  <si>
    <t>قرية تونس</t>
  </si>
  <si>
    <t>ببا</t>
  </si>
  <si>
    <t>قرية سدس</t>
  </si>
  <si>
    <t>النويرة</t>
  </si>
  <si>
    <t>قرية الرياض</t>
  </si>
  <si>
    <t>الإجمالى</t>
  </si>
  <si>
    <t>قرية  فزارة</t>
  </si>
  <si>
    <t>قرية  تناغة</t>
  </si>
  <si>
    <t>قرية أبوصير</t>
  </si>
  <si>
    <t>اناث</t>
  </si>
  <si>
    <t xml:space="preserve">اطفال </t>
  </si>
  <si>
    <t>داخلى</t>
  </si>
  <si>
    <t>خارجى</t>
  </si>
  <si>
    <t>الأجمالى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</si>
</sst>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scheme val="minor"/>
    </font>
    <font>
      <b/>
      <sz val="16"/>
      <color theme="1"/>
      <name val="Arial"/>
    </font>
    <font>
      <sz val="11"/>
      <name val="Arial"/>
    </font>
    <font>
      <sz val="11"/>
      <color theme="1"/>
      <name val="Arial"/>
      <scheme val="minor"/>
    </font>
    <font>
      <b/>
      <sz val="13"/>
      <color theme="1"/>
      <name val="Arial"/>
    </font>
    <font>
      <b/>
      <sz val="13"/>
      <color theme="1"/>
      <name val="Calibri"/>
    </font>
    <font>
      <sz val="13"/>
      <color theme="1"/>
      <name val="Arial"/>
    </font>
    <font>
      <sz val="12"/>
      <color theme="1"/>
      <name val="Calibri"/>
    </font>
    <font>
      <sz val="12"/>
      <color theme="1"/>
      <name val="Arial"/>
    </font>
    <font>
      <sz val="12"/>
      <color theme="1"/>
      <name val="Arial"/>
      <scheme val="minor"/>
    </font>
    <font>
      <sz val="11"/>
      <color rgb="FFFF0000"/>
      <name val="Arial"/>
      <scheme val="minor"/>
    </font>
    <font>
      <b/>
      <sz val="15"/>
      <color rgb="FF980000"/>
      <name val="Arial"/>
      <scheme val="minor"/>
    </font>
    <font>
      <b/>
      <sz val="12"/>
      <color rgb="FF980000"/>
      <name val="Arial"/>
      <scheme val="minor"/>
    </font>
    <font>
      <b/>
      <sz val="12"/>
      <color theme="1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Calibri"/>
    </font>
    <font>
      <b/>
      <sz val="17"/>
      <color rgb="FF980000"/>
      <name val="Calibri"/>
    </font>
    <font>
      <sz val="13"/>
      <color theme="1"/>
      <name val="Calibri"/>
    </font>
    <font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 readingOrder="2"/>
    </xf>
    <xf numFmtId="0" fontId="4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0" xfId="0" applyFont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 readingOrder="2"/>
    </xf>
    <xf numFmtId="0" fontId="3" fillId="0" borderId="0" xfId="0" applyFont="1" applyAlignment="1"/>
    <xf numFmtId="0" fontId="3" fillId="0" borderId="0" xfId="0" applyFont="1"/>
    <xf numFmtId="0" fontId="7" fillId="5" borderId="2" xfId="0" applyFont="1" applyFill="1" applyBorder="1" applyAlignment="1">
      <alignment horizontal="center" vertical="center" wrapText="1" readingOrder="2"/>
    </xf>
    <xf numFmtId="0" fontId="15" fillId="5" borderId="2" xfId="0" applyFont="1" applyFill="1" applyBorder="1" applyAlignment="1">
      <alignment horizontal="center" vertical="center" readingOrder="1"/>
    </xf>
    <xf numFmtId="0" fontId="3" fillId="0" borderId="0" xfId="0" applyFont="1" applyAlignment="1"/>
    <xf numFmtId="0" fontId="16" fillId="2" borderId="2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 readingOrder="2"/>
    </xf>
    <xf numFmtId="0" fontId="6" fillId="3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/>
    </xf>
    <xf numFmtId="0" fontId="2" fillId="0" borderId="1" xfId="0" applyFont="1" applyBorder="1"/>
    <xf numFmtId="0" fontId="11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13" fillId="0" borderId="5" xfId="0" applyFont="1" applyBorder="1" applyAlignment="1">
      <alignment horizontal="center" vertical="center" wrapText="1"/>
    </xf>
    <xf numFmtId="0" fontId="2" fillId="0" borderId="10" xfId="0" applyFont="1" applyBorder="1"/>
    <xf numFmtId="0" fontId="14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rightToLeft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38" sqref="L38"/>
    </sheetView>
  </sheetViews>
  <sheetFormatPr defaultColWidth="12.59765625" defaultRowHeight="15" customHeight="1" x14ac:dyDescent="0.25"/>
  <cols>
    <col min="1" max="1" width="8.59765625" customWidth="1"/>
    <col min="2" max="2" width="26.5" customWidth="1"/>
    <col min="3" max="3" width="8.8984375" customWidth="1"/>
    <col min="4" max="9" width="8.59765625" customWidth="1"/>
    <col min="10" max="10" width="13.19921875" customWidth="1"/>
    <col min="11" max="26" width="8.59765625" customWidth="1"/>
  </cols>
  <sheetData>
    <row r="1" spans="1:15" ht="14.25" customHeight="1" x14ac:dyDescent="0.25"/>
    <row r="2" spans="1:15" ht="24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2"/>
    </row>
    <row r="3" spans="1:15" ht="30.75" customHeight="1" x14ac:dyDescent="0.25">
      <c r="A3" s="3" t="s">
        <v>1</v>
      </c>
      <c r="B3" s="4" t="s">
        <v>2</v>
      </c>
      <c r="C3" s="3" t="s">
        <v>3</v>
      </c>
      <c r="D3" s="3" t="s">
        <v>4</v>
      </c>
      <c r="E3" s="5" t="s">
        <v>5</v>
      </c>
      <c r="F3" s="5" t="s">
        <v>6</v>
      </c>
      <c r="G3" s="3" t="s">
        <v>7</v>
      </c>
      <c r="H3" s="5" t="s">
        <v>8</v>
      </c>
      <c r="I3" s="5" t="s">
        <v>9</v>
      </c>
      <c r="J3" s="5" t="s">
        <v>10</v>
      </c>
    </row>
    <row r="4" spans="1:15" ht="22.5" customHeight="1" x14ac:dyDescent="0.25">
      <c r="A4" s="10">
        <v>1</v>
      </c>
      <c r="B4" s="15" t="s">
        <v>11</v>
      </c>
      <c r="C4" s="8">
        <v>411</v>
      </c>
      <c r="D4" s="8">
        <v>50</v>
      </c>
      <c r="E4" s="8">
        <v>63</v>
      </c>
      <c r="F4" s="14">
        <v>48</v>
      </c>
      <c r="G4" s="14">
        <v>65</v>
      </c>
      <c r="H4" s="14">
        <v>23</v>
      </c>
      <c r="I4" s="14">
        <v>90</v>
      </c>
      <c r="J4" s="9">
        <f t="shared" ref="J4:J33" si="0">SUM(D4:E4)</f>
        <v>113</v>
      </c>
    </row>
    <row r="5" spans="1:15" ht="22.5" customHeight="1" x14ac:dyDescent="0.25">
      <c r="A5" s="10">
        <v>2</v>
      </c>
      <c r="B5" s="15" t="s">
        <v>12</v>
      </c>
      <c r="C5" s="8">
        <v>412</v>
      </c>
      <c r="D5" s="8">
        <v>70</v>
      </c>
      <c r="E5" s="8">
        <v>72</v>
      </c>
      <c r="F5" s="14">
        <v>71</v>
      </c>
      <c r="G5" s="14">
        <v>71</v>
      </c>
      <c r="H5" s="14">
        <v>50</v>
      </c>
      <c r="I5" s="14">
        <v>92</v>
      </c>
      <c r="J5" s="9">
        <f t="shared" si="0"/>
        <v>142</v>
      </c>
    </row>
    <row r="6" spans="1:15" ht="22.5" customHeight="1" x14ac:dyDescent="0.25">
      <c r="A6" s="10">
        <v>3</v>
      </c>
      <c r="B6" s="15" t="s">
        <v>13</v>
      </c>
      <c r="C6" s="8">
        <v>413</v>
      </c>
      <c r="D6" s="8">
        <v>100</v>
      </c>
      <c r="E6" s="8">
        <v>54</v>
      </c>
      <c r="F6" s="14">
        <v>76</v>
      </c>
      <c r="G6" s="14">
        <v>78</v>
      </c>
      <c r="H6" s="14">
        <v>40</v>
      </c>
      <c r="I6" s="14">
        <v>114</v>
      </c>
      <c r="J6" s="9">
        <f t="shared" si="0"/>
        <v>154</v>
      </c>
    </row>
    <row r="7" spans="1:15" ht="22.5" customHeight="1" x14ac:dyDescent="0.25">
      <c r="A7" s="10">
        <v>4</v>
      </c>
      <c r="B7" s="7" t="s">
        <v>14</v>
      </c>
      <c r="C7" s="8">
        <v>421</v>
      </c>
      <c r="D7" s="8">
        <v>66</v>
      </c>
      <c r="E7" s="8">
        <v>53</v>
      </c>
      <c r="F7" s="14">
        <v>67</v>
      </c>
      <c r="G7" s="14">
        <v>52</v>
      </c>
      <c r="H7" s="14">
        <v>30</v>
      </c>
      <c r="I7" s="14">
        <v>89</v>
      </c>
      <c r="J7" s="9">
        <f t="shared" si="0"/>
        <v>119</v>
      </c>
    </row>
    <row r="8" spans="1:15" ht="22.5" customHeight="1" x14ac:dyDescent="0.25">
      <c r="A8" s="10">
        <v>5</v>
      </c>
      <c r="B8" s="7" t="s">
        <v>15</v>
      </c>
      <c r="C8" s="8">
        <v>422</v>
      </c>
      <c r="D8" s="8">
        <v>89</v>
      </c>
      <c r="E8" s="8">
        <v>62</v>
      </c>
      <c r="F8" s="14">
        <v>64</v>
      </c>
      <c r="G8" s="14">
        <v>87</v>
      </c>
      <c r="H8" s="14">
        <v>34</v>
      </c>
      <c r="I8" s="14">
        <v>117</v>
      </c>
      <c r="J8" s="9">
        <f t="shared" si="0"/>
        <v>151</v>
      </c>
    </row>
    <row r="9" spans="1:15" ht="22.5" customHeight="1" x14ac:dyDescent="0.25">
      <c r="A9" s="10">
        <v>6</v>
      </c>
      <c r="B9" s="7" t="s">
        <v>16</v>
      </c>
      <c r="C9" s="8">
        <v>423</v>
      </c>
      <c r="D9" s="8">
        <v>92</v>
      </c>
      <c r="E9" s="8">
        <v>98</v>
      </c>
      <c r="F9" s="14">
        <v>60</v>
      </c>
      <c r="G9" s="14">
        <v>130</v>
      </c>
      <c r="H9" s="14">
        <v>47</v>
      </c>
      <c r="I9" s="14">
        <v>143</v>
      </c>
      <c r="J9" s="9">
        <f t="shared" si="0"/>
        <v>190</v>
      </c>
    </row>
    <row r="10" spans="1:15" ht="22.5" customHeight="1" x14ac:dyDescent="0.25">
      <c r="A10" s="10">
        <v>7</v>
      </c>
      <c r="B10" s="18" t="s">
        <v>41</v>
      </c>
      <c r="C10" s="8">
        <v>424</v>
      </c>
      <c r="D10" s="8">
        <v>80</v>
      </c>
      <c r="E10" s="8">
        <v>58</v>
      </c>
      <c r="F10" s="14">
        <v>61</v>
      </c>
      <c r="G10" s="14">
        <v>77</v>
      </c>
      <c r="H10" s="14">
        <v>50</v>
      </c>
      <c r="I10" s="14">
        <v>88</v>
      </c>
      <c r="J10" s="9">
        <f t="shared" si="0"/>
        <v>138</v>
      </c>
    </row>
    <row r="11" spans="1:15" ht="22.5" customHeight="1" x14ac:dyDescent="0.25">
      <c r="A11" s="10">
        <v>8</v>
      </c>
      <c r="B11" s="18" t="s">
        <v>42</v>
      </c>
      <c r="C11" s="8">
        <v>425</v>
      </c>
      <c r="D11" s="8">
        <v>103</v>
      </c>
      <c r="E11" s="8">
        <v>51</v>
      </c>
      <c r="F11" s="19">
        <v>81</v>
      </c>
      <c r="G11" s="14">
        <v>73</v>
      </c>
      <c r="H11" s="14">
        <v>56</v>
      </c>
      <c r="I11" s="14">
        <v>98</v>
      </c>
      <c r="J11" s="9">
        <f t="shared" si="0"/>
        <v>154</v>
      </c>
    </row>
    <row r="12" spans="1:15" ht="22.5" customHeight="1" x14ac:dyDescent="0.25">
      <c r="A12" s="10">
        <v>9</v>
      </c>
      <c r="B12" s="7" t="s">
        <v>19</v>
      </c>
      <c r="C12" s="8">
        <v>426</v>
      </c>
      <c r="D12" s="8">
        <v>68</v>
      </c>
      <c r="E12" s="8">
        <v>55</v>
      </c>
      <c r="F12" s="14">
        <v>38</v>
      </c>
      <c r="G12" s="14">
        <v>85</v>
      </c>
      <c r="H12" s="14">
        <v>32</v>
      </c>
      <c r="I12" s="14">
        <v>91</v>
      </c>
      <c r="J12" s="9">
        <f t="shared" si="0"/>
        <v>123</v>
      </c>
    </row>
    <row r="13" spans="1:15" ht="22.5" customHeight="1" x14ac:dyDescent="0.25">
      <c r="A13" s="10">
        <v>10</v>
      </c>
      <c r="B13" s="7" t="s">
        <v>20</v>
      </c>
      <c r="C13" s="8">
        <v>427</v>
      </c>
      <c r="D13" s="8">
        <v>52</v>
      </c>
      <c r="E13" s="8">
        <v>20</v>
      </c>
      <c r="F13" s="14">
        <v>68</v>
      </c>
      <c r="G13" s="14">
        <v>4</v>
      </c>
      <c r="H13" s="14">
        <v>71</v>
      </c>
      <c r="I13" s="14">
        <v>1</v>
      </c>
      <c r="J13" s="9">
        <f t="shared" si="0"/>
        <v>72</v>
      </c>
      <c r="O13" s="20"/>
    </row>
    <row r="14" spans="1:15" ht="22.5" customHeight="1" x14ac:dyDescent="0.25">
      <c r="A14" s="10">
        <v>11</v>
      </c>
      <c r="B14" s="7" t="s">
        <v>21</v>
      </c>
      <c r="C14" s="8">
        <v>431</v>
      </c>
      <c r="D14" s="8">
        <v>79</v>
      </c>
      <c r="E14" s="8">
        <v>60</v>
      </c>
      <c r="F14" s="14">
        <v>99</v>
      </c>
      <c r="G14" s="14">
        <v>40</v>
      </c>
      <c r="H14" s="14">
        <v>127</v>
      </c>
      <c r="I14" s="14">
        <v>12</v>
      </c>
      <c r="J14" s="9">
        <f t="shared" si="0"/>
        <v>139</v>
      </c>
    </row>
    <row r="15" spans="1:15" ht="22.5" customHeight="1" x14ac:dyDescent="0.25">
      <c r="A15" s="10">
        <v>12</v>
      </c>
      <c r="B15" s="7" t="s">
        <v>22</v>
      </c>
      <c r="C15" s="8">
        <v>432</v>
      </c>
      <c r="D15" s="8">
        <v>113</v>
      </c>
      <c r="E15" s="8">
        <v>71</v>
      </c>
      <c r="F15" s="14">
        <v>106</v>
      </c>
      <c r="G15" s="14">
        <v>78</v>
      </c>
      <c r="H15" s="14">
        <v>38</v>
      </c>
      <c r="I15" s="14">
        <v>146</v>
      </c>
      <c r="J15" s="9">
        <f t="shared" si="0"/>
        <v>184</v>
      </c>
    </row>
    <row r="16" spans="1:15" ht="22.5" customHeight="1" x14ac:dyDescent="0.25">
      <c r="A16" s="10">
        <v>13</v>
      </c>
      <c r="B16" s="7" t="s">
        <v>23</v>
      </c>
      <c r="C16" s="8">
        <v>433</v>
      </c>
      <c r="D16" s="8">
        <v>77</v>
      </c>
      <c r="E16" s="8">
        <v>43</v>
      </c>
      <c r="F16" s="14">
        <v>47</v>
      </c>
      <c r="G16" s="14">
        <v>73</v>
      </c>
      <c r="H16" s="14">
        <v>77</v>
      </c>
      <c r="I16" s="14">
        <v>43</v>
      </c>
      <c r="J16" s="9">
        <f t="shared" si="0"/>
        <v>120</v>
      </c>
    </row>
    <row r="17" spans="1:16" ht="22.5" customHeight="1" x14ac:dyDescent="0.25">
      <c r="A17" s="10">
        <v>14</v>
      </c>
      <c r="B17" s="7" t="s">
        <v>24</v>
      </c>
      <c r="C17" s="8">
        <v>434</v>
      </c>
      <c r="D17" s="8">
        <v>77</v>
      </c>
      <c r="E17" s="8">
        <v>33</v>
      </c>
      <c r="F17" s="14">
        <v>45</v>
      </c>
      <c r="G17" s="14">
        <v>65</v>
      </c>
      <c r="H17" s="14">
        <v>20</v>
      </c>
      <c r="I17" s="14">
        <v>90</v>
      </c>
      <c r="J17" s="9">
        <f t="shared" si="0"/>
        <v>110</v>
      </c>
    </row>
    <row r="18" spans="1:16" ht="22.5" customHeight="1" x14ac:dyDescent="0.25">
      <c r="A18" s="10">
        <v>15</v>
      </c>
      <c r="B18" s="7" t="s">
        <v>25</v>
      </c>
      <c r="C18" s="8">
        <v>435</v>
      </c>
      <c r="D18" s="8">
        <v>111</v>
      </c>
      <c r="E18" s="8">
        <v>75</v>
      </c>
      <c r="F18" s="14">
        <v>117</v>
      </c>
      <c r="G18" s="14">
        <v>69</v>
      </c>
      <c r="H18" s="14">
        <v>53</v>
      </c>
      <c r="I18" s="14">
        <v>133</v>
      </c>
      <c r="J18" s="9">
        <f t="shared" si="0"/>
        <v>186</v>
      </c>
    </row>
    <row r="19" spans="1:16" ht="22.5" customHeight="1" x14ac:dyDescent="0.25">
      <c r="A19" s="10">
        <v>16</v>
      </c>
      <c r="B19" s="21" t="s">
        <v>26</v>
      </c>
      <c r="C19" s="8">
        <v>441</v>
      </c>
      <c r="D19" s="8">
        <v>47</v>
      </c>
      <c r="E19" s="8">
        <v>69</v>
      </c>
      <c r="F19" s="8">
        <v>40</v>
      </c>
      <c r="G19" s="8">
        <v>76</v>
      </c>
      <c r="H19" s="8">
        <v>23</v>
      </c>
      <c r="I19" s="8">
        <v>93</v>
      </c>
      <c r="J19" s="9">
        <f t="shared" si="0"/>
        <v>116</v>
      </c>
      <c r="L19" s="11"/>
    </row>
    <row r="20" spans="1:16" ht="22.5" customHeight="1" x14ac:dyDescent="0.25">
      <c r="A20" s="10">
        <v>17</v>
      </c>
      <c r="B20" s="15" t="s">
        <v>27</v>
      </c>
      <c r="C20" s="8">
        <v>451</v>
      </c>
      <c r="D20" s="8">
        <v>77</v>
      </c>
      <c r="E20" s="8">
        <v>113</v>
      </c>
      <c r="F20" s="8">
        <v>98</v>
      </c>
      <c r="G20" s="8">
        <v>92</v>
      </c>
      <c r="H20" s="8">
        <v>57</v>
      </c>
      <c r="I20" s="8">
        <v>133</v>
      </c>
      <c r="J20" s="9">
        <f t="shared" si="0"/>
        <v>190</v>
      </c>
      <c r="L20" s="11"/>
    </row>
    <row r="21" spans="1:16" ht="22.5" customHeight="1" x14ac:dyDescent="0.25">
      <c r="A21" s="10">
        <v>18</v>
      </c>
      <c r="B21" s="15" t="s">
        <v>28</v>
      </c>
      <c r="C21" s="8">
        <v>461</v>
      </c>
      <c r="D21" s="8">
        <v>121</v>
      </c>
      <c r="E21" s="8">
        <v>107</v>
      </c>
      <c r="F21" s="8">
        <v>108</v>
      </c>
      <c r="G21" s="8">
        <v>120</v>
      </c>
      <c r="H21" s="8">
        <v>46</v>
      </c>
      <c r="I21" s="8">
        <v>182</v>
      </c>
      <c r="J21" s="9">
        <f t="shared" si="0"/>
        <v>228</v>
      </c>
      <c r="L21" s="11"/>
      <c r="P21" s="20"/>
    </row>
    <row r="22" spans="1:16" ht="22.5" customHeight="1" x14ac:dyDescent="0.25">
      <c r="A22" s="10">
        <v>19</v>
      </c>
      <c r="B22" s="15" t="s">
        <v>29</v>
      </c>
      <c r="C22" s="8">
        <v>471</v>
      </c>
      <c r="D22" s="8">
        <v>92</v>
      </c>
      <c r="E22" s="8">
        <v>52</v>
      </c>
      <c r="F22" s="8">
        <v>94</v>
      </c>
      <c r="G22" s="8">
        <v>50</v>
      </c>
      <c r="H22" s="8">
        <v>32</v>
      </c>
      <c r="I22" s="8">
        <v>112</v>
      </c>
      <c r="J22" s="9">
        <f t="shared" si="0"/>
        <v>144</v>
      </c>
      <c r="L22" s="11"/>
    </row>
    <row r="23" spans="1:16" ht="22.5" customHeight="1" x14ac:dyDescent="0.25">
      <c r="A23" s="10">
        <v>20</v>
      </c>
      <c r="B23" s="15" t="s">
        <v>30</v>
      </c>
      <c r="C23" s="8">
        <v>472</v>
      </c>
      <c r="D23" s="8">
        <v>102</v>
      </c>
      <c r="E23" s="8">
        <v>61</v>
      </c>
      <c r="F23" s="8">
        <v>111</v>
      </c>
      <c r="G23" s="8">
        <v>52</v>
      </c>
      <c r="H23" s="8">
        <v>45</v>
      </c>
      <c r="I23" s="8">
        <v>118</v>
      </c>
      <c r="J23" s="9">
        <f t="shared" si="0"/>
        <v>163</v>
      </c>
      <c r="L23" s="11"/>
    </row>
    <row r="24" spans="1:16" ht="22.5" customHeight="1" x14ac:dyDescent="0.25">
      <c r="A24" s="10">
        <v>21</v>
      </c>
      <c r="B24" s="15" t="s">
        <v>31</v>
      </c>
      <c r="C24" s="8">
        <v>473</v>
      </c>
      <c r="D24" s="8">
        <v>110</v>
      </c>
      <c r="E24" s="8">
        <v>118</v>
      </c>
      <c r="F24" s="8">
        <v>105</v>
      </c>
      <c r="G24" s="8">
        <v>123</v>
      </c>
      <c r="H24" s="8">
        <v>66</v>
      </c>
      <c r="I24" s="8">
        <v>162</v>
      </c>
      <c r="J24" s="9">
        <f t="shared" si="0"/>
        <v>228</v>
      </c>
      <c r="L24" s="11"/>
    </row>
    <row r="25" spans="1:16" ht="22.5" customHeight="1" x14ac:dyDescent="0.25">
      <c r="A25" s="10">
        <v>22</v>
      </c>
      <c r="B25" s="15" t="s">
        <v>32</v>
      </c>
      <c r="C25" s="8">
        <v>511</v>
      </c>
      <c r="D25" s="8">
        <v>80</v>
      </c>
      <c r="E25" s="8">
        <v>61</v>
      </c>
      <c r="F25" s="8">
        <v>80</v>
      </c>
      <c r="G25" s="8">
        <v>61</v>
      </c>
      <c r="H25" s="8">
        <v>45</v>
      </c>
      <c r="I25" s="8">
        <v>96</v>
      </c>
      <c r="J25" s="9">
        <f t="shared" si="0"/>
        <v>141</v>
      </c>
      <c r="L25" s="11"/>
    </row>
    <row r="26" spans="1:16" ht="22.5" customHeight="1" x14ac:dyDescent="0.25">
      <c r="A26" s="10">
        <v>23</v>
      </c>
      <c r="B26" s="15" t="s">
        <v>34</v>
      </c>
      <c r="C26" s="8">
        <v>512</v>
      </c>
      <c r="D26" s="8">
        <v>63</v>
      </c>
      <c r="E26" s="8">
        <v>57</v>
      </c>
      <c r="F26" s="8">
        <v>60</v>
      </c>
      <c r="G26" s="8">
        <v>60</v>
      </c>
      <c r="H26" s="8">
        <v>37</v>
      </c>
      <c r="I26" s="8">
        <v>83</v>
      </c>
      <c r="J26" s="9">
        <f t="shared" si="0"/>
        <v>120</v>
      </c>
      <c r="L26" s="11"/>
    </row>
    <row r="27" spans="1:16" ht="22.5" customHeight="1" x14ac:dyDescent="0.25">
      <c r="A27" s="10">
        <v>24</v>
      </c>
      <c r="B27" s="15" t="s">
        <v>33</v>
      </c>
      <c r="C27" s="8">
        <v>521</v>
      </c>
      <c r="D27" s="8">
        <v>52</v>
      </c>
      <c r="E27" s="8">
        <v>69</v>
      </c>
      <c r="F27" s="8">
        <v>54</v>
      </c>
      <c r="G27" s="8">
        <v>67</v>
      </c>
      <c r="H27" s="8">
        <v>44</v>
      </c>
      <c r="I27" s="8">
        <v>77</v>
      </c>
      <c r="J27" s="9">
        <f t="shared" si="0"/>
        <v>121</v>
      </c>
      <c r="L27" s="11"/>
      <c r="P27" s="20"/>
    </row>
    <row r="28" spans="1:16" ht="22.5" customHeight="1" x14ac:dyDescent="0.25">
      <c r="A28" s="10">
        <v>25</v>
      </c>
      <c r="B28" s="15" t="s">
        <v>35</v>
      </c>
      <c r="C28" s="8">
        <v>522</v>
      </c>
      <c r="D28" s="8">
        <v>78</v>
      </c>
      <c r="E28" s="8">
        <v>49</v>
      </c>
      <c r="F28" s="8">
        <v>117</v>
      </c>
      <c r="G28" s="8">
        <v>10</v>
      </c>
      <c r="H28" s="8">
        <v>33</v>
      </c>
      <c r="I28" s="8">
        <v>94</v>
      </c>
      <c r="J28" s="9">
        <f t="shared" si="0"/>
        <v>127</v>
      </c>
      <c r="L28" s="11"/>
    </row>
    <row r="29" spans="1:16" ht="22.5" customHeight="1" x14ac:dyDescent="0.25">
      <c r="A29" s="10">
        <v>26</v>
      </c>
      <c r="B29" s="15" t="s">
        <v>17</v>
      </c>
      <c r="C29" s="8">
        <v>531</v>
      </c>
      <c r="D29" s="8">
        <v>69</v>
      </c>
      <c r="E29" s="8">
        <v>52</v>
      </c>
      <c r="F29" s="8">
        <v>76</v>
      </c>
      <c r="G29" s="8">
        <v>45</v>
      </c>
      <c r="H29" s="8">
        <v>31</v>
      </c>
      <c r="I29" s="8">
        <v>90</v>
      </c>
      <c r="J29" s="9">
        <f t="shared" si="0"/>
        <v>121</v>
      </c>
      <c r="L29" s="11"/>
      <c r="P29" s="20"/>
    </row>
    <row r="30" spans="1:16" ht="22.5" customHeight="1" x14ac:dyDescent="0.25">
      <c r="A30" s="10">
        <v>27</v>
      </c>
      <c r="B30" s="15" t="s">
        <v>36</v>
      </c>
      <c r="C30" s="8">
        <v>211</v>
      </c>
      <c r="D30" s="8">
        <v>76</v>
      </c>
      <c r="E30" s="8">
        <v>68</v>
      </c>
      <c r="F30" s="8">
        <v>120</v>
      </c>
      <c r="G30" s="8">
        <v>24</v>
      </c>
      <c r="H30" s="8">
        <v>83</v>
      </c>
      <c r="I30" s="8">
        <v>61</v>
      </c>
      <c r="J30" s="9">
        <f t="shared" si="0"/>
        <v>144</v>
      </c>
      <c r="L30" s="11"/>
    </row>
    <row r="31" spans="1:16" ht="22.5" customHeight="1" x14ac:dyDescent="0.25">
      <c r="A31" s="10">
        <v>28</v>
      </c>
      <c r="B31" s="15" t="s">
        <v>37</v>
      </c>
      <c r="C31" s="8">
        <v>212</v>
      </c>
      <c r="D31" s="8">
        <v>65</v>
      </c>
      <c r="E31" s="8">
        <v>50</v>
      </c>
      <c r="F31" s="8">
        <v>101</v>
      </c>
      <c r="G31" s="8">
        <v>14</v>
      </c>
      <c r="H31" s="8">
        <v>66</v>
      </c>
      <c r="I31" s="8">
        <v>49</v>
      </c>
      <c r="J31" s="9">
        <f t="shared" si="0"/>
        <v>115</v>
      </c>
      <c r="L31" s="11"/>
      <c r="P31" s="20"/>
    </row>
    <row r="32" spans="1:16" ht="22.5" customHeight="1" x14ac:dyDescent="0.25">
      <c r="A32" s="10">
        <v>29</v>
      </c>
      <c r="B32" s="15" t="s">
        <v>38</v>
      </c>
      <c r="C32" s="8">
        <v>221</v>
      </c>
      <c r="D32" s="8">
        <v>58</v>
      </c>
      <c r="E32" s="8">
        <v>46</v>
      </c>
      <c r="F32" s="8">
        <v>77</v>
      </c>
      <c r="G32" s="8">
        <v>27</v>
      </c>
      <c r="H32" s="8">
        <v>57</v>
      </c>
      <c r="I32" s="8">
        <v>47</v>
      </c>
      <c r="J32" s="9">
        <f t="shared" si="0"/>
        <v>104</v>
      </c>
      <c r="L32" s="11"/>
    </row>
    <row r="33" spans="1:16" ht="22.5" customHeight="1" x14ac:dyDescent="0.25">
      <c r="A33" s="10">
        <v>30</v>
      </c>
      <c r="B33" s="15" t="s">
        <v>39</v>
      </c>
      <c r="C33" s="8">
        <v>231</v>
      </c>
      <c r="D33" s="8">
        <v>48</v>
      </c>
      <c r="E33" s="8">
        <v>31</v>
      </c>
      <c r="F33" s="8">
        <v>65</v>
      </c>
      <c r="G33" s="8">
        <v>14</v>
      </c>
      <c r="H33" s="8">
        <v>61</v>
      </c>
      <c r="I33" s="8">
        <v>18</v>
      </c>
      <c r="J33" s="9">
        <f t="shared" si="0"/>
        <v>79</v>
      </c>
      <c r="L33" s="11"/>
    </row>
    <row r="34" spans="1:16" ht="22.5" customHeight="1" x14ac:dyDescent="0.25">
      <c r="A34" s="12"/>
      <c r="B34" s="34" t="s">
        <v>40</v>
      </c>
      <c r="C34" s="35"/>
      <c r="D34" s="13">
        <f t="shared" ref="D34:J34" si="1">SUM(D4:D33)</f>
        <v>2365</v>
      </c>
      <c r="E34" s="13">
        <f t="shared" si="1"/>
        <v>1871</v>
      </c>
      <c r="F34" s="13">
        <f t="shared" si="1"/>
        <v>2354</v>
      </c>
      <c r="G34" s="13">
        <f t="shared" si="1"/>
        <v>1882</v>
      </c>
      <c r="H34" s="13">
        <f t="shared" si="1"/>
        <v>1474</v>
      </c>
      <c r="I34" s="13">
        <f t="shared" si="1"/>
        <v>2762</v>
      </c>
      <c r="J34" s="38">
        <f t="shared" si="1"/>
        <v>4236</v>
      </c>
      <c r="P34" s="20"/>
    </row>
    <row r="35" spans="1:16" ht="22.5" customHeight="1" x14ac:dyDescent="0.25">
      <c r="A35" s="12"/>
      <c r="B35" s="36"/>
      <c r="C35" s="37"/>
      <c r="D35" s="40">
        <f>D34+E34</f>
        <v>4236</v>
      </c>
      <c r="E35" s="41"/>
      <c r="F35" s="40">
        <f>F34+G34</f>
        <v>4236</v>
      </c>
      <c r="G35" s="41"/>
      <c r="H35" s="40">
        <f>H34+I34</f>
        <v>4236</v>
      </c>
      <c r="I35" s="41"/>
      <c r="J35" s="39"/>
    </row>
    <row r="36" spans="1:16" ht="14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6" ht="14.2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6" ht="14.25" customHeight="1" x14ac:dyDescent="0.25"/>
    <row r="39" spans="1:16" ht="14.25" customHeight="1" x14ac:dyDescent="0.25"/>
    <row r="40" spans="1:16" ht="14.25" customHeight="1" x14ac:dyDescent="0.25"/>
    <row r="41" spans="1:16" ht="14.25" customHeight="1" x14ac:dyDescent="0.25"/>
    <row r="42" spans="1:16" ht="14.25" customHeight="1" x14ac:dyDescent="0.25"/>
    <row r="43" spans="1:16" ht="14.25" customHeight="1" x14ac:dyDescent="0.25"/>
    <row r="44" spans="1:16" ht="14.25" customHeight="1" x14ac:dyDescent="0.25"/>
    <row r="45" spans="1:16" ht="14.25" customHeight="1" x14ac:dyDescent="0.25"/>
    <row r="46" spans="1:16" ht="14.25" customHeight="1" x14ac:dyDescent="0.25"/>
    <row r="47" spans="1:16" ht="14.25" customHeight="1" x14ac:dyDescent="0.25"/>
    <row r="48" spans="1:1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">
    <mergeCell ref="B34:C35"/>
    <mergeCell ref="J34:J35"/>
    <mergeCell ref="D35:E35"/>
    <mergeCell ref="F35:G35"/>
    <mergeCell ref="H35:I3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rightToLeft="1" tabSelected="1" workbookViewId="0">
      <pane xSplit="3" ySplit="3" topLeftCell="D24" activePane="bottomRight" state="frozen"/>
      <selection pane="topRight" activeCell="D1" sqref="D1"/>
      <selection pane="bottomLeft" activeCell="A4" sqref="A4"/>
      <selection pane="bottomRight" activeCell="H38" sqref="H38"/>
    </sheetView>
  </sheetViews>
  <sheetFormatPr defaultColWidth="12.59765625" defaultRowHeight="15" customHeight="1" x14ac:dyDescent="0.25"/>
  <cols>
    <col min="1" max="1" width="8.59765625" customWidth="1"/>
    <col min="2" max="2" width="26.5" customWidth="1"/>
    <col min="3" max="3" width="8.8984375" customWidth="1"/>
    <col min="4" max="9" width="8.59765625" customWidth="1"/>
    <col min="10" max="10" width="13.19921875" customWidth="1"/>
    <col min="11" max="25" width="8.59765625" customWidth="1"/>
  </cols>
  <sheetData>
    <row r="1" spans="1:14" ht="14.25" customHeight="1" x14ac:dyDescent="0.25"/>
    <row r="2" spans="1:14" ht="24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4" ht="30.75" customHeight="1" x14ac:dyDescent="0.25">
      <c r="A3" s="3" t="s">
        <v>1</v>
      </c>
      <c r="B3" s="4" t="s">
        <v>2</v>
      </c>
      <c r="C3" s="3" t="s">
        <v>3</v>
      </c>
      <c r="D3" s="3" t="s">
        <v>4</v>
      </c>
      <c r="E3" s="5" t="s">
        <v>5</v>
      </c>
      <c r="F3" s="5" t="s">
        <v>6</v>
      </c>
      <c r="G3" s="3" t="s">
        <v>7</v>
      </c>
      <c r="H3" s="5" t="s">
        <v>8</v>
      </c>
      <c r="I3" s="5" t="s">
        <v>9</v>
      </c>
      <c r="J3" s="5" t="s">
        <v>10</v>
      </c>
    </row>
    <row r="4" spans="1:14" ht="22.5" customHeight="1" x14ac:dyDescent="0.25">
      <c r="A4" s="6">
        <v>1</v>
      </c>
      <c r="B4" s="18" t="s">
        <v>11</v>
      </c>
      <c r="C4" s="8">
        <v>411</v>
      </c>
      <c r="D4" s="8">
        <v>68</v>
      </c>
      <c r="E4" s="8">
        <v>81</v>
      </c>
      <c r="F4" s="14">
        <v>65</v>
      </c>
      <c r="G4" s="14">
        <v>85</v>
      </c>
      <c r="H4" s="14">
        <v>29</v>
      </c>
      <c r="I4" s="14">
        <v>121</v>
      </c>
      <c r="J4" s="9">
        <f t="shared" ref="J4:J33" si="0">SUM(D4:E4)</f>
        <v>149</v>
      </c>
      <c r="K4" s="22"/>
    </row>
    <row r="5" spans="1:14" ht="22.5" customHeight="1" x14ac:dyDescent="0.25">
      <c r="A5" s="10">
        <v>2</v>
      </c>
      <c r="B5" s="18" t="s">
        <v>12</v>
      </c>
      <c r="C5" s="8">
        <v>412</v>
      </c>
      <c r="D5" s="8">
        <v>70</v>
      </c>
      <c r="E5" s="8">
        <v>72</v>
      </c>
      <c r="F5" s="14">
        <v>74</v>
      </c>
      <c r="G5" s="14">
        <v>70</v>
      </c>
      <c r="H5" s="14">
        <v>49</v>
      </c>
      <c r="I5" s="14">
        <v>93</v>
      </c>
      <c r="J5" s="9">
        <f t="shared" si="0"/>
        <v>142</v>
      </c>
      <c r="K5" s="22"/>
    </row>
    <row r="6" spans="1:14" ht="22.5" customHeight="1" x14ac:dyDescent="0.25">
      <c r="A6" s="10">
        <v>3</v>
      </c>
      <c r="B6" s="18" t="s">
        <v>13</v>
      </c>
      <c r="C6" s="8">
        <v>413</v>
      </c>
      <c r="D6" s="8">
        <v>101</v>
      </c>
      <c r="E6" s="8">
        <v>56</v>
      </c>
      <c r="F6" s="14">
        <v>79</v>
      </c>
      <c r="G6" s="14">
        <v>78</v>
      </c>
      <c r="H6" s="14">
        <v>43</v>
      </c>
      <c r="I6" s="14">
        <v>114</v>
      </c>
      <c r="J6" s="9">
        <f t="shared" si="0"/>
        <v>157</v>
      </c>
      <c r="K6" s="22"/>
    </row>
    <row r="7" spans="1:14" ht="22.5" customHeight="1" x14ac:dyDescent="0.25">
      <c r="A7" s="10">
        <v>4</v>
      </c>
      <c r="B7" s="7" t="s">
        <v>14</v>
      </c>
      <c r="C7" s="8">
        <v>421</v>
      </c>
      <c r="D7" s="8">
        <v>72</v>
      </c>
      <c r="E7" s="8">
        <v>55</v>
      </c>
      <c r="F7" s="14">
        <v>71</v>
      </c>
      <c r="G7" s="14">
        <v>56</v>
      </c>
      <c r="H7" s="14">
        <v>35</v>
      </c>
      <c r="I7" s="14">
        <v>92</v>
      </c>
      <c r="J7" s="9">
        <f t="shared" si="0"/>
        <v>127</v>
      </c>
      <c r="K7" s="22"/>
    </row>
    <row r="8" spans="1:14" ht="22.5" customHeight="1" x14ac:dyDescent="0.25">
      <c r="A8" s="10">
        <v>5</v>
      </c>
      <c r="B8" s="18" t="s">
        <v>15</v>
      </c>
      <c r="C8" s="8">
        <v>422</v>
      </c>
      <c r="D8" s="8">
        <v>92</v>
      </c>
      <c r="E8" s="8">
        <v>66</v>
      </c>
      <c r="F8" s="14">
        <v>68</v>
      </c>
      <c r="G8" s="14">
        <v>90</v>
      </c>
      <c r="H8" s="14">
        <v>38</v>
      </c>
      <c r="I8" s="14">
        <v>120</v>
      </c>
      <c r="J8" s="9">
        <f t="shared" si="0"/>
        <v>158</v>
      </c>
      <c r="K8" s="22"/>
    </row>
    <row r="9" spans="1:14" ht="22.5" customHeight="1" x14ac:dyDescent="0.25">
      <c r="A9" s="10">
        <v>6</v>
      </c>
      <c r="B9" s="18" t="s">
        <v>16</v>
      </c>
      <c r="C9" s="8">
        <v>423</v>
      </c>
      <c r="D9" s="8">
        <v>98</v>
      </c>
      <c r="E9" s="8">
        <v>104</v>
      </c>
      <c r="F9" s="14">
        <v>62</v>
      </c>
      <c r="G9" s="14">
        <v>140</v>
      </c>
      <c r="H9" s="14">
        <v>48</v>
      </c>
      <c r="I9" s="14">
        <v>154</v>
      </c>
      <c r="J9" s="9">
        <f t="shared" si="0"/>
        <v>202</v>
      </c>
      <c r="K9" s="22"/>
    </row>
    <row r="10" spans="1:14" ht="22.5" customHeight="1" x14ac:dyDescent="0.25">
      <c r="A10" s="10">
        <v>7</v>
      </c>
      <c r="B10" s="18" t="s">
        <v>41</v>
      </c>
      <c r="C10" s="8">
        <v>424</v>
      </c>
      <c r="D10" s="8">
        <v>80</v>
      </c>
      <c r="E10" s="8">
        <v>58</v>
      </c>
      <c r="F10" s="14">
        <v>61</v>
      </c>
      <c r="G10" s="14">
        <v>77</v>
      </c>
      <c r="H10" s="14">
        <v>50</v>
      </c>
      <c r="I10" s="14">
        <v>88</v>
      </c>
      <c r="J10" s="9">
        <f t="shared" si="0"/>
        <v>138</v>
      </c>
      <c r="K10" s="22"/>
    </row>
    <row r="11" spans="1:14" ht="22.5" customHeight="1" x14ac:dyDescent="0.25">
      <c r="A11" s="10">
        <v>8</v>
      </c>
      <c r="B11" s="18" t="s">
        <v>42</v>
      </c>
      <c r="C11" s="8">
        <v>425</v>
      </c>
      <c r="D11" s="8">
        <v>114</v>
      </c>
      <c r="E11" s="8">
        <v>60</v>
      </c>
      <c r="F11" s="19">
        <v>86</v>
      </c>
      <c r="G11" s="14">
        <v>88</v>
      </c>
      <c r="H11" s="14">
        <v>56</v>
      </c>
      <c r="I11" s="14">
        <v>118</v>
      </c>
      <c r="J11" s="9">
        <f t="shared" si="0"/>
        <v>174</v>
      </c>
      <c r="K11" s="22"/>
    </row>
    <row r="12" spans="1:14" ht="22.5" customHeight="1" x14ac:dyDescent="0.25">
      <c r="A12" s="10">
        <v>9</v>
      </c>
      <c r="B12" s="18" t="s">
        <v>19</v>
      </c>
      <c r="C12" s="8">
        <v>426</v>
      </c>
      <c r="D12" s="8">
        <v>84</v>
      </c>
      <c r="E12" s="8">
        <v>70</v>
      </c>
      <c r="F12" s="14">
        <v>53</v>
      </c>
      <c r="G12" s="14">
        <v>100</v>
      </c>
      <c r="H12" s="14">
        <v>32</v>
      </c>
      <c r="I12" s="14">
        <v>121</v>
      </c>
      <c r="J12" s="9">
        <f t="shared" si="0"/>
        <v>154</v>
      </c>
      <c r="K12" s="22"/>
    </row>
    <row r="13" spans="1:14" ht="22.5" customHeight="1" x14ac:dyDescent="0.25">
      <c r="A13" s="10">
        <v>10</v>
      </c>
      <c r="B13" s="18" t="s">
        <v>20</v>
      </c>
      <c r="C13" s="8">
        <v>427</v>
      </c>
      <c r="D13" s="8">
        <v>53</v>
      </c>
      <c r="E13" s="8">
        <v>20</v>
      </c>
      <c r="F13" s="14">
        <v>69</v>
      </c>
      <c r="G13" s="14">
        <v>4</v>
      </c>
      <c r="H13" s="14">
        <v>72</v>
      </c>
      <c r="I13" s="14">
        <v>1</v>
      </c>
      <c r="J13" s="9">
        <f t="shared" si="0"/>
        <v>73</v>
      </c>
      <c r="K13" s="22"/>
      <c r="N13" s="20"/>
    </row>
    <row r="14" spans="1:14" ht="22.5" customHeight="1" x14ac:dyDescent="0.25">
      <c r="A14" s="10">
        <v>11</v>
      </c>
      <c r="B14" s="18" t="s">
        <v>21</v>
      </c>
      <c r="C14" s="8">
        <v>431</v>
      </c>
      <c r="D14" s="8">
        <v>79</v>
      </c>
      <c r="E14" s="8">
        <v>62</v>
      </c>
      <c r="F14" s="14">
        <v>101</v>
      </c>
      <c r="G14" s="14">
        <v>40</v>
      </c>
      <c r="H14" s="14">
        <v>129</v>
      </c>
      <c r="I14" s="14">
        <v>12</v>
      </c>
      <c r="J14" s="9">
        <f t="shared" si="0"/>
        <v>141</v>
      </c>
      <c r="K14" s="22"/>
    </row>
    <row r="15" spans="1:14" ht="22.5" customHeight="1" x14ac:dyDescent="0.25">
      <c r="A15" s="10">
        <v>12</v>
      </c>
      <c r="B15" s="18" t="s">
        <v>22</v>
      </c>
      <c r="C15" s="8">
        <v>432</v>
      </c>
      <c r="D15" s="8">
        <v>114</v>
      </c>
      <c r="E15" s="8">
        <v>71</v>
      </c>
      <c r="F15" s="14">
        <v>107</v>
      </c>
      <c r="G15" s="14">
        <v>78</v>
      </c>
      <c r="H15" s="14">
        <v>39</v>
      </c>
      <c r="I15" s="14">
        <v>146</v>
      </c>
      <c r="J15" s="9">
        <f t="shared" si="0"/>
        <v>185</v>
      </c>
      <c r="K15" s="22"/>
    </row>
    <row r="16" spans="1:14" ht="22.5" customHeight="1" x14ac:dyDescent="0.25">
      <c r="A16" s="10">
        <v>13</v>
      </c>
      <c r="B16" s="18" t="s">
        <v>23</v>
      </c>
      <c r="C16" s="8">
        <v>433</v>
      </c>
      <c r="D16" s="8">
        <v>77</v>
      </c>
      <c r="E16" s="8">
        <v>43</v>
      </c>
      <c r="F16" s="14">
        <v>47</v>
      </c>
      <c r="G16" s="14">
        <v>73</v>
      </c>
      <c r="H16" s="14">
        <v>77</v>
      </c>
      <c r="I16" s="14">
        <v>43</v>
      </c>
      <c r="J16" s="9">
        <f t="shared" si="0"/>
        <v>120</v>
      </c>
      <c r="K16" s="22"/>
    </row>
    <row r="17" spans="1:15" ht="22.5" customHeight="1" x14ac:dyDescent="0.25">
      <c r="A17" s="10">
        <v>14</v>
      </c>
      <c r="B17" s="18" t="s">
        <v>24</v>
      </c>
      <c r="C17" s="8">
        <v>434</v>
      </c>
      <c r="D17" s="8">
        <v>77</v>
      </c>
      <c r="E17" s="8">
        <v>33</v>
      </c>
      <c r="F17" s="14">
        <v>45</v>
      </c>
      <c r="G17" s="14">
        <v>65</v>
      </c>
      <c r="H17" s="14">
        <v>20</v>
      </c>
      <c r="I17" s="14">
        <v>90</v>
      </c>
      <c r="J17" s="9">
        <f t="shared" si="0"/>
        <v>110</v>
      </c>
      <c r="K17" s="22"/>
    </row>
    <row r="18" spans="1:15" ht="22.5" customHeight="1" x14ac:dyDescent="0.25">
      <c r="A18" s="10">
        <v>15</v>
      </c>
      <c r="B18" s="18" t="s">
        <v>25</v>
      </c>
      <c r="C18" s="8">
        <v>435</v>
      </c>
      <c r="D18" s="8">
        <v>114</v>
      </c>
      <c r="E18" s="8">
        <v>81</v>
      </c>
      <c r="F18" s="14">
        <v>125</v>
      </c>
      <c r="G18" s="14">
        <v>70</v>
      </c>
      <c r="H18" s="14">
        <v>54</v>
      </c>
      <c r="I18" s="14">
        <v>141</v>
      </c>
      <c r="J18" s="9">
        <f t="shared" si="0"/>
        <v>195</v>
      </c>
      <c r="K18" s="22"/>
    </row>
    <row r="19" spans="1:15" ht="22.5" customHeight="1" x14ac:dyDescent="0.25">
      <c r="A19" s="10">
        <v>16</v>
      </c>
      <c r="B19" s="18" t="s">
        <v>26</v>
      </c>
      <c r="C19" s="8">
        <v>441</v>
      </c>
      <c r="D19" s="8">
        <v>48</v>
      </c>
      <c r="E19" s="8">
        <v>70</v>
      </c>
      <c r="F19" s="8">
        <v>42</v>
      </c>
      <c r="G19" s="8">
        <v>76</v>
      </c>
      <c r="H19" s="8">
        <v>25</v>
      </c>
      <c r="I19" s="8">
        <v>93</v>
      </c>
      <c r="J19" s="9">
        <f t="shared" si="0"/>
        <v>118</v>
      </c>
      <c r="K19" s="11"/>
    </row>
    <row r="20" spans="1:15" ht="22.5" customHeight="1" x14ac:dyDescent="0.25">
      <c r="A20" s="23">
        <v>17</v>
      </c>
      <c r="B20" s="18" t="s">
        <v>27</v>
      </c>
      <c r="C20" s="8">
        <v>451</v>
      </c>
      <c r="D20" s="8">
        <v>78</v>
      </c>
      <c r="E20" s="8">
        <v>115</v>
      </c>
      <c r="F20" s="8">
        <v>99</v>
      </c>
      <c r="G20" s="8">
        <v>94</v>
      </c>
      <c r="H20" s="8">
        <v>58</v>
      </c>
      <c r="I20" s="8">
        <v>135</v>
      </c>
      <c r="J20" s="9">
        <f t="shared" si="0"/>
        <v>193</v>
      </c>
      <c r="K20" s="11"/>
    </row>
    <row r="21" spans="1:15" ht="22.5" customHeight="1" x14ac:dyDescent="0.25">
      <c r="A21" s="10">
        <v>18</v>
      </c>
      <c r="B21" s="18" t="s">
        <v>28</v>
      </c>
      <c r="C21" s="8">
        <v>461</v>
      </c>
      <c r="D21" s="8">
        <v>125</v>
      </c>
      <c r="E21" s="8">
        <v>110</v>
      </c>
      <c r="F21" s="8">
        <v>111</v>
      </c>
      <c r="G21" s="8">
        <v>124</v>
      </c>
      <c r="H21" s="8">
        <v>47</v>
      </c>
      <c r="I21" s="8">
        <v>188</v>
      </c>
      <c r="J21" s="9">
        <f t="shared" si="0"/>
        <v>235</v>
      </c>
      <c r="K21" s="11"/>
      <c r="O21" s="20"/>
    </row>
    <row r="22" spans="1:15" ht="22.5" customHeight="1" x14ac:dyDescent="0.25">
      <c r="A22" s="10">
        <v>19</v>
      </c>
      <c r="B22" s="18" t="s">
        <v>29</v>
      </c>
      <c r="C22" s="8">
        <v>471</v>
      </c>
      <c r="D22" s="8">
        <v>92</v>
      </c>
      <c r="E22" s="8">
        <v>52</v>
      </c>
      <c r="F22" s="8">
        <v>94</v>
      </c>
      <c r="G22" s="8">
        <v>50</v>
      </c>
      <c r="H22" s="8">
        <v>32</v>
      </c>
      <c r="I22" s="8">
        <v>112</v>
      </c>
      <c r="J22" s="9">
        <f t="shared" si="0"/>
        <v>144</v>
      </c>
      <c r="K22" s="11"/>
    </row>
    <row r="23" spans="1:15" ht="22.5" customHeight="1" x14ac:dyDescent="0.25">
      <c r="A23" s="10">
        <v>20</v>
      </c>
      <c r="B23" s="18" t="s">
        <v>30</v>
      </c>
      <c r="C23" s="8">
        <v>472</v>
      </c>
      <c r="D23" s="8">
        <v>107</v>
      </c>
      <c r="E23" s="8">
        <v>62</v>
      </c>
      <c r="F23" s="8">
        <v>112</v>
      </c>
      <c r="G23" s="8">
        <v>57</v>
      </c>
      <c r="H23" s="8">
        <v>46</v>
      </c>
      <c r="I23" s="8">
        <v>123</v>
      </c>
      <c r="J23" s="9">
        <f t="shared" si="0"/>
        <v>169</v>
      </c>
      <c r="K23" s="11"/>
    </row>
    <row r="24" spans="1:15" ht="22.5" customHeight="1" x14ac:dyDescent="0.25">
      <c r="A24" s="10">
        <v>21</v>
      </c>
      <c r="B24" s="18" t="s">
        <v>31</v>
      </c>
      <c r="C24" s="8">
        <v>473</v>
      </c>
      <c r="D24" s="8">
        <v>110</v>
      </c>
      <c r="E24" s="8">
        <v>118</v>
      </c>
      <c r="F24" s="8">
        <v>105</v>
      </c>
      <c r="G24" s="8">
        <v>123</v>
      </c>
      <c r="H24" s="8">
        <v>66</v>
      </c>
      <c r="I24" s="8">
        <v>162</v>
      </c>
      <c r="J24" s="9">
        <f t="shared" si="0"/>
        <v>228</v>
      </c>
      <c r="K24" s="11"/>
    </row>
    <row r="25" spans="1:15" ht="22.5" customHeight="1" x14ac:dyDescent="0.25">
      <c r="A25" s="24">
        <v>22</v>
      </c>
      <c r="B25" s="18" t="s">
        <v>32</v>
      </c>
      <c r="C25" s="8">
        <v>511</v>
      </c>
      <c r="D25" s="8">
        <v>98</v>
      </c>
      <c r="E25" s="8">
        <v>71</v>
      </c>
      <c r="F25" s="8">
        <v>101</v>
      </c>
      <c r="G25" s="8">
        <v>68</v>
      </c>
      <c r="H25" s="8">
        <v>60</v>
      </c>
      <c r="I25" s="8">
        <v>109</v>
      </c>
      <c r="J25" s="9">
        <f t="shared" si="0"/>
        <v>169</v>
      </c>
      <c r="K25" s="11"/>
    </row>
    <row r="26" spans="1:15" ht="22.5" customHeight="1" x14ac:dyDescent="0.25">
      <c r="A26" s="24">
        <v>23</v>
      </c>
      <c r="B26" s="18" t="s">
        <v>34</v>
      </c>
      <c r="C26" s="8">
        <v>512</v>
      </c>
      <c r="D26" s="8">
        <v>96</v>
      </c>
      <c r="E26" s="8">
        <v>85</v>
      </c>
      <c r="F26" s="8">
        <v>96</v>
      </c>
      <c r="G26" s="8">
        <v>85</v>
      </c>
      <c r="H26" s="8">
        <v>57</v>
      </c>
      <c r="I26" s="8">
        <v>124</v>
      </c>
      <c r="J26" s="9">
        <f t="shared" si="0"/>
        <v>181</v>
      </c>
      <c r="K26" s="11"/>
    </row>
    <row r="27" spans="1:15" ht="22.5" customHeight="1" x14ac:dyDescent="0.25">
      <c r="A27" s="24">
        <v>24</v>
      </c>
      <c r="B27" s="18" t="s">
        <v>33</v>
      </c>
      <c r="C27" s="8">
        <v>521</v>
      </c>
      <c r="D27" s="8">
        <v>55</v>
      </c>
      <c r="E27" s="8">
        <v>75</v>
      </c>
      <c r="F27" s="8">
        <v>60</v>
      </c>
      <c r="G27" s="8">
        <v>70</v>
      </c>
      <c r="H27" s="8">
        <v>50</v>
      </c>
      <c r="I27" s="8">
        <v>80</v>
      </c>
      <c r="J27" s="9">
        <f t="shared" si="0"/>
        <v>130</v>
      </c>
      <c r="K27" s="11"/>
      <c r="O27" s="20"/>
    </row>
    <row r="28" spans="1:15" ht="22.5" customHeight="1" x14ac:dyDescent="0.25">
      <c r="A28" s="24">
        <v>25</v>
      </c>
      <c r="B28" s="18" t="s">
        <v>35</v>
      </c>
      <c r="C28" s="8">
        <v>522</v>
      </c>
      <c r="D28" s="8">
        <v>79</v>
      </c>
      <c r="E28" s="8">
        <v>51</v>
      </c>
      <c r="F28" s="8">
        <v>118</v>
      </c>
      <c r="G28" s="8">
        <v>12</v>
      </c>
      <c r="H28" s="8">
        <v>38</v>
      </c>
      <c r="I28" s="8">
        <v>92</v>
      </c>
      <c r="J28" s="9">
        <f t="shared" si="0"/>
        <v>130</v>
      </c>
      <c r="K28" s="11"/>
    </row>
    <row r="29" spans="1:15" ht="22.5" customHeight="1" x14ac:dyDescent="0.25">
      <c r="A29" s="24">
        <v>26</v>
      </c>
      <c r="B29" s="18" t="s">
        <v>17</v>
      </c>
      <c r="C29" s="8">
        <v>531</v>
      </c>
      <c r="D29" s="8">
        <v>79</v>
      </c>
      <c r="E29" s="8">
        <v>55</v>
      </c>
      <c r="F29" s="8">
        <v>85</v>
      </c>
      <c r="G29" s="8">
        <v>49</v>
      </c>
      <c r="H29" s="8">
        <v>34</v>
      </c>
      <c r="I29" s="8">
        <v>100</v>
      </c>
      <c r="J29" s="9">
        <f t="shared" si="0"/>
        <v>134</v>
      </c>
      <c r="K29" s="11"/>
      <c r="O29" s="20"/>
    </row>
    <row r="30" spans="1:15" ht="22.5" customHeight="1" x14ac:dyDescent="0.25">
      <c r="A30" s="24">
        <v>27</v>
      </c>
      <c r="B30" s="18" t="s">
        <v>36</v>
      </c>
      <c r="C30" s="8">
        <v>211</v>
      </c>
      <c r="D30" s="8">
        <v>77</v>
      </c>
      <c r="E30" s="8">
        <v>72</v>
      </c>
      <c r="F30" s="8">
        <v>123</v>
      </c>
      <c r="G30" s="8">
        <v>26</v>
      </c>
      <c r="H30" s="8">
        <v>84</v>
      </c>
      <c r="I30" s="8">
        <v>65</v>
      </c>
      <c r="J30" s="9">
        <f t="shared" si="0"/>
        <v>149</v>
      </c>
      <c r="K30" s="11"/>
    </row>
    <row r="31" spans="1:15" ht="22.5" customHeight="1" x14ac:dyDescent="0.25">
      <c r="A31" s="24">
        <v>28</v>
      </c>
      <c r="B31" s="18" t="s">
        <v>37</v>
      </c>
      <c r="C31" s="8">
        <v>212</v>
      </c>
      <c r="D31" s="8">
        <v>91</v>
      </c>
      <c r="E31" s="8">
        <v>62</v>
      </c>
      <c r="F31" s="8">
        <v>138</v>
      </c>
      <c r="G31" s="8">
        <v>15</v>
      </c>
      <c r="H31" s="8">
        <v>95</v>
      </c>
      <c r="I31" s="8">
        <v>58</v>
      </c>
      <c r="J31" s="9">
        <f t="shared" si="0"/>
        <v>153</v>
      </c>
      <c r="K31" s="11"/>
      <c r="O31" s="20"/>
    </row>
    <row r="32" spans="1:15" ht="22.5" customHeight="1" x14ac:dyDescent="0.25">
      <c r="A32" s="24">
        <v>29</v>
      </c>
      <c r="B32" s="18" t="s">
        <v>38</v>
      </c>
      <c r="C32" s="8">
        <v>221</v>
      </c>
      <c r="D32" s="8">
        <v>59</v>
      </c>
      <c r="E32" s="8">
        <v>51</v>
      </c>
      <c r="F32" s="8">
        <v>80</v>
      </c>
      <c r="G32" s="8">
        <v>30</v>
      </c>
      <c r="H32" s="8">
        <v>58</v>
      </c>
      <c r="I32" s="8">
        <v>52</v>
      </c>
      <c r="J32" s="9">
        <f t="shared" si="0"/>
        <v>110</v>
      </c>
      <c r="K32" s="11"/>
    </row>
    <row r="33" spans="1:15" ht="22.5" customHeight="1" x14ac:dyDescent="0.25">
      <c r="A33" s="24">
        <v>30</v>
      </c>
      <c r="B33" s="18" t="s">
        <v>43</v>
      </c>
      <c r="C33" s="8">
        <v>231</v>
      </c>
      <c r="D33" s="8">
        <v>53</v>
      </c>
      <c r="E33" s="8">
        <v>32</v>
      </c>
      <c r="F33" s="8">
        <v>70</v>
      </c>
      <c r="G33" s="8">
        <v>15</v>
      </c>
      <c r="H33" s="8">
        <v>67</v>
      </c>
      <c r="I33" s="8">
        <v>18</v>
      </c>
      <c r="J33" s="9">
        <f t="shared" si="0"/>
        <v>85</v>
      </c>
      <c r="K33" s="11"/>
    </row>
    <row r="34" spans="1:15" ht="22.5" customHeight="1" x14ac:dyDescent="0.25">
      <c r="A34" s="12"/>
      <c r="B34" s="34" t="s">
        <v>40</v>
      </c>
      <c r="C34" s="35"/>
      <c r="D34" s="13">
        <f t="shared" ref="D34:J34" si="1">SUM(D4:D33)</f>
        <v>2540</v>
      </c>
      <c r="E34" s="13">
        <f t="shared" si="1"/>
        <v>2013</v>
      </c>
      <c r="F34" s="13">
        <f t="shared" si="1"/>
        <v>2547</v>
      </c>
      <c r="G34" s="13">
        <f t="shared" si="1"/>
        <v>2008</v>
      </c>
      <c r="H34" s="13">
        <f t="shared" si="1"/>
        <v>1588</v>
      </c>
      <c r="I34" s="13">
        <f t="shared" si="1"/>
        <v>2965</v>
      </c>
      <c r="J34" s="38">
        <f t="shared" si="1"/>
        <v>4553</v>
      </c>
      <c r="O34" s="20"/>
    </row>
    <row r="35" spans="1:15" ht="22.5" customHeight="1" x14ac:dyDescent="0.25">
      <c r="A35" s="12"/>
      <c r="B35" s="36"/>
      <c r="C35" s="37"/>
      <c r="D35" s="40">
        <f>D34+E34</f>
        <v>4553</v>
      </c>
      <c r="E35" s="41"/>
      <c r="F35" s="40">
        <f>F34+G34</f>
        <v>4555</v>
      </c>
      <c r="G35" s="41"/>
      <c r="H35" s="40">
        <f>H34+I34</f>
        <v>4553</v>
      </c>
      <c r="I35" s="41"/>
      <c r="J35" s="39"/>
    </row>
    <row r="36" spans="1:15" ht="14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5" ht="14.2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5" ht="14.25" customHeight="1" x14ac:dyDescent="0.25"/>
    <row r="39" spans="1:15" ht="14.25" customHeight="1" x14ac:dyDescent="0.25"/>
    <row r="40" spans="1:15" ht="14.25" customHeight="1" x14ac:dyDescent="0.25"/>
    <row r="41" spans="1:15" ht="14.25" customHeight="1" x14ac:dyDescent="0.25"/>
    <row r="42" spans="1:15" ht="14.25" customHeight="1" x14ac:dyDescent="0.25"/>
    <row r="43" spans="1:15" ht="14.25" customHeight="1" x14ac:dyDescent="0.25"/>
    <row r="44" spans="1:15" ht="14.25" customHeight="1" x14ac:dyDescent="0.25"/>
    <row r="45" spans="1:15" ht="14.25" customHeight="1" x14ac:dyDescent="0.25"/>
    <row r="46" spans="1:15" ht="14.25" customHeight="1" x14ac:dyDescent="0.25"/>
    <row r="47" spans="1:15" ht="14.25" customHeight="1" x14ac:dyDescent="0.25"/>
    <row r="48" spans="1:1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">
    <mergeCell ref="B34:C35"/>
    <mergeCell ref="J34:J35"/>
    <mergeCell ref="D35:E35"/>
    <mergeCell ref="F35:G35"/>
    <mergeCell ref="H35:I3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rightToLeft="1" workbookViewId="0">
      <pane ySplit="3" topLeftCell="A4" activePane="bottomLeft" state="frozen"/>
      <selection pane="bottomLeft" activeCell="B5" sqref="B5"/>
    </sheetView>
  </sheetViews>
  <sheetFormatPr defaultColWidth="12.59765625" defaultRowHeight="15" customHeight="1" x14ac:dyDescent="0.25"/>
  <cols>
    <col min="1" max="1" width="8.59765625" customWidth="1"/>
    <col min="2" max="2" width="26.5" customWidth="1"/>
    <col min="3" max="26" width="8.59765625" customWidth="1"/>
  </cols>
  <sheetData>
    <row r="1" spans="1:12" ht="14.25" customHeight="1" x14ac:dyDescent="0.25"/>
    <row r="2" spans="1:12" ht="14.25" customHeight="1" x14ac:dyDescent="0.4">
      <c r="A2" s="42" t="s">
        <v>0</v>
      </c>
      <c r="B2" s="33"/>
      <c r="C2" s="33"/>
      <c r="D2" s="33"/>
      <c r="E2" s="33"/>
      <c r="F2" s="33"/>
      <c r="G2" s="33"/>
      <c r="H2" s="33"/>
      <c r="I2" s="33"/>
    </row>
    <row r="3" spans="1:12" ht="14.25" customHeight="1" x14ac:dyDescent="0.25">
      <c r="A3" s="25" t="s">
        <v>1</v>
      </c>
      <c r="B3" s="26" t="s">
        <v>2</v>
      </c>
      <c r="C3" s="25" t="s">
        <v>3</v>
      </c>
      <c r="D3" s="25" t="s">
        <v>4</v>
      </c>
      <c r="E3" s="25" t="s">
        <v>44</v>
      </c>
      <c r="F3" s="25" t="s">
        <v>45</v>
      </c>
      <c r="G3" s="25" t="s">
        <v>7</v>
      </c>
      <c r="H3" s="25" t="s">
        <v>46</v>
      </c>
      <c r="I3" s="25" t="s">
        <v>47</v>
      </c>
    </row>
    <row r="4" spans="1:12" ht="14.25" customHeight="1" x14ac:dyDescent="0.25">
      <c r="A4" s="27">
        <v>1</v>
      </c>
      <c r="B4" s="28" t="s">
        <v>11</v>
      </c>
      <c r="C4" s="29">
        <v>411</v>
      </c>
      <c r="D4" s="30">
        <v>48</v>
      </c>
      <c r="E4" s="30">
        <v>65</v>
      </c>
      <c r="F4" s="29"/>
      <c r="G4" s="29"/>
      <c r="H4" s="29">
        <v>23</v>
      </c>
      <c r="I4" s="29">
        <v>90</v>
      </c>
      <c r="J4" s="16">
        <v>113</v>
      </c>
      <c r="L4" s="17">
        <f>J4-$F$4</f>
        <v>113</v>
      </c>
    </row>
    <row r="5" spans="1:12" ht="14.25" customHeight="1" x14ac:dyDescent="0.25">
      <c r="A5" s="27">
        <v>2</v>
      </c>
      <c r="B5" s="28" t="s">
        <v>12</v>
      </c>
      <c r="C5" s="29">
        <v>412</v>
      </c>
      <c r="D5" s="31"/>
      <c r="E5" s="31"/>
      <c r="F5" s="29"/>
      <c r="G5" s="31"/>
      <c r="H5" s="29">
        <v>40</v>
      </c>
      <c r="I5" s="29">
        <v>91</v>
      </c>
      <c r="J5" s="16">
        <v>131</v>
      </c>
      <c r="K5" s="17">
        <f t="shared" ref="K5:K33" si="0">J5-I5</f>
        <v>40</v>
      </c>
    </row>
    <row r="6" spans="1:12" ht="14.25" customHeight="1" x14ac:dyDescent="0.25">
      <c r="A6" s="27">
        <v>3</v>
      </c>
      <c r="B6" s="28" t="s">
        <v>13</v>
      </c>
      <c r="C6" s="29">
        <v>413</v>
      </c>
      <c r="D6" s="31"/>
      <c r="E6" s="31"/>
      <c r="F6" s="29">
        <v>138</v>
      </c>
      <c r="G6" s="31"/>
      <c r="H6" s="29">
        <v>31</v>
      </c>
      <c r="I6" s="29">
        <v>107</v>
      </c>
      <c r="J6" s="16">
        <v>138</v>
      </c>
      <c r="K6" s="17">
        <f t="shared" si="0"/>
        <v>31</v>
      </c>
    </row>
    <row r="7" spans="1:12" ht="14.25" customHeight="1" x14ac:dyDescent="0.25">
      <c r="A7" s="27">
        <v>4</v>
      </c>
      <c r="B7" s="28" t="s">
        <v>14</v>
      </c>
      <c r="C7" s="29">
        <v>421</v>
      </c>
      <c r="D7" s="31"/>
      <c r="E7" s="31"/>
      <c r="F7" s="29">
        <v>61</v>
      </c>
      <c r="G7" s="31"/>
      <c r="H7" s="29">
        <v>31</v>
      </c>
      <c r="I7" s="29">
        <v>87</v>
      </c>
      <c r="J7" s="16">
        <v>118</v>
      </c>
      <c r="K7" s="17">
        <f t="shared" si="0"/>
        <v>31</v>
      </c>
    </row>
    <row r="8" spans="1:12" ht="14.25" customHeight="1" x14ac:dyDescent="0.25">
      <c r="A8" s="27">
        <v>5</v>
      </c>
      <c r="B8" s="28" t="s">
        <v>15</v>
      </c>
      <c r="C8" s="29">
        <v>422</v>
      </c>
      <c r="D8" s="31"/>
      <c r="E8" s="31"/>
      <c r="F8" s="29">
        <v>51</v>
      </c>
      <c r="G8" s="31"/>
      <c r="H8" s="29">
        <v>28</v>
      </c>
      <c r="I8" s="29">
        <v>114</v>
      </c>
      <c r="J8" s="16">
        <v>142</v>
      </c>
      <c r="K8" s="17">
        <f t="shared" si="0"/>
        <v>28</v>
      </c>
    </row>
    <row r="9" spans="1:12" ht="19.5" customHeight="1" x14ac:dyDescent="0.3">
      <c r="A9" s="27">
        <v>6</v>
      </c>
      <c r="B9" s="28" t="s">
        <v>16</v>
      </c>
      <c r="C9" s="29">
        <v>423</v>
      </c>
      <c r="D9" s="31"/>
      <c r="E9" s="31"/>
      <c r="F9" s="29">
        <v>5</v>
      </c>
      <c r="G9" s="31"/>
      <c r="H9" s="29">
        <v>40</v>
      </c>
      <c r="I9" s="32">
        <v>134</v>
      </c>
      <c r="J9" s="16">
        <v>174</v>
      </c>
      <c r="K9" s="17">
        <f t="shared" si="0"/>
        <v>40</v>
      </c>
    </row>
    <row r="10" spans="1:12" ht="14.25" customHeight="1" x14ac:dyDescent="0.3">
      <c r="A10" s="27">
        <v>7</v>
      </c>
      <c r="B10" s="28" t="s">
        <v>17</v>
      </c>
      <c r="C10" s="29">
        <v>424</v>
      </c>
      <c r="D10" s="31"/>
      <c r="E10" s="31"/>
      <c r="F10" s="29"/>
      <c r="G10" s="31"/>
      <c r="H10" s="29">
        <v>42</v>
      </c>
      <c r="I10" s="32">
        <v>88</v>
      </c>
      <c r="J10" s="16">
        <v>130</v>
      </c>
      <c r="K10" s="17">
        <f t="shared" si="0"/>
        <v>42</v>
      </c>
    </row>
    <row r="11" spans="1:12" ht="14.25" customHeight="1" x14ac:dyDescent="0.25">
      <c r="A11" s="27">
        <v>8</v>
      </c>
      <c r="B11" s="28" t="s">
        <v>18</v>
      </c>
      <c r="C11" s="29">
        <v>425</v>
      </c>
      <c r="D11" s="31"/>
      <c r="E11" s="31"/>
      <c r="F11" s="31"/>
      <c r="G11" s="31"/>
      <c r="H11" s="29">
        <v>87</v>
      </c>
      <c r="I11" s="29">
        <v>95</v>
      </c>
      <c r="J11" s="16">
        <v>182</v>
      </c>
      <c r="K11" s="17">
        <f t="shared" si="0"/>
        <v>87</v>
      </c>
    </row>
    <row r="12" spans="1:12" ht="14.25" customHeight="1" x14ac:dyDescent="0.25">
      <c r="A12" s="27">
        <v>9</v>
      </c>
      <c r="B12" s="28" t="s">
        <v>19</v>
      </c>
      <c r="C12" s="29">
        <v>426</v>
      </c>
      <c r="D12" s="31"/>
      <c r="E12" s="31"/>
      <c r="F12" s="31"/>
      <c r="G12" s="31"/>
      <c r="H12" s="29">
        <v>18</v>
      </c>
      <c r="I12" s="29">
        <v>105</v>
      </c>
      <c r="J12" s="16">
        <v>123</v>
      </c>
      <c r="K12" s="17">
        <f t="shared" si="0"/>
        <v>18</v>
      </c>
    </row>
    <row r="13" spans="1:12" ht="14.25" customHeight="1" x14ac:dyDescent="0.25">
      <c r="A13" s="27">
        <v>10</v>
      </c>
      <c r="B13" s="28" t="s">
        <v>20</v>
      </c>
      <c r="C13" s="29">
        <v>427</v>
      </c>
      <c r="D13" s="31"/>
      <c r="E13" s="31"/>
      <c r="F13" s="31"/>
      <c r="G13" s="31"/>
      <c r="H13" s="29">
        <v>36</v>
      </c>
      <c r="I13" s="29">
        <v>1</v>
      </c>
      <c r="J13" s="16">
        <v>37</v>
      </c>
      <c r="K13" s="17">
        <f t="shared" si="0"/>
        <v>36</v>
      </c>
    </row>
    <row r="14" spans="1:12" ht="14.25" customHeight="1" x14ac:dyDescent="0.25">
      <c r="A14" s="27">
        <v>11</v>
      </c>
      <c r="B14" s="28" t="s">
        <v>21</v>
      </c>
      <c r="C14" s="29">
        <v>431</v>
      </c>
      <c r="D14" s="31"/>
      <c r="E14" s="31"/>
      <c r="F14" s="31"/>
      <c r="G14" s="31"/>
      <c r="H14" s="29">
        <v>17</v>
      </c>
      <c r="I14" s="29">
        <v>95</v>
      </c>
      <c r="J14" s="16">
        <v>112</v>
      </c>
      <c r="K14" s="17">
        <f t="shared" si="0"/>
        <v>17</v>
      </c>
    </row>
    <row r="15" spans="1:12" ht="14.25" customHeight="1" x14ac:dyDescent="0.25">
      <c r="A15" s="27">
        <v>12</v>
      </c>
      <c r="B15" s="28" t="s">
        <v>22</v>
      </c>
      <c r="C15" s="29">
        <v>432</v>
      </c>
      <c r="D15" s="31"/>
      <c r="E15" s="31"/>
      <c r="F15" s="31"/>
      <c r="G15" s="31"/>
      <c r="H15" s="29">
        <v>43</v>
      </c>
      <c r="I15" s="29">
        <v>89</v>
      </c>
      <c r="J15" s="16">
        <v>132</v>
      </c>
      <c r="K15" s="17">
        <f t="shared" si="0"/>
        <v>43</v>
      </c>
    </row>
    <row r="16" spans="1:12" ht="14.25" customHeight="1" x14ac:dyDescent="0.25">
      <c r="A16" s="27">
        <v>13</v>
      </c>
      <c r="B16" s="28" t="s">
        <v>23</v>
      </c>
      <c r="C16" s="29">
        <v>433</v>
      </c>
      <c r="D16" s="31"/>
      <c r="E16" s="31"/>
      <c r="F16" s="31"/>
      <c r="G16" s="31"/>
      <c r="H16" s="31"/>
      <c r="I16" s="31"/>
      <c r="K16" s="17">
        <f t="shared" si="0"/>
        <v>0</v>
      </c>
    </row>
    <row r="17" spans="1:12" ht="14.25" customHeight="1" x14ac:dyDescent="0.25">
      <c r="A17" s="27">
        <v>14</v>
      </c>
      <c r="B17" s="28" t="s">
        <v>24</v>
      </c>
      <c r="C17" s="29">
        <v>434</v>
      </c>
      <c r="D17" s="31"/>
      <c r="E17" s="31"/>
      <c r="F17" s="31"/>
      <c r="G17" s="31"/>
      <c r="H17" s="29">
        <v>19</v>
      </c>
      <c r="I17" s="29">
        <v>90</v>
      </c>
      <c r="J17" s="16">
        <v>109</v>
      </c>
      <c r="K17" s="17">
        <f t="shared" si="0"/>
        <v>19</v>
      </c>
    </row>
    <row r="18" spans="1:12" ht="14.25" customHeight="1" x14ac:dyDescent="0.25">
      <c r="A18" s="27">
        <v>15</v>
      </c>
      <c r="B18" s="28" t="s">
        <v>25</v>
      </c>
      <c r="C18" s="29">
        <v>435</v>
      </c>
      <c r="D18" s="31"/>
      <c r="E18" s="31"/>
      <c r="F18" s="31"/>
      <c r="G18" s="31"/>
      <c r="H18" s="29">
        <v>48</v>
      </c>
      <c r="I18" s="29">
        <v>110</v>
      </c>
      <c r="J18" s="16">
        <v>158</v>
      </c>
      <c r="K18" s="17">
        <f t="shared" si="0"/>
        <v>48</v>
      </c>
    </row>
    <row r="19" spans="1:12" ht="14.25" customHeight="1" x14ac:dyDescent="0.25">
      <c r="A19" s="27">
        <v>16</v>
      </c>
      <c r="B19" s="28" t="s">
        <v>26</v>
      </c>
      <c r="C19" s="29">
        <v>441</v>
      </c>
      <c r="D19" s="29">
        <v>39</v>
      </c>
      <c r="E19" s="29">
        <v>57</v>
      </c>
      <c r="F19" s="29">
        <v>38</v>
      </c>
      <c r="G19" s="29">
        <v>58</v>
      </c>
      <c r="H19" s="29">
        <v>19</v>
      </c>
      <c r="I19" s="29">
        <v>77</v>
      </c>
      <c r="J19" s="16">
        <v>96</v>
      </c>
      <c r="K19" s="17">
        <f t="shared" si="0"/>
        <v>19</v>
      </c>
      <c r="L19" s="11">
        <f t="shared" ref="L19:L33" si="1">J19-F19</f>
        <v>58</v>
      </c>
    </row>
    <row r="20" spans="1:12" ht="14.25" customHeight="1" x14ac:dyDescent="0.25">
      <c r="A20" s="27">
        <v>17</v>
      </c>
      <c r="B20" s="28" t="s">
        <v>27</v>
      </c>
      <c r="C20" s="29">
        <v>451</v>
      </c>
      <c r="D20" s="29">
        <v>61</v>
      </c>
      <c r="E20" s="29">
        <v>85</v>
      </c>
      <c r="F20" s="29">
        <v>75</v>
      </c>
      <c r="G20" s="29">
        <v>71</v>
      </c>
      <c r="H20" s="29">
        <v>29</v>
      </c>
      <c r="I20" s="29">
        <v>117</v>
      </c>
      <c r="J20" s="16">
        <v>146</v>
      </c>
      <c r="K20" s="17">
        <f t="shared" si="0"/>
        <v>29</v>
      </c>
      <c r="L20" s="11">
        <f t="shared" si="1"/>
        <v>71</v>
      </c>
    </row>
    <row r="21" spans="1:12" ht="14.25" customHeight="1" x14ac:dyDescent="0.25">
      <c r="A21" s="27">
        <v>18</v>
      </c>
      <c r="B21" s="28" t="s">
        <v>28</v>
      </c>
      <c r="C21" s="29">
        <v>461</v>
      </c>
      <c r="D21" s="29">
        <v>48</v>
      </c>
      <c r="E21" s="29">
        <v>44</v>
      </c>
      <c r="F21" s="29">
        <v>48</v>
      </c>
      <c r="G21" s="29">
        <v>44</v>
      </c>
      <c r="H21" s="29">
        <v>28</v>
      </c>
      <c r="I21" s="29">
        <v>64</v>
      </c>
      <c r="J21" s="16">
        <v>92</v>
      </c>
      <c r="K21" s="17">
        <f t="shared" si="0"/>
        <v>28</v>
      </c>
      <c r="L21" s="11">
        <f t="shared" si="1"/>
        <v>44</v>
      </c>
    </row>
    <row r="22" spans="1:12" ht="14.25" customHeight="1" x14ac:dyDescent="0.25">
      <c r="A22" s="27">
        <v>19</v>
      </c>
      <c r="B22" s="28" t="s">
        <v>29</v>
      </c>
      <c r="C22" s="29">
        <v>471</v>
      </c>
      <c r="D22" s="29">
        <v>81</v>
      </c>
      <c r="E22" s="29">
        <v>44</v>
      </c>
      <c r="F22" s="29">
        <v>80</v>
      </c>
      <c r="G22" s="29">
        <v>45</v>
      </c>
      <c r="H22" s="29">
        <v>50</v>
      </c>
      <c r="I22" s="29">
        <v>75</v>
      </c>
      <c r="J22" s="16">
        <v>125</v>
      </c>
      <c r="K22" s="17">
        <f t="shared" si="0"/>
        <v>50</v>
      </c>
      <c r="L22" s="11">
        <f t="shared" si="1"/>
        <v>45</v>
      </c>
    </row>
    <row r="23" spans="1:12" ht="14.25" customHeight="1" x14ac:dyDescent="0.25">
      <c r="A23" s="27">
        <v>20</v>
      </c>
      <c r="B23" s="28" t="s">
        <v>30</v>
      </c>
      <c r="C23" s="29">
        <v>472</v>
      </c>
      <c r="D23" s="29">
        <v>67</v>
      </c>
      <c r="E23" s="29">
        <v>49</v>
      </c>
      <c r="F23" s="29">
        <v>77</v>
      </c>
      <c r="G23" s="29">
        <v>39</v>
      </c>
      <c r="H23" s="29">
        <v>41</v>
      </c>
      <c r="I23" s="29">
        <v>75</v>
      </c>
      <c r="J23" s="16">
        <v>116</v>
      </c>
      <c r="K23" s="17">
        <f t="shared" si="0"/>
        <v>41</v>
      </c>
      <c r="L23" s="11">
        <f t="shared" si="1"/>
        <v>39</v>
      </c>
    </row>
    <row r="24" spans="1:12" ht="14.25" customHeight="1" x14ac:dyDescent="0.25">
      <c r="A24" s="27">
        <v>21</v>
      </c>
      <c r="B24" s="28" t="s">
        <v>31</v>
      </c>
      <c r="C24" s="29">
        <v>473</v>
      </c>
      <c r="D24" s="29">
        <v>98</v>
      </c>
      <c r="E24" s="29">
        <v>118</v>
      </c>
      <c r="F24" s="29">
        <v>84</v>
      </c>
      <c r="G24" s="29">
        <v>132</v>
      </c>
      <c r="H24" s="29">
        <v>57</v>
      </c>
      <c r="I24" s="29">
        <v>159</v>
      </c>
      <c r="J24" s="16">
        <v>216</v>
      </c>
      <c r="K24" s="17">
        <f t="shared" si="0"/>
        <v>57</v>
      </c>
      <c r="L24" s="11">
        <f t="shared" si="1"/>
        <v>132</v>
      </c>
    </row>
    <row r="25" spans="1:12" ht="14.25" customHeight="1" x14ac:dyDescent="0.25">
      <c r="A25" s="27">
        <v>22</v>
      </c>
      <c r="B25" s="28" t="s">
        <v>32</v>
      </c>
      <c r="C25" s="29">
        <v>511</v>
      </c>
      <c r="D25" s="29">
        <v>71</v>
      </c>
      <c r="E25" s="29">
        <v>50</v>
      </c>
      <c r="F25" s="29">
        <v>61</v>
      </c>
      <c r="G25" s="29">
        <v>60</v>
      </c>
      <c r="H25" s="29">
        <v>32</v>
      </c>
      <c r="I25" s="29">
        <v>89</v>
      </c>
      <c r="J25" s="16">
        <v>121</v>
      </c>
      <c r="K25" s="17">
        <f t="shared" si="0"/>
        <v>32</v>
      </c>
      <c r="L25" s="11">
        <f t="shared" si="1"/>
        <v>60</v>
      </c>
    </row>
    <row r="26" spans="1:12" ht="14.25" customHeight="1" x14ac:dyDescent="0.25">
      <c r="A26" s="27">
        <v>23</v>
      </c>
      <c r="B26" s="28" t="s">
        <v>33</v>
      </c>
      <c r="C26" s="29">
        <v>521</v>
      </c>
      <c r="D26" s="29">
        <v>49</v>
      </c>
      <c r="E26" s="29">
        <v>64</v>
      </c>
      <c r="F26" s="29">
        <v>51</v>
      </c>
      <c r="G26" s="29">
        <v>62</v>
      </c>
      <c r="H26" s="29">
        <v>40</v>
      </c>
      <c r="I26" s="29">
        <v>73</v>
      </c>
      <c r="J26" s="16">
        <v>113</v>
      </c>
      <c r="K26" s="17">
        <f t="shared" si="0"/>
        <v>40</v>
      </c>
      <c r="L26" s="11">
        <f t="shared" si="1"/>
        <v>62</v>
      </c>
    </row>
    <row r="27" spans="1:12" ht="14.25" customHeight="1" x14ac:dyDescent="0.25">
      <c r="A27" s="27">
        <v>24</v>
      </c>
      <c r="B27" s="28" t="s">
        <v>34</v>
      </c>
      <c r="C27" s="29">
        <v>512</v>
      </c>
      <c r="D27" s="29">
        <v>63</v>
      </c>
      <c r="E27" s="29">
        <v>56</v>
      </c>
      <c r="F27" s="29">
        <v>58</v>
      </c>
      <c r="G27" s="29">
        <v>61</v>
      </c>
      <c r="H27" s="29">
        <v>36</v>
      </c>
      <c r="I27" s="29">
        <v>83</v>
      </c>
      <c r="J27" s="16">
        <v>119</v>
      </c>
      <c r="K27" s="17">
        <f t="shared" si="0"/>
        <v>36</v>
      </c>
      <c r="L27" s="11">
        <f t="shared" si="1"/>
        <v>61</v>
      </c>
    </row>
    <row r="28" spans="1:12" ht="14.25" customHeight="1" x14ac:dyDescent="0.25">
      <c r="A28" s="27">
        <v>25</v>
      </c>
      <c r="B28" s="28" t="s">
        <v>17</v>
      </c>
      <c r="C28" s="29">
        <v>531</v>
      </c>
      <c r="D28" s="29">
        <v>57</v>
      </c>
      <c r="E28" s="29">
        <v>46</v>
      </c>
      <c r="F28" s="29">
        <v>52</v>
      </c>
      <c r="G28" s="29">
        <v>51</v>
      </c>
      <c r="H28" s="29">
        <v>28</v>
      </c>
      <c r="I28" s="29">
        <v>75</v>
      </c>
      <c r="J28" s="16">
        <v>103</v>
      </c>
      <c r="K28" s="17">
        <f t="shared" si="0"/>
        <v>28</v>
      </c>
      <c r="L28" s="11">
        <f t="shared" si="1"/>
        <v>51</v>
      </c>
    </row>
    <row r="29" spans="1:12" ht="14.25" customHeight="1" x14ac:dyDescent="0.25">
      <c r="A29" s="27">
        <v>26</v>
      </c>
      <c r="B29" s="28" t="s">
        <v>35</v>
      </c>
      <c r="C29" s="29">
        <v>522</v>
      </c>
      <c r="D29" s="29">
        <v>78</v>
      </c>
      <c r="E29" s="29">
        <v>49</v>
      </c>
      <c r="F29" s="29">
        <v>71</v>
      </c>
      <c r="G29" s="29">
        <v>56</v>
      </c>
      <c r="H29" s="29">
        <v>25</v>
      </c>
      <c r="I29" s="29">
        <v>102</v>
      </c>
      <c r="J29" s="16">
        <v>127</v>
      </c>
      <c r="K29" s="17">
        <f t="shared" si="0"/>
        <v>25</v>
      </c>
      <c r="L29" s="11">
        <f t="shared" si="1"/>
        <v>56</v>
      </c>
    </row>
    <row r="30" spans="1:12" ht="14.25" customHeight="1" x14ac:dyDescent="0.25">
      <c r="A30" s="27">
        <v>27</v>
      </c>
      <c r="B30" s="28" t="s">
        <v>36</v>
      </c>
      <c r="C30" s="29">
        <v>211</v>
      </c>
      <c r="D30" s="29">
        <v>67</v>
      </c>
      <c r="E30" s="29">
        <v>63</v>
      </c>
      <c r="F30" s="29">
        <v>107</v>
      </c>
      <c r="G30" s="29">
        <v>23</v>
      </c>
      <c r="H30" s="29">
        <v>77</v>
      </c>
      <c r="I30" s="29">
        <v>53</v>
      </c>
      <c r="J30" s="16">
        <v>130</v>
      </c>
      <c r="K30" s="17">
        <f t="shared" si="0"/>
        <v>77</v>
      </c>
      <c r="L30" s="11">
        <f t="shared" si="1"/>
        <v>23</v>
      </c>
    </row>
    <row r="31" spans="1:12" ht="14.25" customHeight="1" x14ac:dyDescent="0.25">
      <c r="A31" s="27">
        <v>28</v>
      </c>
      <c r="B31" s="28" t="s">
        <v>37</v>
      </c>
      <c r="C31" s="29">
        <v>212</v>
      </c>
      <c r="D31" s="29">
        <v>52</v>
      </c>
      <c r="E31" s="29">
        <v>47</v>
      </c>
      <c r="F31" s="29">
        <v>83</v>
      </c>
      <c r="G31" s="29">
        <v>16</v>
      </c>
      <c r="H31" s="29">
        <v>61</v>
      </c>
      <c r="I31" s="29">
        <v>38</v>
      </c>
      <c r="J31" s="16">
        <v>99</v>
      </c>
      <c r="K31" s="17">
        <f t="shared" si="0"/>
        <v>61</v>
      </c>
      <c r="L31" s="11">
        <f t="shared" si="1"/>
        <v>16</v>
      </c>
    </row>
    <row r="32" spans="1:12" ht="14.25" customHeight="1" x14ac:dyDescent="0.25">
      <c r="A32" s="27">
        <v>29</v>
      </c>
      <c r="B32" s="28" t="s">
        <v>38</v>
      </c>
      <c r="C32" s="29">
        <v>221</v>
      </c>
      <c r="D32" s="29">
        <v>50</v>
      </c>
      <c r="E32" s="29">
        <v>44</v>
      </c>
      <c r="F32" s="29">
        <v>71</v>
      </c>
      <c r="G32" s="29">
        <v>23</v>
      </c>
      <c r="H32" s="29">
        <v>53</v>
      </c>
      <c r="I32" s="29">
        <v>41</v>
      </c>
      <c r="J32" s="16">
        <v>94</v>
      </c>
      <c r="K32" s="17">
        <f t="shared" si="0"/>
        <v>53</v>
      </c>
      <c r="L32" s="11">
        <f t="shared" si="1"/>
        <v>23</v>
      </c>
    </row>
    <row r="33" spans="1:12" ht="14.25" customHeight="1" x14ac:dyDescent="0.25">
      <c r="A33" s="27">
        <v>30</v>
      </c>
      <c r="B33" s="28" t="s">
        <v>39</v>
      </c>
      <c r="C33" s="29">
        <v>231</v>
      </c>
      <c r="D33" s="29">
        <v>26</v>
      </c>
      <c r="E33" s="29">
        <v>13</v>
      </c>
      <c r="F33" s="29">
        <v>25</v>
      </c>
      <c r="G33" s="29">
        <v>14</v>
      </c>
      <c r="H33" s="29">
        <v>23</v>
      </c>
      <c r="I33" s="29">
        <v>16</v>
      </c>
      <c r="J33" s="16">
        <v>39</v>
      </c>
      <c r="K33" s="17">
        <f t="shared" si="0"/>
        <v>23</v>
      </c>
      <c r="L33" s="11">
        <f t="shared" si="1"/>
        <v>14</v>
      </c>
    </row>
    <row r="34" spans="1:12" ht="14.25" customHeight="1" x14ac:dyDescent="0.25">
      <c r="B34" s="43" t="s">
        <v>48</v>
      </c>
      <c r="C34" s="44"/>
      <c r="D34" s="17">
        <f t="shared" ref="D34:I34" si="2">SUM(D4:D33)</f>
        <v>955</v>
      </c>
      <c r="E34" s="17">
        <f t="shared" si="2"/>
        <v>894</v>
      </c>
      <c r="F34" s="17">
        <f t="shared" si="2"/>
        <v>1236</v>
      </c>
      <c r="G34" s="17">
        <f t="shared" si="2"/>
        <v>755</v>
      </c>
      <c r="H34" s="17">
        <f t="shared" si="2"/>
        <v>1102</v>
      </c>
      <c r="I34" s="17">
        <f t="shared" si="2"/>
        <v>2433</v>
      </c>
    </row>
    <row r="35" spans="1:12" ht="14.25" customHeight="1" x14ac:dyDescent="0.25"/>
    <row r="36" spans="1:12" ht="14.25" customHeight="1" x14ac:dyDescent="0.25"/>
    <row r="37" spans="1:12" ht="14.25" customHeight="1" x14ac:dyDescent="0.25"/>
    <row r="38" spans="1:12" ht="14.25" customHeight="1" x14ac:dyDescent="0.25"/>
    <row r="39" spans="1:12" ht="14.25" customHeight="1" x14ac:dyDescent="0.25"/>
    <row r="40" spans="1:12" ht="14.25" customHeight="1" x14ac:dyDescent="0.25"/>
    <row r="41" spans="1:12" ht="14.25" customHeight="1" x14ac:dyDescent="0.25"/>
    <row r="42" spans="1:12" ht="14.25" customHeight="1" x14ac:dyDescent="0.25"/>
    <row r="43" spans="1:12" ht="14.25" customHeight="1" x14ac:dyDescent="0.25"/>
    <row r="44" spans="1:12" ht="14.25" customHeight="1" x14ac:dyDescent="0.25"/>
    <row r="45" spans="1:12" ht="14.25" customHeight="1" x14ac:dyDescent="0.25"/>
    <row r="46" spans="1:12" ht="14.25" customHeight="1" x14ac:dyDescent="0.25"/>
    <row r="47" spans="1:12" ht="14.25" customHeight="1" x14ac:dyDescent="0.25"/>
    <row r="48" spans="1:1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2:I2"/>
    <mergeCell ref="B34:C3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نوفمبر</vt:lpstr>
      <vt:lpstr>ديسمبر</vt:lpstr>
      <vt:lpstr>نسخة من بيان فلترة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2024-01-03T12:16:21Z</dcterms:modified>
</cp:coreProperties>
</file>