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نسخة من استبيان الأسر والمستفدي" sheetId="1" r:id="rId5"/>
    <sheet state="visible" name="معدل مرات الحصول على الخدمة" sheetId="2" r:id="rId6"/>
    <sheet state="visible" name="النوع الاجتماعى" sheetId="3" r:id="rId7"/>
    <sheet state="visible" name="حالة المستفيد" sheetId="4" r:id="rId8"/>
    <sheet state="visible" name="الخدمات المُقدمة" sheetId="5" r:id="rId9"/>
    <sheet state="visible" name="معدل تكرار الخدمة " sheetId="6" r:id="rId10"/>
    <sheet state="visible" name="معدل الاستمرار" sheetId="7" r:id="rId11"/>
    <sheet state="visible" name="طريقة عمل الاستقبال" sheetId="8" r:id="rId12"/>
    <sheet state="visible" name="طريقة عمل التقيم" sheetId="9" r:id="rId13"/>
    <sheet state="visible" name="طريقة  تنفيذ الخدمات" sheetId="10" r:id="rId14"/>
    <sheet state="visible" name="مواعيد تقديم الخدمات" sheetId="11" r:id="rId15"/>
    <sheet state="visible" name="الاستفادة من الخدمات" sheetId="12" r:id="rId16"/>
    <sheet state="visible" name="في حالة البالغين (إيه هي أهم اح" sheetId="13" r:id="rId17"/>
    <sheet state="visible" name="في حالة الأطفال (إيه أهم احتياج" sheetId="14" r:id="rId18"/>
    <sheet state="hidden" name="نسخة من تحليل الأستبيان 1" sheetId="15" r:id="rId19"/>
    <sheet state="visible" name="طريقة تعامل مسؤلة التأهيل" sheetId="16" r:id="rId20"/>
    <sheet state="visible" name="طريقة تعامل مسؤلين الجمعية" sheetId="17" r:id="rId21"/>
    <sheet state="visible" name="إيه هي أهم احتياجاتك اللي المشر" sheetId="18" r:id="rId22"/>
    <sheet state="visible" name="تغيرات الأسرة" sheetId="19" r:id="rId23"/>
    <sheet state="visible" name="تغيرات الجمعية" sheetId="20" r:id="rId24"/>
    <sheet state="visible" name="تغيرات المجتمع" sheetId="21" r:id="rId25"/>
    <sheet state="visible" name="تقيم الأنشطة" sheetId="22" r:id="rId26"/>
    <sheet state="visible" name="مقترحات المشروع" sheetId="23" r:id="rId27"/>
    <sheet state="visible" name="مميزات المشروع" sheetId="24" r:id="rId28"/>
    <sheet state="visible" name="عيوب المشروع" sheetId="25" r:id="rId29"/>
    <sheet state="visible" name="في حالة البالغين (إيه أهم التغي" sheetId="26" r:id="rId30"/>
    <sheet state="visible" name="(في حالة الأطفال) إيه هي أهم ال" sheetId="27" r:id="rId31"/>
  </sheets>
  <definedNames/>
  <calcPr/>
</workbook>
</file>

<file path=xl/sharedStrings.xml><?xml version="1.0" encoding="utf-8"?>
<sst xmlns="http://schemas.openxmlformats.org/spreadsheetml/2006/main" count="21125" uniqueCount="2357">
  <si>
    <t>الاسم</t>
  </si>
  <si>
    <t>الرقم القومي</t>
  </si>
  <si>
    <t>الرقم في قاعدة البيانات</t>
  </si>
  <si>
    <t>اسم القرية</t>
  </si>
  <si>
    <t>اسم المركز</t>
  </si>
  <si>
    <t>محافظة</t>
  </si>
  <si>
    <t>تاريخ الميلاد</t>
  </si>
  <si>
    <t>النوع الاجتماعي</t>
  </si>
  <si>
    <t>اسم المرافق (في حالة الأطفال)</t>
  </si>
  <si>
    <t>حالة المستفيد</t>
  </si>
  <si>
    <t>اذا كانت الإجابة السابقة منقطع ...من فضلك وضح لنا أسباب الإنقطاع</t>
  </si>
  <si>
    <t>إيه الخدمة اللي كنت بتاخدها/ كنت بتأخديها ... لنفسك/ لطفلك؟</t>
  </si>
  <si>
    <t>تكرار الحصول على الخدمة (كنت بتأخد / بتأخدي الخدمة دي كل قد إيه؟</t>
  </si>
  <si>
    <t>الاستمرار في الحصول على الخدمات (استمريت / ي قد إيه في المشروع من يوم ما بدأتت / ي لغاية لما وقفت الخدمة لك / ي)؟</t>
  </si>
  <si>
    <t>كام مرة أخدت / ي الخدمة طول فترة وجودك في المشروع؟</t>
  </si>
  <si>
    <t>رأيك إيه في الحاجات اللي حأقولك عليها دي؟</t>
  </si>
  <si>
    <t>(في حالة الأطفال) إيه هي أهم التغيرات اللي حصلت لك/أو لطفلك؟</t>
  </si>
  <si>
    <t>في حالة البالغين (إيه أهم التغيرات اللي حصلت لك أثناء المشروع؟)</t>
  </si>
  <si>
    <t>في حالة الأطفال (إيه أهم احتياجاتك /احتياجات طفلك اللي وفرها المشروع؟)</t>
  </si>
  <si>
    <t>في حالة البالغين (إيه هي أهم احتياجاتك اللي وفرها المشروع؟)</t>
  </si>
  <si>
    <t>إيه هي أهم احتياجاتك اللي المشروع مقدرش يوفرها؟</t>
  </si>
  <si>
    <t>هل لاحظت أي تغيرات في الأسرة نتيجة المشروع</t>
  </si>
  <si>
    <t>ايه هي التغيرات اللي لاحظتها في الأسرة؟</t>
  </si>
  <si>
    <t>هل لاحظت أي تغييرات في الجمعية نتيجة المشروع؟</t>
  </si>
  <si>
    <t>لو الإجابة بنعم - إيه التغيرات اللي لاحظتها في الجمعية؟</t>
  </si>
  <si>
    <t>هل لاحظت أي تغيرات في المجتمع نتيجة المشروع؟</t>
  </si>
  <si>
    <t>إذا كانت الإجابة نعم - إيه أهم التغيرات اللي لاحظتها في المجتمع نتيجة المشروع؟</t>
  </si>
  <si>
    <t>ساعدنا في تقييم الأنشطة المنفذة</t>
  </si>
  <si>
    <t>ماهي مميزات المشروع</t>
  </si>
  <si>
    <t>ما هي أكبر تحديات (عيوب )في المشروع ؟</t>
  </si>
  <si>
    <t>ماهي مقترحاتك للتحسين</t>
  </si>
  <si>
    <t>Open-Ended Response</t>
  </si>
  <si>
    <t>Response</t>
  </si>
  <si>
    <t>التاريخ / الوقت</t>
  </si>
  <si>
    <t>ذكر</t>
  </si>
  <si>
    <t>أنثى</t>
  </si>
  <si>
    <t>عدم القدرة على تحمل تكلفة الخدمة والإنتقالات</t>
  </si>
  <si>
    <t>صعوبة التواصل مع إدارة الجمعية في حالة وجود المشكلات</t>
  </si>
  <si>
    <t>طول فترة الإنتظار للحصول على الخدمة</t>
  </si>
  <si>
    <t>تأخر ظهور تطور او تحسن في حالة المستفيد</t>
  </si>
  <si>
    <t>عدم الإلتزام بمواعيد الجلسات - دون تواصل مسبق مع الأسرة</t>
  </si>
  <si>
    <t>الخوف من الوصمة الإجتماعية المرتبطة بالاستفادة من الخدمة</t>
  </si>
  <si>
    <t>لا تتوفر بيئة آمنة أو مريحة في مكان تقديم الخدمات</t>
  </si>
  <si>
    <t>صعوبة الوصول للوحدة</t>
  </si>
  <si>
    <t>مشاكل نفسية أو صحية أخرى تعيق الأسرة عن متابعة الخدمة</t>
  </si>
  <si>
    <t>أخرى (يرجى التحديد)</t>
  </si>
  <si>
    <t>تنمية قدرات</t>
  </si>
  <si>
    <t>تنمية مهارات لغوية</t>
  </si>
  <si>
    <t>تنمية مهارات أكاديمية</t>
  </si>
  <si>
    <t>تأهيل حركي</t>
  </si>
  <si>
    <t>تقييم نفسي</t>
  </si>
  <si>
    <t>زيارات منزلية</t>
  </si>
  <si>
    <t>الإرشاد الأسري</t>
  </si>
  <si>
    <t>علاج وأدوية</t>
  </si>
  <si>
    <t>أجهزة مساعدة</t>
  </si>
  <si>
    <t>خدمات اجتماعية</t>
  </si>
  <si>
    <t>في حالة إن الخدمة غير مذكورة في الاختيارات، برجاء ذكرها هنا</t>
  </si>
  <si>
    <t>في حالة الأم بتتلقى الخدمة بطريقة مختلفة رجاء التوضيح</t>
  </si>
  <si>
    <t>طريقة عمل الاستقبال</t>
  </si>
  <si>
    <t>طريقة عمل التقييم</t>
  </si>
  <si>
    <t>انتظام مواعيد تقديم الخدمة</t>
  </si>
  <si>
    <t>طريقة تنفيذ الخدمة</t>
  </si>
  <si>
    <t>استفادتك / استفادة طفلك من الخدمة</t>
  </si>
  <si>
    <t>طريقة تعامل مسئولة التأهيل مع الأسرة</t>
  </si>
  <si>
    <t>طريقة استقبال مسئول الجمعية لكم</t>
  </si>
  <si>
    <t>ابني/ بنتي بقى يعرف يتكلم أحسن</t>
  </si>
  <si>
    <t>ابني/ بنتي بقى يتحرك ويمشي</t>
  </si>
  <si>
    <t>ابني/بنتي بقى يروح المدرسة</t>
  </si>
  <si>
    <t>ابني/ بنتي مستواه اتحسن في المدرسة</t>
  </si>
  <si>
    <t>ابني/بنتي بقى يلعب مع الولاد</t>
  </si>
  <si>
    <t>ابني/بنتي بقى يروح يشتري الحاجة لوحده</t>
  </si>
  <si>
    <t>بقيت مطمنة عليه / عليها لوحده / لوحدها</t>
  </si>
  <si>
    <t>في حالة إن التغير غير مذكور في الاختيارات، برجاء ذكره هنا</t>
  </si>
  <si>
    <t>بدأت اهتم بنفسي أكثر</t>
  </si>
  <si>
    <t>بدات أخرج للشارع واختلط بالناس</t>
  </si>
  <si>
    <t>بدأت اتعلم حرفة جديدة</t>
  </si>
  <si>
    <t>بدأت اشارك في المناسبات الاجتماعية مع أسرتي</t>
  </si>
  <si>
    <t>معنوياتي ارتفعت ومابقتش أخاف من كلام الناس</t>
  </si>
  <si>
    <t>تنمية القدرات اللغوية</t>
  </si>
  <si>
    <t>تعديل السلوك</t>
  </si>
  <si>
    <t>التأهيل الحركي</t>
  </si>
  <si>
    <t>تنمية القدرات</t>
  </si>
  <si>
    <t>الدمج في التعليم</t>
  </si>
  <si>
    <t>استخراج بطاقة الخدمات المتكاملة</t>
  </si>
  <si>
    <t>توقف تنمر الأطفال عليه/ عليها</t>
  </si>
  <si>
    <t>أني فهمت حالة ابني/ بنتي وحسيت إن في أمل</t>
  </si>
  <si>
    <t>وفر لي مشروع صغير ومصدر دخل</t>
  </si>
  <si>
    <t>الأدوية / عمليات جراحية</t>
  </si>
  <si>
    <t>المساعدة الاجتماعية</t>
  </si>
  <si>
    <t>ساعدني على استخراج بطاقة الخدمات</t>
  </si>
  <si>
    <t>الدمج في الأسرة والمجتمع</t>
  </si>
  <si>
    <t>التعليم</t>
  </si>
  <si>
    <t>أعطاني أمل وطاقة نفسية اكمل حياتي</t>
  </si>
  <si>
    <t>الدمج في التعليم / الاستمرار في التعليم</t>
  </si>
  <si>
    <t>الدمج في المجتمع/ وعدم الخوف</t>
  </si>
  <si>
    <t>إني افهم حالتي/ حالة ابني أو بنتي</t>
  </si>
  <si>
    <t>مصدر دخل مستدام</t>
  </si>
  <si>
    <t>بطاقة الخدمات المتكاملة</t>
  </si>
  <si>
    <t>الأجهزة التعويضية</t>
  </si>
  <si>
    <t>تحسين حالة البيت</t>
  </si>
  <si>
    <t>المعاملة بقت أحسن</t>
  </si>
  <si>
    <t>وفرنا فلوس الجلسات بره القرية</t>
  </si>
  <si>
    <t>اتشجعنا نخرج ولادنا في كل مكان</t>
  </si>
  <si>
    <t>اتشجعنا نروح المدرسة</t>
  </si>
  <si>
    <t>الحالة النفسية بقت أفضل</t>
  </si>
  <si>
    <t>الاهتمام بالأشخاص ذوي الإعاقة</t>
  </si>
  <si>
    <t>توزيع مساعدات على ذوي الإعاقة وأسرهم</t>
  </si>
  <si>
    <t>اهتمام الجمعية بالتوسع في خدمات الإعاقة</t>
  </si>
  <si>
    <t>توعية المجتمع</t>
  </si>
  <si>
    <t>تنوع الخدمات المقدمة</t>
  </si>
  <si>
    <t>الجمعية مهتمة بحقوقنا وطريقة التعامل معانا</t>
  </si>
  <si>
    <t>تغيير في المدرسة والاهتمام بأطفالنا</t>
  </si>
  <si>
    <t>تغيير في معاملة المجتمع لأولادنا</t>
  </si>
  <si>
    <t>زيادة المساعدات والتبرعات</t>
  </si>
  <si>
    <t>قلة التنمر على الأطفال / الأشخاص ذوي الإعاقة</t>
  </si>
  <si>
    <t>زاد الوعي بحقوقنا وآداب التعامل مع الإعاقات المختلفة</t>
  </si>
  <si>
    <t>الجولات الحرة</t>
  </si>
  <si>
    <t>الأيام الترفيهية</t>
  </si>
  <si>
    <t>الندوات</t>
  </si>
  <si>
    <t>الأسر</t>
  </si>
  <si>
    <t>رودينا السيد سعد</t>
  </si>
  <si>
    <t>أسماء محمد عبد العال</t>
  </si>
  <si>
    <t>منقطع</t>
  </si>
  <si>
    <t>مرتين كل أسبوع</t>
  </si>
  <si>
    <t>سنة</t>
  </si>
  <si>
    <t>30 مرة فأقل</t>
  </si>
  <si>
    <t>جيد جدا</t>
  </si>
  <si>
    <t>لايوجد</t>
  </si>
  <si>
    <t>نعم</t>
  </si>
  <si>
    <t>مفيدة جدا</t>
  </si>
  <si>
    <t>حلو ومفيد لعيالنا</t>
  </si>
  <si>
    <t>المشوار من وسط البلد</t>
  </si>
  <si>
    <t>مقر الجمعية يبقي قريب</t>
  </si>
  <si>
    <t>انس شعبان عبد المحسن</t>
  </si>
  <si>
    <t>سدس</t>
  </si>
  <si>
    <t>ببا</t>
  </si>
  <si>
    <t>بني سويف</t>
  </si>
  <si>
    <t>صفاء رافت محمد</t>
  </si>
  <si>
    <t>منتظم في الخدمة</t>
  </si>
  <si>
    <t>منتظم</t>
  </si>
  <si>
    <t>الطفل يتلقي الخدمه يوميه</t>
  </si>
  <si>
    <t>3 شهور</t>
  </si>
  <si>
    <t>50 مرة فأقل</t>
  </si>
  <si>
    <t>حيد</t>
  </si>
  <si>
    <t>لا يوجد</t>
  </si>
  <si>
    <t>مفيدة</t>
  </si>
  <si>
    <t>وجود خدمات تأهيلية</t>
  </si>
  <si>
    <t>وجوده ايام ترفيهية مشاركه مع الطفل واندماجه مع أطفال آخرين للعب</t>
  </si>
  <si>
    <t>وجود دكتور او استشاري لمتابعه حاله الطفل وتطور</t>
  </si>
  <si>
    <t>أميرة حمدان سلامه</t>
  </si>
  <si>
    <t>هيلة</t>
  </si>
  <si>
    <t>حمدان سلامه</t>
  </si>
  <si>
    <t>مرتين كل شهر</t>
  </si>
  <si>
    <t>أكثر من 50 مرة</t>
  </si>
  <si>
    <t>تغيرات بسيطة</t>
  </si>
  <si>
    <t>توفير خدمه زيارات منزلية داخل الوحده</t>
  </si>
  <si>
    <t>الاستمرارية في الزيارات المنزلية</t>
  </si>
  <si>
    <t>بوسي حلمي عبد الحميد</t>
  </si>
  <si>
    <t>بشكل جزئي</t>
  </si>
  <si>
    <t>توفير خدمه زيارات منزلية</t>
  </si>
  <si>
    <t>سيف شريف عبد المنعم</t>
  </si>
  <si>
    <t>شريف عبد المنعم</t>
  </si>
  <si>
    <t>زيارات منزلية وتوفير مشروع صغير للأسرة لزيادة الدخل</t>
  </si>
  <si>
    <t>شريفه عبد الفتاح بيومي</t>
  </si>
  <si>
    <t>النويرة</t>
  </si>
  <si>
    <t>اهناسيا</t>
  </si>
  <si>
    <t>خالد جمعه سيد</t>
  </si>
  <si>
    <t>حسب الاحتياج</t>
  </si>
  <si>
    <t>سنتين</t>
  </si>
  <si>
    <t>بقي فى سراير ننام عليها ، والرسالة ريحتنى من الغسيل على أيدى وكمان المرتبة الهوائية ريحت خالد شويه ولسه محتاج متابعه مع الدكتور</t>
  </si>
  <si>
    <t>وفرلنا مساعدات 3سراير ، مراتب ، مرتبه هوائية وغسالة</t>
  </si>
  <si>
    <t>كمان وفرلنا كشف ومتابعة لخالد وأدوية للقرح</t>
  </si>
  <si>
    <t>علاج طبيعى</t>
  </si>
  <si>
    <t>ثريا عبد الفتاح بيومي</t>
  </si>
  <si>
    <t>توفير زيارات منزلية</t>
  </si>
  <si>
    <t>رضا حسن علي</t>
  </si>
  <si>
    <t>بسكوته عبد الفتاح</t>
  </si>
  <si>
    <t>تشجيع تتفاعل مع الناس</t>
  </si>
  <si>
    <t>استمرار خدمه الزيارات المنزلية</t>
  </si>
  <si>
    <t>جنه أحمد عطية</t>
  </si>
  <si>
    <t>احمد عطية</t>
  </si>
  <si>
    <t>ممتاز</t>
  </si>
  <si>
    <t>اللزمات قلت ، المشاكل السلوكية اتحسنت وبقت لتتواصل</t>
  </si>
  <si>
    <t>توفير خدمات فى القرية</t>
  </si>
  <si>
    <t>تحسن حالات ولادنا</t>
  </si>
  <si>
    <t>اتعلمنا ازاى نشتغل مع ولادنا</t>
  </si>
  <si>
    <t>عدد الجلسات قليل وبنتى كانت محتاجه تكثيف</t>
  </si>
  <si>
    <t>استمرار المشروع</t>
  </si>
  <si>
    <t>توفير جلسات مكثفه</t>
  </si>
  <si>
    <t>متابعة الولاد فى المدارس</t>
  </si>
  <si>
    <t>ثريا فتحي عبد الحميد</t>
  </si>
  <si>
    <t>التفاعل أكثر مع الجيران</t>
  </si>
  <si>
    <t>توفير زيارات المنزلية للوصول إلى حالات الحرجه ذوي إعاقة شديدة</t>
  </si>
  <si>
    <t>الاستمرار في زيارات منزلية</t>
  </si>
  <si>
    <t>محمد احمد حسن</t>
  </si>
  <si>
    <t>اسلام اشرف حسن</t>
  </si>
  <si>
    <t>اندماجه في الانشطه</t>
  </si>
  <si>
    <t>الاستمرار في توفير خدمه الجلسات التأهيلية للطفل ، والاستمرار في الانشطه</t>
  </si>
  <si>
    <t>اصبحت الأسرة تتطمن علي الطفل بشكل أكبر ، وخروجه الي الشارع للعب مع أقرانه</t>
  </si>
  <si>
    <t>وجود انشطه ترفيهيه</t>
  </si>
  <si>
    <t>وجود وحدة داخل القرية للتعامل مع اطفال ذوي إعاقة وتقديم خدمات لهم</t>
  </si>
  <si>
    <t>الاستمرار في توفير انشطه أو زيادة الانشطه الترفيهية لدمج الاطفال في المجتمع بشكل اكبر</t>
  </si>
  <si>
    <t>تقديم الدعم بشكل أكبر للمسؤولات التأهيل من خلال التدريبات</t>
  </si>
  <si>
    <t>وجود اخصائيين نفسيين لمتابعة داخل الوحدة</t>
  </si>
  <si>
    <t>وائل جمعه حافظ</t>
  </si>
  <si>
    <t>سحر حنفى</t>
  </si>
  <si>
    <t>ورش الاسر كانت مفيدة جدا</t>
  </si>
  <si>
    <t>قدرت اطلع ببنى واتوفرله خدمة مكنتش عارفه اودى خدمات غاليه جدا عليا</t>
  </si>
  <si>
    <t>استمرار المشروع ، تكثيف الجلسات</t>
  </si>
  <si>
    <t>رويدا نادي قرني</t>
  </si>
  <si>
    <t>اسماء ثروت سيد</t>
  </si>
  <si>
    <t>الاستمرار في توفير خدمه الجلسات التأهيلية للطفلة</t>
  </si>
  <si>
    <t>وجود خدمات تأهيلية داخل الوحدة</t>
  </si>
  <si>
    <t>زيادة وعي المجتمع بقضية الإعاقة ، والتعامل مع الاطفال وأشخاص ذوي إعاقة</t>
  </si>
  <si>
    <t>الاستمرار في توفير جلسات تأهيلية داخل الوحدة</t>
  </si>
  <si>
    <t>معتز محمود خليل ابراهيم</t>
  </si>
  <si>
    <t>اسماء على سعد محمد</t>
  </si>
  <si>
    <t>توفير مساعدات مادية</t>
  </si>
  <si>
    <t>الاهتمام بالطفل وتقديم الخدمات داخل القرية .</t>
  </si>
  <si>
    <t>استمرار تقديم الخدمة</t>
  </si>
  <si>
    <t>زيادة عدد الجلسات</t>
  </si>
  <si>
    <t>سندس محمد</t>
  </si>
  <si>
    <t>محمد عبد السلام</t>
  </si>
  <si>
    <t>تنفيذ تقييمات نفسية للطفل لمعرفه مستواها</t>
  </si>
  <si>
    <t>عدم توافر مساعدات مجتمعية كثيرة</t>
  </si>
  <si>
    <t>توفير مشروع صغيرة للأسرة</t>
  </si>
  <si>
    <t>عبد الرحمن عبود عثمان</t>
  </si>
  <si>
    <t>اسماء عبد الرحمن محمد على</t>
  </si>
  <si>
    <t>مرة كل أسبوع</t>
  </si>
  <si>
    <t>وفر لنا هدمة بالقرية</t>
  </si>
  <si>
    <t>وفر خدمه مجانية مكناش عارفه نلخدها</t>
  </si>
  <si>
    <t>ساعد ولادنا يتعلموا مهارات افضل</t>
  </si>
  <si>
    <t>متابعة الاطفال</t>
  </si>
  <si>
    <t>رويدا محمد عبد السلام</t>
  </si>
  <si>
    <t>نفسية يوسف عبد المقصود</t>
  </si>
  <si>
    <t>توفير المساعدات المجتمعيه</t>
  </si>
  <si>
    <t>تفاعل الطفلة مع الاقران في الأنشطة</t>
  </si>
  <si>
    <t>عدم وجود دكتور او استشاري متخصص لتشخيص حاله الطفل</t>
  </si>
  <si>
    <t>التعاون الوحده مع دكاترة أو اخصائيين لإحالة الاطفال ليهم</t>
  </si>
  <si>
    <t>روضة أحمد علي عبدالمعبود</t>
  </si>
  <si>
    <t>النواميس</t>
  </si>
  <si>
    <t>الواسطي</t>
  </si>
  <si>
    <t>الأم</t>
  </si>
  <si>
    <t>9 شهور</t>
  </si>
  <si>
    <t>20 مرة فأقل</t>
  </si>
  <si>
    <t>توفير خدمات منزلية</t>
  </si>
  <si>
    <t>كيفية التعامل مع بنتي</t>
  </si>
  <si>
    <t>لا توجد</t>
  </si>
  <si>
    <t>توفير خدمات أكثر منزلية</t>
  </si>
  <si>
    <t>عمل توعية في البلاد البعيدة</t>
  </si>
  <si>
    <t>عمل حضانة للأطفال ذوي الإعاقة</t>
  </si>
  <si>
    <t>عبد الرحمن محمود رضوان عبد الحميد</t>
  </si>
  <si>
    <t>اسماء حمدى احمد محمد</t>
  </si>
  <si>
    <t>متاحه أنشطة رياضية كتدريب السباحة أو كرة القدم</t>
  </si>
  <si>
    <t>إتاحة الخدمات داخل القرية</t>
  </si>
  <si>
    <t>توفير خدمة مجانية</t>
  </si>
  <si>
    <t>فهم حاله ابنى وتوعية المجتمع</t>
  </si>
  <si>
    <t>استمرار تقديم الخدمات</t>
  </si>
  <si>
    <t>توفير خدمات نادى بالقرية لاتاحه الانشطة الرياضية</t>
  </si>
  <si>
    <t>معاذ احمد رفعت بريك</t>
  </si>
  <si>
    <t>معصرة ابوصير</t>
  </si>
  <si>
    <t>اسماء ناجي عبدالله (الام )</t>
  </si>
  <si>
    <t>ليس بالغ</t>
  </si>
  <si>
    <t>حسن المعامله مع اطفالنا</t>
  </si>
  <si>
    <t>تنوع الخدمات</t>
  </si>
  <si>
    <t>التشجيع والدعم النفسي لنا ولاطفالنا</t>
  </si>
  <si>
    <t>عمل حضانة للأطفال من ذوي الاعاقة</t>
  </si>
  <si>
    <t>عمل ندوات في البلاد البعيدة عن الأعاقات</t>
  </si>
  <si>
    <t>توعية الأسر بالتنمر وكيفية التعامل معه</t>
  </si>
  <si>
    <t>ادم مصطفي محمد</t>
  </si>
  <si>
    <t>ناديه محمد فواز</t>
  </si>
  <si>
    <t>منتظم في الخدمه</t>
  </si>
  <si>
    <t>خدمه تكامل حسي</t>
  </si>
  <si>
    <t>التعامل مع الطفل في البيت وفهم حالته</t>
  </si>
  <si>
    <t>عدم توفر إمكانيات كافيه لتطور حاله الطفل مثل اضافه خدمات أخري داخل الوحدة ( تكامل حسي )</t>
  </si>
  <si>
    <t>ريتاج محمد حامد</t>
  </si>
  <si>
    <t>الأم سوسن علي عبدالمعبود</t>
  </si>
  <si>
    <t>توفير خدمات قريبة</t>
  </si>
  <si>
    <t>توعية احنا كأسر</t>
  </si>
  <si>
    <t>توفير خدمات أكثر</t>
  </si>
  <si>
    <t>ابراهيم حماده فرحات</t>
  </si>
  <si>
    <t>ابوصير الملق</t>
  </si>
  <si>
    <t>ساميه رجب علي</t>
  </si>
  <si>
    <t>الاهتمام باحتياجات الطفل</t>
  </si>
  <si>
    <t>والاهتمام باحتياج الاسر</t>
  </si>
  <si>
    <t>كثره الندوات</t>
  </si>
  <si>
    <t>التدريب المستمر</t>
  </si>
  <si>
    <t>ان يكون الشغل صباحي ومسائي</t>
  </si>
  <si>
    <t>مريم حماده محمد</t>
  </si>
  <si>
    <t>الام</t>
  </si>
  <si>
    <t>زيارات منزليه</t>
  </si>
  <si>
    <t>تحسن بسيط في الحركه</t>
  </si>
  <si>
    <t>تاهيل وعمل جلسات في البيت</t>
  </si>
  <si>
    <t>الاهتمام بالاسر</t>
  </si>
  <si>
    <t>القاء ندوات خارج الجميعه</t>
  </si>
  <si>
    <t>استمرار الزيارات المنزليه</t>
  </si>
  <si>
    <t>محمد رئيس سليمان</t>
  </si>
  <si>
    <t>الاهتمام بالندوات</t>
  </si>
  <si>
    <t>المتابعه المستمره</t>
  </si>
  <si>
    <t>الاهتمام بالمساعدات</t>
  </si>
  <si>
    <t>الاهتمام بالجلسات</t>
  </si>
  <si>
    <t>ايه هلال سليمان عبدالفضيل</t>
  </si>
  <si>
    <t>لا</t>
  </si>
  <si>
    <t>التقييم المستمر</t>
  </si>
  <si>
    <t>زياده الكفاءه</t>
  </si>
  <si>
    <t>زياده عدد مسئولات التاهيل</t>
  </si>
  <si>
    <t>التحديث المستمر في البرامج</t>
  </si>
  <si>
    <t>مكه جمعه سيد جمعه</t>
  </si>
  <si>
    <t>زينب عبدالسميع قرني</t>
  </si>
  <si>
    <t>تنوع الخدمات المقدمه</t>
  </si>
  <si>
    <t>تقديم الدعم النفسي وتشجيعنا علي التعامل مع اطفالنا</t>
  </si>
  <si>
    <t>وجود حضانه</t>
  </si>
  <si>
    <t>دعاء أيمن رجب</t>
  </si>
  <si>
    <t>مرة كل شهر</t>
  </si>
  <si>
    <t>وصول مسؤل التأهيل الي المنزل</t>
  </si>
  <si>
    <t>تقديم الدعم النفسي وتشجيعنا علي التعامل</t>
  </si>
  <si>
    <t>عد استمرار الخدمه</t>
  </si>
  <si>
    <t>توفير وسائل مجانيه للاطفال ذوي الاعاقه</t>
  </si>
  <si>
    <t>دعاء جمعه سليم</t>
  </si>
  <si>
    <t>ارزاق (الام)</t>
  </si>
  <si>
    <t>دعاء طفله وليست بالغة</t>
  </si>
  <si>
    <t>ورش العمل مع الامهات</t>
  </si>
  <si>
    <t>الاستمرار</t>
  </si>
  <si>
    <t>احمد محمود مرسي</t>
  </si>
  <si>
    <t>معصره ابوصير الملق</t>
  </si>
  <si>
    <t>نعمه حسني (الام)</t>
  </si>
  <si>
    <t>منتظم في الجلسات</t>
  </si>
  <si>
    <t>احمد طفل صغير وليس بالغ</t>
  </si>
  <si>
    <t>تدريب الأمهات من خلال ورش العمل</t>
  </si>
  <si>
    <t>السماح للام حضور جلسه الطفل</t>
  </si>
  <si>
    <t>لا يوجد عيوب</t>
  </si>
  <si>
    <t>مد الوحده بالدعم الفني الدائم</t>
  </si>
  <si>
    <t>الاستمرارية في المشروع حفاظا علي بقاء الوحده</t>
  </si>
  <si>
    <t>رنا عيد سيد</t>
  </si>
  <si>
    <t>دعاء عيد سيد</t>
  </si>
  <si>
    <t>رنا بالغه</t>
  </si>
  <si>
    <t>ورش العمل</t>
  </si>
  <si>
    <t>خدمه الزيارات المنزليه جيده</t>
  </si>
  <si>
    <t>أعطت رنا الحق في التعامل مره آخري والمشاركه</t>
  </si>
  <si>
    <t>الزياره مرتين في الشهر قليله</t>
  </si>
  <si>
    <t>في المنزل الادوات ليست متوفره مثل الوحده</t>
  </si>
  <si>
    <t>زياده عدد الزيارات</t>
  </si>
  <si>
    <t>توفير مكان للأشخاص البالغين في الوحده لقضاء أوقاتهم وللرعايه النهاريه</t>
  </si>
  <si>
    <t>انس خالد كمال حامد</t>
  </si>
  <si>
    <t>عزه عبدالمحسن (الام)</t>
  </si>
  <si>
    <t>طفل 7سنوات</t>
  </si>
  <si>
    <t>انس طفل وليس بالغا</t>
  </si>
  <si>
    <t>التدريبات الجديده للمسؤلات</t>
  </si>
  <si>
    <t>الاشراف الفني الدائم</t>
  </si>
  <si>
    <t>ورش العمل للامهات</t>
  </si>
  <si>
    <t>حسيت أنه انتهي بسرعه</t>
  </si>
  <si>
    <t>زياده الدعم الفني للوحده</t>
  </si>
  <si>
    <t>الاستمرارية في العمل مع الوحده</t>
  </si>
  <si>
    <t>طرق وأساليب جديده للعمل في الوحده</t>
  </si>
  <si>
    <t>يوسف ماهر عبد العزيز</t>
  </si>
  <si>
    <t>مركز ببا</t>
  </si>
  <si>
    <t>فاطمه محمود محمد</t>
  </si>
  <si>
    <t>3 مرات كل أسبوع</t>
  </si>
  <si>
    <t>سليمان ابو شهيه احمد</t>
  </si>
  <si>
    <t>جزيرة ببا</t>
  </si>
  <si>
    <t>محمد مبروك</t>
  </si>
  <si>
    <t>انتهاء الخدمه</t>
  </si>
  <si>
    <t>10 مرات فأقل</t>
  </si>
  <si>
    <t>زياده مصدر الدخل</t>
  </si>
  <si>
    <t>الاستمرار وتمويل المشروع مره اخرى</t>
  </si>
  <si>
    <t>توفير مشروعات صغيرة</t>
  </si>
  <si>
    <t>عدم استمرار في تمويل المشروع</t>
  </si>
  <si>
    <t>رغدة عبد السلام حسين</t>
  </si>
  <si>
    <t>الجزيرة الشرقية العجرة</t>
  </si>
  <si>
    <t>حسين عبد السلام حسين</t>
  </si>
  <si>
    <t>تحسنت سلوكياتها</t>
  </si>
  <si>
    <t>توفير خدمات</t>
  </si>
  <si>
    <t>تحسن بنتى</t>
  </si>
  <si>
    <t>سعيد عاطف مسلم محمد</t>
  </si>
  <si>
    <t>الجزيرة الشرقية الذهايبة</t>
  </si>
  <si>
    <t>نورا مسلم حسن</t>
  </si>
  <si>
    <t>وفر خدمة بالبيت</t>
  </si>
  <si>
    <t>اتوفر معاش كرامه</t>
  </si>
  <si>
    <t>اتوفر مساعدات</t>
  </si>
  <si>
    <t>حمزة احمد سيد</t>
  </si>
  <si>
    <t>حنان سمير بهلول</t>
  </si>
  <si>
    <t>حنين ربيع احمد</t>
  </si>
  <si>
    <t>اماني ربيع</t>
  </si>
  <si>
    <t>سفر الاسرة الي القاهرة</t>
  </si>
  <si>
    <t>توفير خدمه الجلسات التأهليله</t>
  </si>
  <si>
    <t>توفير مساعدات مجتمعية</t>
  </si>
  <si>
    <t>بعد المسافه عن منزل</t>
  </si>
  <si>
    <t>زيادة تكلفه الانتقالات</t>
  </si>
  <si>
    <t>فايل يوسف مسلم حسن</t>
  </si>
  <si>
    <t>يوسف مسلم حسن سيد</t>
  </si>
  <si>
    <t>تم توفير سقف للمنزل</t>
  </si>
  <si>
    <t>استكمال محارة البيت والكهرباء اتعمل بس السقف</t>
  </si>
  <si>
    <t>فى خدمات متنوعة ساعدت ابنى يتكلم بشكل افضل</t>
  </si>
  <si>
    <t>توفير سقف للبيت</t>
  </si>
  <si>
    <t>استكمال تحسين البيت</t>
  </si>
  <si>
    <t>الاهتمام بتحسين المعيشه وتوفير مقر للوحدة بالجزيرة الشرقية</t>
  </si>
  <si>
    <t>اسماء محمود سعد</t>
  </si>
  <si>
    <t>مني ربيع محمود</t>
  </si>
  <si>
    <t>توفير مساعدات اجتماعية</t>
  </si>
  <si>
    <t>شهد محمد ابراهيم</t>
  </si>
  <si>
    <t>الزرابى</t>
  </si>
  <si>
    <t>باتعة حبيب احمد</t>
  </si>
  <si>
    <t>منتظمة</t>
  </si>
  <si>
    <t>المشروع وفر مصدر دخل وبنتى اتحسنت مفيش حاجه الحمد لله</t>
  </si>
  <si>
    <t>تحسن المستوى المعيشي بعد توفير دخل من المشروع</t>
  </si>
  <si>
    <t>توفير مشروع صغير</t>
  </si>
  <si>
    <t>تقديم ارشادات للتعامل مع الفتاه</t>
  </si>
  <si>
    <t>دعم الفتاه نفسيا وتدريبها على تنفيذ مهارات منزلية</t>
  </si>
  <si>
    <t>زيادة قيمة المشروع علشان يساعدنى على التوسع</t>
  </si>
  <si>
    <t>فاطمه محمد سيد</t>
  </si>
  <si>
    <t>ايمان محمد سيد</t>
  </si>
  <si>
    <t>وجوده ايام ترفيهية مشاركه مع الطفلة واندماجه مع أطفال آخرين للعب</t>
  </si>
  <si>
    <t>قرب الوحدة من المنزل لسهوله الوصول إليها</t>
  </si>
  <si>
    <t>احمد محمود محمد</t>
  </si>
  <si>
    <t>عرب شنت</t>
  </si>
  <si>
    <t>مها فاروق ابراهيم</t>
  </si>
  <si>
    <t>أن ابنى بقي بيتكلم</t>
  </si>
  <si>
    <t>قدرنا نلاقى خدمات التخاطب بدل ما كنا بنروح بنى سويف</t>
  </si>
  <si>
    <t>عائشه احمد ابو شهبه</t>
  </si>
  <si>
    <t>ناديه سيد حسن</t>
  </si>
  <si>
    <t>الاهتمام بالأطفال من ذوي اعاقه لا</t>
  </si>
  <si>
    <t>يارا سيد سمير</t>
  </si>
  <si>
    <t>رشا قرني علي</t>
  </si>
  <si>
    <t>تأهيل مهني</t>
  </si>
  <si>
    <t>تطور وتحسن في حالة الطفلة وتنميه قدراته</t>
  </si>
  <si>
    <t>انجى محمد محمود عبد اللطيف</t>
  </si>
  <si>
    <t>الجزيرة الشرقيه ببا</t>
  </si>
  <si>
    <t>رجاء فتحى عبد العظيم ابراهيم</t>
  </si>
  <si>
    <t>تحسين البيت</t>
  </si>
  <si>
    <t>وفر خدمات مكنتش عارفين نوصلها</t>
  </si>
  <si>
    <t>ساعدونا فى تحسين البيت</t>
  </si>
  <si>
    <t>أن يبقى فى دمج فى بلادنا فى الزرايبه المدارس مش بيقبلوا وعلشان كده راحت مدرسه فى العجرة</t>
  </si>
  <si>
    <t>عبد الله حسن عبد الرازق</t>
  </si>
  <si>
    <t>قرية ببا</t>
  </si>
  <si>
    <t>عبير بخيت دامس</t>
  </si>
  <si>
    <t>تحسن تنميه مهارات الطفل</t>
  </si>
  <si>
    <t>اندماج الطفل مع الاقران من خلال المشاركه في الانشطه</t>
  </si>
  <si>
    <t>زيادة تكلفه المواصلات للوصول إلي الوحدة</t>
  </si>
  <si>
    <t>جمال عبد الله احمد متولى</t>
  </si>
  <si>
    <t>ناريمان محمد جيرة</t>
  </si>
  <si>
    <t>مشروع صغير</t>
  </si>
  <si>
    <t>المشروع ساعد فى توفير مصدر دخل للاسرة</t>
  </si>
  <si>
    <t>ساعدنا فى توفير مصدر دخل</t>
  </si>
  <si>
    <t>محمد محمد عدلي فريج</t>
  </si>
  <si>
    <t>فزارة</t>
  </si>
  <si>
    <t>حاجة كويسة فعلاً</t>
  </si>
  <si>
    <t>تقريب المشوار وقلة المصاريف</t>
  </si>
  <si>
    <t>معتز احمد محمود محمد</t>
  </si>
  <si>
    <t>ايمان ابراهيم احمد</t>
  </si>
  <si>
    <t>6 شهور</t>
  </si>
  <si>
    <t>زياده الوعي عند الأسر</t>
  </si>
  <si>
    <t>مساعده الاطفال</t>
  </si>
  <si>
    <t>لوجى عمرو احمد محمود</t>
  </si>
  <si>
    <t>عمرو احمد محمود</t>
  </si>
  <si>
    <t>خلت البنت بقي عندها ثقه بنفسها</t>
  </si>
  <si>
    <t>سلسبيل عمرو احمد محمود</t>
  </si>
  <si>
    <t>رحمه شعبان رجب</t>
  </si>
  <si>
    <t>طفل</t>
  </si>
  <si>
    <t>البنت بقيت تتكلم</t>
  </si>
  <si>
    <t>الندوات كانت مفيدة</t>
  </si>
  <si>
    <t>بنتى بقت بتثق بنفسها</t>
  </si>
  <si>
    <t>زياده الأنشطة الاجتماعيه والترفيه للاطفال</t>
  </si>
  <si>
    <t>فارس مصطفى ناجى سعد</t>
  </si>
  <si>
    <t>اسماء حسين محمد</t>
  </si>
  <si>
    <t>إنهاء الخدمة لتحسن الطفل</t>
  </si>
  <si>
    <t>بقي مندمج ومتفاعل مع الناس وأصحابه فى الفصل</t>
  </si>
  <si>
    <t>التعامل مع الاطفال</t>
  </si>
  <si>
    <t>تحديد احتياجات الطفل ومساعدة ولى الأمر ازاى يتقبل مشكله طفل ويوصل لحقوقه</t>
  </si>
  <si>
    <t>يتقبلوا اى حالة اى كانت مشكلتها</t>
  </si>
  <si>
    <t>توفير استضافه للاطفال بحيث يتعلموا وقت أطول ويتفاعلوا</t>
  </si>
  <si>
    <t>فيروز سعد سيد</t>
  </si>
  <si>
    <t>اسماء حمدي جمعه</t>
  </si>
  <si>
    <t>الطفلة يتلقي الخدمه يوميه</t>
  </si>
  <si>
    <t>أصبح الطفله تعبر بشكل أفضل</t>
  </si>
  <si>
    <t>توجد الطفله في الخدمه واستمرارها في الخدمه</t>
  </si>
  <si>
    <t>الايام الترفيهيه ( في شكل رحلات )</t>
  </si>
  <si>
    <t>زيادة وعي الأسرة بحاله الطفل وحقوقه</t>
  </si>
  <si>
    <t>تغيير الحاله نفسية الطفل لاندماجه في الانشطه وفي فصول الاستضافة</t>
  </si>
  <si>
    <t>زيادة وعي الاقران ومن في عمره وتقبوله بالتعامل مع الاطفال من ذوي الاعاقه</t>
  </si>
  <si>
    <t>زيادة الانشطه للاطفال</t>
  </si>
  <si>
    <t>حمزة اسلام على عبد المعبود</t>
  </si>
  <si>
    <t>ايه ناصر سيد</t>
  </si>
  <si>
    <t>شهرين</t>
  </si>
  <si>
    <t>توفير خدمات التخاطب ، ابنى بقي بيتكلم الاول مكنش حد بيفهمه</t>
  </si>
  <si>
    <t>الجلسات كانت مجانية</t>
  </si>
  <si>
    <t>كرمة طه محمد ابراهيم</t>
  </si>
  <si>
    <t>الشيماء صبحى</t>
  </si>
  <si>
    <t>توفير خدمات جوه القرية</t>
  </si>
  <si>
    <t>رفع وعى المجتمع وقله التنمر</t>
  </si>
  <si>
    <t>ورش توعويه للاطفال للحد من التنمر</t>
  </si>
  <si>
    <t>ورش توعوية للاطفال لحماية نفسهم من الاساءات</t>
  </si>
  <si>
    <t>ادم علي حسن</t>
  </si>
  <si>
    <t>اسماء حسين قرني</t>
  </si>
  <si>
    <t>أصبح يتعامل مع الأسرة بشكل أفضل</t>
  </si>
  <si>
    <t>وجود خدمات تأهيلية ( جلسات تأهيلية مخصص لجميع انواع الاعاقات )</t>
  </si>
  <si>
    <t>وجود مسؤولات تأهيل واخصائيين قادرين علي التعامل ع الطفل</t>
  </si>
  <si>
    <t>تنميه مهارات الطفل وتحسن حالته</t>
  </si>
  <si>
    <t>تنفيذ ايام ترفيهيه بشكل أكبر لدمج الطفل في المجتمع</t>
  </si>
  <si>
    <t>عبد الرحمن رجب عيد</t>
  </si>
  <si>
    <t>اسماء بدوى عويس</t>
  </si>
  <si>
    <t>بسبب الانتظام فى الدراسة</t>
  </si>
  <si>
    <t>محتاجين توعيه أكثر لاطفال المدارس ازاى يتعاملوا مع ولادنا</t>
  </si>
  <si>
    <t>ازاى اتعامل مع ابنى واشتغل معاه فى البيت</t>
  </si>
  <si>
    <t>اتوفروا خدمات مكنتش قادرة أودية وادفع فلوسها</t>
  </si>
  <si>
    <t>مشاركة ابنى فى الأنشطة الترفيهية</t>
  </si>
  <si>
    <t>توعيه المدرسين والأطفال بالمدارس</t>
  </si>
  <si>
    <t>تدريب الطفل على المهارات المهنية ، ابنى عنده أعمامه صناعيه ويحاول يصنع حاجات والمسامير والطغيان والشراكة</t>
  </si>
  <si>
    <t>حمزه محمد حسين</t>
  </si>
  <si>
    <t>شيماء شعبان لملوم</t>
  </si>
  <si>
    <t>المشاركه في الأيام الترفيهيه</t>
  </si>
  <si>
    <t>تقديم خدمه ارشاد أسري ، تعديل سلوك الطفل ( مشكلات السلوكية )</t>
  </si>
  <si>
    <t>١ـ سهوله الوصول إلي الوحدة</t>
  </si>
  <si>
    <t>٢- تقديم الخدمات داخل الوحدة لوجودها داخل القريه</t>
  </si>
  <si>
    <t>١- تعامل مسؤوله التأهيل مع الطفل بشكل احسن بما ادي الي تحسن حالته</t>
  </si>
  <si>
    <t>يوسف وليد</t>
  </si>
  <si>
    <t>سميه رجب عبد العزيز</t>
  </si>
  <si>
    <t>أدوات مدرسية ، ملابس ، شنطة مدرسية</t>
  </si>
  <si>
    <t>بقي منظم فى البيت ، بيرتب هدومه ويحطها مكانها ، بقي فاهمنا</t>
  </si>
  <si>
    <t>محتاجه بتعلم أنشطة يدويه أو مهارات مهنية يقدر لما يكبر يقوم بها وتكون مصدر دخل ليه</t>
  </si>
  <si>
    <t>اكبر ميزة توفير الخدمات فى القرية وفر وقت وفلوس</t>
  </si>
  <si>
    <t>ورش الأسر كانت مفيد جدا</t>
  </si>
  <si>
    <t>الخدمات ساعدت ابنى بتحسن ويتعامل مع الناس</t>
  </si>
  <si>
    <t>عدد الجلسات قليلة ، محتاجين جلسات يوميا</t>
  </si>
  <si>
    <t>توفير جلسات لتنمية المهارات المهنية</t>
  </si>
  <si>
    <t>حمزه طلعت عبدالستار</t>
  </si>
  <si>
    <t>مناشي ابوصير</t>
  </si>
  <si>
    <t>الاول:فاطمه عبدالتواب محمد</t>
  </si>
  <si>
    <t>توفير أقرب مكان</t>
  </si>
  <si>
    <t>التعاون</t>
  </si>
  <si>
    <t>توفير برامج رياضيه</t>
  </si>
  <si>
    <t>حمزه احمد سيد</t>
  </si>
  <si>
    <t>الام :حنان سمير بهلول</t>
  </si>
  <si>
    <t>الانضباط</t>
  </si>
  <si>
    <t>تزويد الايام الترفيهيه</t>
  </si>
  <si>
    <t>جنى محمد على</t>
  </si>
  <si>
    <t>دعاء عيد</t>
  </si>
  <si>
    <t>هديت جدا فى الاول كانت عصبيه</t>
  </si>
  <si>
    <t>وفر جلسات متنوعة للطفلة</t>
  </si>
  <si>
    <t>ساعد على رفع وعى المجتمع</t>
  </si>
  <si>
    <t>قرب المكان قال تكلفه الانتقال للمدينة</t>
  </si>
  <si>
    <t>جلسات دعم نفسى للاسر</t>
  </si>
  <si>
    <t>ناهد الداخلى عبد الرحمن</t>
  </si>
  <si>
    <t>الجزيرة الشرقية</t>
  </si>
  <si>
    <t>معانى سيد محمد مسلم</t>
  </si>
  <si>
    <t>اسماء مزاج عبدالتواب</t>
  </si>
  <si>
    <t>زاوية هارون</t>
  </si>
  <si>
    <t>ديروط</t>
  </si>
  <si>
    <t>أسيوط</t>
  </si>
  <si>
    <t>مزاج عبدالتواب</t>
  </si>
  <si>
    <t>لتحسين مستوي الاعاقة</t>
  </si>
  <si>
    <t>مواجهة التحديات والتغلب علي الصعوبات</t>
  </si>
  <si>
    <t>فهم مشاعر ومعاناة الآخرين</t>
  </si>
  <si>
    <t>غير متوفر لهم دخل قومي ثابت</t>
  </si>
  <si>
    <t>عدم توفر لهم بعض المستلزمات المهمه</t>
  </si>
  <si>
    <t>التحديات العاطفيه والاجتماعية</t>
  </si>
  <si>
    <t>توفير دخل قومي شهريا</t>
  </si>
  <si>
    <t>توفير مستلزمات طبية وعلاجيه</t>
  </si>
  <si>
    <t>تحسين المستوي المادي</t>
  </si>
  <si>
    <t>سندس عبد الله علي</t>
  </si>
  <si>
    <t>عبد الله علي</t>
  </si>
  <si>
    <t>الدعم النفسي</t>
  </si>
  <si>
    <t>الاهتمام باذوي الاعاقه</t>
  </si>
  <si>
    <t>عدم توفير دخل ثابت</t>
  </si>
  <si>
    <t>تقديم خدمات</t>
  </si>
  <si>
    <t>مساعدات</t>
  </si>
  <si>
    <t>مزاج عبدالتواب عبدالحفيظ</t>
  </si>
  <si>
    <t>مبادرة لدعم الأسر ذات الدخل المحدود</t>
  </si>
  <si>
    <t>إقامة مشاريع بيئية وتجارية مبتكرة</t>
  </si>
  <si>
    <t>محمود عبد الله محمد عبد الحميد</t>
  </si>
  <si>
    <t>محمد عبد الحميد</t>
  </si>
  <si>
    <t>أحمد محمد هاشم</t>
  </si>
  <si>
    <t>محمد هاشم</t>
  </si>
  <si>
    <t>الأهتمام</t>
  </si>
  <si>
    <t>مكه محمد موسي</t>
  </si>
  <si>
    <t>محمد موسي ساعدي</t>
  </si>
  <si>
    <t>الاهتمام</t>
  </si>
  <si>
    <t>محمد مصطفى عبدالجابر</t>
  </si>
  <si>
    <t>مصطفى عبدالجابر</t>
  </si>
  <si>
    <t>محمد صابر عبد السميع</t>
  </si>
  <si>
    <t>صابر</t>
  </si>
  <si>
    <t>خطريه سيد طنطاوي</t>
  </si>
  <si>
    <t>معتز عبد الله علي</t>
  </si>
  <si>
    <t>إقناع الأسر</t>
  </si>
  <si>
    <t>صفاء محمد علي عبد الهادي</t>
  </si>
  <si>
    <t>صفاء</t>
  </si>
  <si>
    <t>اية عبد الله علي</t>
  </si>
  <si>
    <t>مصطفى محرم محمد</t>
  </si>
  <si>
    <t>سناء محمد عبد الوهاب</t>
  </si>
  <si>
    <t>نفسه</t>
  </si>
  <si>
    <t>تحسين الحاله النفسيه</t>
  </si>
  <si>
    <t>زيارة المنازل</t>
  </si>
  <si>
    <t>ذياد عبدالله مبروك زين</t>
  </si>
  <si>
    <t>عبد الله مبروك زين</t>
  </si>
  <si>
    <t>بدأ يتعود ع الناس</t>
  </si>
  <si>
    <t>يوسف وليد نجار احمد</t>
  </si>
  <si>
    <t>القوصية</t>
  </si>
  <si>
    <t>منى كمال كامل</t>
  </si>
  <si>
    <t>مقبول</t>
  </si>
  <si>
    <t>سيء</t>
  </si>
  <si>
    <t>تقليل ثمن الجلسة</t>
  </si>
  <si>
    <t>مازن امين علي امين</t>
  </si>
  <si>
    <t>نادية فوزي عبد العزيز حامد</t>
  </si>
  <si>
    <t>غير مفيدة</t>
  </si>
  <si>
    <t>حنين امين علي امين</t>
  </si>
  <si>
    <t>عبد الرحمن مصطفى محمد خليفة</t>
  </si>
  <si>
    <t>علوان</t>
  </si>
  <si>
    <t>اسيوط</t>
  </si>
  <si>
    <t>منى حسين</t>
  </si>
  <si>
    <t>منتظم في الوحدة</t>
  </si>
  <si>
    <t>توفير الاموال</t>
  </si>
  <si>
    <t>تقديم خدمات تأهيلية</t>
  </si>
  <si>
    <t>زيادة الوعي في المجتمع وتوسيع ادراكهم</t>
  </si>
  <si>
    <t>انقطاع التمويل وتوفير اشياء جديده مثل التأهيل المهني</t>
  </si>
  <si>
    <t>عدم توسيع الخدمات</t>
  </si>
  <si>
    <t>توفير تأهيل مهني</t>
  </si>
  <si>
    <t>توفير ادوات للتأهيل الحركي</t>
  </si>
  <si>
    <t>ادوات للعلاج الطبيعي</t>
  </si>
  <si>
    <t>عبد الله محمود غندور</t>
  </si>
  <si>
    <t>الهدايا</t>
  </si>
  <si>
    <t>اسراء مصطفى</t>
  </si>
  <si>
    <t>سهولة الوصول للخدمه</t>
  </si>
  <si>
    <t>نشر الوعي بين الافراد والمجتمع</t>
  </si>
  <si>
    <t>توفير مشروع جماعي للاشخاص ذوى الاحتاجات الخاصه</t>
  </si>
  <si>
    <t>نصره شعبان فرغل ابراهيم</t>
  </si>
  <si>
    <t>مدينه ديروط</t>
  </si>
  <si>
    <t>عبير عبد القوى شحات</t>
  </si>
  <si>
    <t>المكان قريب</t>
  </si>
  <si>
    <t>وجودالخدمة</t>
  </si>
  <si>
    <t>الاسعار كويسة</t>
  </si>
  <si>
    <t>استمرارية الجلسات</t>
  </si>
  <si>
    <t>وجود دعم مادى للجلسات</t>
  </si>
  <si>
    <t>محمد فؤاد مصطفي عبده</t>
  </si>
  <si>
    <t>البوره</t>
  </si>
  <si>
    <t>نورة محمد مصطفى</t>
  </si>
  <si>
    <t>تقريب المسافات</t>
  </si>
  <si>
    <t>توفير اجهزة تعويضية</t>
  </si>
  <si>
    <t>توفير للاموال</t>
  </si>
  <si>
    <t>بسنت شعبان فرغل ابراهيم</t>
  </si>
  <si>
    <t>وجود الخدمة</t>
  </si>
  <si>
    <t>الاسعار قريبة</t>
  </si>
  <si>
    <t>استمرارية دعم الجلسات بتكلفة اقل</t>
  </si>
  <si>
    <t>وجود غرفة تكامل حسي</t>
  </si>
  <si>
    <t>سما عبد الرحمن عبد القوى شحات</t>
  </si>
  <si>
    <t>شيماء صابر محمد</t>
  </si>
  <si>
    <t>وجود الخدمات</t>
  </si>
  <si>
    <t>استمرارية الخدمات</t>
  </si>
  <si>
    <t>المتابعة الدورية للأطفال</t>
  </si>
  <si>
    <t>روان هيثم فتحي</t>
  </si>
  <si>
    <t>نسمة جمال بيومي</t>
  </si>
  <si>
    <t>اقتصاد في الجلسات في توفير الاموال</t>
  </si>
  <si>
    <t>سهولة الوصول للوحدة</t>
  </si>
  <si>
    <t>توفير الخدمات التاهيلية بشكل جيد جدا</t>
  </si>
  <si>
    <t>نيريمان عبد النبى رفعت</t>
  </si>
  <si>
    <t>رباب رجب محروس</t>
  </si>
  <si>
    <t>بنتى اتحسنت</t>
  </si>
  <si>
    <t>توفير مرافقين للأطفال</t>
  </si>
  <si>
    <t>ياسر محمد عبد التواب</t>
  </si>
  <si>
    <t>نسمه مطاوع بهجات</t>
  </si>
  <si>
    <t>وجودة إدارة داخل الجمعية خاصه بالعمل مع المسؤلات للتواصل</t>
  </si>
  <si>
    <t>جويرية راشد امين</t>
  </si>
  <si>
    <t>دشلوط</t>
  </si>
  <si>
    <t>راشد احمد امين</t>
  </si>
  <si>
    <t>صعوبات تعلم</t>
  </si>
  <si>
    <t>أسبوع</t>
  </si>
  <si>
    <t>مفيد</t>
  </si>
  <si>
    <t>موفر</t>
  </si>
  <si>
    <t>متقدم وتطوير</t>
  </si>
  <si>
    <t>اشرف رمضان أبوالخير عبد الستار</t>
  </si>
  <si>
    <t>نتعية عبد السميع عبد الحفيظ</t>
  </si>
  <si>
    <t>موضوعات الندوات</t>
  </si>
  <si>
    <t>زيادة المساعدات الاجتماعية</t>
  </si>
  <si>
    <t>زيادة الانشطه</t>
  </si>
  <si>
    <t>محمد حماد محمد</t>
  </si>
  <si>
    <t>مانجه أبو زيد هلال</t>
  </si>
  <si>
    <t>الطفل منتظم بالجلسات</t>
  </si>
  <si>
    <t>اعاقة ذهنيه بالمخ</t>
  </si>
  <si>
    <t>تم تلبية كل احتياجات الاسرة</t>
  </si>
  <si>
    <t>زيادة تنمية القدرات اللغوية للطفل</t>
  </si>
  <si>
    <t>فهم الاهل لحالة الاطفال</t>
  </si>
  <si>
    <t>استمرار الخدمة بالمكان</t>
  </si>
  <si>
    <t>التوسع بالمكان</t>
  </si>
  <si>
    <t>عبد الرحمن محمد عزت</t>
  </si>
  <si>
    <t>التمساحية</t>
  </si>
  <si>
    <t>علاج الاطفال</t>
  </si>
  <si>
    <t>المشروع يستكمل دوره</t>
  </si>
  <si>
    <t>عمل مشروع يمول الوحدة</t>
  </si>
  <si>
    <t>اسلام علاء حمادة</t>
  </si>
  <si>
    <t>توعية الناس</t>
  </si>
  <si>
    <t>وجود مقر واحد فقط</t>
  </si>
  <si>
    <t>توسعة المشروع والحاق حضانة اطفال للمعاقين</t>
  </si>
  <si>
    <t>يوسف احمد جمال احمد</t>
  </si>
  <si>
    <t>رضا محمد موسى</t>
  </si>
  <si>
    <t>استمرارية الخدمة</t>
  </si>
  <si>
    <t>زيادات الالعاب ومساعدات إجتماعية للأطفال</t>
  </si>
  <si>
    <t>يوسف عبد القادر محمود</t>
  </si>
  <si>
    <t>فرنسا فول عبد الله</t>
  </si>
  <si>
    <t>الهدوء زاد ونتمية المهارات</t>
  </si>
  <si>
    <t>الاستفادة و تحسن الحالات</t>
  </si>
  <si>
    <t>الاهتمام والمتابعة</t>
  </si>
  <si>
    <t>لا يوجد كل حاجة حلوة</t>
  </si>
  <si>
    <t>يكون دائما متطورين</t>
  </si>
  <si>
    <t>راندا عزت عامر</t>
  </si>
  <si>
    <t>لقينا حد يحس بينا</t>
  </si>
  <si>
    <t>سمعنا ان له مده وسوف ينتهي وده عيب كبير</t>
  </si>
  <si>
    <t>البحث عن ممولين</t>
  </si>
  <si>
    <t>سما محمد صديق</t>
  </si>
  <si>
    <t>رشا عبد الجواد</t>
  </si>
  <si>
    <t>الاهتمام بذوي الإعاقة</t>
  </si>
  <si>
    <t>زيادة أيام الترفيه</t>
  </si>
  <si>
    <t>محمد طلعت حرب</t>
  </si>
  <si>
    <t>لالهام يحيي محمود</t>
  </si>
  <si>
    <t>توفير الجلسات</t>
  </si>
  <si>
    <t>وتنوع الخدمات</t>
  </si>
  <si>
    <t>أن تستمر جلسات</t>
  </si>
  <si>
    <t>عزة عبد التواب فهمي</t>
  </si>
  <si>
    <t>اعطاني الثقة في نفسي</t>
  </si>
  <si>
    <t>كنت اطمح لتوفير دخل لاعتمد على نفسي ولم يوفره المشروع</t>
  </si>
  <si>
    <t>عمل افرع في القرى المجاورة</t>
  </si>
  <si>
    <t>احمد متعة سليمان عبد العظيم</t>
  </si>
  <si>
    <t>احلام ماهر عبد الله</t>
  </si>
  <si>
    <t>تحسن الخدمة</t>
  </si>
  <si>
    <t>وجود خدمة تعليم دينى</t>
  </si>
  <si>
    <t>أحمد شحاته عبدالباسط عبداللاه</t>
  </si>
  <si>
    <t>ايمان محمد عبدالرحمن</t>
  </si>
  <si>
    <t>تحسن حالة احمد</t>
  </si>
  <si>
    <t>فدوى حسان انور عبد العال</t>
  </si>
  <si>
    <t>شلوط</t>
  </si>
  <si>
    <t>الهام يحيى محمود ( زوجة الأخ )</t>
  </si>
  <si>
    <t>مازال منتظم بالخدمة</t>
  </si>
  <si>
    <t>اهتمنا اكثر بنظافتهم وطريقة التعامل معاهم</t>
  </si>
  <si>
    <t>ان حد يهتم اصلا بيهم ويجى لغاية البيت دى حاجة كويسة</t>
  </si>
  <si>
    <t>وان حد يسأل على طلباتهم</t>
  </si>
  <si>
    <t>قربلنا كل حلجة</t>
  </si>
  <si>
    <t>ان الزيارات تستمر</t>
  </si>
  <si>
    <t>حمزة عماد محمد</t>
  </si>
  <si>
    <t>فاطمة محمد</t>
  </si>
  <si>
    <t>كل حاجة حلو</t>
  </si>
  <si>
    <t>المتابعة و الاهتمام</t>
  </si>
  <si>
    <t>وفر فلوس و مواصلات</t>
  </si>
  <si>
    <t>أن يستمر</t>
  </si>
  <si>
    <t>انجي علي عبدالسلام</t>
  </si>
  <si>
    <t>عليه حسين عبد العال</t>
  </si>
  <si>
    <t>عدم التنمر على الاطفال ذوي الاعاقه</t>
  </si>
  <si>
    <t>محمد حمادة سليمان</t>
  </si>
  <si>
    <t>نورا محمود عبد العظيم</t>
  </si>
  <si>
    <t>تحسن محمد والمتابعة المستمرة معاه</t>
  </si>
  <si>
    <t>زيادة الأدوات</t>
  </si>
  <si>
    <t>يكون فيه رحلات كتير</t>
  </si>
  <si>
    <t>ياسمين مهنى مختار خليفة</t>
  </si>
  <si>
    <t>حورية معتوق ( الجدة )</t>
  </si>
  <si>
    <t>المساعدة فى العمليات الجراحية</t>
  </si>
  <si>
    <t>انا جدتها اللى بتطلع بيها فى الكشف لو جلسات مش هقدر اطلع لكن الزيارة فى البيت احسن بكتير</t>
  </si>
  <si>
    <t>المشروع ريحنا كتير فى المواصلات واحدة بيجينا لغاية البيت</t>
  </si>
  <si>
    <t>فهمنا الدنيا وكيف نعرف نتعامل معاها</t>
  </si>
  <si>
    <t>انكم تستمروا فى الزيارات</t>
  </si>
  <si>
    <t>احمد وليد حسن محمد</t>
  </si>
  <si>
    <t>سهير علي محمد خالد</t>
  </si>
  <si>
    <t>توفير المبالغ</t>
  </si>
  <si>
    <t>الاستقبال للاسر ممتاز</t>
  </si>
  <si>
    <t>مساعدة الاسر المحتاجه</t>
  </si>
  <si>
    <t>عدم توفير تاهيل مهني</t>
  </si>
  <si>
    <t>توفير تأهيل مهني للاشخاص ذوى الاحتاجات الخاصه</t>
  </si>
  <si>
    <t>داليا عبدالله محمود</t>
  </si>
  <si>
    <t>ناهد علي</t>
  </si>
  <si>
    <t>شهر</t>
  </si>
  <si>
    <t>امل و طاقة</t>
  </si>
  <si>
    <t>رفع الروح المعنوية</t>
  </si>
  <si>
    <t>أدم راشد عبد الحكم فرج</t>
  </si>
  <si>
    <t>نادية جمعه امين</t>
  </si>
  <si>
    <t>فهمت حالة ابني</t>
  </si>
  <si>
    <t>صعوبات التعلم</t>
  </si>
  <si>
    <t>رويا راشد</t>
  </si>
  <si>
    <t>ايه منصور</t>
  </si>
  <si>
    <t>وعيها زاد</t>
  </si>
  <si>
    <t>كله حلو</t>
  </si>
  <si>
    <t>توفير خدمات اكتر</t>
  </si>
  <si>
    <t>خبرة زيادة</t>
  </si>
  <si>
    <t>اميره أحمد قاسم صادق</t>
  </si>
  <si>
    <t>بياض مفضل عبد الغنى</t>
  </si>
  <si>
    <t>وجود الخدمة وتحسن بنتى</t>
  </si>
  <si>
    <t>زيادة ادوات الإنتباه والتركيز</t>
  </si>
  <si>
    <t>عبد الرحمن علاء</t>
  </si>
  <si>
    <t>ياسمين</t>
  </si>
  <si>
    <t>ذكائها زاد</t>
  </si>
  <si>
    <t>تطور و تحسن الحالات</t>
  </si>
  <si>
    <t>فرحة وليد محمد</t>
  </si>
  <si>
    <t>شرين احمد عبد الحفيظ. الام</t>
  </si>
  <si>
    <t>قريب مننا لو فى ديروط هزهق من المشوار</t>
  </si>
  <si>
    <t>وفر علينا المصاريف</t>
  </si>
  <si>
    <t>نادية عمر فرج</t>
  </si>
  <si>
    <t>محمد فرج عبد القادر</t>
  </si>
  <si>
    <t>شلل دماغي</t>
  </si>
  <si>
    <t>استجابة المخ والاطراف في تحسن</t>
  </si>
  <si>
    <t>تم تلبية كل احتياجات الاسرة٩</t>
  </si>
  <si>
    <t>معاملة أدمية لذوي الاعاقه</t>
  </si>
  <si>
    <t>صيانة المكان المقام فيه المشروع</t>
  </si>
  <si>
    <t>الاهتمام بالمكان المقام فيه المشروع</t>
  </si>
  <si>
    <t>هدير احمد ابراهيم</t>
  </si>
  <si>
    <t>نجات علي صالح</t>
  </si>
  <si>
    <t>سلوكايتها اتحسنت</t>
  </si>
  <si>
    <t>ون</t>
  </si>
  <si>
    <t>توعية الاهلي</t>
  </si>
  <si>
    <t>وتحسن الحالات</t>
  </si>
  <si>
    <t>وفر خدمات كتير</t>
  </si>
  <si>
    <t>أن تقدم لأختها الكبيرة عنها إعاقة</t>
  </si>
  <si>
    <t>مكة ديهوم عبد الحميد</t>
  </si>
  <si>
    <t>بدرية رمضان عطية</t>
  </si>
  <si>
    <t>الخدمة متوفرة</t>
  </si>
  <si>
    <t>المعاملة كويسة</t>
  </si>
  <si>
    <t>زيادة عدد المسؤلات</t>
  </si>
  <si>
    <t>خلود رمضان عبد العظيم</t>
  </si>
  <si>
    <t>أمل على عبدالمحسن</t>
  </si>
  <si>
    <t>الاحساس بالأطمئنان</t>
  </si>
  <si>
    <t>تطوير المكان</t>
  </si>
  <si>
    <t>فاطمة سلطان احمد</t>
  </si>
  <si>
    <t>أم هاشم على عبدالمحسن محمد</t>
  </si>
  <si>
    <t>لايوج</t>
  </si>
  <si>
    <t>وجود الراحة النفسية مع مسؤلات التأهيل</t>
  </si>
  <si>
    <t>احترام المواعيد والنظام</t>
  </si>
  <si>
    <t>استمرارية المكان والعمل بالجمعية</t>
  </si>
  <si>
    <t>زيادة الأيام الترفيهية</t>
  </si>
  <si>
    <t>أدم محمد صالح توفيق صديق</t>
  </si>
  <si>
    <t>ابتسام نجار خميس محمد</t>
  </si>
  <si>
    <t>توفير دعم مالى</t>
  </si>
  <si>
    <t>عبد الله ممدوح محمود</t>
  </si>
  <si>
    <t>حنان شعبان محمود</t>
  </si>
  <si>
    <t>توافير دعم نفسى بصورة مستمرة</t>
  </si>
  <si>
    <t>ياسين شعبان عبد النعيم</t>
  </si>
  <si>
    <t>اسماء شبعان محمود</t>
  </si>
  <si>
    <t>توفير فرص عمل للشباب</t>
  </si>
  <si>
    <t>عدم وجود دكاترة متخصصة</t>
  </si>
  <si>
    <t>وتوفير دكاترة</t>
  </si>
  <si>
    <t>عبد الرحمن احمد جاد</t>
  </si>
  <si>
    <t>هويدا محرم عبد اللطيف</t>
  </si>
  <si>
    <t>وصول لاكبر عدد من الاطفال</t>
  </si>
  <si>
    <t>محمدي عبد الرازق عبدالحميد</t>
  </si>
  <si>
    <t>الحواتكه</t>
  </si>
  <si>
    <t>منفلوط</t>
  </si>
  <si>
    <t>كريمه عبدالمنعم حسن</t>
  </si>
  <si>
    <t>....</t>
  </si>
  <si>
    <t>.....</t>
  </si>
  <si>
    <t>وفر لينا وحده تاهيل في القريه</t>
  </si>
  <si>
    <t>قله التنمر في المجتمع</t>
  </si>
  <si>
    <t>قدم لينا دعم معنوي</t>
  </si>
  <si>
    <t>...</t>
  </si>
  <si>
    <t>..</t>
  </si>
  <si>
    <t>أدوات حديثه</t>
  </si>
  <si>
    <t>زياده الايام الترفهيه</t>
  </si>
  <si>
    <t>زياده التوعيه عن طريق الندوات</t>
  </si>
  <si>
    <t>شهد يحي محمد</t>
  </si>
  <si>
    <t>مدينة القوصيه</t>
  </si>
  <si>
    <t>القوصيه</t>
  </si>
  <si>
    <t>نفيسه كامل محمد</t>
  </si>
  <si>
    <t>منتظمه</t>
  </si>
  <si>
    <t>بقي يتكلم احسن</t>
  </si>
  <si>
    <t>بيتعلم اكتر</t>
  </si>
  <si>
    <t>وجود مشروعات قليله</t>
  </si>
  <si>
    <t>عمل مشروعات أكتر لمثل هذه الحالات</t>
  </si>
  <si>
    <t>إشعارهم بعدم اختلافهم مع الاخرين</t>
  </si>
  <si>
    <t>محمد احمد مصطفى يونس</t>
  </si>
  <si>
    <t>مدينه القوصية</t>
  </si>
  <si>
    <t>جيهان عبدالجابرالسنوسي</t>
  </si>
  <si>
    <t>معاملة المسؤلات</t>
  </si>
  <si>
    <t>تطور ابنى</t>
  </si>
  <si>
    <t>مفيش مدرسة أو جهة خاصة تضم كل الأطفال ذوى الاعاقة مع بعض</t>
  </si>
  <si>
    <t>خديجه ابراهيم عبدالحافظ</t>
  </si>
  <si>
    <t>حاله النفسيه الحاله اتحسنت كتير</t>
  </si>
  <si>
    <t>بقيت اتقبل الناس واطلع معاهم</t>
  </si>
  <si>
    <t>ساعدني انه حالتي النفسيه اتحسنت</t>
  </si>
  <si>
    <t>تقديم مساعدات للأسر</t>
  </si>
  <si>
    <t>تقديم في قوافل طبيه</t>
  </si>
  <si>
    <t>محمد عامر عبدالظاهر</t>
  </si>
  <si>
    <t>نهي فرغلي عبدالله</t>
  </si>
  <si>
    <t>وفر فلوس ومجهود</t>
  </si>
  <si>
    <t>ساعد ابني يتحرك ويبا احسن</t>
  </si>
  <si>
    <t>المكان بعيد</t>
  </si>
  <si>
    <t>الاطفال تطلع ايام ترفيهيه اكتر</t>
  </si>
  <si>
    <t>جودي صابر حنفي</t>
  </si>
  <si>
    <t>نشوى احمد محمود</t>
  </si>
  <si>
    <t>مختلف عن باقي المراكز</t>
  </si>
  <si>
    <t>بتحب المس بتاعتها</t>
  </si>
  <si>
    <t>بيعاملوا اللطفال بطريقه احسن</t>
  </si>
  <si>
    <t>زيادة الاهتمام بثقة الطفل بنفسه</t>
  </si>
  <si>
    <t>يتعامل مع المجتمع بشكل افضل</t>
  </si>
  <si>
    <t>زيادة تقديره لذاته وزيادة ثقة الاطفال بأنفسهم</t>
  </si>
  <si>
    <t>كل فتره نعمل رحله</t>
  </si>
  <si>
    <t>يتعاملوا الاطفال مع بعض ويندمجوا أكتر</t>
  </si>
  <si>
    <t>اسماعيل اشرف معتمد</t>
  </si>
  <si>
    <t>مدينه القوصيه</t>
  </si>
  <si>
    <t>مني عطية الام</t>
  </si>
  <si>
    <t>الطفل لا زال منتظما</t>
  </si>
  <si>
    <t>تحسين المجال الاكاديمي</t>
  </si>
  <si>
    <t>تحسين القدرة اللغويه للطفل</t>
  </si>
  <si>
    <t>تحسين الحاله النفسيه للاسرة</t>
  </si>
  <si>
    <t>معتصم بالله محمد.فرغلي</t>
  </si>
  <si>
    <t>سعيده حسين علي</t>
  </si>
  <si>
    <t>قله التنمر</t>
  </si>
  <si>
    <t>ابني كان انطواي بقي دلوقت بيطلع بره</t>
  </si>
  <si>
    <t>توماس عماد محروس</t>
  </si>
  <si>
    <t>كريمه نادي لمعي</t>
  </si>
  <si>
    <t>الطفل اصبح يتكلم بعد ما كان مش بيتكلم</t>
  </si>
  <si>
    <t>مشروع للاسره</t>
  </si>
  <si>
    <t>أدوات حديثه في الجمعيه</t>
  </si>
  <si>
    <t>عبدالرحمن محمود مبارك</t>
  </si>
  <si>
    <t>مرتزقة شحاته جاد الرب</t>
  </si>
  <si>
    <t>إن ابنى بقى يتعلم حاجات جديده</t>
  </si>
  <si>
    <t>مستواه فى القراءة والكتابة اتحسن</t>
  </si>
  <si>
    <t>الاهتمام بمشروعات تعديل الاسرة</t>
  </si>
  <si>
    <t>حنين سعيد زياده</t>
  </si>
  <si>
    <t>صابرين شوقى منازع(الام)</t>
  </si>
  <si>
    <t>مازال منتظم بالخدمه</t>
  </si>
  <si>
    <t>اتحسنت فى الحفظ</t>
  </si>
  <si>
    <t>رودينا محمد سعد</t>
  </si>
  <si>
    <t>فاطمه عماد ابراهيم</t>
  </si>
  <si>
    <t>ساعد بنتي تتكلم</t>
  </si>
  <si>
    <t>ادوات حديثه للاطفال</t>
  </si>
  <si>
    <t>تقديم ندوات اكتر علشان بتفهمني حاله ابني</t>
  </si>
  <si>
    <t>فاطمه نصر عبدالحميد</t>
  </si>
  <si>
    <t>صابره احمد علي</t>
  </si>
  <si>
    <t>لا يوجد المستفيد منتظم في الخدمه الزيارات المنزليه</t>
  </si>
  <si>
    <t>5 مرات فأقل</t>
  </si>
  <si>
    <t>بنتي كانت منطويه بقيت تطلع تلعب براحتها</t>
  </si>
  <si>
    <t>مريم عطيه نصيف</t>
  </si>
  <si>
    <t>نجوي شحاته ميخائيل</t>
  </si>
  <si>
    <t>جني محمد فوزي</t>
  </si>
  <si>
    <t>بقيت بنتي بتتكلم كويس</t>
  </si>
  <si>
    <t>مستواها أحسنت في المدرسه</t>
  </si>
  <si>
    <t>تقديم ندوات اكتر علشان بتفهمني حاله بنتي اكتر</t>
  </si>
  <si>
    <t>حبيبه مصطفي فوزي</t>
  </si>
  <si>
    <t>فاطمه الزهراء محي الدين حسن</t>
  </si>
  <si>
    <t>تعمل الجمعيه فصل استضافه للاطفال ذوي لاعاقه</t>
  </si>
  <si>
    <t>سيلجان مصطفي فوزي</t>
  </si>
  <si>
    <t>لا يوجد المستفيد منتظم في الخدمه</t>
  </si>
  <si>
    <t>بنت بقيت اجتماعيه</t>
  </si>
  <si>
    <t>الندوات للي اتقدمت غيرت من فكري وخلتني اعرف اتعامل مع بنتي احسن</t>
  </si>
  <si>
    <t>الاهتمام بالرياضه ويبا فيه نشاط رياضي</t>
  </si>
  <si>
    <t>حماده رمضان حلمي</t>
  </si>
  <si>
    <t>زينب صابر مرغني</t>
  </si>
  <si>
    <t>زينب محمود مهران</t>
  </si>
  <si>
    <t>نزلة ضاهر</t>
  </si>
  <si>
    <t>هدى محمد فهى الام</t>
  </si>
  <si>
    <t>ايام ترفيهية أكثر</t>
  </si>
  <si>
    <t>توفير مبالغ نقدية والمواصلات</t>
  </si>
  <si>
    <t>نظافة المكان</t>
  </si>
  <si>
    <t>غير مزدحم وجيد التهوية</t>
  </si>
  <si>
    <t>العاب بالانتظار للاطفال</t>
  </si>
  <si>
    <t>وعد محمد عبدالمنصف</t>
  </si>
  <si>
    <t>هاله صلاح خليل ابراهيم</t>
  </si>
  <si>
    <t>ادم محمد عبدالمنصف</t>
  </si>
  <si>
    <t>٠٠٠ج</t>
  </si>
  <si>
    <t>عفاف محمد سيد</t>
  </si>
  <si>
    <t>فاتن ماهر بدر</t>
  </si>
  <si>
    <t>وجود مكان فى نفس القرية</t>
  </si>
  <si>
    <t>انهم بيدور على حقوق الاطفال</t>
  </si>
  <si>
    <t>مفيش معززات للأطفال زى الجوايز</t>
  </si>
  <si>
    <t>وجود ادوات جديده العاب ومراجيح</t>
  </si>
  <si>
    <t>جنات جميل عربي</t>
  </si>
  <si>
    <t>نزله ضاهر</t>
  </si>
  <si>
    <t>عزة سعد خميس</t>
  </si>
  <si>
    <t>الطفل مازال منتظما</t>
  </si>
  <si>
    <t>تحسين المستوي الأكاديمي للطفل</t>
  </si>
  <si>
    <t>تحسين المستوي الحركي للطفل</t>
  </si>
  <si>
    <t>توزيع مستلزمات نظافه اكثر علي الاسر</t>
  </si>
  <si>
    <t>محمود احمد عبد العزيز</t>
  </si>
  <si>
    <t>احلام عادل عبد الباسط محمد (الام)</t>
  </si>
  <si>
    <t>أن الطفل لتحسن عن الاول</t>
  </si>
  <si>
    <t>مندمج مع الاطفال</t>
  </si>
  <si>
    <t>توفير مشغل للخياطه</t>
  </si>
  <si>
    <t>نور علاء عبدالرحيم</t>
  </si>
  <si>
    <t>زينب حسني عباس</t>
  </si>
  <si>
    <t>عمل فيزا قبض واضافه الطفل في بنك الطعام</t>
  </si>
  <si>
    <t>نحتاج ادوات حديثه للاطفال</t>
  </si>
  <si>
    <t>ابراهيم احمد عبد العزيز</t>
  </si>
  <si>
    <t>أن المشروع فر لهم الفلوس الجلسات اللى بيخدوها بره</t>
  </si>
  <si>
    <t>توفير مساعدات للأسر</t>
  </si>
  <si>
    <t>الدكاتره اللى بتيجى هنا</t>
  </si>
  <si>
    <t>مكه محمد سعد خميس</t>
  </si>
  <si>
    <t>نزله الضاهر</t>
  </si>
  <si>
    <t>مني محمد محمد الام</t>
  </si>
  <si>
    <t>تخسين حاله الأطفال النفسيه</t>
  </si>
  <si>
    <t>تنميه القدرات اللغويه والحركيه</t>
  </si>
  <si>
    <t>الدمج مع الأطفال</t>
  </si>
  <si>
    <t>داليا مصطفى حسين زيدان</t>
  </si>
  <si>
    <t>فاطمة ابوزيد حسين</t>
  </si>
  <si>
    <t>مساعدة الاطفال</t>
  </si>
  <si>
    <t>إن الأطفال بقيت بتتحسن</t>
  </si>
  <si>
    <t>إن نفضل بنيجي ناخد جلسات</t>
  </si>
  <si>
    <t>رزقه محمد حسنى</t>
  </si>
  <si>
    <t>بدريه عاطف محمد عبد الرازق(الام)</t>
  </si>
  <si>
    <t>المكان قريب مننا</t>
  </si>
  <si>
    <t>ايمان فرغلي</t>
  </si>
  <si>
    <t>البورة</t>
  </si>
  <si>
    <t>هبة علاء الدين</t>
  </si>
  <si>
    <t>منتظم فى الجلسات</t>
  </si>
  <si>
    <t>الاهتمام بالطفل وتنمية مهاراته وازاى اعرف اتعامل مع الطفل</t>
  </si>
  <si>
    <t>توافرلنا جزء مادي</t>
  </si>
  <si>
    <t>اسعار الجلسات</t>
  </si>
  <si>
    <t>المساعدات المادية</t>
  </si>
  <si>
    <t>علي محمد علي عبدالرجال</t>
  </si>
  <si>
    <t>اسماء مصطفي محمد</t>
  </si>
  <si>
    <t>تحسبن القدرات اللغويه لدي الأطفال</t>
  </si>
  <si>
    <t>اندماج الطفل مع اقرانه</t>
  </si>
  <si>
    <t>ناديه محمد حسنى</t>
  </si>
  <si>
    <t>بدريه عاطف محمد عبد الرازق</t>
  </si>
  <si>
    <t>أن استفادت من الندوات والورش</t>
  </si>
  <si>
    <t>اسماء أحمد على</t>
  </si>
  <si>
    <t>زينب عيسى محمود</t>
  </si>
  <si>
    <t>عدم وجود الأخصائيه في المركز</t>
  </si>
  <si>
    <t>سفيان سمير عربي</t>
  </si>
  <si>
    <t>نوره محمد خميس</t>
  </si>
  <si>
    <t>الأسره ذهبت للسعوديه</t>
  </si>
  <si>
    <t>تعديل سلوك</t>
  </si>
  <si>
    <t>اتمنى انوا يكمل</t>
  </si>
  <si>
    <t>يستفاد اكتر</t>
  </si>
  <si>
    <t>كانوا حنينين عليه</t>
  </si>
  <si>
    <t>وكانوا بيجيبوا معززات</t>
  </si>
  <si>
    <t>إن المشروع مش هيكمل</t>
  </si>
  <si>
    <t>نتمنى الرجوع وبنفس تمن الجلسه</t>
  </si>
  <si>
    <t>وميبطلش</t>
  </si>
  <si>
    <t>نجلاء فرغلي محمد احمد</t>
  </si>
  <si>
    <t>الندوات والجولات الحرة كانت مفيدة خالص</t>
  </si>
  <si>
    <t>لم يوفر التأهيل المهني</t>
  </si>
  <si>
    <t>خدمات مهنية</t>
  </si>
  <si>
    <t>خديجة عمار عربى</t>
  </si>
  <si>
    <t>اسماء شحاته جاد الرب</t>
  </si>
  <si>
    <t>انى خديجة بقت تتكلم بشكل حلو وبقيت ناصحة</t>
  </si>
  <si>
    <t>إن خديجة بتروح تشترى حاجات</t>
  </si>
  <si>
    <t>المكان فى نفس القرية</t>
  </si>
  <si>
    <t>رحاب نتعي عبدالتواب</t>
  </si>
  <si>
    <t>صفاء حسني الام</t>
  </si>
  <si>
    <t>الطفل ما زال في حاله انتظام</t>
  </si>
  <si>
    <t>توفير مصدر دخل</t>
  </si>
  <si>
    <t>تحسين الوضع المادي للاسرة وتغيير طريقه التعامل</t>
  </si>
  <si>
    <t>توفير مشاريع ل ذوي الاعاقه</t>
  </si>
  <si>
    <t>محمد عبد النبى فتحى</t>
  </si>
  <si>
    <t>فاطمه عبد العزيز ابراهيم</t>
  </si>
  <si>
    <t>أن الندوات اللى بتعمل استفادت منها فى الاسعافات الأولية</t>
  </si>
  <si>
    <t>الورش</t>
  </si>
  <si>
    <t>دينا محمد عبد الروؤف</t>
  </si>
  <si>
    <t>امال محمد عبد الرازق</t>
  </si>
  <si>
    <t>بدات تعتمد على نفسها فى لبسها</t>
  </si>
  <si>
    <t>بيساعد فى تغيير حاله بنتى</t>
  </si>
  <si>
    <t>ندوات بشكل اوسع فى تعديل السلوك علشان اعرف اتعامل مع بنتى</t>
  </si>
  <si>
    <t>تمارا عبد العظيم سيد</t>
  </si>
  <si>
    <t>سناء رفاعى مصطفى</t>
  </si>
  <si>
    <t>مشروع</t>
  </si>
  <si>
    <t>لم يوفر مشروع ليا</t>
  </si>
  <si>
    <t>لم يوفر التأهيل لبنى</t>
  </si>
  <si>
    <t>ورش للتعلم مهنه</t>
  </si>
  <si>
    <t>عمر عبد العظيم سيد</t>
  </si>
  <si>
    <t>بدا يعرف يكتب اسمه ويعرف يتعامل مع الناس</t>
  </si>
  <si>
    <t>قريبة من البيت</t>
  </si>
  <si>
    <t>الاحتياج المادى غير متوافر</t>
  </si>
  <si>
    <t>مشروع لينا</t>
  </si>
  <si>
    <t>حنين عماد عبد النبي</t>
  </si>
  <si>
    <t>كوم المنصوره</t>
  </si>
  <si>
    <t>ابنوب</t>
  </si>
  <si>
    <t>هدى حامد عبد الفتاح</t>
  </si>
  <si>
    <t>توفير جلسات الأطفال</t>
  </si>
  <si>
    <t>مساعدات اجتماعيه</t>
  </si>
  <si>
    <t>استمراريه الخدمه</t>
  </si>
  <si>
    <t>استمرار الجلسات والتوعيه</t>
  </si>
  <si>
    <t>يوسف محمد مصطفى</t>
  </si>
  <si>
    <t>هناء ربيع</t>
  </si>
  <si>
    <t>حركته قله كتير</t>
  </si>
  <si>
    <t>فادني فى فهم حالة ابنى</t>
  </si>
  <si>
    <t>يوفر انشطة للاطفال فرط الحركة</t>
  </si>
  <si>
    <t>فاطمه علي اسماعيل جابر</t>
  </si>
  <si>
    <t>بني شقير</t>
  </si>
  <si>
    <t>صابرين جابر محمد</t>
  </si>
  <si>
    <t>الجمعيه مش فيها مكان للانتظار</t>
  </si>
  <si>
    <t>توفير مكان للانتظار</t>
  </si>
  <si>
    <t>عبدالله محمد فتحي</t>
  </si>
  <si>
    <t>ايه عبد الغفار</t>
  </si>
  <si>
    <t>الطفل بتروح الحضانه</t>
  </si>
  <si>
    <t>تعديل سلوك الطفل</t>
  </si>
  <si>
    <t>يزن عبد الرحمن</t>
  </si>
  <si>
    <t>الهام ابراهيم محمود</t>
  </si>
  <si>
    <t>الاسعار كويسة والتكلفة قليلة</t>
  </si>
  <si>
    <t>عرفنى ازاى اتعامل مع طفلى</t>
  </si>
  <si>
    <t>يطوره اكتر ويبدأ يوسعو فى قرى تانية</t>
  </si>
  <si>
    <t>زياد جمال مصطفي</t>
  </si>
  <si>
    <t>الشنابله</t>
  </si>
  <si>
    <t>نسمه محمد عبد العزيز</t>
  </si>
  <si>
    <t>زهره رجب عبدالحكيم</t>
  </si>
  <si>
    <t>زينب فرغلي عبدالجواد</t>
  </si>
  <si>
    <t>الطفلة اصبحت بتتكلم بعد ما كانت مش بيتتكلم</t>
  </si>
  <si>
    <t>الندوات ساعدتني افهم حاله بنتي كويس</t>
  </si>
  <si>
    <t>توفير كارت الخدمات</t>
  </si>
  <si>
    <t>طرف صناعي لطفله )صابع(</t>
  </si>
  <si>
    <t>محمد محمود عبد الحكيم</t>
  </si>
  <si>
    <t>وفاء محمد مصطفى</t>
  </si>
  <si>
    <t>الاجازة</t>
  </si>
  <si>
    <t>انه خلص</t>
  </si>
  <si>
    <t>تكمله المشروع تانى</t>
  </si>
  <si>
    <t>حنين جمعه احمد</t>
  </si>
  <si>
    <t>ام هاشم جاد الرب</t>
  </si>
  <si>
    <t>الدمج في المجتمع</t>
  </si>
  <si>
    <t>فاطمه ناصر فتحي حسن</t>
  </si>
  <si>
    <t>هناء نادي عبدالرحيم</t>
  </si>
  <si>
    <t>بدر جمعه بدر</t>
  </si>
  <si>
    <t>اسماء جمال عبد الباقي</t>
  </si>
  <si>
    <t>ثابت محمد ثابت</t>
  </si>
  <si>
    <t>جيهان عبدالنبي صاوي</t>
  </si>
  <si>
    <t>ملعب للاطفال علشان الأطفال تلعب فيه</t>
  </si>
  <si>
    <t>حسن محمد مصطفي</t>
  </si>
  <si>
    <t>فايزه ماهر عبد الحليم</t>
  </si>
  <si>
    <t>ياسين حمدي محمد توفيق</t>
  </si>
  <si>
    <t>هدي قطب صبره</t>
  </si>
  <si>
    <t>مصدر دخل للامير</t>
  </si>
  <si>
    <t>محمود حمادة عبد الغني عبد المجيد</t>
  </si>
  <si>
    <t>الحوطا</t>
  </si>
  <si>
    <t>احلام نادى</t>
  </si>
  <si>
    <t>مازال منتظم</t>
  </si>
  <si>
    <t>استمرارية الزيارات وتقديم الخدمات</t>
  </si>
  <si>
    <t>ياسين محمد عادل</t>
  </si>
  <si>
    <t>سمية جمال سيد</t>
  </si>
  <si>
    <t>بيساعد فى تغيير حاله ابنى</t>
  </si>
  <si>
    <t>خبرات اكتر</t>
  </si>
  <si>
    <t>ساعدني فى فهم وتغير سلوكيات النى</t>
  </si>
  <si>
    <t>الجزء المادى</t>
  </si>
  <si>
    <t>ندوات بشكل اوسع</t>
  </si>
  <si>
    <t>ندوات لتعديل سلوك</t>
  </si>
  <si>
    <t>شيرين محمد علي ابوزيد</t>
  </si>
  <si>
    <t>امينه عبدالحميد محمد</t>
  </si>
  <si>
    <t>تقدم ليها احاله</t>
  </si>
  <si>
    <t>محتاجين مكان للانتظار</t>
  </si>
  <si>
    <t>حبيبه مختار علي</t>
  </si>
  <si>
    <t>حسنه حامد احمد</t>
  </si>
  <si>
    <t>مساعدات الاسره</t>
  </si>
  <si>
    <t>تقديم الدعم النفسي</t>
  </si>
  <si>
    <t>محمد علي عبدالرحمن</t>
  </si>
  <si>
    <t>سامية ام الطفل</t>
  </si>
  <si>
    <t>تقييم السلوك</t>
  </si>
  <si>
    <t>تحسين طريقه الحركه بتاعته</t>
  </si>
  <si>
    <t>تحسين مستواه الأكاديمي</t>
  </si>
  <si>
    <t>احمد علي اسماعيل</t>
  </si>
  <si>
    <t>صابرين جابر محمد حسن</t>
  </si>
  <si>
    <t>عبد الرحيم مصطفي</t>
  </si>
  <si>
    <t>روية سيد حسانين</t>
  </si>
  <si>
    <t>التعامل مع الافراد ذوى الاعاقه</t>
  </si>
  <si>
    <t>استمرار تقديم الدعم</t>
  </si>
  <si>
    <t>عمر علاء ابو البداري شوال</t>
  </si>
  <si>
    <t>الحوطه</t>
  </si>
  <si>
    <t>علاء ابو البداري شوال</t>
  </si>
  <si>
    <t>اتحسن وبقي احسن</t>
  </si>
  <si>
    <t>حسن المعامله من المسؤلات</t>
  </si>
  <si>
    <t>تعليمه بقى أفضل</t>
  </si>
  <si>
    <t>مكة عمر مصطفى</t>
  </si>
  <si>
    <t>فاطمه محمد هاشم</t>
  </si>
  <si>
    <t>زينب محمد عيد</t>
  </si>
  <si>
    <t>اسماء جمال علي</t>
  </si>
  <si>
    <t>دمج الاطفال</t>
  </si>
  <si>
    <t>ابانوب يعقوب رزق سليمان</t>
  </si>
  <si>
    <t>زيناهم ناجح سليمان</t>
  </si>
  <si>
    <t>وفر فلوس الجلسات والمواصلات</t>
  </si>
  <si>
    <t>مشروع لطفل لمصدر دخل</t>
  </si>
  <si>
    <t>رقيه عصام محمد</t>
  </si>
  <si>
    <t>منى حسن محمد (الام)</t>
  </si>
  <si>
    <t>أن المكان وفر لها فلوس والمكان قريب</t>
  </si>
  <si>
    <t>أن يبقى فى العاب فى المكان الاطفال</t>
  </si>
  <si>
    <t>بسملة عادل عبدالسلام احمد</t>
  </si>
  <si>
    <t>رشا محمد عبدالعاطى الام</t>
  </si>
  <si>
    <t>كانت بسملة محتاجة نظارة</t>
  </si>
  <si>
    <t>زيادة الإنتباه والتركيز ، اتحسنت بالقراءة والكتابة</t>
  </si>
  <si>
    <t>إن حد بيراعى بنتى وبيحى لغاية البيت</t>
  </si>
  <si>
    <t>تقديم الخدمة بدون تكلفة نهائيا</t>
  </si>
  <si>
    <t>تقديم مشروعات للمساعدة الأسر اقتصاديا</t>
  </si>
  <si>
    <t>محمد علوان محمد</t>
  </si>
  <si>
    <t>حوطا</t>
  </si>
  <si>
    <t>علوان محمد الاب</t>
  </si>
  <si>
    <t>ما زال منتظم في الخدمه</t>
  </si>
  <si>
    <t>مساعده الأطفال علي تنميه المهارات اللغويه</t>
  </si>
  <si>
    <t>مساعده الأطفال علي الدمج مع الأسر والمجتمع</t>
  </si>
  <si>
    <t>مساعده علي تحسين نفسيه الأطفال</t>
  </si>
  <si>
    <t>روان عبد الله حامد</t>
  </si>
  <si>
    <t>فاطمه رمضان محمد</t>
  </si>
  <si>
    <t>دمج الاطفال ذوى الاعاقه</t>
  </si>
  <si>
    <t>حضور وتدريب اولياء الامور</t>
  </si>
  <si>
    <t>انتظام الجلسات</t>
  </si>
  <si>
    <t>يوسف عواد ابراهيم</t>
  </si>
  <si>
    <t>منى رأفت ابراهيم</t>
  </si>
  <si>
    <t>عدم تغير المكان</t>
  </si>
  <si>
    <t>خروج يوسف للجلسات وتعلقه بالمكان</t>
  </si>
  <si>
    <t>عدم وجود مرافق للطفل</t>
  </si>
  <si>
    <t>توفير وسيلة مواصلة من البيت للطفل وحتى وصوله مكان الجلسة</t>
  </si>
  <si>
    <t>توفير ادوات تأهيل مهنى وأدوات تأهيلية أكتر</t>
  </si>
  <si>
    <t>مصطفي احمد عبدالوارث</t>
  </si>
  <si>
    <t>سيدا عبدالواحد علي</t>
  </si>
  <si>
    <t>منال مختار محمود عبد النظير</t>
  </si>
  <si>
    <t>زمزم زين احمد (الام)</t>
  </si>
  <si>
    <t>محمود مختار محمود عبد النظير</t>
  </si>
  <si>
    <t>بقى الطفل بيسمع الكلام ومطيع</t>
  </si>
  <si>
    <t>بعد المسافه</t>
  </si>
  <si>
    <t>عبد الرحمن عرفه عوني</t>
  </si>
  <si>
    <t>عرفه عوني</t>
  </si>
  <si>
    <t>ا</t>
  </si>
  <si>
    <t>حب الميس واستفاد منها</t>
  </si>
  <si>
    <t>مكنش بيقرأ ويكتب حاليا بيهتم بنفسه كان بيضرب اخواته بعنف حاليا مختلف</t>
  </si>
  <si>
    <t>تحسن الطفل</t>
  </si>
  <si>
    <t>بيركز اكتر</t>
  </si>
  <si>
    <t>بيتعلم ويقرأ ويكتب ويهتم بواجباته</t>
  </si>
  <si>
    <t>مكنش بيسأل عن حاجته</t>
  </si>
  <si>
    <t>رشا محمد عبدالعاطى</t>
  </si>
  <si>
    <t>نفسها</t>
  </si>
  <si>
    <t>الاهتمام بصحتى أكثر</t>
  </si>
  <si>
    <t>عملية للدوالى</t>
  </si>
  <si>
    <t>مساعدة مادية أو مشروع صغير</t>
  </si>
  <si>
    <t>إن الزيارات كانت لغاية البيت بدون فلوس نهائى</t>
  </si>
  <si>
    <t>الزيارة بدون أجر</t>
  </si>
  <si>
    <t>استفادت بارشادات عن أهمية الانتظام بالعلاج</t>
  </si>
  <si>
    <t>زيادة عدد المشروعات للمستفيدين</t>
  </si>
  <si>
    <t>هاجر ابراهيم فتحي</t>
  </si>
  <si>
    <t>صفاء عبد الحكم ثابث</t>
  </si>
  <si>
    <t>نورسين احمد عماد</t>
  </si>
  <si>
    <t>رجاء سيد طلبة ام نورسين</t>
  </si>
  <si>
    <t>استفادت من جلسات التخاطب</t>
  </si>
  <si>
    <t>تعديل السلوك قيم سلوكها</t>
  </si>
  <si>
    <t>ساعدتها في الاندماج مع المجتمع</t>
  </si>
  <si>
    <t>نعمه عصمت عبدالعزيز علي</t>
  </si>
  <si>
    <t>إفراج عبدالحكيم حسن</t>
  </si>
  <si>
    <t>الندوات ساعدتني افهم حاله بنتي احسن</t>
  </si>
  <si>
    <t>محتاجه عمليه لرجل الطفله</t>
  </si>
  <si>
    <t>رحمه محمد مصطفي</t>
  </si>
  <si>
    <t>احمد يسرى جمال</t>
  </si>
  <si>
    <t>يسرى جمال على (الاب)</t>
  </si>
  <si>
    <t>أن الطفل بقى بيتكلم عن الاول بكتيير</t>
  </si>
  <si>
    <t>معامله الاخصائي معامله ممتازه</t>
  </si>
  <si>
    <t>هاجر مرزق محمد عبدالعزيز</t>
  </si>
  <si>
    <t>خديجه ابراهيم جمعه</t>
  </si>
  <si>
    <t>ساعد بنتي تتعامل بصوره افضل</t>
  </si>
  <si>
    <t>سلمي محمد حامد</t>
  </si>
  <si>
    <t>يسريه حسين محمد</t>
  </si>
  <si>
    <t>عمليه ولم تنفذ</t>
  </si>
  <si>
    <t>توفير احتباجات الطفل</t>
  </si>
  <si>
    <t>ريتال نادى حلمى</t>
  </si>
  <si>
    <t>يسرى جمال على (خال)</t>
  </si>
  <si>
    <t>معامله الاخصائي معامله ممتازه مع أولياء الأمور</t>
  </si>
  <si>
    <t>مروه سمير توفيق عبدالحفيظ</t>
  </si>
  <si>
    <t>حميده محمد جابر</t>
  </si>
  <si>
    <t>احمد عبدالله رمضان</t>
  </si>
  <si>
    <t>مي هاني احمد</t>
  </si>
  <si>
    <t>زياد صبر عبدالحفيظ</t>
  </si>
  <si>
    <t>سناء سيد مرسي عبده</t>
  </si>
  <si>
    <t>انه يساعدنا في عمل كارت الخدمات</t>
  </si>
  <si>
    <t>مؤمن حسين احمد علي</t>
  </si>
  <si>
    <t>زينب فتحي ثابت</t>
  </si>
  <si>
    <t>نشر الوعي للمجتمع</t>
  </si>
  <si>
    <t>منه صبر عبدالحفيظ</t>
  </si>
  <si>
    <t>سناء سيد عبده مرسي</t>
  </si>
  <si>
    <t>دعم لشخص ذوي الاعاقه</t>
  </si>
  <si>
    <t>أدهم عبدالحميد مصطفي</t>
  </si>
  <si>
    <t>صباح محمد عبدالحميد</t>
  </si>
  <si>
    <t>اماني عبدالناصر</t>
  </si>
  <si>
    <t>بني رافع</t>
  </si>
  <si>
    <t>اسماء</t>
  </si>
  <si>
    <t>اسلام طلال محمد ابوهندي</t>
  </si>
  <si>
    <t>عرب الجهمه</t>
  </si>
  <si>
    <t>طلال حسن محمد</t>
  </si>
  <si>
    <t>ظروف مرضيه</t>
  </si>
  <si>
    <t>توفير الوقت والمجهود في التنقل بين الوحدات خارج القرية</t>
  </si>
  <si>
    <t>توفير النفقات حيث جلسات كانت شبهة مجانية</t>
  </si>
  <si>
    <t>توفير مادة علمية مميزة ومفيدة</t>
  </si>
  <si>
    <t>لا اجد عيوبا في المشروع واتمنى استمراره</t>
  </si>
  <si>
    <t>وان كنت أرى تقليل عدد الزيارات المنزلية</t>
  </si>
  <si>
    <t>الاهتمام الاكثر بالجانب الترفيهي والجولات الحرة</t>
  </si>
  <si>
    <t>زيادة الدعم المادي للوحدات</t>
  </si>
  <si>
    <t>توسيع نطاق التدريب ليشمل مسىولات من خارج الوحدة</t>
  </si>
  <si>
    <t>تقليل الزيارات المنزلية</t>
  </si>
  <si>
    <t>زينب جمال شعبان</t>
  </si>
  <si>
    <t>هانى محمد عبده</t>
  </si>
  <si>
    <t>ابوتيج</t>
  </si>
  <si>
    <t>زينب عبدالرحيم علي</t>
  </si>
  <si>
    <t>تم توفير الاحتياج</t>
  </si>
  <si>
    <t>بالغ</t>
  </si>
  <si>
    <t>توفر مصدر دخل خاص بالمستفيد والاستقرار بشكل أفضل</t>
  </si>
  <si>
    <t>تحقيق حلم الحصول على مشروع خاص بدلا من العمل فى اماكن أخرى ولم يستطيعوا التعامل معه بشكل مناسبا</t>
  </si>
  <si>
    <t>تحقيق دخل للفرد وأسرته بشكل جيد</t>
  </si>
  <si>
    <t>تحسن الحاله النفسيه للمستفيد</t>
  </si>
  <si>
    <t>زيادة خدمة المساعدات المادية وتمويل المشروعات الصغيرة لمساعدة مزيد من الاسر</t>
  </si>
  <si>
    <t>محمد احمد درويش</t>
  </si>
  <si>
    <t>سحر رمضان عامر</t>
  </si>
  <si>
    <t>منتضم</t>
  </si>
  <si>
    <t>طريقة الكلام احسن وافضل /التركيز والانتباه عنده أصبح افضل وتنمية فى مهارات الكتابة</t>
  </si>
  <si>
    <t>قرب المكان وسعر الجلسة مناسب الى حد ما ساعدنى انى انتظم فى الجلسات</t>
  </si>
  <si>
    <t>الكفاءة فى تقديم الجلسة</t>
  </si>
  <si>
    <t>عدى وليد علي عباس</t>
  </si>
  <si>
    <t>كريمه عشرى حسين</t>
  </si>
  <si>
    <t>انقطاع مسؤلة التاهيل لاجازة الوضع</t>
  </si>
  <si>
    <t>الراحة النفسية والاطمئنان للعمل داخل الجمعية</t>
  </si>
  <si>
    <t>العمل بطريقة جيدة مع الاطفال</t>
  </si>
  <si>
    <t>وجود فصل للرعاية النهارية والتعليم الأكاديمي بسعر مخفض</t>
  </si>
  <si>
    <t>عبدالرحمن رمضان محمد</t>
  </si>
  <si>
    <t>ساميه كامل محمد</t>
  </si>
  <si>
    <t>مستمر في الخدمه</t>
  </si>
  <si>
    <t>مستفيد طفل</t>
  </si>
  <si>
    <t>الخدمه جيدة</t>
  </si>
  <si>
    <t>اتعلمنا ازاى نتعامل مع اطفالنا</t>
  </si>
  <si>
    <t>قرب المكان</t>
  </si>
  <si>
    <t>توفير المزيد من المساعدات المقدمه للاسرة</t>
  </si>
  <si>
    <t>توفير خدمات ومساعدات للاسر</t>
  </si>
  <si>
    <t>علاء محمود عطية</t>
  </si>
  <si>
    <t>سناء عيد ثابت</t>
  </si>
  <si>
    <t>مستمر</t>
  </si>
  <si>
    <t>جارى استكمال خطوات استخراج بطاقة الخدمات</t>
  </si>
  <si>
    <t>المساعده فى ارشاد الاسر فى التعامل مع الأشخاص من ذوى الاعاقة</t>
  </si>
  <si>
    <t>روضة محمد محموظ</t>
  </si>
  <si>
    <t>عرب الجهمة</t>
  </si>
  <si>
    <t>وفاء محمد عبد الحميد /العمة</t>
  </si>
  <si>
    <t>مستمرة</t>
  </si>
  <si>
    <t>كل حاجة متوفرة</t>
  </si>
  <si>
    <t>بيوفر الوقت والمجهود</t>
  </si>
  <si>
    <t>بيراعوا ربنا فى العمل</t>
  </si>
  <si>
    <t>بيوفر خدمات تانية كتير</t>
  </si>
  <si>
    <t>صباح حسين حسن</t>
  </si>
  <si>
    <t>الحالة نفسها</t>
  </si>
  <si>
    <t>مستمرة في الخدمه</t>
  </si>
  <si>
    <t>مازلت المساعدة مستمرة والمتابعة فى استخراج بطاقة الخدمات المتكاملة</t>
  </si>
  <si>
    <t>معاذ محمد فوزى عبد العزيز</t>
  </si>
  <si>
    <t>رقيه عبد الحميد</t>
  </si>
  <si>
    <t>وفر للقريه خدمات كتير</t>
  </si>
  <si>
    <t>أن الطفل لتحسن عن الأول</t>
  </si>
  <si>
    <t>تظبيط المواعيد</t>
  </si>
  <si>
    <t>صابر هاني صابر</t>
  </si>
  <si>
    <t>مستمر بالخدمة</t>
  </si>
  <si>
    <t>حركته كانت كثيرة وبمالمساعدة فى جلسات الترشاد والعم للتعامل مع سلوك الطفل الام ذكرت انه اصبح افضل ويسمع الكلام احسن</t>
  </si>
  <si>
    <t>الطفل زيارة منزلية</t>
  </si>
  <si>
    <t>توفير خدمة اخذ جلسة فى المنزل</t>
  </si>
  <si>
    <t>اعطاء ارشادات للتعامل مع مشكلات الطفل</t>
  </si>
  <si>
    <t>لا بوجد</t>
  </si>
  <si>
    <t>شهد محمود احمد</t>
  </si>
  <si>
    <t>الفتح</t>
  </si>
  <si>
    <t>ناديه خلف الله محمود</t>
  </si>
  <si>
    <t>مساعدات ملابس وشنط</t>
  </si>
  <si>
    <t>منه خالد محمود</t>
  </si>
  <si>
    <t>منقباد</t>
  </si>
  <si>
    <t>اسماء حسن أحمد.</t>
  </si>
  <si>
    <t>معاذ سلامة عثمان</t>
  </si>
  <si>
    <t>عرب الجامعة</t>
  </si>
  <si>
    <t>مركز القوصية</t>
  </si>
  <si>
    <t>مني</t>
  </si>
  <si>
    <t>وفر حاجات كتير علي الناس</t>
  </si>
  <si>
    <t>دينا اشرف محمود</t>
  </si>
  <si>
    <t>مروه صبحي</t>
  </si>
  <si>
    <t>معاذ احمد محروس</t>
  </si>
  <si>
    <t>سميرة عبدالحميد حسن</t>
  </si>
  <si>
    <t>الطفل مقيم مع الجدة لسفر الاسرة والجدة ملاحظة تحسن مستوى معاذ حاصة فى الجزء اللغوىة ت</t>
  </si>
  <si>
    <t>اقرب للاسرة فى المسافة وسهولة الحصول على الخدمة</t>
  </si>
  <si>
    <t>الجلسات باسعار مناسبة</t>
  </si>
  <si>
    <t>الجلسات بكفاءة جيدة والطفل مستفيد منها</t>
  </si>
  <si>
    <t>سناء راتب محمد احمد</t>
  </si>
  <si>
    <t>بطه محمد علي</t>
  </si>
  <si>
    <t>رؤية ناصر ابراهيم ثابت</t>
  </si>
  <si>
    <t>نورهان ناصر ابراهيم الاخت</t>
  </si>
  <si>
    <t>منتظمة في الجلسات</t>
  </si>
  <si>
    <t>باقي كل شيء كشف علاج جلسات</t>
  </si>
  <si>
    <t>كريمه محمود العونى</t>
  </si>
  <si>
    <t>دينا حسين عبد الجواد (الام)</t>
  </si>
  <si>
    <t>المكان بقى قريب مننا</t>
  </si>
  <si>
    <t>مالك محمد هاشم محمد</t>
  </si>
  <si>
    <t>هناء حسن كامل حسن</t>
  </si>
  <si>
    <t>توفير وقت</t>
  </si>
  <si>
    <t>أية علاء عبدالله</t>
  </si>
  <si>
    <t>انتصار مبروك عبدالعزيز ( الأم )</t>
  </si>
  <si>
    <t>الطفلة لديهامشكلة فى المشى وتحتاج الى عملية جراحية</t>
  </si>
  <si>
    <t>المكان حو ونظيف</t>
  </si>
  <si>
    <t>استقنالنا كويس ومواعيدهم مظبوطة</t>
  </si>
  <si>
    <t>وفر عليا فلوس كتير</t>
  </si>
  <si>
    <t>المكان كويس الصراحة</t>
  </si>
  <si>
    <t>توفير علاج طبيعى</t>
  </si>
  <si>
    <t>جني احمد خالد</t>
  </si>
  <si>
    <t>شربات علي محمد علي</t>
  </si>
  <si>
    <t>بسبب حالتها الصحيه</t>
  </si>
  <si>
    <t>محمد ايمن نصار</t>
  </si>
  <si>
    <t>نادية عبدالهادى سيد</t>
  </si>
  <si>
    <t>انقطاع مسؤلة التاهيل</t>
  </si>
  <si>
    <t>اعطاء معلومات كتير فى التعامل مع الاطفال</t>
  </si>
  <si>
    <t>اكتساب طرق ايجابية اكثر فى التعامل مع الاطفال</t>
  </si>
  <si>
    <t>تمثيف جلسات التوعية المجتمعية للتعامل مع الاطفال من ذوى الاعاقة</t>
  </si>
  <si>
    <t>تكثيف ورش اداب التعامل مع الاطفال ذوى الاعاقة والدنج داخل المدارس</t>
  </si>
  <si>
    <t>تكثيف جلسات التوعية والورش مع الاسر لانها كانت مفيدة بالنسبة للاسرة</t>
  </si>
  <si>
    <t>الاسرة تحتاج جلسات متخصصة اكثر مثل التكامل والتخاطب باسعار رمزية</t>
  </si>
  <si>
    <t>محمد علاء محمد</t>
  </si>
  <si>
    <t>اسماء ابراهيم ثابت</t>
  </si>
  <si>
    <t>خلي الاولاد اتعلموا القراءة</t>
  </si>
  <si>
    <t>اتعلموا اولادنا يطلعو ويخرجوا لوحدهم</t>
  </si>
  <si>
    <t>تطوير في القراء والكتابة يتعلم اكتر واكتر</t>
  </si>
  <si>
    <t>محمد حسن سيد</t>
  </si>
  <si>
    <t>هدي سيد عبدالحميد</t>
  </si>
  <si>
    <t>كريم سلامه عثمان</t>
  </si>
  <si>
    <t>منى عزت احمد (الام)</t>
  </si>
  <si>
    <t>أن المشروع يستمر</t>
  </si>
  <si>
    <t>علي محمد علي</t>
  </si>
  <si>
    <t>ريئسه محمد علي</t>
  </si>
  <si>
    <t>ريتا جمال</t>
  </si>
  <si>
    <t>كريمة ابراهيم</t>
  </si>
  <si>
    <t>الاهتمام و المتابعة</t>
  </si>
  <si>
    <t>حبهم للمكان</t>
  </si>
  <si>
    <t>كاراس عصام كمال</t>
  </si>
  <si>
    <t>رزقه الدير المحرق</t>
  </si>
  <si>
    <t>هدي مرزق فايز بشري</t>
  </si>
  <si>
    <t>تقدم حاله كاراس في المجتمع</t>
  </si>
  <si>
    <t>تنميه مهاراته والتحدث مع الآخرين بطريقه افضل</t>
  </si>
  <si>
    <t>استمراريه المشروع</t>
  </si>
  <si>
    <t>أسماء عمار على عبدالحافظ</t>
  </si>
  <si>
    <t>سلمى حسين على ( زوجة العم ) المرافقة للطفلة بالجلسات</t>
  </si>
  <si>
    <t>مريح فى التعامل</t>
  </si>
  <si>
    <t>قريب من المكان</t>
  </si>
  <si>
    <t>الطفل بيتعلم فيه حاجاتكتير حلوة</t>
  </si>
  <si>
    <t>ريتاج محمد علي</t>
  </si>
  <si>
    <t>يوسف انور عبدالرسول</t>
  </si>
  <si>
    <t>ورده صابر شحاته</t>
  </si>
  <si>
    <t>الندوات ساعدتني افهم حاله ابني احسن</t>
  </si>
  <si>
    <t>محمد سالم جمعة سيد</t>
  </si>
  <si>
    <t>سناء احمد حسين</t>
  </si>
  <si>
    <t>لو مش معايا فلوس بيدوه الجلسات مجانا</t>
  </si>
  <si>
    <t>ابني مكنش عمله يتكلم اتكلم</t>
  </si>
  <si>
    <t>مرتاحة في التعامل معاهم لو مش معايا فلوس باخد مجانا</t>
  </si>
  <si>
    <t>بوعي الكل أنهم يجيبون أطفالهم ليتعلم</t>
  </si>
  <si>
    <t>فاطمه على فضل</t>
  </si>
  <si>
    <t>ورده عثمان موسى (خاله الطفله )</t>
  </si>
  <si>
    <t>الخدمه ممتازه</t>
  </si>
  <si>
    <t>عمر اشرف رفاعي</t>
  </si>
  <si>
    <t>نورا سيد احمد</t>
  </si>
  <si>
    <t>انقطاع مسؤولة التأهيل</t>
  </si>
  <si>
    <t>افتتاح فصل حضانة بسعر مخفض</t>
  </si>
  <si>
    <t>علي كمال علي</t>
  </si>
  <si>
    <t>سالمين جوده محمد</t>
  </si>
  <si>
    <t>تحسن حالة الطفل</t>
  </si>
  <si>
    <t>محمد علي محمد</t>
  </si>
  <si>
    <t>ملك احمد عبدالنعيم</t>
  </si>
  <si>
    <t>اسماء علام علي</t>
  </si>
  <si>
    <t>كاراس روماني جميل عبد الملاك</t>
  </si>
  <si>
    <t>مريم موسي ابو اليمين</t>
  </si>
  <si>
    <t>ما زال منتظم</t>
  </si>
  <si>
    <t>تنميه قدرات كاراس</t>
  </si>
  <si>
    <t>تقدمه في الرعايه الذاتيه</t>
  </si>
  <si>
    <t>اشتراك في انشطه مجتمعيه</t>
  </si>
  <si>
    <t>لا يوجد أي عيوب بل استفادنا منه</t>
  </si>
  <si>
    <t>المشروع يتمد ويستمر</t>
  </si>
  <si>
    <t>ماروسكا عادل ناصر</t>
  </si>
  <si>
    <t>هناء صلاح ناجح</t>
  </si>
  <si>
    <t>تحسين مستوى الاطفال الملتحقة</t>
  </si>
  <si>
    <t>توفير جلسات بكفاءة جيدة بدل النزول للاسيوط نفسها ووفر وقت وفلوس</t>
  </si>
  <si>
    <t>حسنه محمد علي</t>
  </si>
  <si>
    <t>لحاف، دفايه</t>
  </si>
  <si>
    <t>تجهيز البنت</t>
  </si>
  <si>
    <t>رودينا رمضان سانوس</t>
  </si>
  <si>
    <t>هند محمد سليم</t>
  </si>
  <si>
    <t>دمج رودينا في المدرسه</t>
  </si>
  <si>
    <t>مشروع للاسره لتوفير حياه كريمه</t>
  </si>
  <si>
    <t>يحي بخيت عوض</t>
  </si>
  <si>
    <t>ساميه احمد عبدالرازق</t>
  </si>
  <si>
    <t>ساعد ابني يحي يتكلم</t>
  </si>
  <si>
    <t>ريماس مصطفي جمال</t>
  </si>
  <si>
    <t>شيماء عربي علي</t>
  </si>
  <si>
    <t>قلة التكلفه</t>
  </si>
  <si>
    <t>وجود مركز رعاية نهارية فصل حضانه</t>
  </si>
  <si>
    <t>وجود فصل حضانه</t>
  </si>
  <si>
    <t>وجود أجهزة وأدوات مثل الحضانات</t>
  </si>
  <si>
    <t>يسي حمدي ابراهيم</t>
  </si>
  <si>
    <t>نورا جندى بخيت</t>
  </si>
  <si>
    <t>مقايس نفسيه</t>
  </si>
  <si>
    <t>عدم وجود استجابه في الجلسات</t>
  </si>
  <si>
    <t>مكاريوس عادل ناصر ناجح</t>
  </si>
  <si>
    <t>لا يوجد الاسرة احتياجها الجلسات</t>
  </si>
  <si>
    <t>الاهتمام بالاطفال وتحسين مستواهم</t>
  </si>
  <si>
    <t>توفير وقت وجهد لان الاسرة لا تستطيع النزول لاسيوط نفسها لتلقى الخدمات فالام</t>
  </si>
  <si>
    <t>عبدالله محمد مرشد</t>
  </si>
  <si>
    <t>نورا جاد علي مهران</t>
  </si>
  <si>
    <t>دخول الطفل المدرسه</t>
  </si>
  <si>
    <t>احاله</t>
  </si>
  <si>
    <t>حبيبة مصطفي عمر عثمان</t>
  </si>
  <si>
    <t>نعمه محمد محمد</t>
  </si>
  <si>
    <t>قله التنمر علي حبيبه</t>
  </si>
  <si>
    <t>انه الأطفال يطلعو ايام ترفيه اكتر علشان بنتي بتحب تطلع بس بتبا خايفه لما طلعت اليوم الترفيهي مع مس صفاء كانت فرحانه خالص</t>
  </si>
  <si>
    <t>جنات هانى صلاح</t>
  </si>
  <si>
    <t>شيماء على سليمان</t>
  </si>
  <si>
    <t>اكتر حاجة عجبانى جنات احسن واخدة فى الفصل وبقت شاطرة وتروح تجيبلى طلبات لوحدها حتىلو المكان بعيد</t>
  </si>
  <si>
    <t>الام ترغب فى الحصول على فرن لعمل مشروع مخبوزات عيش بلدى لتحسين حالة الاسرة</t>
  </si>
  <si>
    <t>توفير جلسات بكفاءة ممتازة</t>
  </si>
  <si>
    <t>تحسن وارتفاع المستوى الاكاديمى للطفلة</t>
  </si>
  <si>
    <t>ارتفاع ثقة الطفلة بنفسها لتقدم مستواها/الاسرة استفادت جدا من الورش المثدمة للاسر وترغب فى مزيد من الورش</t>
  </si>
  <si>
    <t>كيرلس توفيق عياد</t>
  </si>
  <si>
    <t>نزلة الدير</t>
  </si>
  <si>
    <t>تريزة فوزي صادق</t>
  </si>
  <si>
    <t>بيتكلم احسن وبيروح الحضانه</t>
  </si>
  <si>
    <t>حدث تغيير وابني بقي بيتكلم</t>
  </si>
  <si>
    <t>يوسف حسن يوسف</t>
  </si>
  <si>
    <t>هدى حسن يوسف</t>
  </si>
  <si>
    <t>توفير مساعدات اجتماعيه</t>
  </si>
  <si>
    <t>عدي احمد خضر</t>
  </si>
  <si>
    <t>شيماء قاسم احمد</t>
  </si>
  <si>
    <t>الأدوات تبا حديثه</t>
  </si>
  <si>
    <t>صباح دويني يوسف محمد</t>
  </si>
  <si>
    <t>علي دويني محمد</t>
  </si>
  <si>
    <t>مرتبه طبيه</t>
  </si>
  <si>
    <t>داليا منير لبيب</t>
  </si>
  <si>
    <t>الشخص نفسة اتعمت مشغولات يدوية</t>
  </si>
  <si>
    <t>حبي المكان ومعاملة الناس</t>
  </si>
  <si>
    <t>بيطلع الوحدة من الي هو فئة انا عصبية كنت باخد علاج نفسي عرفة اهدي وتعامل مع الاخرين</t>
  </si>
  <si>
    <t>بقيت محبوبه من الناس والمس</t>
  </si>
  <si>
    <t>لعب جديدة وأجهزة وأشياء نتعلمها</t>
  </si>
  <si>
    <t>ايه هانى صلاح</t>
  </si>
  <si>
    <t>تحتاج الاسرة لمزيد من للدعم بنواجعة تعامل المدرسة للطفلة</t>
  </si>
  <si>
    <t>المسافات بعيدة للجلسات فى اسيوط وهنا احسن</t>
  </si>
  <si>
    <t>توفير مالى لان الجلسات بره اغلى مو هنا</t>
  </si>
  <si>
    <t>محمد طه محمود</t>
  </si>
  <si>
    <t>اسماء محمد عاشور</t>
  </si>
  <si>
    <t>ساعد محمد مستواه يتحسن في المدرسه</t>
  </si>
  <si>
    <t>ساعدني انه يزيد الوعي عندي</t>
  </si>
  <si>
    <t>مارينا عطيه عبد الملاك</t>
  </si>
  <si>
    <t>رزقه الدير محرك</t>
  </si>
  <si>
    <t>سنجر محب بوليس (الام)</t>
  </si>
  <si>
    <t>أن الاخصائيين مهتمين بالأطفال</t>
  </si>
  <si>
    <t>ملك حمدى محمد</t>
  </si>
  <si>
    <t>مرفت فتحي محمد منصور</t>
  </si>
  <si>
    <t>توفير الجلسات باسعار مخفضه</t>
  </si>
  <si>
    <t>رسمي علاء رسمي عبدالسلام</t>
  </si>
  <si>
    <t>قمر سعودي احمد</t>
  </si>
  <si>
    <t>رانيا سعيد نخلة</t>
  </si>
  <si>
    <t>مرزقة رياض روفئير</t>
  </si>
  <si>
    <t>بتتستحمه لنفسها وتختار لبسها لوحدها</t>
  </si>
  <si>
    <t>توفير نظارة</t>
  </si>
  <si>
    <t>انهم كويسين وعلمونا حاجات حلوي</t>
  </si>
  <si>
    <t>انها عرفت كل شيء في البيت</t>
  </si>
  <si>
    <t>اني احصل علي الخدمات الأخري بمساعدتهم ومعاهم مثل النظارة</t>
  </si>
  <si>
    <t>أن نوعيهم عن الزواج بنتي بتسالني لما بتروح فرح لية مبقاش عروسة زيهم</t>
  </si>
  <si>
    <t>نطلب من ابونا أنه يعمل توعية لبنتي والي زيها عن الزواج</t>
  </si>
  <si>
    <t>اشرقت حسني احمد سيد</t>
  </si>
  <si>
    <t>امال علي حسن</t>
  </si>
  <si>
    <t>باڤلي بسام عادل</t>
  </si>
  <si>
    <t>زوقة الدير المحرق</t>
  </si>
  <si>
    <t>مادونا ممتاز</t>
  </si>
  <si>
    <t>الاهتمام للأنشطة</t>
  </si>
  <si>
    <t>وتغير حالته النفسية</t>
  </si>
  <si>
    <t>تغير مواعيد الجلسات</t>
  </si>
  <si>
    <t>احمد علاء رسمي</t>
  </si>
  <si>
    <t>قدم الدعم المعنوي</t>
  </si>
  <si>
    <t>تغير فكري من الندوات</t>
  </si>
  <si>
    <t>ميرولا وليد توفيق</t>
  </si>
  <si>
    <t>رزقه الدير المحرك</t>
  </si>
  <si>
    <t>نرمين ماهر وديع</t>
  </si>
  <si>
    <t>كيفن شنودة منير ذكى</t>
  </si>
  <si>
    <t>رزقة الدير</t>
  </si>
  <si>
    <t>هدى زكريا صديق ( الأم )</t>
  </si>
  <si>
    <t>تحديد مشكتله بالظبط والعمل معه على اساس</t>
  </si>
  <si>
    <t>غرفة التكامل الحسى</t>
  </si>
  <si>
    <t>حماية الطفل من المواصلات والبرد فى اماكن بالقوصية</t>
  </si>
  <si>
    <t>الوعى بالإعاقة زاد اكثر</t>
  </si>
  <si>
    <t>المكان أمن جدا</t>
  </si>
  <si>
    <t>توفير الوقت والجهد والمواصلات</t>
  </si>
  <si>
    <t>المعاملة ممتازة وودوده</t>
  </si>
  <si>
    <t>جلسات جملعية لتعلم المشاركة</t>
  </si>
  <si>
    <t>مارلي ايهاب</t>
  </si>
  <si>
    <t>رزقة دير المحرق</t>
  </si>
  <si>
    <t>حنان عادل سعيد</t>
  </si>
  <si>
    <t>مفيد لاطفال</t>
  </si>
  <si>
    <t>وفر ا ولي الأمر وقت و فلوس</t>
  </si>
  <si>
    <t>يطلعوا العيال رحلة</t>
  </si>
  <si>
    <t>مينا ايمن عشم</t>
  </si>
  <si>
    <t>وفاء ابراهيم جيد</t>
  </si>
  <si>
    <t>يارا سعد سعودي احمد</t>
  </si>
  <si>
    <t>فاطمه احمد محمد</t>
  </si>
  <si>
    <t>قدم دعم معنوي</t>
  </si>
  <si>
    <t>عبد الرحمن غزالي احمد ابراهيم</t>
  </si>
  <si>
    <t>اميره محمد فرغلي</t>
  </si>
  <si>
    <t>الطفل منتظم</t>
  </si>
  <si>
    <t>عدم الانتظام في الجلسات</t>
  </si>
  <si>
    <t>جوليا جورج نجيب</t>
  </si>
  <si>
    <t>رزقة الدير المحرق</t>
  </si>
  <si>
    <t>امل صابر فرح</t>
  </si>
  <si>
    <t>وتنمية مهارات</t>
  </si>
  <si>
    <t>عايزه يستمر</t>
  </si>
  <si>
    <t>وفر المواصلات</t>
  </si>
  <si>
    <t>وفر فلوس</t>
  </si>
  <si>
    <t>مفيش لا يوجد</t>
  </si>
  <si>
    <t>زيادة الندوات</t>
  </si>
  <si>
    <t>مريم لبيب اديب لبيب</t>
  </si>
  <si>
    <t>ايريني عيد توفيق</t>
  </si>
  <si>
    <t>أن بيخلي الاطفال تشارك</t>
  </si>
  <si>
    <t>تخلي الاطفال تتعلم وتشارك معاكي</t>
  </si>
  <si>
    <t>ابتسام حسين رشدي محمد</t>
  </si>
  <si>
    <t>ناديه مصطفي محمد</t>
  </si>
  <si>
    <t>كاراس راضى حنا عبده</t>
  </si>
  <si>
    <t>اخلاص جيد بشئ (الام)</t>
  </si>
  <si>
    <t>شنودة ملاك فايز</t>
  </si>
  <si>
    <t>ماري نبيل ثابت</t>
  </si>
  <si>
    <t>تقدمه في تنمية المهارات</t>
  </si>
  <si>
    <t>تقدم في رعاية الذات</t>
  </si>
  <si>
    <t>في تنفيذ الاوامر</t>
  </si>
  <si>
    <t>نول</t>
  </si>
  <si>
    <t>اسيي</t>
  </si>
  <si>
    <t>لوع</t>
  </si>
  <si>
    <t>فتحيه محمود أبو العلا</t>
  </si>
  <si>
    <t>تناغة</t>
  </si>
  <si>
    <t>الحاله منتظمة بخدمة الزيارة</t>
  </si>
  <si>
    <t>استفادة الاسر والاطفال</t>
  </si>
  <si>
    <t>توفير الوقت والعبء المالى عن ولا الأمر</t>
  </si>
  <si>
    <t>زيادة عدد المساعدات الاجتماعية</t>
  </si>
  <si>
    <t>توفير فرص عمل</t>
  </si>
  <si>
    <t>شهيرة عبد الرحمن ابراهيم</t>
  </si>
  <si>
    <t>فائزة</t>
  </si>
  <si>
    <t>تحسن في حالة</t>
  </si>
  <si>
    <t>حنان صبرة صبور</t>
  </si>
  <si>
    <t>مصدر دخل دائم</t>
  </si>
  <si>
    <t>استقرار حالة المنزل ماديا</t>
  </si>
  <si>
    <t>توفير مصدر دخل دائم</t>
  </si>
  <si>
    <t>توفير مساعدات</t>
  </si>
  <si>
    <t>استمرار المساعدات</t>
  </si>
  <si>
    <t>جبر عبد العليم عبد الاه</t>
  </si>
  <si>
    <t>كلثوم محمد علي</t>
  </si>
  <si>
    <t>زيادة الدخل</t>
  </si>
  <si>
    <t>مش باجي علي طول</t>
  </si>
  <si>
    <t>توفير مشروع صغير لزيادة الدخل</t>
  </si>
  <si>
    <t>رحمة فاروق</t>
  </si>
  <si>
    <t>لا يو</t>
  </si>
  <si>
    <t>ماديات</t>
  </si>
  <si>
    <t>البيت</t>
  </si>
  <si>
    <t>توفير خيرات كتير</t>
  </si>
  <si>
    <t>توفير الماديات</t>
  </si>
  <si>
    <t>زيادة الوعي</t>
  </si>
  <si>
    <t>كويس الحمدلله</t>
  </si>
  <si>
    <t>رحاب حسن محمد</t>
  </si>
  <si>
    <t>رضوي عبد السلام</t>
  </si>
  <si>
    <t>التعامل الكويس</t>
  </si>
  <si>
    <t>والمتابعة</t>
  </si>
  <si>
    <t>محمد سيد موسى</t>
  </si>
  <si>
    <t>رضا صلاح عبد الباقي</t>
  </si>
  <si>
    <t>تخاطب وتنمية مهارات</t>
  </si>
  <si>
    <t>زينب سيد عبد اللطيف</t>
  </si>
  <si>
    <t>زينب سيد</t>
  </si>
  <si>
    <t>اتعلمت الكتابة</t>
  </si>
  <si>
    <t>ريمان عمر</t>
  </si>
  <si>
    <t>هيام طنطاوي عبد المعطي</t>
  </si>
  <si>
    <t>زيادة تنمية القدرات للطفل</t>
  </si>
  <si>
    <t>مشيرة سيد كامل</t>
  </si>
  <si>
    <t>التوعية مهمة جدا</t>
  </si>
  <si>
    <t>ندخل عداد مياه</t>
  </si>
  <si>
    <t>اجيب سرير للعيال</t>
  </si>
  <si>
    <t>ماجدة عيد علي</t>
  </si>
  <si>
    <t>المساعدات الاجتماعية</t>
  </si>
  <si>
    <t>إضافة مساعدا اكثر</t>
  </si>
  <si>
    <t>حلية محمد كمال</t>
  </si>
  <si>
    <t>سعيدة ربيع فرغلي</t>
  </si>
  <si>
    <t>التعامل جميل</t>
  </si>
  <si>
    <t>ارتفاع الأسعار الجلسات</t>
  </si>
  <si>
    <t>دعم و توعية اكتر</t>
  </si>
  <si>
    <t>تنمية</t>
  </si>
  <si>
    <t>سيف محمد عزوز نادي</t>
  </si>
  <si>
    <t>هويدا جلال</t>
  </si>
  <si>
    <t>في حاجات كتيرة المشروع مش موفرها</t>
  </si>
  <si>
    <t>التحسن بسيط</t>
  </si>
  <si>
    <t>عمل اختبار ذكاء</t>
  </si>
  <si>
    <t>شذى علاء جاد</t>
  </si>
  <si>
    <t>أم هاشم نتعي شرقاوي</t>
  </si>
  <si>
    <t>تم تليية كل احتياجات الاسرة</t>
  </si>
  <si>
    <t>عدم القدرة على توفير الفلوس للجلسات</t>
  </si>
  <si>
    <t>فلوس الجلسات</t>
  </si>
  <si>
    <t>توفير جلسات مجانية للغير قادرين</t>
  </si>
  <si>
    <t>ايه عيسي عبد النعيم</t>
  </si>
  <si>
    <t>ايمان يوسف عمران</t>
  </si>
  <si>
    <t>عرفت تكتب اسمها</t>
  </si>
  <si>
    <t>ساعدونا كتير</t>
  </si>
  <si>
    <t>الخبرة اكتر</t>
  </si>
  <si>
    <t>يوفرها مشروع</t>
  </si>
  <si>
    <t>نظير عبد الجابر احمد</t>
  </si>
  <si>
    <t>ريفا</t>
  </si>
  <si>
    <t>ورده احمد محمد</t>
  </si>
  <si>
    <t>الطفل خايف من التعامل</t>
  </si>
  <si>
    <t>رهف عثمان احمد</t>
  </si>
  <si>
    <t>اسماء سيد عبد الرحمن</t>
  </si>
  <si>
    <t>الاهتمام بمتلازمة داون</t>
  </si>
  <si>
    <t>تقوي مصطفي خليفة</t>
  </si>
  <si>
    <t>نهي محمود عبد الفتاح</t>
  </si>
  <si>
    <t>زيارات</t>
  </si>
  <si>
    <t>تعديل سلوك وصعوبات التعلم</t>
  </si>
  <si>
    <t>تحسن في الحضانة و تعديلةسلوك</t>
  </si>
  <si>
    <t>تنمية مهارات</t>
  </si>
  <si>
    <t>خليفة مصطفي خليفة</t>
  </si>
  <si>
    <t>تهاني احمد عبد الكريم</t>
  </si>
  <si>
    <t>تعديلةسلوك</t>
  </si>
  <si>
    <t>سلوكيات اتعدليت</t>
  </si>
  <si>
    <t>مهمة جدا الندوات</t>
  </si>
  <si>
    <t>تمن الجلسة يبقي زي ما هو</t>
  </si>
  <si>
    <t>عبدالله محمد علي</t>
  </si>
  <si>
    <t>هبة عباس رضوان</t>
  </si>
  <si>
    <t>فرط حركة قلة تشتت انتباه</t>
  </si>
  <si>
    <t>ياسين علي</t>
  </si>
  <si>
    <t>ياسمين احمد</t>
  </si>
  <si>
    <t>أسبوعين</t>
  </si>
  <si>
    <t>تغير في السلوك</t>
  </si>
  <si>
    <t>تغير الطفل الي افضل</t>
  </si>
  <si>
    <t>قلة التنمر</t>
  </si>
  <si>
    <t>لا يوجد مفيش عيوب</t>
  </si>
  <si>
    <t>يفضل مخفض تمن الجلسات</t>
  </si>
  <si>
    <t>خالد أبو العيون محمد مرسي</t>
  </si>
  <si>
    <t>هناء محمود محمد</t>
  </si>
  <si>
    <t>زيد ابو العيون مرسي</t>
  </si>
  <si>
    <t>هناء محمود</t>
  </si>
  <si>
    <t>مستوها تتحسن في المدرسة</t>
  </si>
  <si>
    <t>لا يوجدف</t>
  </si>
  <si>
    <t>فكرة كويس</t>
  </si>
  <si>
    <t>استمرار الخدمة</t>
  </si>
  <si>
    <t>ادم ابراهيم طاهر</t>
  </si>
  <si>
    <t>نسرين عثمان حسن</t>
  </si>
  <si>
    <t>تقديم مساعدات عينيه</t>
  </si>
  <si>
    <t>مودة محمود هارون</t>
  </si>
  <si>
    <t>سارة ناصر عبد الحميد</t>
  </si>
  <si>
    <t>الاعتماد على النفس</t>
  </si>
  <si>
    <t>ريهام ثابت محمود</t>
  </si>
  <si>
    <t>ثابت محمود أحمد</t>
  </si>
  <si>
    <t>تحسن نفسيه ريهام</t>
  </si>
  <si>
    <t>توفير مشروع للاسره</t>
  </si>
  <si>
    <t>مكة محمود هارون</t>
  </si>
  <si>
    <t>زيادة الثقافات لدي المجتمع بذوي الاعاقه</t>
  </si>
  <si>
    <t>روئ ذكي</t>
  </si>
  <si>
    <t>بشاير صابرة</t>
  </si>
  <si>
    <t>الفهم زاد</t>
  </si>
  <si>
    <t>رودينا عاطف محمد علي</t>
  </si>
  <si>
    <t>ايمان محمد محمد احمد</t>
  </si>
  <si>
    <t>قله التنمر علي اطفالنا</t>
  </si>
  <si>
    <t>زياده الوعي عن طريق الندوات</t>
  </si>
  <si>
    <t>تقديم حرف للامهات علشان تساعد في الدخل</t>
  </si>
  <si>
    <t>ادم محمد هارون</t>
  </si>
  <si>
    <t>سلمي ابو الليل حمدي</t>
  </si>
  <si>
    <t>وتنمية المهارات و حاليا عايز تعديل</t>
  </si>
  <si>
    <t>يعبر كويس</t>
  </si>
  <si>
    <t>الاهتمام بالأطفال صعوبات التعلم</t>
  </si>
  <si>
    <t>تحسن مع الطفل</t>
  </si>
  <si>
    <t>مفيدة لاطفال القرية</t>
  </si>
  <si>
    <t>السعر مناسب المجالات حلوة</t>
  </si>
  <si>
    <t>أن يكمل لسنوات طويلة لانه مفيدة</t>
  </si>
  <si>
    <t>هيام ثابت محمود</t>
  </si>
  <si>
    <t>أصبحت تتكلم افضل</t>
  </si>
  <si>
    <t>بقيت تعرف تغسل وشها</t>
  </si>
  <si>
    <t>محمد ابو العيون فتحي</t>
  </si>
  <si>
    <t>امرات خلف محمد</t>
  </si>
  <si>
    <t>وتعديل سلوك</t>
  </si>
  <si>
    <t>مفيش تحسن</t>
  </si>
  <si>
    <t>أن يتكلم</t>
  </si>
  <si>
    <t>أن ينطق اسماء اخواته</t>
  </si>
  <si>
    <t>التنمر</t>
  </si>
  <si>
    <t>تحسين الطفل</t>
  </si>
  <si>
    <t>أن يتكلم بسرعة</t>
  </si>
  <si>
    <t>ابراهيم عبدالعزيز عنتر</t>
  </si>
  <si>
    <t>دينا مصطفي علي</t>
  </si>
  <si>
    <t>ساعد ابني يتكلم</t>
  </si>
  <si>
    <t>مريم زكريا لطفي</t>
  </si>
  <si>
    <t>نادية صدقي عبدالناصر(الام)</t>
  </si>
  <si>
    <t>عدم تعامل الطفله مع الدورة الشهرية والنظافة الشخصيه</t>
  </si>
  <si>
    <t>محمد محمود عبد الظاهر</t>
  </si>
  <si>
    <t>فرط الحركة قل و منظم</t>
  </si>
  <si>
    <t>وتنمية المهارات</t>
  </si>
  <si>
    <t>أسلوبه بقي احسن و تطور جامد</t>
  </si>
  <si>
    <t>والمتابعة المستمرة</t>
  </si>
  <si>
    <t>بقي في استقبال جامد لاطفال</t>
  </si>
  <si>
    <t>الاهتمام المستمر</t>
  </si>
  <si>
    <t>و المتابعة مع ولي الأمر</t>
  </si>
  <si>
    <t>التركيز علي تعديل السلوك</t>
  </si>
  <si>
    <t>لا يوجد الله يباركهم</t>
  </si>
  <si>
    <t>أن يطول المدة الجلسة</t>
  </si>
  <si>
    <t>احمد ممدوح محمد علي</t>
  </si>
  <si>
    <t>سعاد جاد الكريم حجازي</t>
  </si>
  <si>
    <t>المكان ضيق محتاج المساحه تكبر</t>
  </si>
  <si>
    <t>مروان عماد محمد عبد الظاهر</t>
  </si>
  <si>
    <t>مها محروس</t>
  </si>
  <si>
    <t>التغير و التحسن</t>
  </si>
  <si>
    <t>توفير الخدمات</t>
  </si>
  <si>
    <t>توفير مواصلات</t>
  </si>
  <si>
    <t>الامير خميس سيد أحمد</t>
  </si>
  <si>
    <t>كلثوم حسن الماذون</t>
  </si>
  <si>
    <t>الأمير شب عنده اعاقه ذهنيه تحسن حاله الأمير</t>
  </si>
  <si>
    <t>تحسن نفسيه الأمير من خلال حس انه ليه اهميه</t>
  </si>
  <si>
    <t>بدا يقف مع اخوه في المحل المنظفات وبقي يعتمد عليه انه يساعده</t>
  </si>
  <si>
    <t>مقدرش يوفر كارت الخدمه</t>
  </si>
  <si>
    <t>راقيه احمد بكر</t>
  </si>
  <si>
    <t>القصير</t>
  </si>
  <si>
    <t>سحر عبد المنعم احمد حسين</t>
  </si>
  <si>
    <t>الحاله منتظمه</t>
  </si>
  <si>
    <t>تم عمل سقف المنزل</t>
  </si>
  <si>
    <t>الزيارات المنزليه</t>
  </si>
  <si>
    <t>المساعدات التي تمت لذوي الاعاقه</t>
  </si>
  <si>
    <t>إن الزيارات المنزليه يومين فقط في الشهر</t>
  </si>
  <si>
    <t>زياده عدد الجلسات المنزليه</t>
  </si>
  <si>
    <t>عبد المنعم احمد حسين</t>
  </si>
  <si>
    <t>حبيبه حسن صبري</t>
  </si>
  <si>
    <t>ادخال أجهزة جديدة</t>
  </si>
  <si>
    <t>عزيزة محمد عبدالله</t>
  </si>
  <si>
    <t>الاهتمام بذوي الاعاقه واسرهم</t>
  </si>
  <si>
    <t>توفير خدمه الزيارات المنزليه لذوي الاعاقه</t>
  </si>
  <si>
    <t>المساعدات التي تقدم لذوي الاعاقه خاصه</t>
  </si>
  <si>
    <t>القاسم حسن صبري</t>
  </si>
  <si>
    <t>يوسف بدران محمد</t>
  </si>
  <si>
    <t>ورده محمود حمدان</t>
  </si>
  <si>
    <t>تقديم مشروع بقاله ليوسف</t>
  </si>
  <si>
    <t>دعم ليوسف وتوفير مشروع لشب</t>
  </si>
  <si>
    <t>يوسف مستفيد زيارات منزليه تم توفير مشروع بقاله</t>
  </si>
  <si>
    <t>توفير جهاز تعويضي سماعه ومشروع بقاله</t>
  </si>
  <si>
    <t>وفر لينا مشروع بقاله</t>
  </si>
  <si>
    <t>وفر جهاز تعويضي سماعه</t>
  </si>
  <si>
    <t>علي محمد غانم</t>
  </si>
  <si>
    <t>سعاد عبدالعزيز محمد</t>
  </si>
  <si>
    <t>الجلسات مرتين كل اسبوع</t>
  </si>
  <si>
    <t>الجلسات تكلفتها قليله جدا</t>
  </si>
  <si>
    <t>وفرنا التعب والجهد في المواصلات</t>
  </si>
  <si>
    <t>إن الجلسات مرتين فقط في الاسبوع</t>
  </si>
  <si>
    <t>زياده عدد الجلسات التاهيله</t>
  </si>
  <si>
    <t>زياده الندوات والجولات للطفل</t>
  </si>
  <si>
    <t>رؤي مسعد محمد</t>
  </si>
  <si>
    <t>ياسمين علي عبدالفتاح</t>
  </si>
  <si>
    <t>ملعب للاطفال لان ابنتي عندها فرط حركه</t>
  </si>
  <si>
    <t>ماجده عامر احمد</t>
  </si>
  <si>
    <t>توفير ادوات خاصه بالزيارات المنزليه</t>
  </si>
  <si>
    <t>زيدان احمد محمد مصطفي</t>
  </si>
  <si>
    <t>سمر سعداوي محمد</t>
  </si>
  <si>
    <t>يبا فيه مكان انتظار للاسره لحين اخذ الطفل الجلسه</t>
  </si>
  <si>
    <t>نوره حسين حمدي</t>
  </si>
  <si>
    <t>سعاد احمد عبد البصير</t>
  </si>
  <si>
    <t>عدم تنمر الاطفال</t>
  </si>
  <si>
    <t>فاطمه صبري شحاته</t>
  </si>
  <si>
    <t>رضا الشحات محمد</t>
  </si>
  <si>
    <t>دمج ابنتي في التعليم</t>
  </si>
  <si>
    <t>ساعدنا فاطمه مستواها يتحسن</t>
  </si>
  <si>
    <t>احمد حسين حمدي</t>
  </si>
  <si>
    <t>احمد هيثم شعبان</t>
  </si>
  <si>
    <t>انور حفظي</t>
  </si>
  <si>
    <t>زاد الوعي</t>
  </si>
  <si>
    <t>تحسن كبير في حالة الطفل</t>
  </si>
  <si>
    <t>حب المكان الخدمة متميزة نفس مستوي القوصية</t>
  </si>
  <si>
    <t>الاء يوسف بكر</t>
  </si>
  <si>
    <t>كريمه هاشم محمد خالد</t>
  </si>
  <si>
    <t>جودى علاء نبيل</t>
  </si>
  <si>
    <t>عمتها</t>
  </si>
  <si>
    <t>الجلوس فترات طويلة</t>
  </si>
  <si>
    <t>تحسن جامد في شحصيتها</t>
  </si>
  <si>
    <t>محمد عبدالكريم عطا</t>
  </si>
  <si>
    <t>سهام مكاوي شرقاوي</t>
  </si>
  <si>
    <t>نها احمد محمد امين</t>
  </si>
  <si>
    <t>مرزقة عطا الكريم</t>
  </si>
  <si>
    <t>ملابس وغساله اتوماتيك</t>
  </si>
  <si>
    <t>بنتي بقت تلبس ملابس احسن وبتساعدني في الاعمال المنزليه</t>
  </si>
  <si>
    <t>الاهتمام بذوي الإعاقة من ناحية التعليم لمن فوق ١٨ سنه</t>
  </si>
  <si>
    <t>توفير فصل محو اميه لذوي الاعاقه</t>
  </si>
  <si>
    <t>أدم اسامة عباس</t>
  </si>
  <si>
    <t>عبير ربيع الام</t>
  </si>
  <si>
    <t>تنمية المهارات</t>
  </si>
  <si>
    <t>في تغيرات كتيرة حصلت</t>
  </si>
  <si>
    <t>في تطوير</t>
  </si>
  <si>
    <t>مفيد جدا</t>
  </si>
  <si>
    <t>توفير المواصلات</t>
  </si>
  <si>
    <t>توفير تمن الجلسات</t>
  </si>
  <si>
    <t>ان يستمر علي طول</t>
  </si>
  <si>
    <t>لا تنقطع الجلسات</t>
  </si>
  <si>
    <t>سعيد اشرف محمد</t>
  </si>
  <si>
    <t>ابتسام علي عبدالفتاح</t>
  </si>
  <si>
    <t>توفير مساعدات للاسره لاشخاص ذوي الاعاقه</t>
  </si>
  <si>
    <t>المشروع ما ذال لسا مش عارفه اعمل كارت الخدمات</t>
  </si>
  <si>
    <t>أسامة احمد جمال</t>
  </si>
  <si>
    <t>تهاني حلمي علي</t>
  </si>
  <si>
    <t>لواحظ عبدالعزيز محمد</t>
  </si>
  <si>
    <t>مشروع بقاله</t>
  </si>
  <si>
    <t>بقيت كويسه واتعامل في بيتي طبيعي وأقوم وتغسل واطبخ</t>
  </si>
  <si>
    <t>الزيارات المنزليه يومين فقط في الشهر</t>
  </si>
  <si>
    <t>محمد احمد جميل</t>
  </si>
  <si>
    <t>مرة واحدة</t>
  </si>
  <si>
    <t>وفر الفلوس المتابعة باستمرار</t>
  </si>
  <si>
    <t>التوسع في المكان</t>
  </si>
  <si>
    <t>احمد</t>
  </si>
  <si>
    <t>07578654467890987</t>
  </si>
  <si>
    <t>gjjggf</t>
  </si>
  <si>
    <t>hgfvbh</t>
  </si>
  <si>
    <t>واةزتوةى</t>
  </si>
  <si>
    <t>محمد خلف السيد</t>
  </si>
  <si>
    <t>المراغة</t>
  </si>
  <si>
    <t>سوهاج</t>
  </si>
  <si>
    <t>خلف السيد</t>
  </si>
  <si>
    <t>إنه بقي ف القرية قريب نوعاً ما علينا</t>
  </si>
  <si>
    <t>المشوار من وسط البلد للوحدة بعيد شويه</t>
  </si>
  <si>
    <t>محمد ابراهيم حسين</t>
  </si>
  <si>
    <t>ابراهيم حسين</t>
  </si>
  <si>
    <t>بيساعد الناس</t>
  </si>
  <si>
    <t>تقريب مقر الوحدة</t>
  </si>
  <si>
    <t>سما سلامة عبد اللطيف</t>
  </si>
  <si>
    <t>سماح صابر</t>
  </si>
  <si>
    <t>وفر علينا مصاريف</t>
  </si>
  <si>
    <t>فهمنا حالة سما وازاي نتعامل معها</t>
  </si>
  <si>
    <t>ايجاد مكان قريب لوسط البلد</t>
  </si>
  <si>
    <t>أنس مدحت إبراهيم</t>
  </si>
  <si>
    <t>مدحت إبراهيم</t>
  </si>
  <si>
    <t>إنه بيساعد الاطفال ذوي الاحتياجات الخاصة وأسرهم</t>
  </si>
  <si>
    <t>مقر الجمعية بعيد لو بقي في وسط البلد هيكون افضل</t>
  </si>
  <si>
    <t>إختيار مكان ف وسط البلد للوحدة</t>
  </si>
  <si>
    <t>إسماعيل عز الدين موسى</t>
  </si>
  <si>
    <t>كوم بدار</t>
  </si>
  <si>
    <t>جمعية تنمية المجتمع بكوم بدار</t>
  </si>
  <si>
    <t>نورهان عزالدين موسى</t>
  </si>
  <si>
    <t>كان منتظم</t>
  </si>
  <si>
    <t>تكلفة الجلسة أقل من جلسة برا</t>
  </si>
  <si>
    <t>مفيش عيوب</t>
  </si>
  <si>
    <t>تزويد مشروعات</t>
  </si>
  <si>
    <t>آية سليم ثابت</t>
  </si>
  <si>
    <t>فزاره</t>
  </si>
  <si>
    <t>المراغه</t>
  </si>
  <si>
    <t>هناء أحمد محمد</t>
  </si>
  <si>
    <t>فرحة الطفله واستقبالها ل مسؤلات التاهيل</t>
  </si>
  <si>
    <t>فاطمة عصام حماد أحمد</t>
  </si>
  <si>
    <t>عصام حماد احمد</t>
  </si>
  <si>
    <t>محمد رشاد محمود</t>
  </si>
  <si>
    <t>نوره عبد الرحمن يوسف</t>
  </si>
  <si>
    <t>يقدم جلسات لي الاطفال ذوي الاعاقة</t>
  </si>
  <si>
    <t>توفر خدمه جلسات في بلد</t>
  </si>
  <si>
    <t>الظروف الماديه</t>
  </si>
  <si>
    <t>توفير مساعده لي الاسره حتي لو بسيطه</t>
  </si>
  <si>
    <t>مساعده الطفل في فلوس الجلسه</t>
  </si>
  <si>
    <t>محمد حسن رزق محمد</t>
  </si>
  <si>
    <t>نوال محمود السيد</t>
  </si>
  <si>
    <t>حالته النفسيه بقيت افضل</t>
  </si>
  <si>
    <t>زيادة عدد الزيارات المنزليه اكثر</t>
  </si>
  <si>
    <t>ايات خلف عبد الحكيم</t>
  </si>
  <si>
    <t>هاله عنتر احمد</t>
  </si>
  <si>
    <t>تقديم خدمات لي الاطفال ذوي الاعاقة</t>
  </si>
  <si>
    <t>توفير انشطه متنوعه ومفيده لي اطفال ذوي الاعاقة</t>
  </si>
  <si>
    <t>ظروف ماديه</t>
  </si>
  <si>
    <t>توفير مساعده لي اطفال ذوي الاعاقة</t>
  </si>
  <si>
    <t>الاء مصطفي علي محمود</t>
  </si>
  <si>
    <t>تونس</t>
  </si>
  <si>
    <t>مصطفي علي محمد</t>
  </si>
  <si>
    <t>مستوي التعليم اتحسن</t>
  </si>
  <si>
    <t>ضعف الانشطه الترفيهيه</t>
  </si>
  <si>
    <t>توفير احتياجات للاطفال</t>
  </si>
  <si>
    <t>محمد وائل محمد حسين</t>
  </si>
  <si>
    <t>حنان عبدالله قمصان</t>
  </si>
  <si>
    <t>توفير جلسات منزليه لابني</t>
  </si>
  <si>
    <t>ضعف المساعدات الماديه</t>
  </si>
  <si>
    <t>توفير كرسي متحرك</t>
  </si>
  <si>
    <t>خالد حماد خليفه</t>
  </si>
  <si>
    <t>الشيخ مكرم</t>
  </si>
  <si>
    <t>ايمان محمد محمد</t>
  </si>
  <si>
    <t>تعليم الاطفال</t>
  </si>
  <si>
    <t>عمل انشطه مكثفه</t>
  </si>
  <si>
    <t>زياده الرحلات</t>
  </si>
  <si>
    <t>يارا على صابر احمد</t>
  </si>
  <si>
    <t>وحدة تونس</t>
  </si>
  <si>
    <t>تنوع الخدمات المقدمة من الوحده</t>
  </si>
  <si>
    <t>تنفيذ جلسات الدعم والإرشاد الأسري</t>
  </si>
  <si>
    <t>لم يتم توفير أجهزة تعويضيه (الجهاز الخارجى الزراعية القوقعة</t>
  </si>
  <si>
    <t>لم يتم استكمال المشروع</t>
  </si>
  <si>
    <t>استكمال المشروع لزيادة مدة الخدمه</t>
  </si>
  <si>
    <t>عبدالرحمن صبري عبدالله</t>
  </si>
  <si>
    <t>جملات السيد علي</t>
  </si>
  <si>
    <t>تطور وزيادة مهارات الانتباه وقلت فرط الحركه</t>
  </si>
  <si>
    <t>توفير كفاله كليه لابني</t>
  </si>
  <si>
    <t>توفير دعم والإرشاد الاسري</t>
  </si>
  <si>
    <t>تنفيذ زيارات منزليه لابنائي الذين ليس لديهم القدرة على الذهاب إلى الوحدة</t>
  </si>
  <si>
    <t>لا يوجد غرفة تكامل حسي</t>
  </si>
  <si>
    <t>لم يتم توفير مشروع لزيادة الدخل</t>
  </si>
  <si>
    <t>زيادة الندوات لزيادة التوعيه المجتمعية</t>
  </si>
  <si>
    <t>العمل على التأهيل المهني للأشخاص المعاقين</t>
  </si>
  <si>
    <t>محمد جلال علي جلال</t>
  </si>
  <si>
    <t>اي شخص من العائلة</t>
  </si>
  <si>
    <t>ليس منقطع</t>
  </si>
  <si>
    <t>بدأ في إصدار بعض الكلمات، وبدأ يعمل التمارين بالايجاب بدل السلب</t>
  </si>
  <si>
    <t>بقى عندهم أمل اكتر</t>
  </si>
  <si>
    <t>توفير ف فلوس الجلسات</t>
  </si>
  <si>
    <t>سهولة المواصلات</t>
  </si>
  <si>
    <t>امل بشير محمد</t>
  </si>
  <si>
    <t>سعد الله</t>
  </si>
  <si>
    <t>بسمه عبد العال عبد العظيم</t>
  </si>
  <si>
    <t>حصر الأشخاص زوي الاعاقه</t>
  </si>
  <si>
    <t>زياده المساعدات الماديه</t>
  </si>
  <si>
    <t>احمد عبد القادر الخطيب</t>
  </si>
  <si>
    <t>احسان حسن محفوظ</t>
  </si>
  <si>
    <t>توفير جلسات بأسعار منخفضه</t>
  </si>
  <si>
    <t>لم يوفر مساعدات ماديه</t>
  </si>
  <si>
    <t>السعي لتحقيق قصص نجاح</t>
  </si>
  <si>
    <t>ايه كامل عبدالحفيظ هارون</t>
  </si>
  <si>
    <t>مصطفى كامل عبدالحفيظ هارون</t>
  </si>
  <si>
    <t>نفسيته بقيت احسن وبيستنا زيارتكم</t>
  </si>
  <si>
    <t>شيماء شحاته علي محمد</t>
  </si>
  <si>
    <t>مشروه ممتاز لكن استجابة شيماء بسيطه</t>
  </si>
  <si>
    <t>شيرين العارف عبدالفتاح علي</t>
  </si>
  <si>
    <t>العارف عبدالفتاح علي</t>
  </si>
  <si>
    <t>نفسية شيرين بقيت احسن وبتفرح ان حد مهتم بيها</t>
  </si>
  <si>
    <t>رحمه محمد محمود طوسن</t>
  </si>
  <si>
    <t>ربه محمد اسماعيل</t>
  </si>
  <si>
    <t>امينه البل حسن ابراهيم حسانين</t>
  </si>
  <si>
    <t>32012222601088.00</t>
  </si>
  <si>
    <t>المراغه22/12/2020</t>
  </si>
  <si>
    <t>سلمي مخلوف محمد محمود</t>
  </si>
  <si>
    <t>مساعده ماليه شهريه</t>
  </si>
  <si>
    <t>ياسين جمال بدوي</t>
  </si>
  <si>
    <t>صباح احمد شاوش</t>
  </si>
  <si>
    <t>احمد حسن محمد حسن</t>
  </si>
  <si>
    <t>عواطف حامد ابو زيد</t>
  </si>
  <si>
    <t>التقييمات النفسيه</t>
  </si>
  <si>
    <t>توفير مساعدات ماديه</t>
  </si>
  <si>
    <t>اسماعيل ممدوح محمود</t>
  </si>
  <si>
    <t>تونس نجع عتمان</t>
  </si>
  <si>
    <t>اسماء عبد الاخر عبدالموجود</t>
  </si>
  <si>
    <t>تطور وزيادة مهارات الانتباه والتركيز وتنمية مهارات الذاكرة</t>
  </si>
  <si>
    <t>الاهتمام بحقوق الأشخاص المعاقين</t>
  </si>
  <si>
    <t>توفير زيارات منزليه للأشخاص الغير قادرين باعمار مختلفه</t>
  </si>
  <si>
    <t>لا يوجد غرفة منتسوي</t>
  </si>
  <si>
    <t>قلت عدد ندوات التوعيه</t>
  </si>
  <si>
    <t>التوعيه المجتمعية بحقوق الأشخاص ذوي الإعاقة</t>
  </si>
  <si>
    <t>زيادة وحدات التأهيل</t>
  </si>
  <si>
    <t>استكمال المشروع</t>
  </si>
  <si>
    <t>كريم علاء شعبان</t>
  </si>
  <si>
    <t>اماني علي احمد عبد الله</t>
  </si>
  <si>
    <t>الطفل تحسن</t>
  </si>
  <si>
    <t>مشاركه الاطفال ف الانشطه</t>
  </si>
  <si>
    <t>عدم توفير العاب ترفيهيه للاطفال</t>
  </si>
  <si>
    <t>فارس محمود خلف</t>
  </si>
  <si>
    <t>فاطمه عبد اللاه علي</t>
  </si>
  <si>
    <t>مساعده الاسر</t>
  </si>
  <si>
    <t>الاستمراريه</t>
  </si>
  <si>
    <t>اهداء محمود محمد كمال الدين</t>
  </si>
  <si>
    <t>نورا بكر عناني عليو</t>
  </si>
  <si>
    <t>تنفيذ زيارات منزليه لاختها جني</t>
  </si>
  <si>
    <t>توفير جلسات الزيارات المنزلية</t>
  </si>
  <si>
    <t>توفير خدمات اجتماعيه</t>
  </si>
  <si>
    <t>عمل جلسات دعم وإرشاد للأسر</t>
  </si>
  <si>
    <t>قلت عدد الزيارات المنزلية</t>
  </si>
  <si>
    <t>عدم وجود اخصائي نفسي في الوحدة</t>
  </si>
  <si>
    <t>زيادة الأنشطة المجتمعية</t>
  </si>
  <si>
    <t>توفير كفالات للأسر الففيرة</t>
  </si>
  <si>
    <t>أميرة محسن ابو العز محمد</t>
  </si>
  <si>
    <t>منصورة عبدالرحيم شحاته</t>
  </si>
  <si>
    <t>توفي ٣ سماعات لأطفال الثلاثة</t>
  </si>
  <si>
    <t>توفير اجهزه تعويضي</t>
  </si>
  <si>
    <t>المشاركه في الأنشطة</t>
  </si>
  <si>
    <t>عمل جلسات إرشاد للأسر</t>
  </si>
  <si>
    <t>لا يوجد تأهيل مهني للأشخاص</t>
  </si>
  <si>
    <t>استكمال مشروع وصول</t>
  </si>
  <si>
    <t>زيادة ندوات التوعيه</t>
  </si>
  <si>
    <t>أروى محمود جابر عطا</t>
  </si>
  <si>
    <t>سعدالله</t>
  </si>
  <si>
    <t>عائشه خلاف محمد</t>
  </si>
  <si>
    <t>توفير مشروع لزيادة الدخل</t>
  </si>
  <si>
    <t>توفي جلسات باجر رمزي</t>
  </si>
  <si>
    <t>عمل جلسات دعم نفسي</t>
  </si>
  <si>
    <t>لا يوجد اخصائي نفسي في الوحدة</t>
  </si>
  <si>
    <t>توفير اخصائي نفسي في الوحدة</t>
  </si>
  <si>
    <t>زيادة جلسات الإرشاد الاسري</t>
  </si>
  <si>
    <t>محمد احمد عبدالحميد احمد</t>
  </si>
  <si>
    <t>نجع التأمينات</t>
  </si>
  <si>
    <t>العسيرات</t>
  </si>
  <si>
    <t>سميه محمد احمد</t>
  </si>
  <si>
    <t>جلسات</t>
  </si>
  <si>
    <t>تحسين الاطفال بدرجه كبيره</t>
  </si>
  <si>
    <t>الحصول علي جلسات افضل الاطفال</t>
  </si>
  <si>
    <t>تغير في معامله المجتمع لاولادنا</t>
  </si>
  <si>
    <t>عدم توفير مصدر دخل للاسرة</t>
  </si>
  <si>
    <t>تقه التنمر علي الاطفال</t>
  </si>
  <si>
    <t>مده المشروع</t>
  </si>
  <si>
    <t>توفير جلسات اكتر الاطفال</t>
  </si>
  <si>
    <t>اجهزه تعوضيه</t>
  </si>
  <si>
    <t>توفير مكان الاطفال</t>
  </si>
  <si>
    <t>وليد محمود خلف</t>
  </si>
  <si>
    <t>صابرين صابر محمد</t>
  </si>
  <si>
    <t>نور احمد عبد الحميد احمد</t>
  </si>
  <si>
    <t>قله التنمر علي الاطفال</t>
  </si>
  <si>
    <t>تغبر في معامله المجتمع الاولادنا</t>
  </si>
  <si>
    <t>تحسن الاطفال بدرجه كبيره</t>
  </si>
  <si>
    <t>مده المشروع قليله</t>
  </si>
  <si>
    <t>عدم توفير مصدر داخل دايم</t>
  </si>
  <si>
    <t>حصول علي جلسات افضل الاطفال</t>
  </si>
  <si>
    <t>زهراء عصام صابر كتانه</t>
  </si>
  <si>
    <t>الزاره</t>
  </si>
  <si>
    <t>المنشاه</t>
  </si>
  <si>
    <t>فايزه عبدالقادر كتانه</t>
  </si>
  <si>
    <t>توفير جلسات مهارات وتخاطب للاطفال</t>
  </si>
  <si>
    <t>تعليم كيفيه التعامل مع الاطفال</t>
  </si>
  <si>
    <t>مده المشروع قصيره</t>
  </si>
  <si>
    <t>عدم توفير مصدر دخل دائم</t>
  </si>
  <si>
    <t>توفير بدل مواصلات للاماكن البعيده</t>
  </si>
  <si>
    <t>زياده مده المشروع</t>
  </si>
  <si>
    <t>توفير مصدر دخل دائم للاسره</t>
  </si>
  <si>
    <t>زياده الوعي الثقافي بين الاسر والمجتمع</t>
  </si>
  <si>
    <t>مصطفي نورالدين مصطفي</t>
  </si>
  <si>
    <t>امي الأيمن عفيفي محمود</t>
  </si>
  <si>
    <t>توفير مكان مخصص للأطفال</t>
  </si>
  <si>
    <t>عدم توفير دخل دائم للأسر</t>
  </si>
  <si>
    <t>رشا محمود أحمد النجدي</t>
  </si>
  <si>
    <t>نجع التامينات</t>
  </si>
  <si>
    <t>فاطمه بخيت أمين</t>
  </si>
  <si>
    <t>قلة التنمر علي الاطفال</t>
  </si>
  <si>
    <t>تغير في معامله المجتمع الاولادنا</t>
  </si>
  <si>
    <t>عدم توفير مصدر دخل دائم للاسر</t>
  </si>
  <si>
    <t>زياده علاج طبيعي</t>
  </si>
  <si>
    <t>زينب اشرف محمد أمين</t>
  </si>
  <si>
    <t>جزيرة طوخ</t>
  </si>
  <si>
    <t>اشرف محمد أمين</t>
  </si>
  <si>
    <t>طفله</t>
  </si>
  <si>
    <t>تغير في معامله الاطفال</t>
  </si>
  <si>
    <t>مفيش بدل مواصلات</t>
  </si>
  <si>
    <t>مدة المشروع قليله</t>
  </si>
  <si>
    <t>توفير اجهزه تعويضية</t>
  </si>
  <si>
    <t>هنا عصام صابر كتانه</t>
  </si>
  <si>
    <t>زياد ناصر ضاحي جابر</t>
  </si>
  <si>
    <t>شارع ابوهريدي</t>
  </si>
  <si>
    <t>سماح عبدالحكم جابر</t>
  </si>
  <si>
    <t>زياده الثقه في النفس تقديم مساعدات</t>
  </si>
  <si>
    <t>عدم توفير اجهزه تعويضيه لباقي الاسره</t>
  </si>
  <si>
    <t>استمر ايه الوحده للاهتمام بالأطفال</t>
  </si>
  <si>
    <t>مروان إكرامي عبدالله احمد</t>
  </si>
  <si>
    <t>طوخ</t>
  </si>
  <si>
    <t>سمر ابو المجد خليل حسان</t>
  </si>
  <si>
    <t>تغير في معامله المجتمع لأ ولادنا</t>
  </si>
  <si>
    <t>عدم توفير مصدر دخل دائم للأسر</t>
  </si>
  <si>
    <t>توفير مصدر دخل الأسر</t>
  </si>
  <si>
    <t>زياده عدد الجلسات</t>
  </si>
  <si>
    <t>يوسف علي ثابت مهران</t>
  </si>
  <si>
    <t>علي ثابت مهران</t>
  </si>
  <si>
    <t>الوحده مكانها بعيد</t>
  </si>
  <si>
    <t>استمرايه الوحده للاهتمام بالأطفال</t>
  </si>
  <si>
    <t>جمال كمال مصطفي</t>
  </si>
  <si>
    <t>النويرات</t>
  </si>
  <si>
    <t>فاطمه جمال مصطفي</t>
  </si>
  <si>
    <t>تقديم اختبارات فرط حركة و توحد</t>
  </si>
  <si>
    <t>بعد المسكن عن المشروع</t>
  </si>
  <si>
    <t>قلة المساعدات المادية</t>
  </si>
  <si>
    <t>وجود مسؤلة التاهيل بشكل مستمر</t>
  </si>
  <si>
    <t>توفير اطباء تخصصات مختلفه مره كل ٣ اشهر</t>
  </si>
  <si>
    <t>ابتسام احمد صدقي احمد</t>
  </si>
  <si>
    <t>العنبريه</t>
  </si>
  <si>
    <t>مني السيد عطاالله عبد العال</t>
  </si>
  <si>
    <t>ليس منقطعه</t>
  </si>
  <si>
    <t>الجلسات مجانا</t>
  </si>
  <si>
    <t>الارشاد الاسري</t>
  </si>
  <si>
    <t>يكون في مركز في القريه</t>
  </si>
  <si>
    <t>الاستمرار في المشروع</t>
  </si>
  <si>
    <t>مريم مظهر الحيص مهران</t>
  </si>
  <si>
    <t>رابعه عبداللطيف مهران محمد</t>
  </si>
  <si>
    <t>توفير زيارات منزليه وجلسات</t>
  </si>
  <si>
    <t>تقديم خدمات ترفيهيه للاطفال</t>
  </si>
  <si>
    <t>التعرف على كيفيه التعامل مع الاطفال</t>
  </si>
  <si>
    <t>عدم توفير بدل مواصلات</t>
  </si>
  <si>
    <t>توفير أماكن ترفيهيه للاطفال</t>
  </si>
  <si>
    <t>جني علي رجب</t>
  </si>
  <si>
    <t>اولاد حمزه</t>
  </si>
  <si>
    <t>فاطمة فضل الله</t>
  </si>
  <si>
    <t>تقديم جلسات اكاديميه للاطفال</t>
  </si>
  <si>
    <t>قرب المشروع من المسكن</t>
  </si>
  <si>
    <t>عدم توافر الخدمة طول الاسبوع لمسؤلة التاهيل</t>
  </si>
  <si>
    <t>مريم عرفه علي اسماعيل</t>
  </si>
  <si>
    <t>علي اسماعيل عثمان</t>
  </si>
  <si>
    <t>توفير مكان مخصص للجلسات</t>
  </si>
  <si>
    <t>حماده محمد حامد عبدالله</t>
  </si>
  <si>
    <t>اولاد جبارة</t>
  </si>
  <si>
    <t>بخيته سيد حسين</t>
  </si>
  <si>
    <t>استمرايه الوحده للجلسات</t>
  </si>
  <si>
    <t>خالد رياض علي</t>
  </si>
  <si>
    <t>الإرشاد الاسري</t>
  </si>
  <si>
    <t>توفر مشروع</t>
  </si>
  <si>
    <t>يوسف رشاد محمود</t>
  </si>
  <si>
    <t>يقدم جلسات لي اطفال ذوي الهمم</t>
  </si>
  <si>
    <t>يقدم انشطه متنوعه لي اطفال ذوي الهمم</t>
  </si>
  <si>
    <t>يهتم بي اي طفل من ذوي الهمم</t>
  </si>
  <si>
    <t>عدم توفير خدمات لكل الاعاقات يوجد اعاقات لا يتوفر لها خدمه مثل تمارين الحركه والتلعثم</t>
  </si>
  <si>
    <t>عدم القدره علي مساعده الطفل انه ياخد خدمه تكافل وكرامه</t>
  </si>
  <si>
    <t>عدم القدره علي مساعده طفله في الحصول علي خدمه الدمج في المدرسه</t>
  </si>
  <si>
    <t>البحث عن مواعيد التقديم علي الدمج في المدرسه وما هي الاوراق المطلوبه</t>
  </si>
  <si>
    <t>توفير باقي الخدمات مثل تمارين الحركه وكمان تمارين لي تلعثم</t>
  </si>
  <si>
    <t>أزهار حسن أبو ضيف</t>
  </si>
  <si>
    <t>العيساويه</t>
  </si>
  <si>
    <t>منصورة على أحمد</t>
  </si>
  <si>
    <t>ندوات</t>
  </si>
  <si>
    <t>ايام ترفيهه</t>
  </si>
  <si>
    <t>توفر مشروع لاسرة</t>
  </si>
  <si>
    <t>اسماعيل محمد عبدالله محمد</t>
  </si>
  <si>
    <t>جزيرة العسيرات</t>
  </si>
  <si>
    <t>ناديه عبداللاه محمد</t>
  </si>
  <si>
    <t>معرفه الأسر كيفيه التعامل مع الاطفال ذوي الاحتياجات</t>
  </si>
  <si>
    <t>تقديم مساعدات واجهزة تعويضيه للاطفال</t>
  </si>
  <si>
    <t>توفير جلسات ارشاد أسري ومهارات للاطفال وللاسر</t>
  </si>
  <si>
    <t>عدم توفير مساعدات ماديه للأسر وتوفير بدل مواصلات</t>
  </si>
  <si>
    <t>توفير مساعدات ماديه وبدل مواصلات</t>
  </si>
  <si>
    <t>توفير دخل دائم للاسره</t>
  </si>
  <si>
    <t>اسماء عصام عبد الفضيل</t>
  </si>
  <si>
    <t>امل صلاح صديق</t>
  </si>
  <si>
    <t>تقديم جلسات لي اطفال ذوي الهمم</t>
  </si>
  <si>
    <t>تقديم انشطه متنوعه</t>
  </si>
  <si>
    <t>البعض يتعرض لي صعوبه في سداد فلوس الجلسات</t>
  </si>
  <si>
    <t>عدم توفير مساعده شهريه بسيطه على لي اطفال ذوي الهمم</t>
  </si>
  <si>
    <t>توفير مساعده شهريه حتي لو بسيطه</t>
  </si>
  <si>
    <t>مساعده الطفل الي عنده مشكله في سداد فلوس الجلسات</t>
  </si>
  <si>
    <t>مريم عبد الناصر خيري</t>
  </si>
  <si>
    <t>الجزيرة</t>
  </si>
  <si>
    <t>نجوي احمد خليل</t>
  </si>
  <si>
    <t>عملنا اختبارات ذكاء</t>
  </si>
  <si>
    <t>فهمت حالة بنتي انها صعوبة تعلم مش اعاقه</t>
  </si>
  <si>
    <t>تحسن مستواها دراسيا</t>
  </si>
  <si>
    <t>عدم توافر الخدمة طول ايام الاسبوع</t>
  </si>
  <si>
    <t>ياسين حماده احمد</t>
  </si>
  <si>
    <t>حماده احمد محمد</t>
  </si>
  <si>
    <t>يهتم بي حقوق اطفال ذوي الهمم</t>
  </si>
  <si>
    <t>يقدم ليهم انشطه متنوعه مفيده</t>
  </si>
  <si>
    <t>يقدم لهم جلسات مفيده</t>
  </si>
  <si>
    <t>عدم توفير خدمات شهري حتي لو بسيطه لي اطفال ذوي الهمم</t>
  </si>
  <si>
    <t>المساعده ماديا لبعض الاسر في الحصول علي جلسات</t>
  </si>
  <si>
    <t>تقديم المساعده شهريا</t>
  </si>
  <si>
    <t>تقديم مساعده لكل طفل حسب احتياجه</t>
  </si>
  <si>
    <t>ياسين محمد احمد حسين</t>
  </si>
  <si>
    <t>إيمان قدري توفيق</t>
  </si>
  <si>
    <t>ايام ترفيهيه</t>
  </si>
  <si>
    <t>محمود عبده محمود مرسي</t>
  </si>
  <si>
    <t>زيادة وعينا بحقوق واداب التعامل مع الاعاقات المختلفه</t>
  </si>
  <si>
    <t>بسمله احمد ماهر</t>
  </si>
  <si>
    <t>احمد ماهر كامل</t>
  </si>
  <si>
    <t>الطفله منتظمه</t>
  </si>
  <si>
    <t>يقدم لهم انشطه متنوعه</t>
  </si>
  <si>
    <t>يساعد الاطفال انهم يكونو افضل من خلال جلسات</t>
  </si>
  <si>
    <t>الخوف من عدم استمرار المشروع</t>
  </si>
  <si>
    <t>الخوف من عدم استكمال الرحله مع اطفال ذوي الهمم</t>
  </si>
  <si>
    <t>استمرار المشروع مع اطفال ذوي الهمم</t>
  </si>
  <si>
    <t>ان نكمل الرحله مع الاطفال ذوي الهمم</t>
  </si>
  <si>
    <t>احسان علي رجب</t>
  </si>
  <si>
    <t>وجود مسؤلة التاهيل بشكل مستمر توفير فترة مسائيه</t>
  </si>
  <si>
    <t>سندس محمد سليمان</t>
  </si>
  <si>
    <t>هيام عبده محمود</t>
  </si>
  <si>
    <t>ايام الترفيهيه</t>
  </si>
  <si>
    <t>زيادةالايام الترفيهه</t>
  </si>
  <si>
    <t>عمل ندوات اكتر</t>
  </si>
  <si>
    <t>مريم مصطفى محمد محمود</t>
  </si>
  <si>
    <t>المنشأة</t>
  </si>
  <si>
    <t>مديحه محمد عبدالقادر</t>
  </si>
  <si>
    <t>الندوات مع الاسر</t>
  </si>
  <si>
    <t>انقطاع المشروع</t>
  </si>
  <si>
    <t>المرتب ضعيف</t>
  </si>
  <si>
    <t>استمرار مشروع وصول</t>
  </si>
  <si>
    <t>زيادة المرتبات</t>
  </si>
  <si>
    <t>استمرار الندوات والجولات وأيام الترفيه</t>
  </si>
  <si>
    <t>رزان حسن حمدي سعد</t>
  </si>
  <si>
    <t>نجلاء عيد كامل</t>
  </si>
  <si>
    <t>اختبارات ذكاء مجانا</t>
  </si>
  <si>
    <t>المكان بعيد عن القريه</t>
  </si>
  <si>
    <t>سيف حماده حارس</t>
  </si>
  <si>
    <t>حماده حارس</t>
  </si>
  <si>
    <t>هو منتظم</t>
  </si>
  <si>
    <t>يهتم بي. الاطفال ذوي الهمم</t>
  </si>
  <si>
    <t>يحفظ حقوقهم</t>
  </si>
  <si>
    <t>يوفر لهم جلسات مفيده</t>
  </si>
  <si>
    <t>الخوف من عدم الاستمرار</t>
  </si>
  <si>
    <t>عدم توفير مساعدات شهريه لكل طفل حتي لو شي بسيط يقدم له يفرح الطفل</t>
  </si>
  <si>
    <t>تاخر المرتبات</t>
  </si>
  <si>
    <t>تقديم مساعده لكل طفل حتي لو بسيطه</t>
  </si>
  <si>
    <t>محمد احمد عبد الودود</t>
  </si>
  <si>
    <t>ياسمين علي حفني</t>
  </si>
  <si>
    <t>قرب الخدمه من المسكن</t>
  </si>
  <si>
    <t>تحسن مستواه دراسيا</t>
  </si>
  <si>
    <t>عدم وجود غرفة تكامل حسي</t>
  </si>
  <si>
    <t>توفير غرفة تكامل حسي</t>
  </si>
  <si>
    <t>نوران محمد البدري</t>
  </si>
  <si>
    <t>روافع العيساويه</t>
  </si>
  <si>
    <t>هدية حسن علي</t>
  </si>
  <si>
    <t>احمد صديق صابر</t>
  </si>
  <si>
    <t>سحر فراج خلف صديق</t>
  </si>
  <si>
    <t>بطاقه تكافل</t>
  </si>
  <si>
    <t>الايام الترفيهيه</t>
  </si>
  <si>
    <t>فترة مسائي لجلسات</t>
  </si>
  <si>
    <t>محمد</t>
  </si>
  <si>
    <t>اولاد سلامه</t>
  </si>
  <si>
    <t>المنشاة</t>
  </si>
  <si>
    <t>المحافظة</t>
  </si>
  <si>
    <t xml:space="preserve">بنى سويف </t>
  </si>
  <si>
    <t>الاجمالى</t>
  </si>
  <si>
    <t>النسبة %</t>
  </si>
  <si>
    <t>%</t>
  </si>
  <si>
    <t>بنى سويف</t>
  </si>
  <si>
    <t>الأجمالى</t>
  </si>
  <si>
    <t>النسبة</t>
  </si>
  <si>
    <t>انتهاء الخدمة- تحسن حالة الطفل - توفير الاحتياج</t>
  </si>
  <si>
    <t>النسبة المئوية</t>
  </si>
  <si>
    <t>سبب الانقطاع</t>
  </si>
  <si>
    <t>الخدمات الأخرى</t>
  </si>
  <si>
    <t>سقف منزل</t>
  </si>
  <si>
    <t>اجمالى</t>
  </si>
  <si>
    <t>مدة استمرار تلقي الخدمة</t>
  </si>
  <si>
    <t>% النسبة</t>
  </si>
  <si>
    <t>جيد</t>
  </si>
  <si>
    <t>جيد.</t>
  </si>
  <si>
    <t>النسبة.</t>
  </si>
  <si>
    <t>سئ</t>
  </si>
  <si>
    <t>إجمالي</t>
  </si>
  <si>
    <t>%النسبة</t>
  </si>
  <si>
    <t>لايوجد تغير</t>
  </si>
  <si>
    <t>لابوجد</t>
  </si>
  <si>
    <t>تغيرات بسيط</t>
  </si>
  <si>
    <t>مفيدة جداً</t>
  </si>
  <si>
    <t>1-</t>
  </si>
  <si>
    <t>2-</t>
  </si>
  <si>
    <t>3-</t>
  </si>
  <si>
    <t>أسباب الانقطاع</t>
  </si>
  <si>
    <t>اجازة</t>
  </si>
  <si>
    <t>السفر</t>
  </si>
  <si>
    <t>(في حالة الأطفال) إيه هي أهم التغيرات اللي حصلت لك/أو لطفلك؟ (في حالة إن التغير غير مذكور في الاختيارات، برجاء ذكره هنا)</t>
  </si>
  <si>
    <t>في حالة البالغين (إيه أهم التغيرات اللي حصلت لك أثناء المشروع؟) اخرى يرجى التحديد</t>
  </si>
  <si>
    <t>إيه هي أهم احتياجاتك اللي المشروع مقدرش يوفرها؟ (خدمات أخرى)</t>
  </si>
  <si>
    <t>بنى سوسف</t>
  </si>
  <si>
    <t>إذا كانت الإجابة نعم - إيه أهم التغيرات اللي لاحظتها في المجتمع نتيجة المشروع؟أخرى (يرجى التحديد)</t>
  </si>
  <si>
    <t>مميزات المشروع</t>
  </si>
  <si>
    <t>عيوب المشروع</t>
  </si>
  <si>
    <t>مقترحات المشروع</t>
  </si>
  <si>
    <t>الميزة</t>
  </si>
  <si>
    <t>عدد تكرار الميزة</t>
  </si>
  <si>
    <t>معدل التكرار</t>
  </si>
  <si>
    <t>جلسات زيارات منزلية-ارشاد</t>
  </si>
  <si>
    <t>عدم توفير المساعدات المادية</t>
  </si>
  <si>
    <t>توفير مساعدات اجتماعيو ومادية ومشروعات -اجهزة تعويضية</t>
  </si>
  <si>
    <t>توفير جلسات تأهيل</t>
  </si>
  <si>
    <t>الاستمرار فى المشروع وتقديم الخدمات</t>
  </si>
  <si>
    <t>تزويد مشروعات والمساعدات</t>
  </si>
  <si>
    <t>تنوع الخدمات / الانشطة</t>
  </si>
  <si>
    <t>المشوار بعيد</t>
  </si>
  <si>
    <t>توفير خدمات داخل القرى</t>
  </si>
  <si>
    <t>توفير الاموال والمواصلات</t>
  </si>
  <si>
    <t>توفير المواصلات والفلوس</t>
  </si>
  <si>
    <t>زيادة الانشطة والرحلات</t>
  </si>
  <si>
    <t>زيادة التوعية</t>
  </si>
  <si>
    <t>توفير خدمات مجانية</t>
  </si>
  <si>
    <t>زيادة ندوات التوعية والورش</t>
  </si>
  <si>
    <t>مساعدات اجتماعية</t>
  </si>
  <si>
    <t>زيادة الانشطة والجولات والندوات</t>
  </si>
  <si>
    <t>الأنشطة الترفيهية</t>
  </si>
  <si>
    <t>توفيرادوات تأهيل حركى</t>
  </si>
  <si>
    <t>ورش الاسر</t>
  </si>
  <si>
    <t>كل حاجة حلو / مفيد</t>
  </si>
  <si>
    <t>ادوات حديثه للاطفال/ عدم وجود بعض المستلزمات</t>
  </si>
  <si>
    <t>التوعية والندوات / الورش</t>
  </si>
  <si>
    <t>تطوير المكان وزيادة الأدوات</t>
  </si>
  <si>
    <t>توفير مشغل خياطة</t>
  </si>
  <si>
    <t>وجود مسؤلات تأهيل مدربة</t>
  </si>
  <si>
    <t>قدم لينا دعم معنوي ونفسي</t>
  </si>
  <si>
    <t>وجود مشروعات ومساعدات قليله</t>
  </si>
  <si>
    <t>زياده الوعي عند الأسر والمجتمع</t>
  </si>
  <si>
    <t>تحسين  حالة الطفل / والتطور</t>
  </si>
  <si>
    <t>وجود ندوات توعية</t>
  </si>
  <si>
    <t>وجود حضانة</t>
  </si>
  <si>
    <t>احترام المواعيد والنظام / التعامل</t>
  </si>
  <si>
    <t>زيادات المساعدات والمشروعت</t>
  </si>
  <si>
    <t>فى امل</t>
  </si>
  <si>
    <t>زيادة الوعىكيفية التعامال مع الطفل)</t>
  </si>
  <si>
    <t>مختلف عن باقى المراكز</t>
  </si>
  <si>
    <t>تقليل سعر الجلسه</t>
  </si>
  <si>
    <t>مساعدة الااطفال</t>
  </si>
  <si>
    <t>عاوزين نستمر</t>
  </si>
  <si>
    <t>المكان امن /نظيف</t>
  </si>
  <si>
    <t>تغييرات في الجمعية نتيجة المشروع؟</t>
  </si>
  <si>
    <t>التغيير</t>
  </si>
  <si>
    <t xml:space="preserve">التغيرات </t>
  </si>
  <si>
    <t>ورش الأسر</t>
  </si>
  <si>
    <t>التغير</t>
  </si>
  <si>
    <t>العدد</t>
  </si>
  <si>
    <t>التغيرات</t>
  </si>
  <si>
    <t xml:space="preserve">العدد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</si>
</sst>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9">
    <font>
      <sz val="11.0"/>
      <color theme="1"/>
      <name val="Arial"/>
      <scheme val="minor"/>
    </font>
    <font>
      <sz val="12.0"/>
      <color rgb="FF333333"/>
      <name val="Arial"/>
    </font>
    <font/>
    <font>
      <sz val="12.0"/>
      <color rgb="FF000000"/>
      <name val="Calibri"/>
    </font>
    <font>
      <sz val="12.0"/>
      <color rgb="FF9C0006"/>
      <name val="Calibri"/>
    </font>
    <font>
      <b/>
      <sz val="12.0"/>
      <color rgb="FF333333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  <font>
      <sz val="13.0"/>
      <color theme="1"/>
      <name val="Calibri"/>
    </font>
    <font>
      <b/>
      <sz val="11.0"/>
      <color rgb="FF333333"/>
      <name val="Calibri"/>
    </font>
    <font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EAE8"/>
        <bgColor rgb="FFEAEAE8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26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A6A6A6"/>
      </left>
      <right style="thin">
        <color rgb="FFA6A6A6"/>
      </right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A6A6A6"/>
      </top>
      <bottom style="thin">
        <color rgb="FFA6A6A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2" fontId="1" numFmtId="1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5" fontId="3" numFmtId="1" xfId="0" applyAlignment="1" applyBorder="1" applyFont="1" applyNumberForma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5" fillId="5" fontId="3" numFmtId="164" xfId="0" applyAlignment="1" applyBorder="1" applyFont="1" applyNumberFormat="1">
      <alignment horizontal="center" readingOrder="0" shrinkToFit="0" vertical="center" wrapText="1"/>
    </xf>
    <xf borderId="6" fillId="5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5" fontId="3" numFmtId="1" xfId="0" applyAlignment="1" applyBorder="1" applyFont="1" applyNumberFormat="1">
      <alignment horizontal="center" shrinkToFit="0" vertical="center" wrapText="1"/>
    </xf>
    <xf borderId="5" fillId="5" fontId="3" numFmtId="165" xfId="0" applyAlignment="1" applyBorder="1" applyFont="1" applyNumberFormat="1">
      <alignment horizontal="center" readingOrder="0" shrinkToFit="0" vertical="center" wrapText="1"/>
    </xf>
    <xf borderId="5" fillId="5" fontId="4" numFmtId="1" xfId="0" applyAlignment="1" applyBorder="1" applyFont="1" applyNumberFormat="1">
      <alignment horizontal="center" readingOrder="0" shrinkToFit="0" vertical="center" wrapText="1"/>
    </xf>
    <xf borderId="9" fillId="6" fontId="5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5" fillId="3" fontId="6" numFmtId="0" xfId="0" applyAlignment="1" applyBorder="1" applyFont="1">
      <alignment horizontal="center" readingOrder="0" vertical="center"/>
    </xf>
    <xf borderId="5" fillId="3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vertical="center"/>
    </xf>
    <xf borderId="0" fillId="4" fontId="9" numFmtId="0" xfId="0" applyAlignment="1" applyFont="1">
      <alignment horizontal="center" readingOrder="0"/>
    </xf>
    <xf borderId="0" fillId="7" fontId="10" numFmtId="10" xfId="0" applyAlignment="1" applyFill="1" applyFont="1" applyNumberFormat="1">
      <alignment horizontal="center"/>
    </xf>
    <xf borderId="0" fillId="7" fontId="10" numFmtId="4" xfId="0" applyAlignment="1" applyFont="1" applyNumberFormat="1">
      <alignment horizontal="center"/>
    </xf>
    <xf borderId="4" fillId="3" fontId="5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15" fillId="3" fontId="5" numFmtId="0" xfId="0" applyAlignment="1" applyBorder="1" applyFont="1">
      <alignment horizontal="center" readingOrder="0" shrinkToFit="0" vertical="center" wrapText="1"/>
    </xf>
    <xf borderId="16" fillId="3" fontId="5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0" fillId="5" fontId="8" numFmtId="0" xfId="0" applyAlignment="1" applyFont="1">
      <alignment horizontal="center" vertical="center"/>
    </xf>
    <xf borderId="6" fillId="6" fontId="8" numFmtId="0" xfId="0" applyAlignment="1" applyBorder="1" applyFont="1">
      <alignment horizontal="center" readingOrder="0" vertical="center"/>
    </xf>
    <xf borderId="5" fillId="6" fontId="5" numFmtId="0" xfId="0" applyAlignment="1" applyBorder="1" applyFont="1">
      <alignment horizontal="center" readingOrder="0" shrinkToFit="0" vertical="center" wrapText="1"/>
    </xf>
    <xf borderId="5" fillId="0" fontId="8" numFmtId="4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3" fontId="8" numFmtId="0" xfId="0" applyAlignment="1" applyBorder="1" applyFont="1">
      <alignment horizontal="center" readingOrder="0" vertical="center"/>
    </xf>
    <xf borderId="5" fillId="3" fontId="8" numFmtId="0" xfId="0" applyAlignment="1" applyBorder="1" applyFont="1">
      <alignment horizontal="center" vertical="center"/>
    </xf>
    <xf borderId="6" fillId="8" fontId="11" numFmtId="0" xfId="0" applyAlignment="1" applyBorder="1" applyFill="1" applyFont="1">
      <alignment horizontal="center" readingOrder="0"/>
    </xf>
    <xf borderId="5" fillId="0" fontId="9" numFmtId="0" xfId="0" applyBorder="1" applyFont="1"/>
    <xf borderId="5" fillId="3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5" fillId="0" fontId="9" numFmtId="4" xfId="0" applyAlignment="1" applyBorder="1" applyFont="1" applyNumberFormat="1">
      <alignment horizontal="center" vertical="center"/>
    </xf>
    <xf borderId="5" fillId="6" fontId="8" numFmtId="0" xfId="0" applyAlignment="1" applyBorder="1" applyFont="1">
      <alignment horizontal="center" readingOrder="0" shrinkToFit="0" vertical="center" wrapText="1"/>
    </xf>
    <xf borderId="5" fillId="8" fontId="12" numFmtId="0" xfId="0" applyAlignment="1" applyBorder="1" applyFont="1">
      <alignment horizontal="center" readingOrder="0"/>
    </xf>
    <xf borderId="5" fillId="8" fontId="10" numFmtId="4" xfId="0" applyAlignment="1" applyBorder="1" applyFont="1" applyNumberFormat="1">
      <alignment horizontal="center"/>
    </xf>
    <xf borderId="15" fillId="0" fontId="2" numFmtId="0" xfId="0" applyBorder="1" applyFont="1"/>
    <xf borderId="17" fillId="3" fontId="7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/>
    </xf>
    <xf borderId="5" fillId="3" fontId="13" numFmtId="0" xfId="0" applyAlignment="1" applyBorder="1" applyFont="1">
      <alignment horizontal="center" readingOrder="0" shrinkToFit="0" vertical="center" wrapText="1"/>
    </xf>
    <xf borderId="5" fillId="8" fontId="9" numFmtId="0" xfId="0" applyAlignment="1" applyBorder="1" applyFont="1">
      <alignment horizontal="center" readingOrder="0"/>
    </xf>
    <xf borderId="5" fillId="8" fontId="9" numFmtId="4" xfId="0" applyAlignment="1" applyBorder="1" applyFont="1" applyNumberFormat="1">
      <alignment horizontal="center"/>
    </xf>
    <xf borderId="5" fillId="3" fontId="6" numFmtId="0" xfId="0" applyAlignment="1" applyBorder="1" applyFont="1">
      <alignment horizontal="center" readingOrder="0" shrinkToFit="0" vertical="center" wrapText="1"/>
    </xf>
    <xf borderId="5" fillId="3" fontId="6" numFmtId="4" xfId="0" applyAlignment="1" applyBorder="1" applyFont="1" applyNumberFormat="1">
      <alignment horizontal="center" readingOrder="0" vertical="center"/>
    </xf>
    <xf borderId="17" fillId="5" fontId="7" numFmtId="0" xfId="0" applyAlignment="1" applyBorder="1" applyFont="1">
      <alignment horizontal="center" readingOrder="0" shrinkToFit="0" vertical="center" wrapText="1"/>
    </xf>
    <xf borderId="17" fillId="9" fontId="7" numFmtId="0" xfId="0" applyAlignment="1" applyBorder="1" applyFill="1" applyFont="1">
      <alignment horizontal="center" readingOrder="0" shrinkToFit="0" vertical="center" wrapText="1"/>
    </xf>
    <xf borderId="0" fillId="0" fontId="9" numFmtId="0" xfId="0" applyFont="1"/>
    <xf borderId="5" fillId="0" fontId="9" numFmtId="4" xfId="0" applyAlignment="1" applyBorder="1" applyFont="1" applyNumberFormat="1">
      <alignment horizontal="center"/>
    </xf>
    <xf borderId="5" fillId="9" fontId="7" numFmtId="4" xfId="0" applyAlignment="1" applyBorder="1" applyFont="1" applyNumberFormat="1">
      <alignment horizontal="center" readingOrder="0" shrinkToFit="0" vertical="center" wrapText="1"/>
    </xf>
    <xf borderId="5" fillId="5" fontId="7" numFmtId="4" xfId="0" applyAlignment="1" applyBorder="1" applyFont="1" applyNumberFormat="1">
      <alignment horizontal="center" readingOrder="0" shrinkToFit="0" vertical="center" wrapText="1"/>
    </xf>
    <xf borderId="5" fillId="0" fontId="9" numFmtId="4" xfId="0" applyAlignment="1" applyBorder="1" applyFont="1" applyNumberFormat="1">
      <alignment horizontal="center" readingOrder="0"/>
    </xf>
    <xf borderId="0" fillId="0" fontId="9" numFmtId="0" xfId="0" applyAlignment="1" applyFont="1">
      <alignment readingOrder="0"/>
    </xf>
    <xf borderId="6" fillId="3" fontId="5" numFmtId="0" xfId="0" applyAlignment="1" applyBorder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vertical="center"/>
    </xf>
    <xf borderId="5" fillId="4" fontId="14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5" fillId="6" fontId="5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readingOrder="0" vertical="center"/>
    </xf>
    <xf borderId="5" fillId="6" fontId="6" numFmtId="4" xfId="0" applyAlignment="1" applyBorder="1" applyFont="1" applyNumberFormat="1">
      <alignment horizontal="center" readingOrder="0" vertical="center"/>
    </xf>
    <xf borderId="5" fillId="3" fontId="8" numFmtId="0" xfId="0" applyAlignment="1" applyBorder="1" applyFont="1">
      <alignment horizontal="center" readingOrder="0" shrinkToFit="0" vertical="center" wrapText="1"/>
    </xf>
    <xf borderId="5" fillId="6" fontId="1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0" fillId="5" fontId="5" numFmtId="0" xfId="0" applyAlignment="1" applyFont="1">
      <alignment horizontal="center" readingOrder="0" shrinkToFit="0" vertical="center" wrapText="1"/>
    </xf>
    <xf borderId="16" fillId="0" fontId="2" numFmtId="0" xfId="0" applyBorder="1" applyFont="1"/>
    <xf borderId="4" fillId="10" fontId="5" numFmtId="0" xfId="0" applyAlignment="1" applyBorder="1" applyFill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0" fillId="5" fontId="5" numFmtId="0" xfId="0" applyAlignment="1" applyFont="1">
      <alignment horizontal="center" shrinkToFit="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9" fillId="5" fontId="3" numFmtId="0" xfId="0" applyAlignment="1" applyBorder="1" applyFont="1">
      <alignment horizontal="center" readingOrder="0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8" numFmtId="0" xfId="0" applyAlignment="1" applyBorder="1" applyFont="1">
      <alignment horizontal="center" readingOrder="0" vertical="center"/>
    </xf>
    <xf borderId="22" fillId="5" fontId="3" numFmtId="0" xfId="0" applyAlignment="1" applyBorder="1" applyFont="1">
      <alignment horizontal="center" shrinkToFit="0" vertical="center" wrapText="1"/>
    </xf>
    <xf borderId="22" fillId="5" fontId="3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6" fillId="11" fontId="6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6" fillId="12" fontId="6" numFmtId="0" xfId="0" applyAlignment="1" applyBorder="1" applyFill="1" applyFont="1">
      <alignment horizontal="center" readingOrder="0" shrinkToFit="0" vertical="center" wrapText="1"/>
    </xf>
    <xf borderId="5" fillId="12" fontId="6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0" fillId="8" fontId="16" numFmtId="0" xfId="0" applyAlignment="1" applyFont="1">
      <alignment horizontal="center" readingOrder="0"/>
    </xf>
    <xf borderId="0" fillId="0" fontId="9" numFmtId="0" xfId="0" applyAlignment="1" applyFont="1">
      <alignment vertical="center"/>
    </xf>
    <xf borderId="0" fillId="0" fontId="17" numFmtId="0" xfId="0" applyAlignment="1" applyFont="1">
      <alignment horizontal="center" readingOrder="0" vertical="center"/>
    </xf>
    <xf borderId="9" fillId="3" fontId="5" numFmtId="0" xfId="0" applyAlignment="1" applyBorder="1" applyFont="1">
      <alignment horizontal="center" readingOrder="0" shrinkToFit="0" vertical="center" wrapText="1"/>
    </xf>
    <xf borderId="4" fillId="6" fontId="15" numFmtId="0" xfId="0" applyAlignment="1" applyBorder="1" applyFont="1">
      <alignment horizontal="center" readingOrder="0" shrinkToFit="0" vertical="center" wrapText="1"/>
    </xf>
    <xf borderId="19" fillId="3" fontId="15" numFmtId="0" xfId="0" applyAlignment="1" applyBorder="1" applyFont="1">
      <alignment horizontal="center"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5" fillId="8" fontId="18" numFmtId="0" xfId="0" applyAlignment="1" applyBorder="1" applyFont="1">
      <alignment horizontal="center" readingOrder="0" vertical="center"/>
    </xf>
    <xf borderId="5" fillId="0" fontId="0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كم فترة استمرارك بالخدمة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'معدل مرات الحصول على الخدمة'!$A$8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'معدل مرات الحصول على الخدمة'!$B$4:$H$4</c:f>
            </c:strRef>
          </c:cat>
          <c:val>
            <c:numRef>
              <c:f>'معدل مرات الحصول على الخدمة'!$B$8:$H$8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النوع الاجتماعي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'النوع الاجتماعى'!$B$10:$B$11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'النوع الاجتماعى'!$A$12</c:f>
            </c:strRef>
          </c:cat>
          <c:val>
            <c:numRef>
              <c:f>'النوع الاجتماعى'!$B$12</c:f>
              <c:numCache/>
            </c:numRef>
          </c:val>
        </c:ser>
        <c:ser>
          <c:idx val="1"/>
          <c:order val="1"/>
          <c:tx>
            <c:strRef>
              <c:f>'النوع الاجتماعى'!$C$10:$C$11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'النوع الاجتماعى'!$A$12</c:f>
            </c:strRef>
          </c:cat>
          <c:val>
            <c:numRef>
              <c:f>'النوع الاجتماعى'!$C$12</c:f>
              <c:numCache/>
            </c:numRef>
          </c:val>
        </c:ser>
        <c:axId val="2079305594"/>
        <c:axId val="2101117034"/>
      </c:barChart>
      <c:catAx>
        <c:axId val="2079305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117034"/>
      </c:catAx>
      <c:valAx>
        <c:axId val="2101117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305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النسبة المئوية مقابل سبب الانقطاع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'حالة المستفيد'!$D$16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المستفيد'!$D$17</c:f>
              <c:numCache/>
            </c:numRef>
          </c:val>
        </c:ser>
        <c:ser>
          <c:idx val="1"/>
          <c:order val="1"/>
          <c:tx>
            <c:strRef>
              <c:f>'حالة المستفيد'!$E$16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المستفيد'!$E$17</c:f>
              <c:numCache/>
            </c:numRef>
          </c:val>
        </c:ser>
        <c:ser>
          <c:idx val="2"/>
          <c:order val="2"/>
          <c:tx>
            <c:strRef>
              <c:f>'حالة المستفيد'!$F$16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المستفيد'!$F$17</c:f>
              <c:numCache/>
            </c:numRef>
          </c:val>
        </c:ser>
        <c:ser>
          <c:idx val="3"/>
          <c:order val="3"/>
          <c:tx>
            <c:strRef>
              <c:f>'حالة المستفيد'!$G$16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المستفيد'!$G$17</c:f>
              <c:numCache/>
            </c:numRef>
          </c:val>
        </c:ser>
        <c:ser>
          <c:idx val="4"/>
          <c:order val="4"/>
          <c:tx>
            <c:strRef>
              <c:f>'حالة المستفيد'!$H$16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المستفيد'!$H$17</c:f>
              <c:numCache/>
            </c:numRef>
          </c:val>
        </c:ser>
        <c:ser>
          <c:idx val="5"/>
          <c:order val="5"/>
          <c:tx>
            <c:strRef>
              <c:f>'حالة المستفيد'!$I$16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المستفيد'!$I$17</c:f>
              <c:numCache/>
            </c:numRef>
          </c:val>
        </c:ser>
        <c:ser>
          <c:idx val="6"/>
          <c:order val="6"/>
          <c:tx>
            <c:strRef>
              <c:f>'حالة المستفيد'!$J$16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المستفيد'!$J$17</c:f>
              <c:numCache/>
            </c:numRef>
          </c:val>
        </c:ser>
        <c:ser>
          <c:idx val="7"/>
          <c:order val="7"/>
          <c:tx>
            <c:strRef>
              <c:f>'حالة المستفيد'!$K$16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المستفيد'!$K$17</c:f>
              <c:numCache/>
            </c:numRef>
          </c:val>
        </c:ser>
        <c:ser>
          <c:idx val="8"/>
          <c:order val="8"/>
          <c:tx>
            <c:strRef>
              <c:f>'حالة المستفيد'!$L$16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المستفيد'!$L$17</c:f>
              <c:numCache/>
            </c:numRef>
          </c:val>
        </c:ser>
        <c:ser>
          <c:idx val="9"/>
          <c:order val="9"/>
          <c:tx>
            <c:strRef>
              <c:f>'حالة المستفيد'!$M$16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المستفيد'!$M$17</c:f>
              <c:numCache/>
            </c:numRef>
          </c:val>
        </c:ser>
        <c:axId val="348096401"/>
        <c:axId val="41066722"/>
      </c:barChart>
      <c:catAx>
        <c:axId val="3480964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أسباب الانقطاع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66722"/>
      </c:catAx>
      <c:valAx>
        <c:axId val="41066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 المئوية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096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نسبة الحالة (منظم / منقطع)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'حالة المستفيد'!$P$16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المستفيد'!$O$17</c:f>
            </c:strRef>
          </c:cat>
          <c:val>
            <c:numRef>
              <c:f>'حالة المستفيد'!$P$17</c:f>
              <c:numCache/>
            </c:numRef>
          </c:val>
        </c:ser>
        <c:ser>
          <c:idx val="1"/>
          <c:order val="1"/>
          <c:tx>
            <c:strRef>
              <c:f>'حالة المستفيد'!$Q$16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المستفيد'!$O$17</c:f>
            </c:strRef>
          </c:cat>
          <c:val>
            <c:numRef>
              <c:f>'حالة المستفيد'!$Q$17</c:f>
              <c:numCache/>
            </c:numRef>
          </c:val>
        </c:ser>
        <c:axId val="1615796323"/>
        <c:axId val="633798759"/>
      </c:barChart>
      <c:catAx>
        <c:axId val="1615796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حالة المستفيد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798759"/>
      </c:catAx>
      <c:valAx>
        <c:axId val="633798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796323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إيه الخدمة اللي كنت بتاخدها/ كنت بتأخديها ... لنفسك/ لطفلك؟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'الخدمات المُقدمة'!$B$14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المُقدمة'!$B$15</c:f>
              <c:numCache/>
            </c:numRef>
          </c:val>
        </c:ser>
        <c:ser>
          <c:idx val="1"/>
          <c:order val="1"/>
          <c:tx>
            <c:strRef>
              <c:f>'الخدمات المُقدمة'!$C$14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المُقدمة'!$C$15</c:f>
              <c:numCache/>
            </c:numRef>
          </c:val>
        </c:ser>
        <c:ser>
          <c:idx val="2"/>
          <c:order val="2"/>
          <c:tx>
            <c:strRef>
              <c:f>'الخدمات المُقدمة'!$D$14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المُقدمة'!$D$15</c:f>
              <c:numCache/>
            </c:numRef>
          </c:val>
        </c:ser>
        <c:ser>
          <c:idx val="3"/>
          <c:order val="3"/>
          <c:tx>
            <c:strRef>
              <c:f>'الخدمات المُقدمة'!$E$14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المُقدمة'!$E$15</c:f>
              <c:numCache/>
            </c:numRef>
          </c:val>
        </c:ser>
        <c:ser>
          <c:idx val="4"/>
          <c:order val="4"/>
          <c:tx>
            <c:strRef>
              <c:f>'الخدمات المُقدمة'!$F$14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المُقدمة'!$F$15</c:f>
              <c:numCache/>
            </c:numRef>
          </c:val>
        </c:ser>
        <c:ser>
          <c:idx val="5"/>
          <c:order val="5"/>
          <c:tx>
            <c:strRef>
              <c:f>'الخدمات المُقدمة'!$G$14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المُقدمة'!$G$15</c:f>
              <c:numCache/>
            </c:numRef>
          </c:val>
        </c:ser>
        <c:ser>
          <c:idx val="6"/>
          <c:order val="6"/>
          <c:tx>
            <c:strRef>
              <c:f>'الخدمات المُقدمة'!$H$14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المُقدمة'!$H$15</c:f>
              <c:numCache/>
            </c:numRef>
          </c:val>
        </c:ser>
        <c:ser>
          <c:idx val="7"/>
          <c:order val="7"/>
          <c:tx>
            <c:strRef>
              <c:f>'الخدمات المُقدمة'!$I$14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المُقدمة'!$I$15</c:f>
              <c:numCache/>
            </c:numRef>
          </c:val>
        </c:ser>
        <c:ser>
          <c:idx val="8"/>
          <c:order val="8"/>
          <c:tx>
            <c:strRef>
              <c:f>'الخدمات المُقدمة'!$J$14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المُقدمة'!$J$15</c:f>
              <c:numCache/>
            </c:numRef>
          </c:val>
        </c:ser>
        <c:ser>
          <c:idx val="9"/>
          <c:order val="9"/>
          <c:tx>
            <c:strRef>
              <c:f>'الخدمات المُقدمة'!$K$14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المُقدمة'!$K$15</c:f>
              <c:numCache/>
            </c:numRef>
          </c:val>
        </c:ser>
        <c:axId val="483527996"/>
        <c:axId val="444560517"/>
      </c:barChart>
      <c:catAx>
        <c:axId val="483527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44560517"/>
      </c:catAx>
      <c:valAx>
        <c:axId val="444560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527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تكرار الحصول على الخدمة (كنت بتأخد / بتأخدي الخدمة دي كل قد إيه؟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'معدل تكرار الخدمة '!$B$11:$B$12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'!$B$13</c:f>
              <c:numCache/>
            </c:numRef>
          </c:val>
        </c:ser>
        <c:ser>
          <c:idx val="1"/>
          <c:order val="1"/>
          <c:tx>
            <c:strRef>
              <c:f>'معدل تكرار الخدمة '!$C$11:$C$12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'!$C$13</c:f>
              <c:numCache/>
            </c:numRef>
          </c:val>
        </c:ser>
        <c:ser>
          <c:idx val="2"/>
          <c:order val="2"/>
          <c:tx>
            <c:strRef>
              <c:f>'معدل تكرار الخدمة '!$D$11:$D$12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'!$D$13</c:f>
              <c:numCache/>
            </c:numRef>
          </c:val>
        </c:ser>
        <c:ser>
          <c:idx val="3"/>
          <c:order val="3"/>
          <c:tx>
            <c:strRef>
              <c:f>'معدل تكرار الخدمة '!$E$11:$E$12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'!$E$13</c:f>
              <c:numCache/>
            </c:numRef>
          </c:val>
        </c:ser>
        <c:ser>
          <c:idx val="4"/>
          <c:order val="4"/>
          <c:tx>
            <c:strRef>
              <c:f>'معدل تكرار الخدمة '!$F$11:$F$12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'!$F$13</c:f>
              <c:numCache/>
            </c:numRef>
          </c:val>
        </c:ser>
        <c:ser>
          <c:idx val="5"/>
          <c:order val="5"/>
          <c:tx>
            <c:strRef>
              <c:f>'معدل تكرار الخدمة '!$G$11:$G$12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'!$G$13</c:f>
              <c:numCache/>
            </c:numRef>
          </c:val>
        </c:ser>
        <c:ser>
          <c:idx val="6"/>
          <c:order val="6"/>
          <c:tx>
            <c:strRef>
              <c:f>'معدل تكرار الخدمة '!$H$11:$H$12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'!$H$13</c:f>
              <c:numCache/>
            </c:numRef>
          </c:val>
        </c:ser>
        <c:axId val="1698547763"/>
        <c:axId val="868396581"/>
      </c:barChart>
      <c:catAx>
        <c:axId val="1698547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68396581"/>
      </c:catAx>
      <c:valAx>
        <c:axId val="868396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5477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مدة استمرار تلقي الخدمة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'معدل الاستمرار'!$B$10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الاستمرار'!$B$11</c:f>
              <c:numCache/>
            </c:numRef>
          </c:val>
        </c:ser>
        <c:ser>
          <c:idx val="1"/>
          <c:order val="1"/>
          <c:tx>
            <c:strRef>
              <c:f>'معدل الاستمرار'!$C$10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الاستمرار'!$C$11</c:f>
              <c:numCache/>
            </c:numRef>
          </c:val>
        </c:ser>
        <c:ser>
          <c:idx val="2"/>
          <c:order val="2"/>
          <c:tx>
            <c:strRef>
              <c:f>'معدل الاستمرار'!$D$10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الاستمرار'!$D$11</c:f>
              <c:numCache/>
            </c:numRef>
          </c:val>
        </c:ser>
        <c:ser>
          <c:idx val="3"/>
          <c:order val="3"/>
          <c:tx>
            <c:strRef>
              <c:f>'معدل الاستمرار'!$E$10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الاستمرار'!$E$11</c:f>
              <c:numCache/>
            </c:numRef>
          </c:val>
        </c:ser>
        <c:ser>
          <c:idx val="4"/>
          <c:order val="4"/>
          <c:tx>
            <c:strRef>
              <c:f>'معدل الاستمرار'!$F$10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الاستمرار'!$F$11</c:f>
              <c:numCache/>
            </c:numRef>
          </c:val>
        </c:ser>
        <c:ser>
          <c:idx val="5"/>
          <c:order val="5"/>
          <c:tx>
            <c:strRef>
              <c:f>'معدل الاستمرار'!$G$10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الاستمرار'!$G$11</c:f>
              <c:numCache/>
            </c:numRef>
          </c:val>
        </c:ser>
        <c:ser>
          <c:idx val="6"/>
          <c:order val="6"/>
          <c:tx>
            <c:strRef>
              <c:f>'معدل الاستمرار'!$H$10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الاستمرار'!$H$11</c:f>
              <c:numCache/>
            </c:numRef>
          </c:val>
        </c:ser>
        <c:ser>
          <c:idx val="7"/>
          <c:order val="7"/>
          <c:tx>
            <c:strRef>
              <c:f>'معدل الاستمرار'!$I$10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الاستمرار'!$I$11</c:f>
              <c:numCache/>
            </c:numRef>
          </c:val>
        </c:ser>
        <c:ser>
          <c:idx val="8"/>
          <c:order val="8"/>
          <c:tx>
            <c:strRef>
              <c:f>'معدل الاستمرار'!$J$10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الاستمرار'!$J$11</c:f>
              <c:numCache/>
            </c:numRef>
          </c:val>
        </c:ser>
        <c:axId val="1703129004"/>
        <c:axId val="1207401658"/>
      </c:barChart>
      <c:catAx>
        <c:axId val="1703129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المدة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07401658"/>
      </c:catAx>
      <c:valAx>
        <c:axId val="1207401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129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كيف تُقيم طريقة عمل الاستقبال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عمل الاستقبال'!$B$10:$B$11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الاستقبال'!$A$12</c:f>
            </c:strRef>
          </c:cat>
          <c:val>
            <c:numRef>
              <c:f>'طريقة عمل الاستقبال'!$B$12</c:f>
              <c:numCache/>
            </c:numRef>
          </c:val>
        </c:ser>
        <c:ser>
          <c:idx val="1"/>
          <c:order val="1"/>
          <c:tx>
            <c:strRef>
              <c:f>'طريقة عمل الاستقبال'!$C$10:$C$11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الاستقبال'!$A$12</c:f>
            </c:strRef>
          </c:cat>
          <c:val>
            <c:numRef>
              <c:f>'طريقة عمل الاستقبال'!$C$12</c:f>
              <c:numCache/>
            </c:numRef>
          </c:val>
        </c:ser>
        <c:ser>
          <c:idx val="2"/>
          <c:order val="2"/>
          <c:tx>
            <c:strRef>
              <c:f>'طريقة عمل الاستقبال'!$D$10:$D$11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الاستقبال'!$A$12</c:f>
            </c:strRef>
          </c:cat>
          <c:val>
            <c:numRef>
              <c:f>'طريقة عمل الاستقبال'!$D$12</c:f>
              <c:numCache/>
            </c:numRef>
          </c:val>
        </c:ser>
        <c:ser>
          <c:idx val="3"/>
          <c:order val="3"/>
          <c:tx>
            <c:strRef>
              <c:f>'طريقة عمل الاستقبال'!$E$10:$E$11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الاستقبال'!$A$12</c:f>
            </c:strRef>
          </c:cat>
          <c:val>
            <c:numRef>
              <c:f>'طريقة عمل الاستقبال'!$E$12</c:f>
              <c:numCache/>
            </c:numRef>
          </c:val>
        </c:ser>
        <c:axId val="286140244"/>
        <c:axId val="1596528720"/>
      </c:barChart>
      <c:catAx>
        <c:axId val="286140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96528720"/>
      </c:catAx>
      <c:valAx>
        <c:axId val="1596528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140244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تقييم طريقة عمل الاستقبال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'طريقة عمل الاستقبال'!$B$3:$E$3</c:f>
            </c:strRef>
          </c:cat>
          <c:val>
            <c:numRef>
              <c:f>'طريقة عمل الاستقبال'!$B$7:$E$7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مارأيك في طريقة التقييم التي تمت للطفل/ للشخص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عمل التقيم'!$B$9</c:f>
            </c:strRef>
          </c:tx>
          <c:spPr>
            <a:solidFill>
              <a:schemeClr val="accent1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التقيم'!$A$10</c:f>
            </c:strRef>
          </c:cat>
          <c:val>
            <c:numRef>
              <c:f>'طريقة عمل التقيم'!$B$10</c:f>
              <c:numCache/>
            </c:numRef>
          </c:val>
        </c:ser>
        <c:ser>
          <c:idx val="1"/>
          <c:order val="1"/>
          <c:tx>
            <c:strRef>
              <c:f>'طريقة عمل التقيم'!$C$9</c:f>
            </c:strRef>
          </c:tx>
          <c:spPr>
            <a:solidFill>
              <a:schemeClr val="accent2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التقيم'!$A$10</c:f>
            </c:strRef>
          </c:cat>
          <c:val>
            <c:numRef>
              <c:f>'طريقة عمل التقيم'!$C$10</c:f>
              <c:numCache/>
            </c:numRef>
          </c:val>
        </c:ser>
        <c:ser>
          <c:idx val="2"/>
          <c:order val="2"/>
          <c:tx>
            <c:strRef>
              <c:f>'طريقة عمل التقيم'!$D$9</c:f>
            </c:strRef>
          </c:tx>
          <c:spPr>
            <a:solidFill>
              <a:schemeClr val="accent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التقيم'!$A$10</c:f>
            </c:strRef>
          </c:cat>
          <c:val>
            <c:numRef>
              <c:f>'طريقة عمل التقيم'!$D$10</c:f>
              <c:numCache/>
            </c:numRef>
          </c:val>
        </c:ser>
        <c:ser>
          <c:idx val="3"/>
          <c:order val="3"/>
          <c:tx>
            <c:strRef>
              <c:f>'طريقة عمل التقيم'!$E$9</c:f>
            </c:strRef>
          </c:tx>
          <c:spPr>
            <a:solidFill>
              <a:schemeClr val="accent4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التقيم'!$A$10</c:f>
            </c:strRef>
          </c:cat>
          <c:val>
            <c:numRef>
              <c:f>'طريقة عمل التقيم'!$E$10</c:f>
              <c:numCache/>
            </c:numRef>
          </c:val>
        </c:ser>
        <c:axId val="380706310"/>
        <c:axId val="1930097970"/>
      </c:barChart>
      <c:catAx>
        <c:axId val="380706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930097970"/>
      </c:catAx>
      <c:valAx>
        <c:axId val="1930097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706310"/>
      </c:valAx>
    </c:plotArea>
    <c:legend>
      <c:legendPos val="r"/>
      <c:legendEntry>
        <c:idx val="1"/>
        <c:txPr>
          <a:bodyPr/>
          <a:lstStyle/>
          <a:p>
            <a:pPr lvl="0">
              <a:defRPr sz="1600"/>
            </a:pPr>
          </a:p>
        </c:txPr>
      </c:legendEntry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تقييمك لطريقة تنفيذ الخدمة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 تنفيذ الخدمات'!$C$10:$C$11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 تنفيذ الخدمات'!$B$12</c:f>
            </c:strRef>
          </c:cat>
          <c:val>
            <c:numRef>
              <c:f>'طريقة  تنفيذ الخدمات'!$C$12</c:f>
              <c:numCache/>
            </c:numRef>
          </c:val>
        </c:ser>
        <c:ser>
          <c:idx val="1"/>
          <c:order val="1"/>
          <c:tx>
            <c:strRef>
              <c:f>'طريقة  تنفيذ الخدمات'!$D$10:$D$11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 تنفيذ الخدمات'!$B$12</c:f>
            </c:strRef>
          </c:cat>
          <c:val>
            <c:numRef>
              <c:f>'طريقة  تنفيذ الخدمات'!$D$12</c:f>
              <c:numCache/>
            </c:numRef>
          </c:val>
        </c:ser>
        <c:ser>
          <c:idx val="2"/>
          <c:order val="2"/>
          <c:tx>
            <c:strRef>
              <c:f>'طريقة  تنفيذ الخدمات'!$E$10:$E$11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 تنفيذ الخدمات'!$B$12</c:f>
            </c:strRef>
          </c:cat>
          <c:val>
            <c:numRef>
              <c:f>'طريقة  تنفيذ الخدمات'!$E$12</c:f>
              <c:numCache/>
            </c:numRef>
          </c:val>
        </c:ser>
        <c:ser>
          <c:idx val="3"/>
          <c:order val="3"/>
          <c:tx>
            <c:strRef>
              <c:f>'طريقة  تنفيذ الخدمات'!$F$10:$F$11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 تنفيذ الخدمات'!$B$12</c:f>
            </c:strRef>
          </c:cat>
          <c:val>
            <c:numRef>
              <c:f>'طريقة  تنفيذ الخدمات'!$F$12</c:f>
              <c:numCache/>
            </c:numRef>
          </c:val>
        </c:ser>
        <c:axId val="282612012"/>
        <c:axId val="976940859"/>
      </c:barChart>
      <c:catAx>
        <c:axId val="282612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76940859"/>
      </c:catAx>
      <c:valAx>
        <c:axId val="976940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612012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جودة انتظام مواعيد الجلسات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'مواعيد تقديم الخدمات'!$B$10:$B$11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الخدمات'!$B$12</c:f>
              <c:numCache/>
            </c:numRef>
          </c:val>
        </c:ser>
        <c:ser>
          <c:idx val="1"/>
          <c:order val="1"/>
          <c:tx>
            <c:strRef>
              <c:f>'مواعيد تقديم الخدمات'!$C$10:$C$11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الخدمات'!$C$12</c:f>
              <c:numCache/>
            </c:numRef>
          </c:val>
        </c:ser>
        <c:ser>
          <c:idx val="2"/>
          <c:order val="2"/>
          <c:tx>
            <c:strRef>
              <c:f>'مواعيد تقديم الخدمات'!$D$10:$D$11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الخدمات'!$D$12</c:f>
              <c:numCache/>
            </c:numRef>
          </c:val>
        </c:ser>
        <c:ser>
          <c:idx val="3"/>
          <c:order val="3"/>
          <c:tx>
            <c:strRef>
              <c:f>'مواعيد تقديم الخدمات'!$E$10:$E$11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الخدمات'!$E$12</c:f>
              <c:numCache/>
            </c:numRef>
          </c:val>
        </c:ser>
        <c:ser>
          <c:idx val="4"/>
          <c:order val="4"/>
          <c:tx>
            <c:strRef>
              <c:f>'مواعيد تقديم الخدمات'!$F$10:$F$11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الخدمات'!$F$12</c:f>
              <c:numCache/>
            </c:numRef>
          </c:val>
        </c:ser>
        <c:axId val="763791645"/>
        <c:axId val="159385039"/>
      </c:barChart>
      <c:catAx>
        <c:axId val="763791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59385039"/>
      </c:catAx>
      <c:valAx>
        <c:axId val="159385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3791645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استفادتك/ استفادة طفلك من الخدمة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'الاستفادة من الخدمات'!$B$10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'الاستفادة من الخدمات'!$A$11</c:f>
            </c:strRef>
          </c:cat>
          <c:val>
            <c:numRef>
              <c:f>'الاستفادة من الخدمات'!$B$11</c:f>
              <c:numCache/>
            </c:numRef>
          </c:val>
        </c:ser>
        <c:ser>
          <c:idx val="1"/>
          <c:order val="1"/>
          <c:tx>
            <c:strRef>
              <c:f>'الاستفادة من الخدمات'!$C$10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'الاستفادة من الخدمات'!$A$11</c:f>
            </c:strRef>
          </c:cat>
          <c:val>
            <c:numRef>
              <c:f>'الاستفادة من الخدمات'!$C$11</c:f>
              <c:numCache/>
            </c:numRef>
          </c:val>
        </c:ser>
        <c:ser>
          <c:idx val="2"/>
          <c:order val="2"/>
          <c:tx>
            <c:strRef>
              <c:f>'الاستفادة من الخدمات'!$D$10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'الاستفادة من الخدمات'!$A$11</c:f>
            </c:strRef>
          </c:cat>
          <c:val>
            <c:numRef>
              <c:f>'الاستفادة من الخدمات'!$D$11</c:f>
              <c:numCache/>
            </c:numRef>
          </c:val>
        </c:ser>
        <c:ser>
          <c:idx val="3"/>
          <c:order val="3"/>
          <c:tx>
            <c:strRef>
              <c:f>'الاستفادة من الخدمات'!$E$10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'الاستفادة من الخدمات'!$A$11</c:f>
            </c:strRef>
          </c:cat>
          <c:val>
            <c:numRef>
              <c:f>'الاستفادة من الخدمات'!$E$11</c:f>
              <c:numCache/>
            </c:numRef>
          </c:val>
        </c:ser>
        <c:axId val="1530448902"/>
        <c:axId val="1821953945"/>
      </c:barChart>
      <c:catAx>
        <c:axId val="1530448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21953945"/>
      </c:catAx>
      <c:valAx>
        <c:axId val="1821953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448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 احتياجاتك اللي وفرها المشروع - للبالغين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'في حالة البالغين (إيه هي أهم اح'!$B$11:$B$12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اح'!$B$13</c:f>
              <c:numCache/>
            </c:numRef>
          </c:val>
        </c:ser>
        <c:ser>
          <c:idx val="1"/>
          <c:order val="1"/>
          <c:tx>
            <c:strRef>
              <c:f>'في حالة البالغين (إيه هي أهم اح'!$C$11:$C$12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اح'!$C$13</c:f>
              <c:numCache/>
            </c:numRef>
          </c:val>
        </c:ser>
        <c:ser>
          <c:idx val="2"/>
          <c:order val="2"/>
          <c:tx>
            <c:strRef>
              <c:f>'في حالة البالغين (إيه هي أهم اح'!$D$11:$D$12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اح'!$D$13</c:f>
              <c:numCache/>
            </c:numRef>
          </c:val>
        </c:ser>
        <c:ser>
          <c:idx val="3"/>
          <c:order val="3"/>
          <c:tx>
            <c:strRef>
              <c:f>'في حالة البالغين (إيه هي أهم اح'!$E$11:$E$12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اح'!$E$13</c:f>
              <c:numCache/>
            </c:numRef>
          </c:val>
        </c:ser>
        <c:ser>
          <c:idx val="4"/>
          <c:order val="4"/>
          <c:tx>
            <c:strRef>
              <c:f>'في حالة البالغين (إيه هي أهم اح'!$F$11:$F$12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اح'!$F$13</c:f>
              <c:numCache/>
            </c:numRef>
          </c:val>
        </c:ser>
        <c:ser>
          <c:idx val="5"/>
          <c:order val="5"/>
          <c:tx>
            <c:strRef>
              <c:f>'في حالة البالغين (إيه هي أهم اح'!$G$11:$G$12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اح'!$G$13</c:f>
              <c:numCache/>
            </c:numRef>
          </c:val>
        </c:ser>
        <c:ser>
          <c:idx val="6"/>
          <c:order val="6"/>
          <c:tx>
            <c:strRef>
              <c:f>'في حالة البالغين (إيه هي أهم اح'!$H$11:$H$12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اح'!$H$13</c:f>
              <c:numCache/>
            </c:numRef>
          </c:val>
        </c:ser>
        <c:ser>
          <c:idx val="7"/>
          <c:order val="7"/>
          <c:tx>
            <c:strRef>
              <c:f>'في حالة البالغين (إيه هي أهم اح'!$I$11:$I$12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اح'!$I$13</c:f>
              <c:numCache/>
            </c:numRef>
          </c:val>
        </c:ser>
        <c:axId val="1175622491"/>
        <c:axId val="1540698786"/>
      </c:barChart>
      <c:catAx>
        <c:axId val="1175622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540698786"/>
      </c:catAx>
      <c:valAx>
        <c:axId val="1540698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622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في حالة الأطفال (أهم الاحتياجات اللي وفرها المشروع)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'في حالة الأطفال (إيه أهم احتياج'!$C$10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احتياج'!$C$11</c:f>
              <c:numCache/>
            </c:numRef>
          </c:val>
        </c:ser>
        <c:ser>
          <c:idx val="1"/>
          <c:order val="1"/>
          <c:tx>
            <c:strRef>
              <c:f>'في حالة الأطفال (إيه أهم احتياج'!$D$10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احتياج'!$D$11</c:f>
              <c:numCache/>
            </c:numRef>
          </c:val>
        </c:ser>
        <c:ser>
          <c:idx val="2"/>
          <c:order val="2"/>
          <c:tx>
            <c:strRef>
              <c:f>'في حالة الأطفال (إيه أهم احتياج'!$E$10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احتياج'!$E$11</c:f>
              <c:numCache/>
            </c:numRef>
          </c:val>
        </c:ser>
        <c:ser>
          <c:idx val="3"/>
          <c:order val="3"/>
          <c:tx>
            <c:strRef>
              <c:f>'في حالة الأطفال (إيه أهم احتياج'!$F$10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احتياج'!$F$11</c:f>
              <c:numCache/>
            </c:numRef>
          </c:val>
        </c:ser>
        <c:ser>
          <c:idx val="4"/>
          <c:order val="4"/>
          <c:tx>
            <c:strRef>
              <c:f>'في حالة الأطفال (إيه أهم احتياج'!$G$10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احتياج'!$G$11</c:f>
              <c:numCache/>
            </c:numRef>
          </c:val>
        </c:ser>
        <c:ser>
          <c:idx val="5"/>
          <c:order val="5"/>
          <c:tx>
            <c:strRef>
              <c:f>'في حالة الأطفال (إيه أهم احتياج'!$H$10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احتياج'!$H$11</c:f>
              <c:numCache/>
            </c:numRef>
          </c:val>
        </c:ser>
        <c:ser>
          <c:idx val="6"/>
          <c:order val="6"/>
          <c:tx>
            <c:strRef>
              <c:f>'في حالة الأطفال (إيه أهم احتياج'!$I$10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احتياج'!$I$11</c:f>
              <c:numCache/>
            </c:numRef>
          </c:val>
        </c:ser>
        <c:ser>
          <c:idx val="7"/>
          <c:order val="7"/>
          <c:tx>
            <c:strRef>
              <c:f>'في حالة الأطفال (إيه أهم احتياج'!$J$10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احتياج'!$J$11</c:f>
              <c:numCache/>
            </c:numRef>
          </c:val>
        </c:ser>
        <c:ser>
          <c:idx val="8"/>
          <c:order val="8"/>
          <c:tx>
            <c:strRef>
              <c:f>'في حالة الأطفال (إيه أهم احتياج'!$K$10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احتياج'!$K$11</c:f>
              <c:numCache/>
            </c:numRef>
          </c:val>
        </c:ser>
        <c:axId val="1821920304"/>
        <c:axId val="2040533729"/>
      </c:barChart>
      <c:catAx>
        <c:axId val="18219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0533729"/>
      </c:catAx>
      <c:valAx>
        <c:axId val="2040533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920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تقييمك لتعامل مسئولة التأهيل مع الأسرة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تعامل مسؤلة التأهيل'!$B$10:$B$11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مسؤلة التأهيل'!$A$12</c:f>
            </c:strRef>
          </c:cat>
          <c:val>
            <c:numRef>
              <c:f>'طريقة تعامل مسؤلة التأهيل'!$B$12</c:f>
              <c:numCache/>
            </c:numRef>
          </c:val>
        </c:ser>
        <c:ser>
          <c:idx val="1"/>
          <c:order val="1"/>
          <c:tx>
            <c:strRef>
              <c:f>'طريقة تعامل مسؤلة التأهيل'!$C$10:$C$11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مسؤلة التأهيل'!$A$12</c:f>
            </c:strRef>
          </c:cat>
          <c:val>
            <c:numRef>
              <c:f>'طريقة تعامل مسؤلة التأهيل'!$C$12</c:f>
              <c:numCache/>
            </c:numRef>
          </c:val>
        </c:ser>
        <c:ser>
          <c:idx val="2"/>
          <c:order val="2"/>
          <c:tx>
            <c:strRef>
              <c:f>'طريقة تعامل مسؤلة التأهيل'!$D$10:$D$11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مسؤلة التأهيل'!$A$12</c:f>
            </c:strRef>
          </c:cat>
          <c:val>
            <c:numRef>
              <c:f>'طريقة تعامل مسؤلة التأهيل'!$D$12</c:f>
              <c:numCache/>
            </c:numRef>
          </c:val>
        </c:ser>
        <c:ser>
          <c:idx val="3"/>
          <c:order val="3"/>
          <c:tx>
            <c:strRef>
              <c:f>'طريقة تعامل مسؤلة التأهيل'!$E$10:$E$11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مسؤلة التأهيل'!$A$12</c:f>
            </c:strRef>
          </c:cat>
          <c:val>
            <c:numRef>
              <c:f>'طريقة تعامل مسؤلة التأهيل'!$E$12</c:f>
              <c:numCache/>
            </c:numRef>
          </c:val>
        </c:ser>
        <c:axId val="823738783"/>
        <c:axId val="17148968"/>
      </c:barChart>
      <c:catAx>
        <c:axId val="823738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8968"/>
      </c:catAx>
      <c:valAx>
        <c:axId val="17148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73878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تقييمك لطريقة استقبال مسئول الجمعية لكم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تعامل مسؤلين الجمعية'!$B$10:$B$11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الجمعية'!$B$12</c:f>
              <c:numCache/>
            </c:numRef>
          </c:val>
        </c:ser>
        <c:ser>
          <c:idx val="1"/>
          <c:order val="1"/>
          <c:tx>
            <c:strRef>
              <c:f>'طريقة تعامل مسؤلين الجمعية'!$C$10:$C$11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الجمعية'!$C$12</c:f>
              <c:numCache/>
            </c:numRef>
          </c:val>
        </c:ser>
        <c:ser>
          <c:idx val="2"/>
          <c:order val="2"/>
          <c:tx>
            <c:strRef>
              <c:f>'طريقة تعامل مسؤلين الجمعية'!$D$10:$D$11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الجمعية'!$D$12</c:f>
              <c:numCache/>
            </c:numRef>
          </c:val>
        </c:ser>
        <c:ser>
          <c:idx val="3"/>
          <c:order val="3"/>
          <c:tx>
            <c:strRef>
              <c:f>'طريقة تعامل مسؤلين الجمعية'!$E$10:$E$11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الجمعية'!$E$12</c:f>
              <c:numCache/>
            </c:numRef>
          </c:val>
        </c:ser>
        <c:ser>
          <c:idx val="4"/>
          <c:order val="4"/>
          <c:tx>
            <c:strRef>
              <c:f>'طريقة تعامل مسؤلين الجمعية'!$F$10:$F$11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الجمعية'!$F$12</c:f>
              <c:numCache/>
            </c:numRef>
          </c:val>
        </c:ser>
        <c:axId val="1838236312"/>
        <c:axId val="60180223"/>
      </c:barChart>
      <c:catAx>
        <c:axId val="1838236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60180223"/>
      </c:catAx>
      <c:valAx>
        <c:axId val="60180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236312"/>
      </c:valAx>
    </c:plotArea>
    <c:legend>
      <c:legendPos val="r"/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إيه هي أهم احتياجاتك اللي المشروع مقدرش يوفرها؟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الدمج / الاستمرار في التعليم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المشر'!$B$10</c:f>
              <c:numCache/>
            </c:numRef>
          </c:val>
        </c:ser>
        <c:ser>
          <c:idx val="1"/>
          <c:order val="1"/>
          <c:tx>
            <c:strRef>
              <c:f>'إيه هي أهم احتياجاتك اللي المشر'!$C$9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المشر'!$C$10</c:f>
              <c:numCache/>
            </c:numRef>
          </c:val>
        </c:ser>
        <c:ser>
          <c:idx val="2"/>
          <c:order val="2"/>
          <c:tx>
            <c:strRef>
              <c:f>'إيه هي أهم احتياجاتك اللي المشر'!$D$9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المشر'!$D$10</c:f>
              <c:numCache/>
            </c:numRef>
          </c:val>
        </c:ser>
        <c:ser>
          <c:idx val="3"/>
          <c:order val="3"/>
          <c:tx>
            <c:strRef>
              <c:f>'إيه هي أهم احتياجاتك اللي المشر'!$E$9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المشر'!$E$10</c:f>
              <c:numCache/>
            </c:numRef>
          </c:val>
        </c:ser>
        <c:ser>
          <c:idx val="4"/>
          <c:order val="4"/>
          <c:tx>
            <c:strRef>
              <c:f>'إيه هي أهم احتياجاتك اللي المشر'!$F$9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المشر'!$F$10</c:f>
              <c:numCache/>
            </c:numRef>
          </c:val>
        </c:ser>
        <c:ser>
          <c:idx val="5"/>
          <c:order val="5"/>
          <c:tx>
            <c:strRef>
              <c:f>'إيه هي أهم احتياجاتك اللي المشر'!$G$9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المشر'!$G$10</c:f>
              <c:numCache/>
            </c:numRef>
          </c:val>
        </c:ser>
        <c:ser>
          <c:idx val="6"/>
          <c:order val="6"/>
          <c:tx>
            <c:strRef>
              <c:f>'إيه هي أهم احتياجاتك اللي المشر'!$H$9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المشر'!$H$10</c:f>
              <c:numCache/>
            </c:numRef>
          </c:val>
        </c:ser>
        <c:ser>
          <c:idx val="7"/>
          <c:order val="7"/>
          <c:tx>
            <c:strRef>
              <c:f>'إيه هي أهم احتياجاتك اللي المشر'!$I$9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المشر'!$I$10</c:f>
              <c:numCache/>
            </c:numRef>
          </c:val>
        </c:ser>
        <c:axId val="1646309704"/>
        <c:axId val="1392309829"/>
      </c:barChart>
      <c:catAx>
        <c:axId val="1646309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92309829"/>
      </c:catAx>
      <c:valAx>
        <c:axId val="1392309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309704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أهم التغييرات التي لاحظتها في الأسرة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'تغيرات الأسرة'!$B$10:$B$12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الأسرة'!$B$13</c:f>
              <c:numCache/>
            </c:numRef>
          </c:val>
        </c:ser>
        <c:ser>
          <c:idx val="1"/>
          <c:order val="1"/>
          <c:tx>
            <c:strRef>
              <c:f>'تغيرات الأسرة'!$C$10:$C$12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الأسرة'!$C$13</c:f>
              <c:numCache/>
            </c:numRef>
          </c:val>
        </c:ser>
        <c:ser>
          <c:idx val="2"/>
          <c:order val="2"/>
          <c:tx>
            <c:strRef>
              <c:f>'تغيرات الأسرة'!$D$10:$D$12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الأسرة'!$D$13</c:f>
              <c:numCache/>
            </c:numRef>
          </c:val>
        </c:ser>
        <c:ser>
          <c:idx val="3"/>
          <c:order val="3"/>
          <c:tx>
            <c:strRef>
              <c:f>'تغيرات الأسرة'!$E$10:$E$12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الأسرة'!$E$13</c:f>
              <c:numCache/>
            </c:numRef>
          </c:val>
        </c:ser>
        <c:ser>
          <c:idx val="4"/>
          <c:order val="4"/>
          <c:tx>
            <c:strRef>
              <c:f>'تغيرات الأسرة'!$F$10:$F$12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الأسرة'!$F$13</c:f>
              <c:numCache/>
            </c:numRef>
          </c:val>
        </c:ser>
        <c:ser>
          <c:idx val="5"/>
          <c:order val="5"/>
          <c:tx>
            <c:strRef>
              <c:f>'تغيرات الأسرة'!$G$10:$G$12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الأسرة'!$G$13</c:f>
              <c:numCache/>
            </c:numRef>
          </c:val>
        </c:ser>
        <c:ser>
          <c:idx val="6"/>
          <c:order val="6"/>
          <c:tx>
            <c:strRef>
              <c:f>'تغيرات الأسرة'!$H$10:$H$12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الأسرة'!$H$13</c:f>
              <c:numCache/>
            </c:numRef>
          </c:val>
        </c:ser>
        <c:ser>
          <c:idx val="7"/>
          <c:order val="7"/>
          <c:tx>
            <c:strRef>
              <c:f>'تغيرات الأسرة'!$I$10:$I$12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الأسرة'!$I$13</c:f>
              <c:numCache/>
            </c:numRef>
          </c:val>
        </c:ser>
        <c:axId val="23673915"/>
        <c:axId val="1124100311"/>
      </c:barChart>
      <c:catAx>
        <c:axId val="2367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24100311"/>
      </c:catAx>
      <c:valAx>
        <c:axId val="1124100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73915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التغيرات اللي لاحظتها في الأسرة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'تغيرات الأسرة'!$A$8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'تغيرات الأسرة'!$B$4:$I$4</c:f>
            </c:strRef>
          </c:cat>
          <c:val>
            <c:numRef>
              <c:f>'تغيرات الأسرة'!$B$8:$I$8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تغييرات لاحظتها في الجمعية نتيجة المشروع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'تغيرات الجمعية'!$B$12:$B$13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الجمعية'!$B$14</c:f>
              <c:numCache/>
            </c:numRef>
          </c:val>
        </c:ser>
        <c:ser>
          <c:idx val="1"/>
          <c:order val="1"/>
          <c:tx>
            <c:strRef>
              <c:f>'تغيرات الجمعية'!$C$12:$C$13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الجمعية'!$C$14</c:f>
              <c:numCache/>
            </c:numRef>
          </c:val>
        </c:ser>
        <c:ser>
          <c:idx val="2"/>
          <c:order val="2"/>
          <c:tx>
            <c:strRef>
              <c:f>'تغيرات الجمعية'!$D$12:$D$13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الجمعية'!$D$14</c:f>
              <c:numCache/>
            </c:numRef>
          </c:val>
        </c:ser>
        <c:ser>
          <c:idx val="3"/>
          <c:order val="3"/>
          <c:tx>
            <c:strRef>
              <c:f>'تغيرات الجمعية'!$E$12:$E$13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الجمعية'!$E$14</c:f>
              <c:numCache/>
            </c:numRef>
          </c:val>
        </c:ser>
        <c:ser>
          <c:idx val="4"/>
          <c:order val="4"/>
          <c:tx>
            <c:strRef>
              <c:f>'تغيرات الجمعية'!$F$12:$F$13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الجمعية'!$F$14</c:f>
              <c:numCache/>
            </c:numRef>
          </c:val>
        </c:ser>
        <c:ser>
          <c:idx val="5"/>
          <c:order val="5"/>
          <c:tx>
            <c:strRef>
              <c:f>'تغيرات الجمعية'!$G$12:$G$13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الجمعية'!$G$14</c:f>
              <c:numCache/>
            </c:numRef>
          </c:val>
        </c:ser>
        <c:ser>
          <c:idx val="6"/>
          <c:order val="6"/>
          <c:tx>
            <c:strRef>
              <c:f>'تغيرات الجمعية'!$H$12:$H$13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الجمعية'!$H$14</c:f>
              <c:numCache/>
            </c:numRef>
          </c:val>
        </c:ser>
        <c:ser>
          <c:idx val="7"/>
          <c:order val="7"/>
          <c:tx>
            <c:strRef>
              <c:f>'تغيرات الجمعية'!$I$12:$I$13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الجمعية'!$I$14</c:f>
              <c:numCache/>
            </c:numRef>
          </c:val>
        </c:ser>
        <c:axId val="1596303351"/>
        <c:axId val="995515310"/>
      </c:barChart>
      <c:catAx>
        <c:axId val="1596303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95515310"/>
      </c:catAx>
      <c:valAx>
        <c:axId val="995515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303351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النسبة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'تغيرات الجمعية'!$B$13:$I$13</c:f>
            </c:strRef>
          </c:cat>
          <c:val>
            <c:numRef>
              <c:f>'تغيرات الجمعية'!$B$14:$I$14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أهم التغيرات في المجتمع نتيجة المشروع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'تغيرات المجتمع'!$B$12:$B$13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المجتمع'!$B$14</c:f>
              <c:numCache/>
            </c:numRef>
          </c:val>
        </c:ser>
        <c:ser>
          <c:idx val="1"/>
          <c:order val="1"/>
          <c:tx>
            <c:strRef>
              <c:f>'تغيرات المجتمع'!$C$12:$C$13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المجتمع'!$C$14</c:f>
              <c:numCache/>
            </c:numRef>
          </c:val>
        </c:ser>
        <c:ser>
          <c:idx val="2"/>
          <c:order val="2"/>
          <c:tx>
            <c:strRef>
              <c:f>'تغيرات المجتمع'!$D$12:$D$13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المجتمع'!$D$14</c:f>
              <c:numCache/>
            </c:numRef>
          </c:val>
        </c:ser>
        <c:ser>
          <c:idx val="3"/>
          <c:order val="3"/>
          <c:tx>
            <c:strRef>
              <c:f>'تغيرات المجتمع'!$E$12:$E$13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المجتمع'!$E$14</c:f>
              <c:numCache/>
            </c:numRef>
          </c:val>
        </c:ser>
        <c:ser>
          <c:idx val="4"/>
          <c:order val="4"/>
          <c:tx>
            <c:strRef>
              <c:f>'تغيرات المجتمع'!$F$12:$F$13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المجتمع'!$F$14</c:f>
              <c:numCache/>
            </c:numRef>
          </c:val>
        </c:ser>
        <c:ser>
          <c:idx val="5"/>
          <c:order val="5"/>
          <c:tx>
            <c:strRef>
              <c:f>'تغيرات المجتمع'!$G$12:$G$13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المجتمع'!$G$14</c:f>
              <c:numCache/>
            </c:numRef>
          </c:val>
        </c:ser>
        <c:ser>
          <c:idx val="6"/>
          <c:order val="6"/>
          <c:tx>
            <c:strRef>
              <c:f>'تغيرات المجتمع'!$H$12:$H$13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المجتمع'!$H$14</c:f>
              <c:numCache/>
            </c:numRef>
          </c:val>
        </c:ser>
        <c:axId val="1473834319"/>
        <c:axId val="1765405641"/>
      </c:barChart>
      <c:catAx>
        <c:axId val="1473834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765405641"/>
      </c:catAx>
      <c:valAx>
        <c:axId val="1765405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834319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تقييمك للأنشطة المنفذة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'تقيم الأنشطة'!$G$4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'تقيم الأنشطة'!$F$5:$F$8</c:f>
            </c:strRef>
          </c:cat>
          <c:val>
            <c:numRef>
              <c:f>'تقيم الأنشطة'!$G$5:$G$8</c:f>
              <c:numCache/>
            </c:numRef>
          </c:val>
        </c:ser>
        <c:ser>
          <c:idx val="1"/>
          <c:order val="1"/>
          <c:tx>
            <c:strRef>
              <c:f>'تقيم الأنشطة'!$H$4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'تقيم الأنشطة'!$F$5:$F$8</c:f>
            </c:strRef>
          </c:cat>
          <c:val>
            <c:numRef>
              <c:f>'تقيم الأنشطة'!$H$5:$H$8</c:f>
              <c:numCache/>
            </c:numRef>
          </c:val>
        </c:ser>
        <c:ser>
          <c:idx val="2"/>
          <c:order val="2"/>
          <c:tx>
            <c:strRef>
              <c:f>'تقيم الأنشطة'!$I$4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'تقيم الأنشطة'!$F$5:$F$8</c:f>
            </c:strRef>
          </c:cat>
          <c:val>
            <c:numRef>
              <c:f>'تقيم الأنشطة'!$I$5:$I$8</c:f>
              <c:numCache/>
            </c:numRef>
          </c:val>
        </c:ser>
        <c:axId val="1434908493"/>
        <c:axId val="260829632"/>
      </c:barChart>
      <c:catAx>
        <c:axId val="143490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829632"/>
      </c:catAx>
      <c:valAx>
        <c:axId val="260829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908493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'مميزات المشروع'!$B$10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Pt>
            <c:idx val="20"/>
            <c:spPr>
              <a:solidFill>
                <a:srgbClr val="F5F8EE"/>
              </a:solidFill>
            </c:spPr>
          </c:dPt>
          <c:dPt>
            <c:idx val="21"/>
            <c:spPr>
              <a:solidFill>
                <a:srgbClr val="F2F0F6"/>
              </a:solidFill>
            </c:spPr>
          </c:dPt>
          <c:dPt>
            <c:idx val="22"/>
            <c:spPr>
              <a:solidFill>
                <a:srgbClr val="EDF7F9"/>
              </a:solidFill>
            </c:spPr>
          </c:dPt>
          <c:dPt>
            <c:idx val="23"/>
            <c:spPr>
              <a:solidFill>
                <a:srgbClr val="FEF5ED"/>
              </a:solidFill>
            </c:spPr>
          </c:dPt>
          <c:dPt>
            <c:idx val="24"/>
            <c:spPr>
              <a:solidFill>
                <a:srgbClr val="22180C"/>
              </a:solidFill>
            </c:spPr>
          </c:dPt>
          <c:dPt>
            <c:idx val="25"/>
            <c:spPr>
              <a:solidFill>
                <a:srgbClr val="0C2223"/>
              </a:solidFill>
            </c:spPr>
          </c:dPt>
          <c:dPt>
            <c:idx val="26"/>
            <c:spPr>
              <a:solidFill>
                <a:srgbClr val="130D20"/>
              </a:solidFill>
            </c:spPr>
          </c:dPt>
          <c:dPt>
            <c:idx val="27"/>
            <c:spPr>
              <a:solidFill>
                <a:srgbClr val="181E12"/>
              </a:solidFill>
            </c:spPr>
          </c:dPt>
          <c:dPt>
            <c:idx val="28"/>
            <c:spPr>
              <a:solidFill>
                <a:srgbClr val="23100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'مميزات المشروع'!$A$11:$A$39</c:f>
            </c:strRef>
          </c:cat>
          <c:val>
            <c:numRef>
              <c:f>'مميزات المشروع'!$B$11:$B$39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Pt>
            <c:idx val="20"/>
            <c:spPr>
              <a:solidFill>
                <a:srgbClr val="F5F8EE"/>
              </a:solidFill>
            </c:spPr>
          </c:dPt>
          <c:dPt>
            <c:idx val="21"/>
            <c:spPr>
              <a:solidFill>
                <a:srgbClr val="F2F0F6"/>
              </a:solidFill>
            </c:spPr>
          </c:dPt>
          <c:dPt>
            <c:idx val="22"/>
            <c:spPr>
              <a:solidFill>
                <a:srgbClr val="EDF7F9"/>
              </a:solidFill>
            </c:spPr>
          </c:dPt>
          <c:dPt>
            <c:idx val="23"/>
            <c:spPr>
              <a:solidFill>
                <a:srgbClr val="FEF5ED"/>
              </a:solidFill>
            </c:spPr>
          </c:dPt>
          <c:dPt>
            <c:idx val="24"/>
            <c:spPr>
              <a:solidFill>
                <a:srgbClr val="22180C"/>
              </a:solidFill>
            </c:spPr>
          </c:dPt>
          <c:dPt>
            <c:idx val="25"/>
            <c:spPr>
              <a:solidFill>
                <a:srgbClr val="0C2223"/>
              </a:solidFill>
            </c:spPr>
          </c:dPt>
          <c:dPt>
            <c:idx val="26"/>
            <c:spPr>
              <a:solidFill>
                <a:srgbClr val="130D20"/>
              </a:solidFill>
            </c:spPr>
          </c:dPt>
          <c:dPt>
            <c:idx val="27"/>
            <c:spPr>
              <a:solidFill>
                <a:srgbClr val="181E12"/>
              </a:solidFill>
            </c:spPr>
          </c:dPt>
          <c:dPt>
            <c:idx val="28"/>
            <c:spPr>
              <a:solidFill>
                <a:srgbClr val="23100A"/>
              </a:solidFill>
            </c:spPr>
          </c:dPt>
          <c:dPt>
            <c:idx val="29"/>
            <c:spPr>
              <a:solidFill>
                <a:srgbClr val="011424"/>
              </a:solidFill>
            </c:spPr>
          </c:dPt>
          <c:dPt>
            <c:idx val="30"/>
            <c:spPr>
              <a:solidFill>
                <a:srgbClr val="573E20"/>
              </a:solidFill>
            </c:spPr>
          </c:dPt>
          <c:dPt>
            <c:idx val="31"/>
            <c:spPr>
              <a:solidFill>
                <a:srgbClr val="1F5758"/>
              </a:solidFill>
            </c:spPr>
          </c:dPt>
          <c:dPt>
            <c:idx val="32"/>
            <c:spPr>
              <a:solidFill>
                <a:srgbClr val="31215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'عيوب المشروع'!$B$9:$B$41</c:f>
            </c:strRef>
          </c:cat>
          <c:val>
            <c:numRef>
              <c:f>'عيوب المشروع'!$C$9:$C$41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أهم التغيرات اللي حصلت لك أثناء المشروع - البالغين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'في حالة البالغين (إيه أهم التغي'!$A$12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'في حالة البالغين (إيه أهم التغي'!$B$11:$G$11</c:f>
            </c:strRef>
          </c:cat>
          <c:val>
            <c:numRef>
              <c:f>'في حالة البالغين (إيه أهم التغي'!$B$12:$G$12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أهم التغيرات اللي حصلت لطفلك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'(في حالة الأطفال) إيه هي أهم ال'!$A$13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'(في حالة الأطفال) إيه هي أهم ال'!$B$12:$I$12</c:f>
            </c:strRef>
          </c:cat>
          <c:val>
            <c:numRef>
              <c:f>'(في حالة الأطفال) إيه هي أهم ال'!$B$13:$I$13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image" Target="../media/Chart2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1</xdr:row>
      <xdr:rowOff>47625</xdr:rowOff>
    </xdr:from>
    <xdr:ext cx="6334125" cy="2733675"/>
    <xdr:graphicFrame>
      <xdr:nvGraphicFramePr>
        <xdr:cNvPr id="1" name="Chart 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1</xdr:row>
      <xdr:rowOff>28575</xdr:rowOff>
    </xdr:from>
    <xdr:ext cx="5715000" cy="3533775"/>
    <xdr:graphicFrame>
      <xdr:nvGraphicFramePr>
        <xdr:cNvPr id="2" name="Chart 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47625</xdr:rowOff>
    </xdr:from>
    <xdr:ext cx="12573000" cy="3533775"/>
    <xdr:graphicFrame>
      <xdr:nvGraphicFramePr>
        <xdr:cNvPr id="3" name="Chart 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485775</xdr:colOff>
      <xdr:row>19</xdr:row>
      <xdr:rowOff>47625</xdr:rowOff>
    </xdr:from>
    <xdr:ext cx="7115175" cy="3533775"/>
    <xdr:graphicFrame>
      <xdr:nvGraphicFramePr>
        <xdr:cNvPr id="4" name="Chart 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28575</xdr:rowOff>
    </xdr:from>
    <xdr:ext cx="11430000" cy="3533775"/>
    <xdr:graphicFrame>
      <xdr:nvGraphicFramePr>
        <xdr:cNvPr id="5" name="Chart 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47625</xdr:rowOff>
    </xdr:from>
    <xdr:ext cx="10706100" cy="3533775"/>
    <xdr:graphicFrame>
      <xdr:nvGraphicFramePr>
        <xdr:cNvPr id="6" name="Chart 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12</xdr:row>
      <xdr:rowOff>95250</xdr:rowOff>
    </xdr:from>
    <xdr:ext cx="11887200" cy="3533775"/>
    <xdr:graphicFrame>
      <xdr:nvGraphicFramePr>
        <xdr:cNvPr id="7" name="Chart 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13</xdr:row>
      <xdr:rowOff>28575</xdr:rowOff>
    </xdr:from>
    <xdr:ext cx="7162800" cy="2600325"/>
    <xdr:graphicFrame>
      <xdr:nvGraphicFramePr>
        <xdr:cNvPr id="8" name="Chart 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942975</xdr:colOff>
      <xdr:row>1</xdr:row>
      <xdr:rowOff>180975</xdr:rowOff>
    </xdr:from>
    <xdr:ext cx="5715000" cy="3533775"/>
    <xdr:graphicFrame>
      <xdr:nvGraphicFramePr>
        <xdr:cNvPr id="9" name="Chart 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9525</xdr:rowOff>
    </xdr:from>
    <xdr:ext cx="8420100" cy="3533775"/>
    <xdr:graphicFrame>
      <xdr:nvGraphicFramePr>
        <xdr:cNvPr id="10" name="Chart 10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19050</xdr:rowOff>
    </xdr:from>
    <xdr:ext cx="10134600" cy="3533775"/>
    <xdr:graphicFrame>
      <xdr:nvGraphicFramePr>
        <xdr:cNvPr id="11" name="Chart 1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13</xdr:row>
      <xdr:rowOff>76200</xdr:rowOff>
    </xdr:from>
    <xdr:ext cx="6829425" cy="3533775"/>
    <xdr:graphicFrame>
      <xdr:nvGraphicFramePr>
        <xdr:cNvPr id="12" name="Chart 1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180975</xdr:rowOff>
    </xdr:from>
    <xdr:ext cx="8382000" cy="3533775"/>
    <xdr:graphicFrame>
      <xdr:nvGraphicFramePr>
        <xdr:cNvPr id="13" name="Chart 1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</xdr:row>
      <xdr:rowOff>9525</xdr:rowOff>
    </xdr:from>
    <xdr:ext cx="9591675" cy="3533775"/>
    <xdr:graphicFrame>
      <xdr:nvGraphicFramePr>
        <xdr:cNvPr id="14" name="Chart 1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190500</xdr:colOff>
      <xdr:row>1</xdr:row>
      <xdr:rowOff>0</xdr:rowOff>
    </xdr:from>
    <xdr:ext cx="10601325" cy="3533775"/>
    <xdr:graphicFrame>
      <xdr:nvGraphicFramePr>
        <xdr:cNvPr id="15" name="Chart 1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0</xdr:row>
      <xdr:rowOff>180975</xdr:rowOff>
    </xdr:from>
    <xdr:ext cx="7381875" cy="3533775"/>
    <xdr:graphicFrame>
      <xdr:nvGraphicFramePr>
        <xdr:cNvPr id="16" name="Chart 1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0</xdr:row>
      <xdr:rowOff>180975</xdr:rowOff>
    </xdr:from>
    <xdr:ext cx="6686550" cy="3533775"/>
    <xdr:graphicFrame>
      <xdr:nvGraphicFramePr>
        <xdr:cNvPr id="17" name="Chart 1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142875</xdr:rowOff>
    </xdr:from>
    <xdr:ext cx="9791700" cy="3533775"/>
    <xdr:graphicFrame>
      <xdr:nvGraphicFramePr>
        <xdr:cNvPr id="18" name="Chart 1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180975</xdr:rowOff>
    </xdr:from>
    <xdr:ext cx="10934700" cy="3533775"/>
    <xdr:graphicFrame>
      <xdr:nvGraphicFramePr>
        <xdr:cNvPr id="19" name="Chart 1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476250</xdr:colOff>
      <xdr:row>1</xdr:row>
      <xdr:rowOff>76200</xdr:rowOff>
    </xdr:from>
    <xdr:ext cx="9305925" cy="3533775"/>
    <xdr:graphicFrame>
      <xdr:nvGraphicFramePr>
        <xdr:cNvPr id="20" name="Chart 20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21</xdr:row>
      <xdr:rowOff>9525</xdr:rowOff>
    </xdr:from>
    <xdr:ext cx="11772900" cy="3533775"/>
    <xdr:graphicFrame>
      <xdr:nvGraphicFramePr>
        <xdr:cNvPr id="21" name="Chart 2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190500</xdr:colOff>
      <xdr:row>0</xdr:row>
      <xdr:rowOff>123825</xdr:rowOff>
    </xdr:from>
    <xdr:ext cx="10763250" cy="4257675"/>
    <xdr:graphicFrame>
      <xdr:nvGraphicFramePr>
        <xdr:cNvPr id="22" name="Chart 2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142875</xdr:rowOff>
    </xdr:from>
    <xdr:ext cx="11106150" cy="3533775"/>
    <xdr:graphicFrame>
      <xdr:nvGraphicFramePr>
        <xdr:cNvPr id="23" name="Chart 2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257175</xdr:colOff>
      <xdr:row>12</xdr:row>
      <xdr:rowOff>857250</xdr:rowOff>
    </xdr:from>
    <xdr:ext cx="10067925" cy="3533775"/>
    <xdr:pic>
      <xdr:nvPicPr>
        <xdr:cNvPr id="672162952" name="Chart24" title="رسم بياني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</xdr:colOff>
      <xdr:row>9</xdr:row>
      <xdr:rowOff>152400</xdr:rowOff>
    </xdr:from>
    <xdr:ext cx="9420225" cy="3533775"/>
    <xdr:graphicFrame>
      <xdr:nvGraphicFramePr>
        <xdr:cNvPr id="25" name="Chart 2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0</xdr:row>
      <xdr:rowOff>95250</xdr:rowOff>
    </xdr:from>
    <xdr:ext cx="12792075" cy="6991350"/>
    <xdr:graphicFrame>
      <xdr:nvGraphicFramePr>
        <xdr:cNvPr id="26" name="Chart 2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1</xdr:row>
      <xdr:rowOff>66675</xdr:rowOff>
    </xdr:from>
    <xdr:ext cx="11877675" cy="7343775"/>
    <xdr:graphicFrame>
      <xdr:nvGraphicFramePr>
        <xdr:cNvPr id="27" name="Chart 2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1</xdr:row>
      <xdr:rowOff>180975</xdr:rowOff>
    </xdr:from>
    <xdr:ext cx="6629400" cy="4095750"/>
    <xdr:graphicFrame>
      <xdr:nvGraphicFramePr>
        <xdr:cNvPr id="28" name="Chart 2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0</xdr:row>
      <xdr:rowOff>66675</xdr:rowOff>
    </xdr:from>
    <xdr:ext cx="8324850" cy="5143500"/>
    <xdr:graphicFrame>
      <xdr:nvGraphicFramePr>
        <xdr:cNvPr id="29" name="Chart 2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24.0"/>
    <col customWidth="1" min="3" max="3" width="24.13"/>
  </cols>
  <sheetData>
    <row r="1" ht="111.0" customHeight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2" t="s">
        <v>8</v>
      </c>
      <c r="L1" s="2" t="s">
        <v>9</v>
      </c>
      <c r="M1" s="2" t="s">
        <v>10</v>
      </c>
      <c r="N1" s="6"/>
      <c r="O1" s="6"/>
      <c r="P1" s="6"/>
      <c r="Q1" s="6"/>
      <c r="R1" s="6"/>
      <c r="S1" s="6"/>
      <c r="T1" s="6"/>
      <c r="U1" s="6"/>
      <c r="V1" s="6"/>
      <c r="W1" s="2" t="s">
        <v>11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2" t="s">
        <v>12</v>
      </c>
      <c r="AI1" s="6"/>
      <c r="AJ1" s="2" t="s">
        <v>13</v>
      </c>
      <c r="AK1" s="2" t="s">
        <v>14</v>
      </c>
      <c r="AL1" s="2" t="s">
        <v>15</v>
      </c>
      <c r="AM1" s="6"/>
      <c r="AN1" s="6"/>
      <c r="AO1" s="6"/>
      <c r="AP1" s="6"/>
      <c r="AQ1" s="6"/>
      <c r="AR1" s="6"/>
      <c r="AS1" s="2" t="s">
        <v>16</v>
      </c>
      <c r="AT1" s="6"/>
      <c r="AU1" s="6"/>
      <c r="AV1" s="6"/>
      <c r="AW1" s="6"/>
      <c r="AX1" s="6"/>
      <c r="AY1" s="6"/>
      <c r="AZ1" s="6"/>
      <c r="BA1" s="2" t="s">
        <v>17</v>
      </c>
      <c r="BB1" s="6"/>
      <c r="BC1" s="6"/>
      <c r="BD1" s="6"/>
      <c r="BE1" s="6"/>
      <c r="BF1" s="6"/>
      <c r="BG1" s="2" t="s">
        <v>18</v>
      </c>
      <c r="BH1" s="6"/>
      <c r="BI1" s="6"/>
      <c r="BJ1" s="6"/>
      <c r="BK1" s="6"/>
      <c r="BL1" s="6"/>
      <c r="BM1" s="6"/>
      <c r="BN1" s="6"/>
      <c r="BO1" s="6"/>
      <c r="BP1" s="6"/>
      <c r="BQ1" s="2" t="s">
        <v>19</v>
      </c>
      <c r="BR1" s="6"/>
      <c r="BS1" s="6"/>
      <c r="BT1" s="6"/>
      <c r="BU1" s="6"/>
      <c r="BV1" s="6"/>
      <c r="BW1" s="6"/>
      <c r="BX1" s="6"/>
      <c r="BY1" s="2" t="s">
        <v>20</v>
      </c>
      <c r="BZ1" s="6"/>
      <c r="CA1" s="6"/>
      <c r="CB1" s="6"/>
      <c r="CC1" s="6"/>
      <c r="CD1" s="6"/>
      <c r="CE1" s="6"/>
      <c r="CF1" s="6"/>
      <c r="CG1" s="2" t="s">
        <v>21</v>
      </c>
      <c r="CH1" s="2" t="s">
        <v>22</v>
      </c>
      <c r="CI1" s="6"/>
      <c r="CJ1" s="6"/>
      <c r="CK1" s="6"/>
      <c r="CL1" s="6"/>
      <c r="CM1" s="6"/>
      <c r="CN1" s="2" t="s">
        <v>23</v>
      </c>
      <c r="CO1" s="2" t="s">
        <v>24</v>
      </c>
      <c r="CP1" s="6"/>
      <c r="CQ1" s="6"/>
      <c r="CR1" s="6"/>
      <c r="CS1" s="6"/>
      <c r="CT1" s="6"/>
      <c r="CU1" s="6"/>
      <c r="CV1" s="2" t="s">
        <v>25</v>
      </c>
      <c r="CW1" s="2" t="s">
        <v>26</v>
      </c>
      <c r="CX1" s="6"/>
      <c r="CY1" s="6"/>
      <c r="CZ1" s="6"/>
      <c r="DA1" s="6"/>
      <c r="DB1" s="6"/>
      <c r="DC1" s="2" t="s">
        <v>27</v>
      </c>
      <c r="DD1" s="6"/>
      <c r="DE1" s="6"/>
      <c r="DF1" s="6"/>
      <c r="DG1" s="2" t="s">
        <v>28</v>
      </c>
      <c r="DH1" s="6"/>
      <c r="DI1" s="6"/>
      <c r="DJ1" s="2" t="s">
        <v>29</v>
      </c>
      <c r="DK1" s="6"/>
      <c r="DL1" s="6"/>
      <c r="DM1" s="2" t="s">
        <v>30</v>
      </c>
      <c r="DN1" s="6"/>
      <c r="DO1" s="6"/>
    </row>
    <row r="2" ht="55.5" customHeight="1">
      <c r="A2" s="7"/>
      <c r="B2" s="8" t="s">
        <v>31</v>
      </c>
      <c r="C2" s="9" t="s">
        <v>31</v>
      </c>
      <c r="D2" s="8" t="s">
        <v>31</v>
      </c>
      <c r="E2" s="8" t="s">
        <v>31</v>
      </c>
      <c r="F2" s="8" t="s">
        <v>31</v>
      </c>
      <c r="G2" s="8" t="s">
        <v>32</v>
      </c>
      <c r="H2" s="10" t="s">
        <v>33</v>
      </c>
      <c r="I2" s="11" t="s">
        <v>34</v>
      </c>
      <c r="J2" s="11" t="s">
        <v>35</v>
      </c>
      <c r="K2" s="8" t="s">
        <v>31</v>
      </c>
      <c r="L2" s="8" t="s">
        <v>32</v>
      </c>
      <c r="M2" s="12" t="s">
        <v>36</v>
      </c>
      <c r="N2" s="12" t="s">
        <v>37</v>
      </c>
      <c r="O2" s="12" t="s">
        <v>38</v>
      </c>
      <c r="P2" s="12" t="s">
        <v>39</v>
      </c>
      <c r="Q2" s="12" t="s">
        <v>40</v>
      </c>
      <c r="R2" s="12" t="s">
        <v>41</v>
      </c>
      <c r="S2" s="12" t="s">
        <v>42</v>
      </c>
      <c r="T2" s="12" t="s">
        <v>43</v>
      </c>
      <c r="U2" s="12" t="s">
        <v>44</v>
      </c>
      <c r="V2" s="12" t="s">
        <v>45</v>
      </c>
      <c r="W2" s="10" t="s">
        <v>46</v>
      </c>
      <c r="X2" s="10" t="s">
        <v>47</v>
      </c>
      <c r="Y2" s="10" t="s">
        <v>48</v>
      </c>
      <c r="Z2" s="10" t="s">
        <v>49</v>
      </c>
      <c r="AA2" s="10" t="s">
        <v>50</v>
      </c>
      <c r="AB2" s="10" t="s">
        <v>51</v>
      </c>
      <c r="AC2" s="10" t="s">
        <v>52</v>
      </c>
      <c r="AD2" s="10" t="s">
        <v>53</v>
      </c>
      <c r="AE2" s="10" t="s">
        <v>54</v>
      </c>
      <c r="AF2" s="10" t="s">
        <v>55</v>
      </c>
      <c r="AG2" s="10" t="s">
        <v>56</v>
      </c>
      <c r="AH2" s="13" t="s">
        <v>12</v>
      </c>
      <c r="AI2" s="10" t="s">
        <v>57</v>
      </c>
      <c r="AJ2" s="2" t="s">
        <v>13</v>
      </c>
      <c r="AK2" s="2" t="s">
        <v>14</v>
      </c>
      <c r="AL2" s="14" t="s">
        <v>58</v>
      </c>
      <c r="AM2" s="14" t="s">
        <v>59</v>
      </c>
      <c r="AN2" s="14" t="s">
        <v>60</v>
      </c>
      <c r="AO2" s="14" t="s">
        <v>61</v>
      </c>
      <c r="AP2" s="14" t="s">
        <v>62</v>
      </c>
      <c r="AQ2" s="14" t="s">
        <v>63</v>
      </c>
      <c r="AR2" s="14" t="s">
        <v>64</v>
      </c>
      <c r="AS2" s="10" t="s">
        <v>65</v>
      </c>
      <c r="AT2" s="10" t="s">
        <v>66</v>
      </c>
      <c r="AU2" s="10" t="s">
        <v>67</v>
      </c>
      <c r="AV2" s="10" t="s">
        <v>68</v>
      </c>
      <c r="AW2" s="10" t="s">
        <v>69</v>
      </c>
      <c r="AX2" s="10" t="s">
        <v>70</v>
      </c>
      <c r="AY2" s="10" t="s">
        <v>71</v>
      </c>
      <c r="AZ2" s="10" t="s">
        <v>72</v>
      </c>
      <c r="BA2" s="10" t="s">
        <v>73</v>
      </c>
      <c r="BB2" s="10" t="s">
        <v>74</v>
      </c>
      <c r="BC2" s="10" t="s">
        <v>75</v>
      </c>
      <c r="BD2" s="10" t="s">
        <v>76</v>
      </c>
      <c r="BE2" s="10" t="s">
        <v>77</v>
      </c>
      <c r="BF2" s="10" t="s">
        <v>45</v>
      </c>
      <c r="BG2" s="10" t="s">
        <v>78</v>
      </c>
      <c r="BH2" s="10" t="s">
        <v>79</v>
      </c>
      <c r="BI2" s="10" t="s">
        <v>52</v>
      </c>
      <c r="BJ2" s="10" t="s">
        <v>80</v>
      </c>
      <c r="BK2" s="10" t="s">
        <v>81</v>
      </c>
      <c r="BL2" s="10" t="s">
        <v>82</v>
      </c>
      <c r="BM2" s="10" t="s">
        <v>83</v>
      </c>
      <c r="BN2" s="10" t="s">
        <v>84</v>
      </c>
      <c r="BO2" s="10" t="s">
        <v>85</v>
      </c>
      <c r="BP2" s="10" t="s">
        <v>45</v>
      </c>
      <c r="BQ2" s="10" t="s">
        <v>86</v>
      </c>
      <c r="BR2" s="10" t="s">
        <v>87</v>
      </c>
      <c r="BS2" s="10" t="s">
        <v>88</v>
      </c>
      <c r="BT2" s="10" t="s">
        <v>89</v>
      </c>
      <c r="BU2" s="10" t="s">
        <v>90</v>
      </c>
      <c r="BV2" s="10" t="s">
        <v>91</v>
      </c>
      <c r="BW2" s="10" t="s">
        <v>92</v>
      </c>
      <c r="BX2" s="10" t="s">
        <v>45</v>
      </c>
      <c r="BY2" s="10" t="s">
        <v>93</v>
      </c>
      <c r="BZ2" s="10" t="s">
        <v>94</v>
      </c>
      <c r="CA2" s="10" t="s">
        <v>95</v>
      </c>
      <c r="CB2" s="10" t="s">
        <v>96</v>
      </c>
      <c r="CC2" s="10" t="s">
        <v>97</v>
      </c>
      <c r="CD2" s="10" t="s">
        <v>98</v>
      </c>
      <c r="CE2" s="10" t="s">
        <v>99</v>
      </c>
      <c r="CF2" s="10" t="s">
        <v>45</v>
      </c>
      <c r="CG2" s="8" t="s">
        <v>32</v>
      </c>
      <c r="CH2" s="10" t="s">
        <v>100</v>
      </c>
      <c r="CI2" s="10" t="s">
        <v>101</v>
      </c>
      <c r="CJ2" s="10" t="s">
        <v>102</v>
      </c>
      <c r="CK2" s="10" t="s">
        <v>103</v>
      </c>
      <c r="CL2" s="10" t="s">
        <v>104</v>
      </c>
      <c r="CM2" s="10" t="s">
        <v>45</v>
      </c>
      <c r="CN2" s="8" t="s">
        <v>32</v>
      </c>
      <c r="CO2" s="10" t="s">
        <v>105</v>
      </c>
      <c r="CP2" s="10" t="s">
        <v>106</v>
      </c>
      <c r="CQ2" s="10" t="s">
        <v>107</v>
      </c>
      <c r="CR2" s="10" t="s">
        <v>108</v>
      </c>
      <c r="CS2" s="10" t="s">
        <v>109</v>
      </c>
      <c r="CT2" s="10" t="s">
        <v>110</v>
      </c>
      <c r="CU2" s="10" t="s">
        <v>45</v>
      </c>
      <c r="CV2" s="8" t="s">
        <v>32</v>
      </c>
      <c r="CW2" s="10" t="s">
        <v>111</v>
      </c>
      <c r="CX2" s="10" t="s">
        <v>112</v>
      </c>
      <c r="CY2" s="10" t="s">
        <v>113</v>
      </c>
      <c r="CZ2" s="10" t="s">
        <v>114</v>
      </c>
      <c r="DA2" s="10" t="s">
        <v>115</v>
      </c>
      <c r="DB2" s="10" t="s">
        <v>45</v>
      </c>
      <c r="DC2" s="10" t="s">
        <v>116</v>
      </c>
      <c r="DD2" s="10" t="s">
        <v>117</v>
      </c>
      <c r="DE2" s="10" t="s">
        <v>118</v>
      </c>
      <c r="DF2" s="10" t="s">
        <v>119</v>
      </c>
      <c r="DG2" s="2" t="s">
        <v>28</v>
      </c>
      <c r="DH2" s="2" t="s">
        <v>28</v>
      </c>
      <c r="DI2" s="2" t="s">
        <v>28</v>
      </c>
      <c r="DJ2" s="2" t="s">
        <v>29</v>
      </c>
      <c r="DK2" s="2" t="s">
        <v>29</v>
      </c>
      <c r="DL2" s="2" t="s">
        <v>29</v>
      </c>
      <c r="DM2" s="2" t="s">
        <v>30</v>
      </c>
      <c r="DN2" s="2" t="s">
        <v>30</v>
      </c>
      <c r="DO2" s="2" t="s">
        <v>30</v>
      </c>
    </row>
    <row r="3">
      <c r="A3" s="15">
        <v>1.0</v>
      </c>
      <c r="B3" s="16" t="s">
        <v>120</v>
      </c>
      <c r="C3" s="17">
        <v>3.1208022004272E13</v>
      </c>
      <c r="D3" s="18">
        <v>10.0</v>
      </c>
      <c r="E3" s="19"/>
      <c r="F3" s="19"/>
      <c r="G3" s="19"/>
      <c r="H3" s="20">
        <v>44045.0</v>
      </c>
      <c r="I3" s="16"/>
      <c r="J3" s="18">
        <v>1.0</v>
      </c>
      <c r="K3" s="16" t="s">
        <v>121</v>
      </c>
      <c r="L3" s="16" t="s">
        <v>122</v>
      </c>
      <c r="M3" s="21" t="s">
        <v>36</v>
      </c>
      <c r="N3" s="22"/>
      <c r="O3" s="22"/>
      <c r="P3" s="23"/>
      <c r="Q3" s="19"/>
      <c r="R3" s="19"/>
      <c r="S3" s="19"/>
      <c r="T3" s="19"/>
      <c r="U3" s="21" t="s">
        <v>44</v>
      </c>
      <c r="V3" s="23"/>
      <c r="W3" s="16" t="s">
        <v>46</v>
      </c>
      <c r="X3" s="19"/>
      <c r="Y3" s="19"/>
      <c r="Z3" s="19"/>
      <c r="AA3" s="16" t="s">
        <v>50</v>
      </c>
      <c r="AB3" s="19"/>
      <c r="AC3" s="19"/>
      <c r="AD3" s="19"/>
      <c r="AE3" s="19"/>
      <c r="AF3" s="19"/>
      <c r="AG3" s="19"/>
      <c r="AH3" s="21" t="s">
        <v>123</v>
      </c>
      <c r="AI3" s="23"/>
      <c r="AJ3" s="16" t="s">
        <v>124</v>
      </c>
      <c r="AK3" s="16" t="s">
        <v>125</v>
      </c>
      <c r="AL3" s="16" t="s">
        <v>126</v>
      </c>
      <c r="AM3" s="16" t="s">
        <v>126</v>
      </c>
      <c r="AN3" s="16" t="s">
        <v>126</v>
      </c>
      <c r="AO3" s="16" t="s">
        <v>126</v>
      </c>
      <c r="AP3" s="16" t="s">
        <v>126</v>
      </c>
      <c r="AQ3" s="16" t="s">
        <v>126</v>
      </c>
      <c r="AR3" s="16" t="s">
        <v>126</v>
      </c>
      <c r="AS3" s="16" t="s">
        <v>65</v>
      </c>
      <c r="AT3" s="21" t="s">
        <v>66</v>
      </c>
      <c r="AU3" s="22"/>
      <c r="AV3" s="23"/>
      <c r="AW3" s="19"/>
      <c r="AX3" s="21" t="s">
        <v>70</v>
      </c>
      <c r="AY3" s="22"/>
      <c r="AZ3" s="23"/>
      <c r="BA3" s="19"/>
      <c r="BB3" s="21" t="s">
        <v>74</v>
      </c>
      <c r="BC3" s="23"/>
      <c r="BD3" s="21" t="s">
        <v>76</v>
      </c>
      <c r="BE3" s="22"/>
      <c r="BF3" s="22"/>
      <c r="BG3" s="23"/>
      <c r="BH3" s="19"/>
      <c r="BI3" s="19"/>
      <c r="BJ3" s="19"/>
      <c r="BK3" s="16" t="s">
        <v>81</v>
      </c>
      <c r="BL3" s="19"/>
      <c r="BM3" s="19"/>
      <c r="BN3" s="19"/>
      <c r="BO3" s="21" t="s">
        <v>85</v>
      </c>
      <c r="BP3" s="22"/>
      <c r="BQ3" s="22"/>
      <c r="BR3" s="23"/>
      <c r="BS3" s="21" t="s">
        <v>88</v>
      </c>
      <c r="BT3" s="23"/>
      <c r="BU3" s="19"/>
      <c r="BV3" s="19"/>
      <c r="BW3" s="21" t="s">
        <v>92</v>
      </c>
      <c r="BX3" s="22"/>
      <c r="BY3" s="23"/>
      <c r="BZ3" s="19"/>
      <c r="CA3" s="19"/>
      <c r="CB3" s="19"/>
      <c r="CC3" s="19"/>
      <c r="CD3" s="19"/>
      <c r="CE3" s="19"/>
      <c r="CF3" s="16" t="s">
        <v>127</v>
      </c>
      <c r="CG3" s="16" t="s">
        <v>128</v>
      </c>
      <c r="CH3" s="16" t="s">
        <v>100</v>
      </c>
      <c r="CI3" s="16" t="s">
        <v>101</v>
      </c>
      <c r="CJ3" s="21" t="s">
        <v>102</v>
      </c>
      <c r="CK3" s="22"/>
      <c r="CL3" s="23"/>
      <c r="CM3" s="19"/>
      <c r="CN3" s="16" t="s">
        <v>128</v>
      </c>
      <c r="CO3" s="16" t="s">
        <v>105</v>
      </c>
      <c r="CP3" s="16" t="s">
        <v>106</v>
      </c>
      <c r="CQ3" s="16" t="s">
        <v>107</v>
      </c>
      <c r="CR3" s="16" t="s">
        <v>108</v>
      </c>
      <c r="CS3" s="16" t="s">
        <v>109</v>
      </c>
      <c r="CT3" s="21" t="s">
        <v>110</v>
      </c>
      <c r="CU3" s="23"/>
      <c r="CV3" s="16" t="s">
        <v>128</v>
      </c>
      <c r="CW3" s="19"/>
      <c r="CX3" s="16" t="s">
        <v>112</v>
      </c>
      <c r="CY3" s="21" t="s">
        <v>113</v>
      </c>
      <c r="CZ3" s="22"/>
      <c r="DA3" s="23"/>
      <c r="DB3" s="19"/>
      <c r="DC3" s="16" t="s">
        <v>129</v>
      </c>
      <c r="DD3" s="16" t="s">
        <v>129</v>
      </c>
      <c r="DE3" s="16" t="s">
        <v>129</v>
      </c>
      <c r="DF3" s="16" t="s">
        <v>129</v>
      </c>
      <c r="DG3" s="21" t="s">
        <v>130</v>
      </c>
      <c r="DH3" s="23"/>
      <c r="DI3" s="19"/>
      <c r="DJ3" s="21" t="s">
        <v>131</v>
      </c>
      <c r="DK3" s="23"/>
      <c r="DL3" s="19"/>
      <c r="DM3" s="21" t="s">
        <v>132</v>
      </c>
      <c r="DN3" s="23"/>
      <c r="DO3" s="19"/>
    </row>
    <row r="4">
      <c r="A4" s="15">
        <v>2.0</v>
      </c>
      <c r="B4" s="16" t="s">
        <v>133</v>
      </c>
      <c r="C4" s="24"/>
      <c r="D4" s="18">
        <v>2019.0</v>
      </c>
      <c r="E4" s="16" t="s">
        <v>134</v>
      </c>
      <c r="F4" s="16" t="s">
        <v>135</v>
      </c>
      <c r="G4" s="16" t="s">
        <v>136</v>
      </c>
      <c r="H4" s="20">
        <v>44356.0</v>
      </c>
      <c r="I4" s="18">
        <v>1.0</v>
      </c>
      <c r="J4" s="19"/>
      <c r="K4" s="16" t="s">
        <v>137</v>
      </c>
      <c r="L4" s="21" t="s">
        <v>138</v>
      </c>
      <c r="M4" s="23"/>
      <c r="N4" s="19"/>
      <c r="O4" s="19"/>
      <c r="P4" s="19"/>
      <c r="Q4" s="19"/>
      <c r="R4" s="19"/>
      <c r="S4" s="19"/>
      <c r="T4" s="19"/>
      <c r="U4" s="19"/>
      <c r="V4" s="16" t="s">
        <v>139</v>
      </c>
      <c r="W4" s="16" t="s">
        <v>46</v>
      </c>
      <c r="X4" s="21" t="s">
        <v>47</v>
      </c>
      <c r="Y4" s="23"/>
      <c r="Z4" s="19"/>
      <c r="AA4" s="19"/>
      <c r="AB4" s="19"/>
      <c r="AC4" s="19"/>
      <c r="AD4" s="19"/>
      <c r="AE4" s="19"/>
      <c r="AF4" s="19"/>
      <c r="AG4" s="19"/>
      <c r="AH4" s="16" t="s">
        <v>57</v>
      </c>
      <c r="AI4" s="16" t="s">
        <v>140</v>
      </c>
      <c r="AJ4" s="16" t="s">
        <v>141</v>
      </c>
      <c r="AK4" s="16" t="s">
        <v>142</v>
      </c>
      <c r="AL4" s="16" t="s">
        <v>143</v>
      </c>
      <c r="AM4" s="16" t="s">
        <v>143</v>
      </c>
      <c r="AN4" s="16" t="s">
        <v>126</v>
      </c>
      <c r="AO4" s="16" t="s">
        <v>126</v>
      </c>
      <c r="AP4" s="16" t="s">
        <v>126</v>
      </c>
      <c r="AQ4" s="16" t="s">
        <v>126</v>
      </c>
      <c r="AR4" s="16" t="s">
        <v>143</v>
      </c>
      <c r="AS4" s="16" t="s">
        <v>65</v>
      </c>
      <c r="AT4" s="21" t="s">
        <v>66</v>
      </c>
      <c r="AU4" s="22"/>
      <c r="AV4" s="23"/>
      <c r="AW4" s="21" t="s">
        <v>69</v>
      </c>
      <c r="AX4" s="22"/>
      <c r="AY4" s="23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6" t="s">
        <v>81</v>
      </c>
      <c r="BL4" s="19"/>
      <c r="BM4" s="19"/>
      <c r="BN4" s="19"/>
      <c r="BO4" s="21" t="s">
        <v>85</v>
      </c>
      <c r="BP4" s="22"/>
      <c r="BQ4" s="22"/>
      <c r="BR4" s="23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6" t="s">
        <v>144</v>
      </c>
      <c r="CG4" s="16" t="s">
        <v>128</v>
      </c>
      <c r="CH4" s="16" t="s">
        <v>100</v>
      </c>
      <c r="CI4" s="21" t="s">
        <v>101</v>
      </c>
      <c r="CJ4" s="22"/>
      <c r="CK4" s="23"/>
      <c r="CL4" s="21" t="s">
        <v>104</v>
      </c>
      <c r="CM4" s="23"/>
      <c r="CN4" s="16" t="s">
        <v>128</v>
      </c>
      <c r="CO4" s="21" t="s">
        <v>105</v>
      </c>
      <c r="CP4" s="22"/>
      <c r="CQ4" s="23"/>
      <c r="CR4" s="19"/>
      <c r="CS4" s="21" t="s">
        <v>109</v>
      </c>
      <c r="CT4" s="23"/>
      <c r="CU4" s="19"/>
      <c r="CV4" s="16" t="s">
        <v>128</v>
      </c>
      <c r="CW4" s="19"/>
      <c r="CX4" s="21" t="s">
        <v>112</v>
      </c>
      <c r="CY4" s="22"/>
      <c r="CZ4" s="23"/>
      <c r="DA4" s="21" t="s">
        <v>115</v>
      </c>
      <c r="DB4" s="23"/>
      <c r="DC4" s="16" t="s">
        <v>145</v>
      </c>
      <c r="DD4" s="16" t="s">
        <v>129</v>
      </c>
      <c r="DE4" s="19"/>
      <c r="DF4" s="19"/>
      <c r="DG4" s="16" t="s">
        <v>146</v>
      </c>
      <c r="DH4" s="21" t="s">
        <v>147</v>
      </c>
      <c r="DI4" s="23"/>
      <c r="DJ4" s="16" t="s">
        <v>144</v>
      </c>
      <c r="DK4" s="19"/>
      <c r="DL4" s="19"/>
      <c r="DM4" s="21" t="s">
        <v>148</v>
      </c>
      <c r="DN4" s="22"/>
      <c r="DO4" s="23"/>
    </row>
    <row r="5">
      <c r="A5" s="15">
        <v>3.0</v>
      </c>
      <c r="B5" s="16" t="s">
        <v>149</v>
      </c>
      <c r="C5" s="17">
        <v>3.0080430221563E13</v>
      </c>
      <c r="D5" s="18">
        <v>10.0</v>
      </c>
      <c r="E5" s="16" t="s">
        <v>150</v>
      </c>
      <c r="F5" s="16" t="s">
        <v>135</v>
      </c>
      <c r="G5" s="16" t="s">
        <v>136</v>
      </c>
      <c r="H5" s="19"/>
      <c r="I5" s="16"/>
      <c r="J5" s="18">
        <v>1.0</v>
      </c>
      <c r="K5" s="16" t="s">
        <v>151</v>
      </c>
      <c r="L5" s="16" t="s">
        <v>122</v>
      </c>
      <c r="M5" s="19"/>
      <c r="N5" s="19"/>
      <c r="O5" s="19"/>
      <c r="P5" s="19"/>
      <c r="Q5" s="19"/>
      <c r="R5" s="19"/>
      <c r="S5" s="19"/>
      <c r="T5" s="21" t="s">
        <v>43</v>
      </c>
      <c r="U5" s="23"/>
      <c r="V5" s="19"/>
      <c r="W5" s="19"/>
      <c r="X5" s="19"/>
      <c r="Y5" s="19"/>
      <c r="Z5" s="19"/>
      <c r="AA5" s="19"/>
      <c r="AB5" s="21" t="s">
        <v>51</v>
      </c>
      <c r="AC5" s="23"/>
      <c r="AD5" s="19"/>
      <c r="AE5" s="19"/>
      <c r="AF5" s="19"/>
      <c r="AG5" s="19"/>
      <c r="AH5" s="21" t="s">
        <v>152</v>
      </c>
      <c r="AI5" s="23"/>
      <c r="AJ5" s="16" t="s">
        <v>124</v>
      </c>
      <c r="AK5" s="16" t="s">
        <v>153</v>
      </c>
      <c r="AL5" s="16" t="s">
        <v>143</v>
      </c>
      <c r="AM5" s="16" t="s">
        <v>143</v>
      </c>
      <c r="AN5" s="16" t="s">
        <v>126</v>
      </c>
      <c r="AO5" s="16" t="s">
        <v>143</v>
      </c>
      <c r="AP5" s="16" t="s">
        <v>143</v>
      </c>
      <c r="AQ5" s="16" t="s">
        <v>126</v>
      </c>
      <c r="AR5" s="16" t="s">
        <v>143</v>
      </c>
      <c r="AS5" s="19"/>
      <c r="AT5" s="19"/>
      <c r="AU5" s="19"/>
      <c r="AV5" s="19"/>
      <c r="AW5" s="19"/>
      <c r="AX5" s="19"/>
      <c r="AY5" s="19"/>
      <c r="AZ5" s="19"/>
      <c r="BA5" s="19"/>
      <c r="BB5" s="21" t="s">
        <v>74</v>
      </c>
      <c r="BC5" s="23"/>
      <c r="BD5" s="16" t="s">
        <v>76</v>
      </c>
      <c r="BE5" s="21" t="s">
        <v>77</v>
      </c>
      <c r="BF5" s="22"/>
      <c r="BG5" s="22"/>
      <c r="BH5" s="23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21" t="s">
        <v>88</v>
      </c>
      <c r="BT5" s="23"/>
      <c r="BU5" s="21" t="s">
        <v>90</v>
      </c>
      <c r="BV5" s="23"/>
      <c r="BW5" s="21" t="s">
        <v>92</v>
      </c>
      <c r="BX5" s="22"/>
      <c r="BY5" s="23"/>
      <c r="BZ5" s="19"/>
      <c r="CA5" s="19"/>
      <c r="CB5" s="19"/>
      <c r="CC5" s="19"/>
      <c r="CD5" s="19"/>
      <c r="CE5" s="19"/>
      <c r="CF5" s="16" t="s">
        <v>144</v>
      </c>
      <c r="CG5" s="16" t="s">
        <v>128</v>
      </c>
      <c r="CH5" s="16" t="s">
        <v>100</v>
      </c>
      <c r="CI5" s="16" t="s">
        <v>101</v>
      </c>
      <c r="CJ5" s="21" t="s">
        <v>102</v>
      </c>
      <c r="CK5" s="23"/>
      <c r="CL5" s="21" t="s">
        <v>104</v>
      </c>
      <c r="CM5" s="23"/>
      <c r="CN5" s="16" t="s">
        <v>128</v>
      </c>
      <c r="CO5" s="16" t="s">
        <v>105</v>
      </c>
      <c r="CP5" s="21" t="s">
        <v>106</v>
      </c>
      <c r="CQ5" s="22"/>
      <c r="CR5" s="22"/>
      <c r="CS5" s="23"/>
      <c r="CT5" s="19"/>
      <c r="CU5" s="19"/>
      <c r="CV5" s="21" t="s">
        <v>154</v>
      </c>
      <c r="CW5" s="23"/>
      <c r="CX5" s="19"/>
      <c r="CY5" s="19"/>
      <c r="CZ5" s="19"/>
      <c r="DA5" s="21" t="s">
        <v>115</v>
      </c>
      <c r="DB5" s="22"/>
      <c r="DC5" s="22"/>
      <c r="DD5" s="23"/>
      <c r="DE5" s="19"/>
      <c r="DF5" s="19"/>
      <c r="DG5" s="21" t="s">
        <v>155</v>
      </c>
      <c r="DH5" s="22"/>
      <c r="DI5" s="23"/>
      <c r="DJ5" s="16" t="s">
        <v>144</v>
      </c>
      <c r="DK5" s="19"/>
      <c r="DL5" s="19"/>
      <c r="DM5" s="21" t="s">
        <v>156</v>
      </c>
      <c r="DN5" s="22"/>
      <c r="DO5" s="23"/>
    </row>
    <row r="6">
      <c r="A6" s="15">
        <v>4.0</v>
      </c>
      <c r="B6" s="16" t="s">
        <v>157</v>
      </c>
      <c r="C6" s="17">
        <v>2.9010242201501E13</v>
      </c>
      <c r="D6" s="18">
        <v>73.0</v>
      </c>
      <c r="E6" s="16" t="s">
        <v>134</v>
      </c>
      <c r="F6" s="16" t="s">
        <v>135</v>
      </c>
      <c r="G6" s="16" t="s">
        <v>136</v>
      </c>
      <c r="H6" s="19"/>
      <c r="I6" s="16"/>
      <c r="J6" s="18">
        <v>1.0</v>
      </c>
      <c r="K6" s="19"/>
      <c r="L6" s="16" t="s">
        <v>122</v>
      </c>
      <c r="M6" s="21" t="s">
        <v>36</v>
      </c>
      <c r="N6" s="22"/>
      <c r="O6" s="22"/>
      <c r="P6" s="23"/>
      <c r="Q6" s="19"/>
      <c r="R6" s="19"/>
      <c r="S6" s="19"/>
      <c r="T6" s="21" t="s">
        <v>43</v>
      </c>
      <c r="U6" s="23"/>
      <c r="V6" s="19"/>
      <c r="W6" s="19"/>
      <c r="X6" s="19"/>
      <c r="Y6" s="19"/>
      <c r="Z6" s="19"/>
      <c r="AA6" s="19"/>
      <c r="AB6" s="16" t="s">
        <v>51</v>
      </c>
      <c r="AC6" s="21" t="s">
        <v>52</v>
      </c>
      <c r="AD6" s="23"/>
      <c r="AE6" s="19"/>
      <c r="AF6" s="21" t="s">
        <v>55</v>
      </c>
      <c r="AG6" s="23"/>
      <c r="AH6" s="21" t="s">
        <v>152</v>
      </c>
      <c r="AI6" s="23"/>
      <c r="AJ6" s="16" t="s">
        <v>124</v>
      </c>
      <c r="AK6" s="16" t="s">
        <v>142</v>
      </c>
      <c r="AL6" s="16" t="s">
        <v>143</v>
      </c>
      <c r="AM6" s="16" t="s">
        <v>143</v>
      </c>
      <c r="AN6" s="16" t="s">
        <v>126</v>
      </c>
      <c r="AO6" s="16" t="s">
        <v>126</v>
      </c>
      <c r="AP6" s="16" t="s">
        <v>143</v>
      </c>
      <c r="AQ6" s="16" t="s">
        <v>126</v>
      </c>
      <c r="AR6" s="16" t="s">
        <v>126</v>
      </c>
      <c r="AS6" s="19"/>
      <c r="AT6" s="19"/>
      <c r="AU6" s="19"/>
      <c r="AV6" s="19"/>
      <c r="AW6" s="19"/>
      <c r="AX6" s="19"/>
      <c r="AY6" s="19"/>
      <c r="AZ6" s="19"/>
      <c r="BA6" s="19"/>
      <c r="BB6" s="21" t="s">
        <v>74</v>
      </c>
      <c r="BC6" s="22"/>
      <c r="BD6" s="23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21" t="s">
        <v>88</v>
      </c>
      <c r="BT6" s="23"/>
      <c r="BU6" s="19"/>
      <c r="BV6" s="19"/>
      <c r="BW6" s="19"/>
      <c r="BX6" s="19"/>
      <c r="BY6" s="19"/>
      <c r="BZ6" s="19"/>
      <c r="CA6" s="19"/>
      <c r="CB6" s="21" t="s">
        <v>96</v>
      </c>
      <c r="CC6" s="23"/>
      <c r="CD6" s="19"/>
      <c r="CE6" s="19"/>
      <c r="CF6" s="19"/>
      <c r="CG6" s="16" t="s">
        <v>158</v>
      </c>
      <c r="CH6" s="21" t="s">
        <v>100</v>
      </c>
      <c r="CI6" s="23"/>
      <c r="CJ6" s="19"/>
      <c r="CK6" s="19"/>
      <c r="CL6" s="21" t="s">
        <v>104</v>
      </c>
      <c r="CM6" s="23"/>
      <c r="CN6" s="16" t="s">
        <v>128</v>
      </c>
      <c r="CO6" s="19"/>
      <c r="CP6" s="21" t="s">
        <v>106</v>
      </c>
      <c r="CQ6" s="22"/>
      <c r="CR6" s="23"/>
      <c r="CS6" s="21" t="s">
        <v>109</v>
      </c>
      <c r="CT6" s="23"/>
      <c r="CU6" s="19"/>
      <c r="CV6" s="21" t="s">
        <v>154</v>
      </c>
      <c r="CW6" s="23"/>
      <c r="CX6" s="19"/>
      <c r="CY6" s="19"/>
      <c r="CZ6" s="19"/>
      <c r="DA6" s="21" t="s">
        <v>115</v>
      </c>
      <c r="DB6" s="22"/>
      <c r="DC6" s="22"/>
      <c r="DD6" s="23"/>
      <c r="DE6" s="19"/>
      <c r="DF6" s="19"/>
      <c r="DG6" s="21" t="s">
        <v>159</v>
      </c>
      <c r="DH6" s="23"/>
      <c r="DI6" s="19"/>
      <c r="DJ6" s="16" t="s">
        <v>144</v>
      </c>
      <c r="DK6" s="19"/>
      <c r="DL6" s="19"/>
      <c r="DM6" s="16" t="s">
        <v>144</v>
      </c>
      <c r="DN6" s="19"/>
      <c r="DO6" s="19"/>
    </row>
    <row r="7">
      <c r="A7" s="15">
        <v>5.0</v>
      </c>
      <c r="B7" s="16" t="s">
        <v>160</v>
      </c>
      <c r="C7" s="17">
        <v>2.1105102202036E13</v>
      </c>
      <c r="D7" s="18">
        <v>66.0</v>
      </c>
      <c r="E7" s="16" t="s">
        <v>134</v>
      </c>
      <c r="F7" s="16" t="s">
        <v>135</v>
      </c>
      <c r="G7" s="16" t="s">
        <v>136</v>
      </c>
      <c r="H7" s="20">
        <v>40673.0</v>
      </c>
      <c r="I7" s="18">
        <v>1.0</v>
      </c>
      <c r="J7" s="19"/>
      <c r="K7" s="16" t="s">
        <v>161</v>
      </c>
      <c r="L7" s="16" t="s">
        <v>122</v>
      </c>
      <c r="M7" s="21" t="s">
        <v>36</v>
      </c>
      <c r="N7" s="22"/>
      <c r="O7" s="22"/>
      <c r="P7" s="23"/>
      <c r="Q7" s="19"/>
      <c r="R7" s="19"/>
      <c r="S7" s="19"/>
      <c r="T7" s="21" t="s">
        <v>43</v>
      </c>
      <c r="U7" s="23"/>
      <c r="V7" s="19"/>
      <c r="W7" s="19"/>
      <c r="X7" s="19"/>
      <c r="Y7" s="19"/>
      <c r="Z7" s="19"/>
      <c r="AA7" s="19"/>
      <c r="AB7" s="21" t="s">
        <v>51</v>
      </c>
      <c r="AC7" s="23"/>
      <c r="AD7" s="19"/>
      <c r="AE7" s="19"/>
      <c r="AF7" s="21" t="s">
        <v>55</v>
      </c>
      <c r="AG7" s="23"/>
      <c r="AH7" s="21" t="s">
        <v>123</v>
      </c>
      <c r="AI7" s="23"/>
      <c r="AJ7" s="16" t="s">
        <v>124</v>
      </c>
      <c r="AK7" s="16" t="s">
        <v>153</v>
      </c>
      <c r="AL7" s="16" t="s">
        <v>143</v>
      </c>
      <c r="AM7" s="16" t="s">
        <v>143</v>
      </c>
      <c r="AN7" s="16" t="s">
        <v>126</v>
      </c>
      <c r="AO7" s="16" t="s">
        <v>126</v>
      </c>
      <c r="AP7" s="16" t="s">
        <v>143</v>
      </c>
      <c r="AQ7" s="16" t="s">
        <v>126</v>
      </c>
      <c r="AR7" s="16" t="s">
        <v>126</v>
      </c>
      <c r="AS7" s="21" t="s">
        <v>65</v>
      </c>
      <c r="AT7" s="22"/>
      <c r="AU7" s="23"/>
      <c r="AV7" s="19"/>
      <c r="AW7" s="21" t="s">
        <v>69</v>
      </c>
      <c r="AX7" s="22"/>
      <c r="AY7" s="23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21" t="s">
        <v>162</v>
      </c>
      <c r="BQ7" s="22"/>
      <c r="BR7" s="22"/>
      <c r="BS7" s="22"/>
      <c r="BT7" s="23"/>
      <c r="BU7" s="19"/>
      <c r="BV7" s="19"/>
      <c r="BW7" s="19"/>
      <c r="BX7" s="19"/>
      <c r="BY7" s="19"/>
      <c r="BZ7" s="19"/>
      <c r="CA7" s="19"/>
      <c r="CB7" s="21" t="s">
        <v>96</v>
      </c>
      <c r="CC7" s="23"/>
      <c r="CD7" s="19"/>
      <c r="CE7" s="19"/>
      <c r="CF7" s="19"/>
      <c r="CG7" s="16" t="s">
        <v>158</v>
      </c>
      <c r="CH7" s="16" t="s">
        <v>100</v>
      </c>
      <c r="CI7" s="21" t="s">
        <v>101</v>
      </c>
      <c r="CJ7" s="22"/>
      <c r="CK7" s="23"/>
      <c r="CL7" s="21" t="s">
        <v>104</v>
      </c>
      <c r="CM7" s="23"/>
      <c r="CN7" s="16" t="s">
        <v>128</v>
      </c>
      <c r="CO7" s="16" t="s">
        <v>105</v>
      </c>
      <c r="CP7" s="21" t="s">
        <v>106</v>
      </c>
      <c r="CQ7" s="22"/>
      <c r="CR7" s="23"/>
      <c r="CS7" s="21" t="s">
        <v>109</v>
      </c>
      <c r="CT7" s="23"/>
      <c r="CU7" s="16" t="s">
        <v>159</v>
      </c>
      <c r="CV7" s="21" t="s">
        <v>154</v>
      </c>
      <c r="CW7" s="23"/>
      <c r="CX7" s="21" t="s">
        <v>112</v>
      </c>
      <c r="CY7" s="22"/>
      <c r="CZ7" s="23"/>
      <c r="DA7" s="21" t="s">
        <v>115</v>
      </c>
      <c r="DB7" s="23"/>
      <c r="DC7" s="16" t="s">
        <v>145</v>
      </c>
      <c r="DD7" s="16" t="s">
        <v>145</v>
      </c>
      <c r="DE7" s="19"/>
      <c r="DF7" s="19"/>
      <c r="DG7" s="21" t="s">
        <v>155</v>
      </c>
      <c r="DH7" s="22"/>
      <c r="DI7" s="23"/>
      <c r="DJ7" s="16" t="s">
        <v>144</v>
      </c>
      <c r="DK7" s="19"/>
      <c r="DL7" s="19"/>
      <c r="DM7" s="21" t="s">
        <v>156</v>
      </c>
      <c r="DN7" s="22"/>
      <c r="DO7" s="23"/>
    </row>
    <row r="8">
      <c r="A8" s="15">
        <v>6.0</v>
      </c>
      <c r="B8" s="16" t="s">
        <v>163</v>
      </c>
      <c r="C8" s="17">
        <v>2.8702092200761E13</v>
      </c>
      <c r="D8" s="18">
        <v>34.0</v>
      </c>
      <c r="E8" s="16" t="s">
        <v>164</v>
      </c>
      <c r="F8" s="16" t="s">
        <v>165</v>
      </c>
      <c r="G8" s="16" t="s">
        <v>136</v>
      </c>
      <c r="H8" s="19"/>
      <c r="I8" s="16"/>
      <c r="J8" s="18">
        <v>1.0</v>
      </c>
      <c r="K8" s="19"/>
      <c r="L8" s="21" t="s">
        <v>138</v>
      </c>
      <c r="M8" s="23"/>
      <c r="N8" s="19"/>
      <c r="O8" s="19"/>
      <c r="P8" s="19"/>
      <c r="Q8" s="19"/>
      <c r="R8" s="19"/>
      <c r="S8" s="19"/>
      <c r="T8" s="19"/>
      <c r="U8" s="19"/>
      <c r="V8" s="16" t="s">
        <v>139</v>
      </c>
      <c r="W8" s="19"/>
      <c r="X8" s="19"/>
      <c r="Y8" s="19"/>
      <c r="Z8" s="19"/>
      <c r="AA8" s="19"/>
      <c r="AB8" s="21" t="s">
        <v>51</v>
      </c>
      <c r="AC8" s="23"/>
      <c r="AD8" s="19"/>
      <c r="AE8" s="19"/>
      <c r="AF8" s="19"/>
      <c r="AG8" s="19"/>
      <c r="AH8" s="21" t="s">
        <v>152</v>
      </c>
      <c r="AI8" s="23"/>
      <c r="AJ8" s="16" t="s">
        <v>124</v>
      </c>
      <c r="AK8" s="16" t="s">
        <v>153</v>
      </c>
      <c r="AL8" s="16" t="s">
        <v>143</v>
      </c>
      <c r="AM8" s="16" t="s">
        <v>143</v>
      </c>
      <c r="AN8" s="16" t="s">
        <v>143</v>
      </c>
      <c r="AO8" s="16" t="s">
        <v>126</v>
      </c>
      <c r="AP8" s="16" t="s">
        <v>143</v>
      </c>
      <c r="AQ8" s="16" t="s">
        <v>126</v>
      </c>
      <c r="AR8" s="16" t="s">
        <v>143</v>
      </c>
      <c r="AS8" s="19"/>
      <c r="AT8" s="19"/>
      <c r="AU8" s="19"/>
      <c r="AV8" s="19"/>
      <c r="AW8" s="19"/>
      <c r="AX8" s="19"/>
      <c r="AY8" s="19"/>
      <c r="AZ8" s="19"/>
      <c r="BA8" s="21" t="s">
        <v>73</v>
      </c>
      <c r="BB8" s="23"/>
      <c r="BC8" s="19"/>
      <c r="BD8" s="19"/>
      <c r="BE8" s="21" t="s">
        <v>77</v>
      </c>
      <c r="BF8" s="22"/>
      <c r="BG8" s="22"/>
      <c r="BH8" s="23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21" t="s">
        <v>88</v>
      </c>
      <c r="BT8" s="23"/>
      <c r="BU8" s="19"/>
      <c r="BV8" s="19"/>
      <c r="BW8" s="21" t="s">
        <v>92</v>
      </c>
      <c r="BX8" s="22"/>
      <c r="BY8" s="23"/>
      <c r="BZ8" s="19"/>
      <c r="CA8" s="19"/>
      <c r="CB8" s="21" t="s">
        <v>96</v>
      </c>
      <c r="CC8" s="23"/>
      <c r="CD8" s="19"/>
      <c r="CE8" s="21" t="s">
        <v>99</v>
      </c>
      <c r="CF8" s="23"/>
      <c r="CG8" s="16" t="s">
        <v>158</v>
      </c>
      <c r="CH8" s="21" t="s">
        <v>100</v>
      </c>
      <c r="CI8" s="23"/>
      <c r="CJ8" s="19"/>
      <c r="CK8" s="19"/>
      <c r="CL8" s="21" t="s">
        <v>104</v>
      </c>
      <c r="CM8" s="23"/>
      <c r="CN8" s="16" t="s">
        <v>128</v>
      </c>
      <c r="CO8" s="16" t="s">
        <v>105</v>
      </c>
      <c r="CP8" s="21" t="s">
        <v>106</v>
      </c>
      <c r="CQ8" s="22"/>
      <c r="CR8" s="23"/>
      <c r="CS8" s="21" t="s">
        <v>109</v>
      </c>
      <c r="CT8" s="23"/>
      <c r="CU8" s="19"/>
      <c r="CV8" s="21" t="s">
        <v>154</v>
      </c>
      <c r="CW8" s="23"/>
      <c r="CX8" s="19"/>
      <c r="CY8" s="19"/>
      <c r="CZ8" s="19"/>
      <c r="DA8" s="21" t="s">
        <v>115</v>
      </c>
      <c r="DB8" s="22"/>
      <c r="DC8" s="22"/>
      <c r="DD8" s="23"/>
      <c r="DE8" s="19"/>
      <c r="DF8" s="19"/>
      <c r="DG8" s="21" t="s">
        <v>155</v>
      </c>
      <c r="DH8" s="22"/>
      <c r="DI8" s="23"/>
      <c r="DJ8" s="16" t="s">
        <v>144</v>
      </c>
      <c r="DK8" s="19"/>
      <c r="DL8" s="19"/>
      <c r="DM8" s="21" t="s">
        <v>156</v>
      </c>
      <c r="DN8" s="22"/>
      <c r="DO8" s="23"/>
    </row>
    <row r="9">
      <c r="A9" s="15">
        <v>7.0</v>
      </c>
      <c r="B9" s="16" t="s">
        <v>166</v>
      </c>
      <c r="C9" s="17">
        <v>3.0412092200796E13</v>
      </c>
      <c r="D9" s="18">
        <v>39.0</v>
      </c>
      <c r="E9" s="16" t="s">
        <v>164</v>
      </c>
      <c r="F9" s="16" t="s">
        <v>165</v>
      </c>
      <c r="G9" s="16" t="s">
        <v>136</v>
      </c>
      <c r="H9" s="20">
        <v>38330.0</v>
      </c>
      <c r="I9" s="18">
        <v>1.0</v>
      </c>
      <c r="J9" s="19"/>
      <c r="K9" s="19"/>
      <c r="L9" s="21" t="s">
        <v>138</v>
      </c>
      <c r="M9" s="23"/>
      <c r="N9" s="19"/>
      <c r="O9" s="19"/>
      <c r="P9" s="19"/>
      <c r="Q9" s="19"/>
      <c r="R9" s="19"/>
      <c r="S9" s="19"/>
      <c r="T9" s="19"/>
      <c r="U9" s="19"/>
      <c r="V9" s="16" t="s">
        <v>139</v>
      </c>
      <c r="W9" s="19"/>
      <c r="X9" s="19"/>
      <c r="Y9" s="19"/>
      <c r="Z9" s="19"/>
      <c r="AA9" s="19"/>
      <c r="AB9" s="21" t="s">
        <v>51</v>
      </c>
      <c r="AC9" s="23"/>
      <c r="AD9" s="16" t="s">
        <v>53</v>
      </c>
      <c r="AE9" s="16" t="s">
        <v>54</v>
      </c>
      <c r="AF9" s="21" t="s">
        <v>55</v>
      </c>
      <c r="AG9" s="23"/>
      <c r="AH9" s="21" t="s">
        <v>167</v>
      </c>
      <c r="AI9" s="23"/>
      <c r="AJ9" s="16" t="s">
        <v>168</v>
      </c>
      <c r="AK9" s="16" t="s">
        <v>125</v>
      </c>
      <c r="AL9" s="19"/>
      <c r="AM9" s="19"/>
      <c r="AN9" s="19"/>
      <c r="AO9" s="19"/>
      <c r="AP9" s="19"/>
      <c r="AQ9" s="16" t="s">
        <v>126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6" t="s">
        <v>87</v>
      </c>
      <c r="BS9" s="21" t="s">
        <v>88</v>
      </c>
      <c r="BT9" s="23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6" t="s">
        <v>144</v>
      </c>
      <c r="CG9" s="16" t="s">
        <v>128</v>
      </c>
      <c r="CH9" s="19"/>
      <c r="CI9" s="19"/>
      <c r="CJ9" s="19"/>
      <c r="CK9" s="19"/>
      <c r="CL9" s="19"/>
      <c r="CM9" s="16" t="s">
        <v>169</v>
      </c>
      <c r="CN9" s="16" t="s">
        <v>128</v>
      </c>
      <c r="CO9" s="16" t="s">
        <v>105</v>
      </c>
      <c r="CP9" s="16" t="s">
        <v>106</v>
      </c>
      <c r="CQ9" s="16" t="s">
        <v>107</v>
      </c>
      <c r="CR9" s="21" t="s">
        <v>108</v>
      </c>
      <c r="CS9" s="23"/>
      <c r="CT9" s="21" t="s">
        <v>110</v>
      </c>
      <c r="CU9" s="23"/>
      <c r="CV9" s="16" t="s">
        <v>128</v>
      </c>
      <c r="CW9" s="19"/>
      <c r="CX9" s="16" t="s">
        <v>112</v>
      </c>
      <c r="CY9" s="21" t="s">
        <v>113</v>
      </c>
      <c r="CZ9" s="23"/>
      <c r="DA9" s="21" t="s">
        <v>115</v>
      </c>
      <c r="DB9" s="22"/>
      <c r="DC9" s="22"/>
      <c r="DD9" s="23"/>
      <c r="DE9" s="19"/>
      <c r="DF9" s="19"/>
      <c r="DG9" s="16" t="s">
        <v>170</v>
      </c>
      <c r="DH9" s="21" t="s">
        <v>171</v>
      </c>
      <c r="DI9" s="23"/>
      <c r="DJ9" s="16" t="s">
        <v>144</v>
      </c>
      <c r="DK9" s="19"/>
      <c r="DL9" s="19"/>
      <c r="DM9" s="21" t="s">
        <v>172</v>
      </c>
      <c r="DN9" s="23"/>
      <c r="DO9" s="19"/>
    </row>
    <row r="10">
      <c r="A10" s="15">
        <v>8.0</v>
      </c>
      <c r="B10" s="16" t="s">
        <v>173</v>
      </c>
      <c r="C10" s="17">
        <v>2.9402052201667E13</v>
      </c>
      <c r="D10" s="18">
        <v>31.0</v>
      </c>
      <c r="E10" s="16" t="s">
        <v>164</v>
      </c>
      <c r="F10" s="16" t="s">
        <v>165</v>
      </c>
      <c r="G10" s="16" t="s">
        <v>136</v>
      </c>
      <c r="H10" s="19"/>
      <c r="I10" s="16"/>
      <c r="J10" s="18">
        <v>1.0</v>
      </c>
      <c r="K10" s="19"/>
      <c r="L10" s="21" t="s">
        <v>138</v>
      </c>
      <c r="M10" s="23"/>
      <c r="N10" s="19"/>
      <c r="O10" s="19"/>
      <c r="P10" s="19"/>
      <c r="Q10" s="19"/>
      <c r="R10" s="19"/>
      <c r="S10" s="19"/>
      <c r="T10" s="19"/>
      <c r="U10" s="19"/>
      <c r="V10" s="16" t="s">
        <v>139</v>
      </c>
      <c r="W10" s="19"/>
      <c r="X10" s="19"/>
      <c r="Y10" s="19"/>
      <c r="Z10" s="19"/>
      <c r="AA10" s="19"/>
      <c r="AB10" s="21" t="s">
        <v>51</v>
      </c>
      <c r="AC10" s="23"/>
      <c r="AD10" s="19"/>
      <c r="AE10" s="19"/>
      <c r="AF10" s="19"/>
      <c r="AG10" s="19"/>
      <c r="AH10" s="19"/>
      <c r="AI10" s="19"/>
      <c r="AJ10" s="16" t="s">
        <v>124</v>
      </c>
      <c r="AK10" s="16" t="s">
        <v>153</v>
      </c>
      <c r="AL10" s="16" t="s">
        <v>143</v>
      </c>
      <c r="AM10" s="16" t="s">
        <v>143</v>
      </c>
      <c r="AN10" s="16" t="s">
        <v>126</v>
      </c>
      <c r="AO10" s="16" t="s">
        <v>143</v>
      </c>
      <c r="AP10" s="16" t="s">
        <v>126</v>
      </c>
      <c r="AQ10" s="16" t="s">
        <v>126</v>
      </c>
      <c r="AR10" s="16" t="s">
        <v>143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21" t="s">
        <v>74</v>
      </c>
      <c r="BC10" s="23"/>
      <c r="BD10" s="16" t="s">
        <v>76</v>
      </c>
      <c r="BE10" s="21" t="s">
        <v>77</v>
      </c>
      <c r="BF10" s="22"/>
      <c r="BG10" s="22"/>
      <c r="BH10" s="23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21" t="s">
        <v>174</v>
      </c>
      <c r="BY10" s="23"/>
      <c r="BZ10" s="19"/>
      <c r="CA10" s="19"/>
      <c r="CB10" s="21" t="s">
        <v>96</v>
      </c>
      <c r="CC10" s="23"/>
      <c r="CD10" s="19"/>
      <c r="CE10" s="21" t="s">
        <v>99</v>
      </c>
      <c r="CF10" s="23"/>
      <c r="CG10" s="16" t="s">
        <v>158</v>
      </c>
      <c r="CH10" s="21" t="s">
        <v>100</v>
      </c>
      <c r="CI10" s="23"/>
      <c r="CJ10" s="19"/>
      <c r="CK10" s="19"/>
      <c r="CL10" s="21" t="s">
        <v>104</v>
      </c>
      <c r="CM10" s="23"/>
      <c r="CN10" s="16" t="s">
        <v>128</v>
      </c>
      <c r="CO10" s="21" t="s">
        <v>105</v>
      </c>
      <c r="CP10" s="22"/>
      <c r="CQ10" s="23"/>
      <c r="CR10" s="16" t="s">
        <v>108</v>
      </c>
      <c r="CS10" s="21" t="s">
        <v>109</v>
      </c>
      <c r="CT10" s="23"/>
      <c r="CU10" s="19"/>
      <c r="CV10" s="21" t="s">
        <v>154</v>
      </c>
      <c r="CW10" s="23"/>
      <c r="CX10" s="19"/>
      <c r="CY10" s="19"/>
      <c r="CZ10" s="19"/>
      <c r="DA10" s="21" t="s">
        <v>115</v>
      </c>
      <c r="DB10" s="22"/>
      <c r="DC10" s="22"/>
      <c r="DD10" s="23"/>
      <c r="DE10" s="19"/>
      <c r="DF10" s="19"/>
      <c r="DG10" s="21" t="s">
        <v>155</v>
      </c>
      <c r="DH10" s="22"/>
      <c r="DI10" s="23"/>
      <c r="DJ10" s="16" t="s">
        <v>144</v>
      </c>
      <c r="DK10" s="19"/>
      <c r="DL10" s="19"/>
      <c r="DM10" s="21" t="s">
        <v>156</v>
      </c>
      <c r="DN10" s="22"/>
      <c r="DO10" s="23"/>
    </row>
    <row r="11">
      <c r="A11" s="15">
        <v>9.0</v>
      </c>
      <c r="B11" s="16" t="s">
        <v>175</v>
      </c>
      <c r="C11" s="17">
        <v>2.8502072201842E13</v>
      </c>
      <c r="D11" s="18">
        <v>53.0</v>
      </c>
      <c r="E11" s="16" t="s">
        <v>164</v>
      </c>
      <c r="F11" s="16" t="s">
        <v>165</v>
      </c>
      <c r="G11" s="16" t="s">
        <v>136</v>
      </c>
      <c r="H11" s="19"/>
      <c r="I11" s="16"/>
      <c r="J11" s="18">
        <v>1.0</v>
      </c>
      <c r="K11" s="19"/>
      <c r="L11" s="21" t="s">
        <v>138</v>
      </c>
      <c r="M11" s="23"/>
      <c r="N11" s="19"/>
      <c r="O11" s="19"/>
      <c r="P11" s="19"/>
      <c r="Q11" s="19"/>
      <c r="R11" s="19"/>
      <c r="S11" s="19"/>
      <c r="T11" s="19"/>
      <c r="U11" s="19"/>
      <c r="V11" s="16" t="s">
        <v>139</v>
      </c>
      <c r="W11" s="19"/>
      <c r="X11" s="19"/>
      <c r="Y11" s="19"/>
      <c r="Z11" s="19"/>
      <c r="AA11" s="19"/>
      <c r="AB11" s="21" t="s">
        <v>51</v>
      </c>
      <c r="AC11" s="23"/>
      <c r="AD11" s="19"/>
      <c r="AE11" s="19"/>
      <c r="AF11" s="21" t="s">
        <v>55</v>
      </c>
      <c r="AG11" s="23"/>
      <c r="AH11" s="21" t="s">
        <v>152</v>
      </c>
      <c r="AI11" s="23"/>
      <c r="AJ11" s="16" t="s">
        <v>124</v>
      </c>
      <c r="AK11" s="16" t="s">
        <v>153</v>
      </c>
      <c r="AL11" s="16" t="s">
        <v>126</v>
      </c>
      <c r="AM11" s="16" t="s">
        <v>143</v>
      </c>
      <c r="AN11" s="16" t="s">
        <v>143</v>
      </c>
      <c r="AO11" s="16" t="s">
        <v>126</v>
      </c>
      <c r="AP11" s="16" t="s">
        <v>143</v>
      </c>
      <c r="AQ11" s="16" t="s">
        <v>126</v>
      </c>
      <c r="AR11" s="16" t="s">
        <v>126</v>
      </c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6" t="s">
        <v>76</v>
      </c>
      <c r="BE11" s="21" t="s">
        <v>77</v>
      </c>
      <c r="BF11" s="22"/>
      <c r="BG11" s="22"/>
      <c r="BH11" s="23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21" t="s">
        <v>88</v>
      </c>
      <c r="BT11" s="23"/>
      <c r="BU11" s="19"/>
      <c r="BV11" s="19"/>
      <c r="BW11" s="21" t="s">
        <v>92</v>
      </c>
      <c r="BX11" s="22"/>
      <c r="BY11" s="23"/>
      <c r="BZ11" s="19"/>
      <c r="CA11" s="19"/>
      <c r="CB11" s="19"/>
      <c r="CC11" s="19"/>
      <c r="CD11" s="19"/>
      <c r="CE11" s="21" t="s">
        <v>99</v>
      </c>
      <c r="CF11" s="23"/>
      <c r="CG11" s="16" t="s">
        <v>158</v>
      </c>
      <c r="CH11" s="21" t="s">
        <v>100</v>
      </c>
      <c r="CI11" s="23"/>
      <c r="CJ11" s="19"/>
      <c r="CK11" s="19"/>
      <c r="CL11" s="21" t="s">
        <v>104</v>
      </c>
      <c r="CM11" s="23"/>
      <c r="CN11" s="16" t="s">
        <v>128</v>
      </c>
      <c r="CO11" s="21" t="s">
        <v>105</v>
      </c>
      <c r="CP11" s="22"/>
      <c r="CQ11" s="23"/>
      <c r="CR11" s="16" t="s">
        <v>108</v>
      </c>
      <c r="CS11" s="21" t="s">
        <v>109</v>
      </c>
      <c r="CT11" s="23"/>
      <c r="CU11" s="19"/>
      <c r="CV11" s="21" t="s">
        <v>154</v>
      </c>
      <c r="CW11" s="23"/>
      <c r="CX11" s="19"/>
      <c r="CY11" s="19"/>
      <c r="CZ11" s="19"/>
      <c r="DA11" s="21" t="s">
        <v>115</v>
      </c>
      <c r="DB11" s="22"/>
      <c r="DC11" s="22"/>
      <c r="DD11" s="23"/>
      <c r="DE11" s="19"/>
      <c r="DF11" s="19"/>
      <c r="DG11" s="21" t="s">
        <v>155</v>
      </c>
      <c r="DH11" s="22"/>
      <c r="DI11" s="23"/>
      <c r="DJ11" s="16" t="s">
        <v>144</v>
      </c>
      <c r="DK11" s="19"/>
      <c r="DL11" s="19"/>
      <c r="DM11" s="21" t="s">
        <v>156</v>
      </c>
      <c r="DN11" s="22"/>
      <c r="DO11" s="23"/>
    </row>
    <row r="12">
      <c r="A12" s="15">
        <v>10.0</v>
      </c>
      <c r="B12" s="16" t="s">
        <v>176</v>
      </c>
      <c r="C12" s="17">
        <v>2.6905022200861E13</v>
      </c>
      <c r="D12" s="18">
        <v>104.0</v>
      </c>
      <c r="E12" s="16" t="s">
        <v>164</v>
      </c>
      <c r="F12" s="16" t="s">
        <v>165</v>
      </c>
      <c r="G12" s="16" t="s">
        <v>136</v>
      </c>
      <c r="H12" s="19"/>
      <c r="I12" s="16"/>
      <c r="J12" s="18">
        <v>1.0</v>
      </c>
      <c r="K12" s="19"/>
      <c r="L12" s="21" t="s">
        <v>138</v>
      </c>
      <c r="M12" s="23"/>
      <c r="N12" s="19"/>
      <c r="O12" s="19"/>
      <c r="P12" s="19"/>
      <c r="Q12" s="19"/>
      <c r="R12" s="19"/>
      <c r="S12" s="19"/>
      <c r="T12" s="19"/>
      <c r="U12" s="19"/>
      <c r="V12" s="16" t="s">
        <v>139</v>
      </c>
      <c r="W12" s="19"/>
      <c r="X12" s="19"/>
      <c r="Y12" s="19"/>
      <c r="Z12" s="19"/>
      <c r="AA12" s="19"/>
      <c r="AB12" s="16" t="s">
        <v>51</v>
      </c>
      <c r="AC12" s="21" t="s">
        <v>52</v>
      </c>
      <c r="AD12" s="23"/>
      <c r="AE12" s="19"/>
      <c r="AF12" s="21" t="s">
        <v>55</v>
      </c>
      <c r="AG12" s="23"/>
      <c r="AH12" s="21" t="s">
        <v>152</v>
      </c>
      <c r="AI12" s="23"/>
      <c r="AJ12" s="16" t="s">
        <v>124</v>
      </c>
      <c r="AK12" s="16" t="s">
        <v>153</v>
      </c>
      <c r="AL12" s="16" t="s">
        <v>143</v>
      </c>
      <c r="AM12" s="16" t="s">
        <v>143</v>
      </c>
      <c r="AN12" s="16" t="s">
        <v>143</v>
      </c>
      <c r="AO12" s="16" t="s">
        <v>126</v>
      </c>
      <c r="AP12" s="16" t="s">
        <v>126</v>
      </c>
      <c r="AQ12" s="16" t="s">
        <v>126</v>
      </c>
      <c r="AR12" s="16" t="s">
        <v>143</v>
      </c>
      <c r="AS12" s="19"/>
      <c r="AT12" s="19"/>
      <c r="AU12" s="19"/>
      <c r="AV12" s="19"/>
      <c r="AW12" s="19"/>
      <c r="AX12" s="19"/>
      <c r="AY12" s="19"/>
      <c r="AZ12" s="19"/>
      <c r="BA12" s="19"/>
      <c r="BB12" s="16" t="s">
        <v>74</v>
      </c>
      <c r="BC12" s="21" t="s">
        <v>75</v>
      </c>
      <c r="BD12" s="23"/>
      <c r="BE12" s="21" t="s">
        <v>77</v>
      </c>
      <c r="BF12" s="22"/>
      <c r="BG12" s="22"/>
      <c r="BH12" s="23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21" t="s">
        <v>88</v>
      </c>
      <c r="BT12" s="23"/>
      <c r="BU12" s="19"/>
      <c r="BV12" s="19"/>
      <c r="BW12" s="21" t="s">
        <v>92</v>
      </c>
      <c r="BX12" s="22"/>
      <c r="BY12" s="23"/>
      <c r="BZ12" s="19"/>
      <c r="CA12" s="19"/>
      <c r="CB12" s="21" t="s">
        <v>96</v>
      </c>
      <c r="CC12" s="23"/>
      <c r="CD12" s="19"/>
      <c r="CE12" s="21" t="s">
        <v>99</v>
      </c>
      <c r="CF12" s="23"/>
      <c r="CG12" s="16" t="s">
        <v>158</v>
      </c>
      <c r="CH12" s="21" t="s">
        <v>100</v>
      </c>
      <c r="CI12" s="23"/>
      <c r="CJ12" s="19"/>
      <c r="CK12" s="19"/>
      <c r="CL12" s="16" t="s">
        <v>104</v>
      </c>
      <c r="CM12" s="16" t="s">
        <v>177</v>
      </c>
      <c r="CN12" s="16" t="s">
        <v>128</v>
      </c>
      <c r="CO12" s="16" t="s">
        <v>105</v>
      </c>
      <c r="CP12" s="21" t="s">
        <v>106</v>
      </c>
      <c r="CQ12" s="22"/>
      <c r="CR12" s="22"/>
      <c r="CS12" s="23"/>
      <c r="CT12" s="19"/>
      <c r="CU12" s="16" t="s">
        <v>159</v>
      </c>
      <c r="CV12" s="16" t="s">
        <v>128</v>
      </c>
      <c r="CW12" s="19"/>
      <c r="CX12" s="19"/>
      <c r="CY12" s="19"/>
      <c r="CZ12" s="19"/>
      <c r="DA12" s="21" t="s">
        <v>115</v>
      </c>
      <c r="DB12" s="22"/>
      <c r="DC12" s="22"/>
      <c r="DD12" s="23"/>
      <c r="DE12" s="19"/>
      <c r="DF12" s="19"/>
      <c r="DG12" s="21" t="s">
        <v>155</v>
      </c>
      <c r="DH12" s="22"/>
      <c r="DI12" s="23"/>
      <c r="DJ12" s="16" t="s">
        <v>144</v>
      </c>
      <c r="DK12" s="19"/>
      <c r="DL12" s="19"/>
      <c r="DM12" s="21" t="s">
        <v>178</v>
      </c>
      <c r="DN12" s="22"/>
      <c r="DO12" s="23"/>
    </row>
    <row r="13">
      <c r="A13" s="15">
        <v>11.0</v>
      </c>
      <c r="B13" s="16" t="s">
        <v>179</v>
      </c>
      <c r="C13" s="17">
        <v>3.1803072200482E13</v>
      </c>
      <c r="D13" s="18">
        <v>12.0</v>
      </c>
      <c r="E13" s="16" t="s">
        <v>164</v>
      </c>
      <c r="F13" s="16" t="s">
        <v>165</v>
      </c>
      <c r="G13" s="16" t="s">
        <v>136</v>
      </c>
      <c r="H13" s="20">
        <v>43166.0</v>
      </c>
      <c r="I13" s="16"/>
      <c r="J13" s="18">
        <v>1.0</v>
      </c>
      <c r="K13" s="16" t="s">
        <v>180</v>
      </c>
      <c r="L13" s="21" t="s">
        <v>138</v>
      </c>
      <c r="M13" s="23"/>
      <c r="N13" s="19"/>
      <c r="O13" s="19"/>
      <c r="P13" s="19"/>
      <c r="Q13" s="19"/>
      <c r="R13" s="19"/>
      <c r="S13" s="19"/>
      <c r="T13" s="19"/>
      <c r="U13" s="19"/>
      <c r="V13" s="16" t="s">
        <v>139</v>
      </c>
      <c r="W13" s="16" t="s">
        <v>46</v>
      </c>
      <c r="X13" s="21" t="s">
        <v>47</v>
      </c>
      <c r="Y13" s="23"/>
      <c r="Z13" s="19"/>
      <c r="AA13" s="16" t="s">
        <v>50</v>
      </c>
      <c r="AB13" s="19"/>
      <c r="AC13" s="19"/>
      <c r="AD13" s="19"/>
      <c r="AE13" s="19"/>
      <c r="AF13" s="21" t="s">
        <v>55</v>
      </c>
      <c r="AG13" s="23"/>
      <c r="AH13" s="21" t="s">
        <v>123</v>
      </c>
      <c r="AI13" s="23"/>
      <c r="AJ13" s="16" t="s">
        <v>168</v>
      </c>
      <c r="AK13" s="16" t="s">
        <v>153</v>
      </c>
      <c r="AL13" s="16" t="s">
        <v>126</v>
      </c>
      <c r="AM13" s="16" t="s">
        <v>126</v>
      </c>
      <c r="AN13" s="16" t="s">
        <v>126</v>
      </c>
      <c r="AO13" s="16" t="s">
        <v>126</v>
      </c>
      <c r="AP13" s="16" t="s">
        <v>181</v>
      </c>
      <c r="AQ13" s="16" t="s">
        <v>181</v>
      </c>
      <c r="AR13" s="16" t="s">
        <v>126</v>
      </c>
      <c r="AS13" s="21" t="s">
        <v>65</v>
      </c>
      <c r="AT13" s="23"/>
      <c r="AU13" s="21" t="s">
        <v>67</v>
      </c>
      <c r="AV13" s="23"/>
      <c r="AW13" s="21" t="s">
        <v>69</v>
      </c>
      <c r="AX13" s="22"/>
      <c r="AY13" s="23"/>
      <c r="AZ13" s="21" t="s">
        <v>182</v>
      </c>
      <c r="BA13" s="22"/>
      <c r="BB13" s="22"/>
      <c r="BC13" s="23"/>
      <c r="BD13" s="19"/>
      <c r="BE13" s="19"/>
      <c r="BF13" s="19"/>
      <c r="BG13" s="21" t="s">
        <v>78</v>
      </c>
      <c r="BH13" s="23"/>
      <c r="BI13" s="19"/>
      <c r="BJ13" s="19"/>
      <c r="BK13" s="16" t="s">
        <v>81</v>
      </c>
      <c r="BL13" s="19"/>
      <c r="BM13" s="16" t="s">
        <v>83</v>
      </c>
      <c r="BN13" s="16" t="s">
        <v>84</v>
      </c>
      <c r="BO13" s="21" t="s">
        <v>85</v>
      </c>
      <c r="BP13" s="22"/>
      <c r="BQ13" s="22"/>
      <c r="BR13" s="23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6" t="s">
        <v>144</v>
      </c>
      <c r="CG13" s="16" t="s">
        <v>128</v>
      </c>
      <c r="CH13" s="19"/>
      <c r="CI13" s="16" t="s">
        <v>101</v>
      </c>
      <c r="CJ13" s="16" t="s">
        <v>102</v>
      </c>
      <c r="CK13" s="16" t="s">
        <v>103</v>
      </c>
      <c r="CL13" s="21" t="s">
        <v>104</v>
      </c>
      <c r="CM13" s="23"/>
      <c r="CN13" s="16" t="s">
        <v>128</v>
      </c>
      <c r="CO13" s="16" t="s">
        <v>105</v>
      </c>
      <c r="CP13" s="16" t="s">
        <v>106</v>
      </c>
      <c r="CQ13" s="16" t="s">
        <v>107</v>
      </c>
      <c r="CR13" s="16" t="s">
        <v>108</v>
      </c>
      <c r="CS13" s="16" t="s">
        <v>109</v>
      </c>
      <c r="CT13" s="21" t="s">
        <v>110</v>
      </c>
      <c r="CU13" s="23"/>
      <c r="CV13" s="16" t="s">
        <v>128</v>
      </c>
      <c r="CW13" s="21" t="s">
        <v>111</v>
      </c>
      <c r="CX13" s="22"/>
      <c r="CY13" s="23"/>
      <c r="CZ13" s="16" t="s">
        <v>114</v>
      </c>
      <c r="DA13" s="21" t="s">
        <v>115</v>
      </c>
      <c r="DB13" s="23"/>
      <c r="DC13" s="16" t="s">
        <v>129</v>
      </c>
      <c r="DD13" s="16" t="s">
        <v>129</v>
      </c>
      <c r="DE13" s="16" t="s">
        <v>129</v>
      </c>
      <c r="DF13" s="16" t="s">
        <v>129</v>
      </c>
      <c r="DG13" s="16" t="s">
        <v>183</v>
      </c>
      <c r="DH13" s="16" t="s">
        <v>184</v>
      </c>
      <c r="DI13" s="16" t="s">
        <v>185</v>
      </c>
      <c r="DJ13" s="21" t="s">
        <v>186</v>
      </c>
      <c r="DK13" s="22"/>
      <c r="DL13" s="23"/>
      <c r="DM13" s="16" t="s">
        <v>187</v>
      </c>
      <c r="DN13" s="16" t="s">
        <v>188</v>
      </c>
      <c r="DO13" s="16" t="s">
        <v>189</v>
      </c>
    </row>
    <row r="14">
      <c r="A14" s="15">
        <v>12.0</v>
      </c>
      <c r="B14" s="16" t="s">
        <v>190</v>
      </c>
      <c r="C14" s="17">
        <v>2.6506082201202E13</v>
      </c>
      <c r="D14" s="18">
        <v>105.0</v>
      </c>
      <c r="E14" s="16" t="s">
        <v>164</v>
      </c>
      <c r="F14" s="16" t="s">
        <v>165</v>
      </c>
      <c r="G14" s="16" t="s">
        <v>136</v>
      </c>
      <c r="H14" s="19"/>
      <c r="I14" s="16"/>
      <c r="J14" s="18">
        <v>1.0</v>
      </c>
      <c r="K14" s="19"/>
      <c r="L14" s="21" t="s">
        <v>138</v>
      </c>
      <c r="M14" s="23"/>
      <c r="N14" s="19"/>
      <c r="O14" s="19"/>
      <c r="P14" s="19"/>
      <c r="Q14" s="19"/>
      <c r="R14" s="19"/>
      <c r="S14" s="19"/>
      <c r="T14" s="19"/>
      <c r="U14" s="19"/>
      <c r="V14" s="16" t="s">
        <v>139</v>
      </c>
      <c r="W14" s="19"/>
      <c r="X14" s="19"/>
      <c r="Y14" s="19"/>
      <c r="Z14" s="19"/>
      <c r="AA14" s="19"/>
      <c r="AB14" s="16" t="s">
        <v>51</v>
      </c>
      <c r="AC14" s="21" t="s">
        <v>52</v>
      </c>
      <c r="AD14" s="23"/>
      <c r="AE14" s="19"/>
      <c r="AF14" s="19"/>
      <c r="AG14" s="19"/>
      <c r="AH14" s="21" t="s">
        <v>152</v>
      </c>
      <c r="AI14" s="23"/>
      <c r="AJ14" s="16" t="s">
        <v>124</v>
      </c>
      <c r="AK14" s="16" t="s">
        <v>153</v>
      </c>
      <c r="AL14" s="16" t="s">
        <v>143</v>
      </c>
      <c r="AM14" s="16" t="s">
        <v>143</v>
      </c>
      <c r="AN14" s="16" t="s">
        <v>143</v>
      </c>
      <c r="AO14" s="16" t="s">
        <v>143</v>
      </c>
      <c r="AP14" s="16" t="s">
        <v>181</v>
      </c>
      <c r="AQ14" s="16" t="s">
        <v>126</v>
      </c>
      <c r="AR14" s="16" t="s">
        <v>143</v>
      </c>
      <c r="AS14" s="19"/>
      <c r="AT14" s="19"/>
      <c r="AU14" s="19"/>
      <c r="AV14" s="19"/>
      <c r="AW14" s="19"/>
      <c r="AX14" s="19"/>
      <c r="AY14" s="19"/>
      <c r="AZ14" s="19"/>
      <c r="BA14" s="19"/>
      <c r="BB14" s="21" t="s">
        <v>74</v>
      </c>
      <c r="BC14" s="23"/>
      <c r="BD14" s="21" t="s">
        <v>76</v>
      </c>
      <c r="BE14" s="22"/>
      <c r="BF14" s="22"/>
      <c r="BG14" s="23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6" t="s">
        <v>92</v>
      </c>
      <c r="BX14" s="21" t="s">
        <v>174</v>
      </c>
      <c r="BY14" s="23"/>
      <c r="BZ14" s="19"/>
      <c r="CA14" s="19"/>
      <c r="CB14" s="19"/>
      <c r="CC14" s="19"/>
      <c r="CD14" s="19"/>
      <c r="CE14" s="21" t="s">
        <v>99</v>
      </c>
      <c r="CF14" s="23"/>
      <c r="CG14" s="16" t="s">
        <v>128</v>
      </c>
      <c r="CH14" s="21" t="s">
        <v>100</v>
      </c>
      <c r="CI14" s="23"/>
      <c r="CJ14" s="19"/>
      <c r="CK14" s="19"/>
      <c r="CL14" s="16" t="s">
        <v>104</v>
      </c>
      <c r="CM14" s="16" t="s">
        <v>191</v>
      </c>
      <c r="CN14" s="16" t="s">
        <v>128</v>
      </c>
      <c r="CO14" s="16" t="s">
        <v>105</v>
      </c>
      <c r="CP14" s="21" t="s">
        <v>106</v>
      </c>
      <c r="CQ14" s="23"/>
      <c r="CR14" s="16" t="s">
        <v>108</v>
      </c>
      <c r="CS14" s="21" t="s">
        <v>109</v>
      </c>
      <c r="CT14" s="23"/>
      <c r="CU14" s="19"/>
      <c r="CV14" s="21" t="s">
        <v>154</v>
      </c>
      <c r="CW14" s="23"/>
      <c r="CX14" s="19"/>
      <c r="CY14" s="21" t="s">
        <v>113</v>
      </c>
      <c r="CZ14" s="23"/>
      <c r="DA14" s="21" t="s">
        <v>115</v>
      </c>
      <c r="DB14" s="22"/>
      <c r="DC14" s="22"/>
      <c r="DD14" s="23"/>
      <c r="DE14" s="19"/>
      <c r="DF14" s="19"/>
      <c r="DG14" s="21" t="s">
        <v>192</v>
      </c>
      <c r="DH14" s="22"/>
      <c r="DI14" s="23"/>
      <c r="DJ14" s="16" t="s">
        <v>144</v>
      </c>
      <c r="DK14" s="19"/>
      <c r="DL14" s="19"/>
      <c r="DM14" s="21" t="s">
        <v>193</v>
      </c>
      <c r="DN14" s="22"/>
      <c r="DO14" s="23"/>
    </row>
    <row r="15">
      <c r="A15" s="15">
        <v>13.0</v>
      </c>
      <c r="B15" s="16" t="s">
        <v>194</v>
      </c>
      <c r="C15" s="17">
        <v>3.0922022202221E13</v>
      </c>
      <c r="D15" s="18">
        <v>102.0</v>
      </c>
      <c r="E15" s="16" t="s">
        <v>164</v>
      </c>
      <c r="F15" s="16" t="s">
        <v>165</v>
      </c>
      <c r="G15" s="16" t="s">
        <v>136</v>
      </c>
      <c r="H15" s="19"/>
      <c r="I15" s="18">
        <v>1.0</v>
      </c>
      <c r="J15" s="19"/>
      <c r="K15" s="16" t="s">
        <v>195</v>
      </c>
      <c r="L15" s="21" t="s">
        <v>138</v>
      </c>
      <c r="M15" s="23"/>
      <c r="N15" s="19"/>
      <c r="O15" s="19"/>
      <c r="P15" s="19"/>
      <c r="Q15" s="19"/>
      <c r="R15" s="19"/>
      <c r="S15" s="19"/>
      <c r="T15" s="19"/>
      <c r="U15" s="19"/>
      <c r="V15" s="16" t="s">
        <v>139</v>
      </c>
      <c r="W15" s="19"/>
      <c r="X15" s="16" t="s">
        <v>47</v>
      </c>
      <c r="Y15" s="21" t="s">
        <v>48</v>
      </c>
      <c r="Z15" s="23"/>
      <c r="AA15" s="19"/>
      <c r="AB15" s="19"/>
      <c r="AC15" s="21" t="s">
        <v>52</v>
      </c>
      <c r="AD15" s="23"/>
      <c r="AE15" s="19"/>
      <c r="AF15" s="19"/>
      <c r="AG15" s="19"/>
      <c r="AH15" s="21" t="s">
        <v>123</v>
      </c>
      <c r="AI15" s="23"/>
      <c r="AJ15" s="16" t="s">
        <v>168</v>
      </c>
      <c r="AK15" s="16" t="s">
        <v>153</v>
      </c>
      <c r="AL15" s="16" t="s">
        <v>126</v>
      </c>
      <c r="AM15" s="16" t="s">
        <v>143</v>
      </c>
      <c r="AN15" s="16" t="s">
        <v>126</v>
      </c>
      <c r="AO15" s="16" t="s">
        <v>126</v>
      </c>
      <c r="AP15" s="16" t="s">
        <v>181</v>
      </c>
      <c r="AQ15" s="16" t="s">
        <v>181</v>
      </c>
      <c r="AR15" s="16" t="s">
        <v>126</v>
      </c>
      <c r="AS15" s="21" t="s">
        <v>65</v>
      </c>
      <c r="AT15" s="23"/>
      <c r="AU15" s="16" t="s">
        <v>67</v>
      </c>
      <c r="AV15" s="16" t="s">
        <v>68</v>
      </c>
      <c r="AW15" s="16" t="s">
        <v>69</v>
      </c>
      <c r="AX15" s="21" t="s">
        <v>70</v>
      </c>
      <c r="AY15" s="22"/>
      <c r="AZ15" s="23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6" t="s">
        <v>81</v>
      </c>
      <c r="BL15" s="19"/>
      <c r="BM15" s="19"/>
      <c r="BN15" s="19"/>
      <c r="BO15" s="19"/>
      <c r="BP15" s="21" t="s">
        <v>196</v>
      </c>
      <c r="BQ15" s="23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6" t="s">
        <v>197</v>
      </c>
      <c r="CG15" s="16" t="s">
        <v>158</v>
      </c>
      <c r="CH15" s="16" t="s">
        <v>100</v>
      </c>
      <c r="CI15" s="16" t="s">
        <v>101</v>
      </c>
      <c r="CJ15" s="21" t="s">
        <v>102</v>
      </c>
      <c r="CK15" s="22"/>
      <c r="CL15" s="23"/>
      <c r="CM15" s="16" t="s">
        <v>198</v>
      </c>
      <c r="CN15" s="16" t="s">
        <v>128</v>
      </c>
      <c r="CO15" s="21" t="s">
        <v>105</v>
      </c>
      <c r="CP15" s="22"/>
      <c r="CQ15" s="23"/>
      <c r="CR15" s="19"/>
      <c r="CS15" s="21" t="s">
        <v>109</v>
      </c>
      <c r="CT15" s="23"/>
      <c r="CU15" s="19"/>
      <c r="CV15" s="21" t="s">
        <v>154</v>
      </c>
      <c r="CW15" s="23"/>
      <c r="CX15" s="21" t="s">
        <v>112</v>
      </c>
      <c r="CY15" s="22"/>
      <c r="CZ15" s="23"/>
      <c r="DA15" s="21" t="s">
        <v>115</v>
      </c>
      <c r="DB15" s="23"/>
      <c r="DC15" s="16" t="s">
        <v>129</v>
      </c>
      <c r="DD15" s="16" t="s">
        <v>129</v>
      </c>
      <c r="DE15" s="16" t="s">
        <v>145</v>
      </c>
      <c r="DF15" s="16" t="s">
        <v>129</v>
      </c>
      <c r="DG15" s="16" t="s">
        <v>199</v>
      </c>
      <c r="DH15" s="21" t="s">
        <v>200</v>
      </c>
      <c r="DI15" s="23"/>
      <c r="DJ15" s="16" t="s">
        <v>144</v>
      </c>
      <c r="DK15" s="19"/>
      <c r="DL15" s="19"/>
      <c r="DM15" s="16" t="s">
        <v>201</v>
      </c>
      <c r="DN15" s="16" t="s">
        <v>202</v>
      </c>
      <c r="DO15" s="16" t="s">
        <v>203</v>
      </c>
    </row>
    <row r="16">
      <c r="A16" s="15">
        <v>14.0</v>
      </c>
      <c r="B16" s="16" t="s">
        <v>204</v>
      </c>
      <c r="C16" s="17">
        <v>3.1705112202112E13</v>
      </c>
      <c r="D16" s="18">
        <v>36.0</v>
      </c>
      <c r="E16" s="16" t="s">
        <v>164</v>
      </c>
      <c r="F16" s="16" t="s">
        <v>165</v>
      </c>
      <c r="G16" s="16" t="s">
        <v>136</v>
      </c>
      <c r="H16" s="20">
        <v>42866.0</v>
      </c>
      <c r="I16" s="18">
        <v>1.0</v>
      </c>
      <c r="J16" s="19"/>
      <c r="K16" s="16" t="s">
        <v>205</v>
      </c>
      <c r="L16" s="21" t="s">
        <v>138</v>
      </c>
      <c r="M16" s="23"/>
      <c r="N16" s="19"/>
      <c r="O16" s="19"/>
      <c r="P16" s="19"/>
      <c r="Q16" s="19"/>
      <c r="R16" s="19"/>
      <c r="S16" s="19"/>
      <c r="T16" s="19"/>
      <c r="U16" s="19"/>
      <c r="V16" s="16" t="s">
        <v>139</v>
      </c>
      <c r="W16" s="19"/>
      <c r="X16" s="21" t="s">
        <v>47</v>
      </c>
      <c r="Y16" s="23"/>
      <c r="Z16" s="19"/>
      <c r="AA16" s="16" t="s">
        <v>50</v>
      </c>
      <c r="AB16" s="19"/>
      <c r="AC16" s="19"/>
      <c r="AD16" s="19"/>
      <c r="AE16" s="19"/>
      <c r="AF16" s="19"/>
      <c r="AG16" s="19"/>
      <c r="AH16" s="21" t="s">
        <v>123</v>
      </c>
      <c r="AI16" s="23"/>
      <c r="AJ16" s="16" t="s">
        <v>168</v>
      </c>
      <c r="AK16" s="16" t="s">
        <v>153</v>
      </c>
      <c r="AL16" s="16" t="s">
        <v>126</v>
      </c>
      <c r="AM16" s="16" t="s">
        <v>126</v>
      </c>
      <c r="AN16" s="16" t="s">
        <v>143</v>
      </c>
      <c r="AO16" s="16" t="s">
        <v>143</v>
      </c>
      <c r="AP16" s="16" t="s">
        <v>143</v>
      </c>
      <c r="AQ16" s="16" t="s">
        <v>126</v>
      </c>
      <c r="AR16" s="16" t="s">
        <v>126</v>
      </c>
      <c r="AS16" s="19"/>
      <c r="AT16" s="19"/>
      <c r="AU16" s="19"/>
      <c r="AV16" s="19"/>
      <c r="AW16" s="21" t="s">
        <v>69</v>
      </c>
      <c r="AX16" s="22"/>
      <c r="AY16" s="23"/>
      <c r="AZ16" s="19"/>
      <c r="BA16" s="19"/>
      <c r="BB16" s="19"/>
      <c r="BC16" s="19"/>
      <c r="BD16" s="19"/>
      <c r="BE16" s="19"/>
      <c r="BF16" s="19"/>
      <c r="BG16" s="21" t="s">
        <v>78</v>
      </c>
      <c r="BH16" s="23"/>
      <c r="BI16" s="21" t="s">
        <v>52</v>
      </c>
      <c r="BJ16" s="23"/>
      <c r="BK16" s="16" t="s">
        <v>81</v>
      </c>
      <c r="BL16" s="19"/>
      <c r="BM16" s="19"/>
      <c r="BN16" s="19"/>
      <c r="BO16" s="21" t="s">
        <v>85</v>
      </c>
      <c r="BP16" s="22"/>
      <c r="BQ16" s="22"/>
      <c r="BR16" s="23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6" t="s">
        <v>144</v>
      </c>
      <c r="CG16" s="16" t="s">
        <v>128</v>
      </c>
      <c r="CH16" s="16" t="s">
        <v>100</v>
      </c>
      <c r="CI16" s="16" t="s">
        <v>101</v>
      </c>
      <c r="CJ16" s="21" t="s">
        <v>102</v>
      </c>
      <c r="CK16" s="23"/>
      <c r="CL16" s="21" t="s">
        <v>104</v>
      </c>
      <c r="CM16" s="23"/>
      <c r="CN16" s="16" t="s">
        <v>128</v>
      </c>
      <c r="CO16" s="16" t="s">
        <v>105</v>
      </c>
      <c r="CP16" s="16" t="s">
        <v>106</v>
      </c>
      <c r="CQ16" s="16" t="s">
        <v>107</v>
      </c>
      <c r="CR16" s="16" t="s">
        <v>108</v>
      </c>
      <c r="CS16" s="16" t="s">
        <v>109</v>
      </c>
      <c r="CT16" s="21" t="s">
        <v>110</v>
      </c>
      <c r="CU16" s="23"/>
      <c r="CV16" s="16" t="s">
        <v>128</v>
      </c>
      <c r="CW16" s="19"/>
      <c r="CX16" s="21" t="s">
        <v>112</v>
      </c>
      <c r="CY16" s="23"/>
      <c r="CZ16" s="16" t="s">
        <v>114</v>
      </c>
      <c r="DA16" s="21" t="s">
        <v>115</v>
      </c>
      <c r="DB16" s="23"/>
      <c r="DC16" s="16" t="s">
        <v>129</v>
      </c>
      <c r="DD16" s="16" t="s">
        <v>129</v>
      </c>
      <c r="DE16" s="16" t="s">
        <v>129</v>
      </c>
      <c r="DF16" s="16" t="s">
        <v>129</v>
      </c>
      <c r="DG16" s="16" t="s">
        <v>206</v>
      </c>
      <c r="DH16" s="21" t="s">
        <v>207</v>
      </c>
      <c r="DI16" s="23"/>
      <c r="DJ16" s="16" t="s">
        <v>144</v>
      </c>
      <c r="DK16" s="19"/>
      <c r="DL16" s="19"/>
      <c r="DM16" s="21" t="s">
        <v>208</v>
      </c>
      <c r="DN16" s="22"/>
      <c r="DO16" s="23"/>
    </row>
    <row r="17">
      <c r="A17" s="15">
        <v>15.0</v>
      </c>
      <c r="B17" s="16" t="s">
        <v>209</v>
      </c>
      <c r="C17" s="17">
        <v>3.1803282201104E13</v>
      </c>
      <c r="D17" s="18">
        <v>83.0</v>
      </c>
      <c r="E17" s="16" t="s">
        <v>164</v>
      </c>
      <c r="F17" s="16" t="s">
        <v>165</v>
      </c>
      <c r="G17" s="16" t="s">
        <v>136</v>
      </c>
      <c r="H17" s="20">
        <v>43187.0</v>
      </c>
      <c r="I17" s="16"/>
      <c r="J17" s="18">
        <v>1.0</v>
      </c>
      <c r="K17" s="16" t="s">
        <v>210</v>
      </c>
      <c r="L17" s="21" t="s">
        <v>138</v>
      </c>
      <c r="M17" s="23"/>
      <c r="N17" s="19"/>
      <c r="O17" s="19"/>
      <c r="P17" s="19"/>
      <c r="Q17" s="19"/>
      <c r="R17" s="19"/>
      <c r="S17" s="19"/>
      <c r="T17" s="19"/>
      <c r="U17" s="19"/>
      <c r="V17" s="16" t="s">
        <v>139</v>
      </c>
      <c r="W17" s="19"/>
      <c r="X17" s="19"/>
      <c r="Y17" s="21" t="s">
        <v>48</v>
      </c>
      <c r="Z17" s="23"/>
      <c r="AA17" s="19"/>
      <c r="AB17" s="19"/>
      <c r="AC17" s="21" t="s">
        <v>52</v>
      </c>
      <c r="AD17" s="23"/>
      <c r="AE17" s="19"/>
      <c r="AF17" s="19"/>
      <c r="AG17" s="19"/>
      <c r="AH17" s="21" t="s">
        <v>123</v>
      </c>
      <c r="AI17" s="23"/>
      <c r="AJ17" s="16" t="s">
        <v>124</v>
      </c>
      <c r="AK17" s="16" t="s">
        <v>153</v>
      </c>
      <c r="AL17" s="16" t="s">
        <v>143</v>
      </c>
      <c r="AM17" s="16" t="s">
        <v>143</v>
      </c>
      <c r="AN17" s="16" t="s">
        <v>126</v>
      </c>
      <c r="AO17" s="16" t="s">
        <v>126</v>
      </c>
      <c r="AP17" s="16" t="s">
        <v>126</v>
      </c>
      <c r="AQ17" s="16" t="s">
        <v>126</v>
      </c>
      <c r="AR17" s="16" t="s">
        <v>126</v>
      </c>
      <c r="AS17" s="21" t="s">
        <v>65</v>
      </c>
      <c r="AT17" s="22"/>
      <c r="AU17" s="23"/>
      <c r="AV17" s="16" t="s">
        <v>68</v>
      </c>
      <c r="AW17" s="16" t="s">
        <v>69</v>
      </c>
      <c r="AX17" s="21" t="s">
        <v>70</v>
      </c>
      <c r="AY17" s="22"/>
      <c r="AZ17" s="23"/>
      <c r="BA17" s="19"/>
      <c r="BB17" s="19"/>
      <c r="BC17" s="19"/>
      <c r="BD17" s="19"/>
      <c r="BE17" s="19"/>
      <c r="BF17" s="19"/>
      <c r="BG17" s="19"/>
      <c r="BH17" s="19"/>
      <c r="BI17" s="21" t="s">
        <v>52</v>
      </c>
      <c r="BJ17" s="23"/>
      <c r="BK17" s="16" t="s">
        <v>81</v>
      </c>
      <c r="BL17" s="19"/>
      <c r="BM17" s="19"/>
      <c r="BN17" s="19"/>
      <c r="BO17" s="21" t="s">
        <v>85</v>
      </c>
      <c r="BP17" s="22"/>
      <c r="BQ17" s="22"/>
      <c r="BR17" s="23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6" t="s">
        <v>211</v>
      </c>
      <c r="CG17" s="16" t="s">
        <v>158</v>
      </c>
      <c r="CH17" s="16" t="s">
        <v>100</v>
      </c>
      <c r="CI17" s="16" t="s">
        <v>101</v>
      </c>
      <c r="CJ17" s="16" t="s">
        <v>102</v>
      </c>
      <c r="CK17" s="21" t="s">
        <v>103</v>
      </c>
      <c r="CL17" s="23"/>
      <c r="CM17" s="19"/>
      <c r="CN17" s="16" t="s">
        <v>128</v>
      </c>
      <c r="CO17" s="16" t="s">
        <v>105</v>
      </c>
      <c r="CP17" s="21" t="s">
        <v>106</v>
      </c>
      <c r="CQ17" s="23"/>
      <c r="CR17" s="16" t="s">
        <v>108</v>
      </c>
      <c r="CS17" s="21" t="s">
        <v>109</v>
      </c>
      <c r="CT17" s="23"/>
      <c r="CU17" s="19"/>
      <c r="CV17" s="21" t="s">
        <v>154</v>
      </c>
      <c r="CW17" s="23"/>
      <c r="CX17" s="21" t="s">
        <v>112</v>
      </c>
      <c r="CY17" s="22"/>
      <c r="CZ17" s="23"/>
      <c r="DA17" s="21" t="s">
        <v>115</v>
      </c>
      <c r="DB17" s="23"/>
      <c r="DC17" s="16" t="s">
        <v>129</v>
      </c>
      <c r="DD17" s="16" t="s">
        <v>129</v>
      </c>
      <c r="DE17" s="16" t="s">
        <v>145</v>
      </c>
      <c r="DF17" s="16" t="s">
        <v>129</v>
      </c>
      <c r="DG17" s="16" t="s">
        <v>212</v>
      </c>
      <c r="DH17" s="21" t="s">
        <v>213</v>
      </c>
      <c r="DI17" s="23"/>
      <c r="DJ17" s="16" t="s">
        <v>144</v>
      </c>
      <c r="DK17" s="19"/>
      <c r="DL17" s="19"/>
      <c r="DM17" s="21" t="s">
        <v>214</v>
      </c>
      <c r="DN17" s="22"/>
      <c r="DO17" s="23"/>
    </row>
    <row r="18">
      <c r="A18" s="15">
        <v>16.0</v>
      </c>
      <c r="B18" s="16" t="s">
        <v>215</v>
      </c>
      <c r="C18" s="17">
        <v>3.1203103202097E13</v>
      </c>
      <c r="D18" s="18">
        <v>15.0</v>
      </c>
      <c r="E18" s="16" t="s">
        <v>164</v>
      </c>
      <c r="F18" s="16" t="s">
        <v>165</v>
      </c>
      <c r="G18" s="16" t="s">
        <v>136</v>
      </c>
      <c r="H18" s="20">
        <v>40978.0</v>
      </c>
      <c r="I18" s="18">
        <v>1.0</v>
      </c>
      <c r="J18" s="19"/>
      <c r="K18" s="16" t="s">
        <v>216</v>
      </c>
      <c r="L18" s="21" t="s">
        <v>138</v>
      </c>
      <c r="M18" s="23"/>
      <c r="N18" s="19"/>
      <c r="O18" s="19"/>
      <c r="P18" s="19"/>
      <c r="Q18" s="19"/>
      <c r="R18" s="19"/>
      <c r="S18" s="19"/>
      <c r="T18" s="19"/>
      <c r="U18" s="19"/>
      <c r="V18" s="16" t="s">
        <v>139</v>
      </c>
      <c r="W18" s="16" t="s">
        <v>46</v>
      </c>
      <c r="X18" s="21" t="s">
        <v>47</v>
      </c>
      <c r="Y18" s="23"/>
      <c r="Z18" s="19"/>
      <c r="AA18" s="16" t="s">
        <v>50</v>
      </c>
      <c r="AB18" s="19"/>
      <c r="AC18" s="19"/>
      <c r="AD18" s="19"/>
      <c r="AE18" s="19"/>
      <c r="AF18" s="21" t="s">
        <v>55</v>
      </c>
      <c r="AG18" s="23"/>
      <c r="AH18" s="21" t="s">
        <v>123</v>
      </c>
      <c r="AI18" s="23"/>
      <c r="AJ18" s="16" t="s">
        <v>168</v>
      </c>
      <c r="AK18" s="16" t="s">
        <v>153</v>
      </c>
      <c r="AL18" s="16" t="s">
        <v>143</v>
      </c>
      <c r="AM18" s="16" t="s">
        <v>143</v>
      </c>
      <c r="AN18" s="16" t="s">
        <v>143</v>
      </c>
      <c r="AO18" s="16" t="s">
        <v>143</v>
      </c>
      <c r="AP18" s="16" t="s">
        <v>143</v>
      </c>
      <c r="AQ18" s="16" t="s">
        <v>143</v>
      </c>
      <c r="AR18" s="16" t="s">
        <v>143</v>
      </c>
      <c r="AS18" s="21" t="s">
        <v>65</v>
      </c>
      <c r="AT18" s="23"/>
      <c r="AU18" s="16" t="s">
        <v>67</v>
      </c>
      <c r="AV18" s="21" t="s">
        <v>68</v>
      </c>
      <c r="AW18" s="22"/>
      <c r="AX18" s="23"/>
      <c r="AY18" s="19"/>
      <c r="AZ18" s="19"/>
      <c r="BA18" s="19"/>
      <c r="BB18" s="19"/>
      <c r="BC18" s="19"/>
      <c r="BD18" s="19"/>
      <c r="BE18" s="19"/>
      <c r="BF18" s="19"/>
      <c r="BG18" s="21" t="s">
        <v>78</v>
      </c>
      <c r="BH18" s="23"/>
      <c r="BI18" s="19"/>
      <c r="BJ18" s="19"/>
      <c r="BK18" s="16" t="s">
        <v>81</v>
      </c>
      <c r="BL18" s="19"/>
      <c r="BM18" s="19"/>
      <c r="BN18" s="19"/>
      <c r="BO18" s="21" t="s">
        <v>85</v>
      </c>
      <c r="BP18" s="22"/>
      <c r="BQ18" s="22"/>
      <c r="BR18" s="23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6" t="s">
        <v>217</v>
      </c>
      <c r="CG18" s="16" t="s">
        <v>128</v>
      </c>
      <c r="CH18" s="19"/>
      <c r="CI18" s="16" t="s">
        <v>101</v>
      </c>
      <c r="CJ18" s="21" t="s">
        <v>102</v>
      </c>
      <c r="CK18" s="23"/>
      <c r="CL18" s="21" t="s">
        <v>104</v>
      </c>
      <c r="CM18" s="23"/>
      <c r="CN18" s="16" t="s">
        <v>128</v>
      </c>
      <c r="CO18" s="21" t="s">
        <v>105</v>
      </c>
      <c r="CP18" s="23"/>
      <c r="CQ18" s="16" t="s">
        <v>107</v>
      </c>
      <c r="CR18" s="16" t="s">
        <v>108</v>
      </c>
      <c r="CS18" s="16" t="s">
        <v>109</v>
      </c>
      <c r="CT18" s="21" t="s">
        <v>110</v>
      </c>
      <c r="CU18" s="23"/>
      <c r="CV18" s="16" t="s">
        <v>128</v>
      </c>
      <c r="CW18" s="16" t="s">
        <v>111</v>
      </c>
      <c r="CX18" s="21" t="s">
        <v>112</v>
      </c>
      <c r="CY18" s="22"/>
      <c r="CZ18" s="23"/>
      <c r="DA18" s="21" t="s">
        <v>115</v>
      </c>
      <c r="DB18" s="23"/>
      <c r="DC18" s="16" t="s">
        <v>129</v>
      </c>
      <c r="DD18" s="16" t="s">
        <v>129</v>
      </c>
      <c r="DE18" s="16" t="s">
        <v>129</v>
      </c>
      <c r="DF18" s="16" t="s">
        <v>129</v>
      </c>
      <c r="DG18" s="21" t="s">
        <v>218</v>
      </c>
      <c r="DH18" s="22"/>
      <c r="DI18" s="23"/>
      <c r="DJ18" s="16" t="s">
        <v>144</v>
      </c>
      <c r="DK18" s="19"/>
      <c r="DL18" s="19"/>
      <c r="DM18" s="16" t="s">
        <v>219</v>
      </c>
      <c r="DN18" s="21" t="s">
        <v>220</v>
      </c>
      <c r="DO18" s="23"/>
    </row>
    <row r="19">
      <c r="A19" s="15">
        <v>17.0</v>
      </c>
      <c r="B19" s="16" t="s">
        <v>221</v>
      </c>
      <c r="C19" s="17">
        <v>3.1506082201962E13</v>
      </c>
      <c r="D19" s="18">
        <v>77.0</v>
      </c>
      <c r="E19" s="16" t="s">
        <v>164</v>
      </c>
      <c r="F19" s="16" t="s">
        <v>165</v>
      </c>
      <c r="G19" s="16" t="s">
        <v>136</v>
      </c>
      <c r="H19" s="19"/>
      <c r="I19" s="16"/>
      <c r="J19" s="18">
        <v>1.0</v>
      </c>
      <c r="K19" s="16" t="s">
        <v>222</v>
      </c>
      <c r="L19" s="21" t="s">
        <v>138</v>
      </c>
      <c r="M19" s="23"/>
      <c r="N19" s="19"/>
      <c r="O19" s="19"/>
      <c r="P19" s="19"/>
      <c r="Q19" s="19"/>
      <c r="R19" s="19"/>
      <c r="S19" s="19"/>
      <c r="T19" s="19"/>
      <c r="U19" s="19"/>
      <c r="V19" s="16" t="s">
        <v>139</v>
      </c>
      <c r="W19" s="19"/>
      <c r="X19" s="19"/>
      <c r="Y19" s="21" t="s">
        <v>48</v>
      </c>
      <c r="Z19" s="23"/>
      <c r="AA19" s="19"/>
      <c r="AB19" s="19"/>
      <c r="AC19" s="21" t="s">
        <v>52</v>
      </c>
      <c r="AD19" s="23"/>
      <c r="AE19" s="19"/>
      <c r="AF19" s="21" t="s">
        <v>55</v>
      </c>
      <c r="AG19" s="23"/>
      <c r="AH19" s="19"/>
      <c r="AI19" s="19"/>
      <c r="AJ19" s="16" t="s">
        <v>168</v>
      </c>
      <c r="AK19" s="16" t="s">
        <v>153</v>
      </c>
      <c r="AL19" s="16" t="s">
        <v>143</v>
      </c>
      <c r="AM19" s="16" t="s">
        <v>143</v>
      </c>
      <c r="AN19" s="16" t="s">
        <v>126</v>
      </c>
      <c r="AO19" s="16" t="s">
        <v>126</v>
      </c>
      <c r="AP19" s="16" t="s">
        <v>143</v>
      </c>
      <c r="AQ19" s="16" t="s">
        <v>126</v>
      </c>
      <c r="AR19" s="16" t="s">
        <v>143</v>
      </c>
      <c r="AS19" s="21" t="s">
        <v>65</v>
      </c>
      <c r="AT19" s="22"/>
      <c r="AU19" s="23"/>
      <c r="AV19" s="21" t="s">
        <v>68</v>
      </c>
      <c r="AW19" s="23"/>
      <c r="AX19" s="21" t="s">
        <v>70</v>
      </c>
      <c r="AY19" s="22"/>
      <c r="AZ19" s="23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6" t="s">
        <v>81</v>
      </c>
      <c r="BL19" s="21" t="s">
        <v>82</v>
      </c>
      <c r="BM19" s="23"/>
      <c r="BN19" s="19"/>
      <c r="BO19" s="21" t="s">
        <v>85</v>
      </c>
      <c r="BP19" s="22"/>
      <c r="BQ19" s="22"/>
      <c r="BR19" s="23"/>
      <c r="BS19" s="19"/>
      <c r="BT19" s="19"/>
      <c r="BU19" s="19"/>
      <c r="BV19" s="19"/>
      <c r="BW19" s="19"/>
      <c r="BX19" s="19"/>
      <c r="BY19" s="19"/>
      <c r="BZ19" s="21" t="s">
        <v>94</v>
      </c>
      <c r="CA19" s="23"/>
      <c r="CB19" s="21" t="s">
        <v>96</v>
      </c>
      <c r="CC19" s="23"/>
      <c r="CD19" s="19"/>
      <c r="CE19" s="19"/>
      <c r="CF19" s="19"/>
      <c r="CG19" s="16" t="s">
        <v>158</v>
      </c>
      <c r="CH19" s="16" t="s">
        <v>100</v>
      </c>
      <c r="CI19" s="21" t="s">
        <v>101</v>
      </c>
      <c r="CJ19" s="23"/>
      <c r="CK19" s="21" t="s">
        <v>103</v>
      </c>
      <c r="CL19" s="23"/>
      <c r="CM19" s="19"/>
      <c r="CN19" s="16" t="s">
        <v>128</v>
      </c>
      <c r="CO19" s="16" t="s">
        <v>105</v>
      </c>
      <c r="CP19" s="21" t="s">
        <v>106</v>
      </c>
      <c r="CQ19" s="22"/>
      <c r="CR19" s="23"/>
      <c r="CS19" s="21" t="s">
        <v>109</v>
      </c>
      <c r="CT19" s="23"/>
      <c r="CU19" s="19"/>
      <c r="CV19" s="21" t="s">
        <v>154</v>
      </c>
      <c r="CW19" s="23"/>
      <c r="CX19" s="21" t="s">
        <v>112</v>
      </c>
      <c r="CY19" s="22"/>
      <c r="CZ19" s="23"/>
      <c r="DA19" s="21" t="s">
        <v>115</v>
      </c>
      <c r="DB19" s="23"/>
      <c r="DC19" s="16" t="s">
        <v>145</v>
      </c>
      <c r="DD19" s="16" t="s">
        <v>145</v>
      </c>
      <c r="DE19" s="16" t="s">
        <v>145</v>
      </c>
      <c r="DF19" s="19"/>
      <c r="DG19" s="16" t="s">
        <v>146</v>
      </c>
      <c r="DH19" s="21" t="s">
        <v>223</v>
      </c>
      <c r="DI19" s="23"/>
      <c r="DJ19" s="21" t="s">
        <v>224</v>
      </c>
      <c r="DK19" s="22"/>
      <c r="DL19" s="23"/>
      <c r="DM19" s="21" t="s">
        <v>225</v>
      </c>
      <c r="DN19" s="22"/>
      <c r="DO19" s="23"/>
    </row>
    <row r="20">
      <c r="A20" s="15">
        <v>18.0</v>
      </c>
      <c r="B20" s="16" t="s">
        <v>226</v>
      </c>
      <c r="C20" s="17">
        <v>3.1610052201471E13</v>
      </c>
      <c r="D20" s="18">
        <v>97.0</v>
      </c>
      <c r="E20" s="16" t="s">
        <v>164</v>
      </c>
      <c r="F20" s="16" t="s">
        <v>165</v>
      </c>
      <c r="G20" s="16" t="s">
        <v>136</v>
      </c>
      <c r="H20" s="20">
        <v>42648.0</v>
      </c>
      <c r="I20" s="18">
        <v>1.0</v>
      </c>
      <c r="J20" s="19"/>
      <c r="K20" s="16" t="s">
        <v>227</v>
      </c>
      <c r="L20" s="21" t="s">
        <v>138</v>
      </c>
      <c r="M20" s="23"/>
      <c r="N20" s="19"/>
      <c r="O20" s="19"/>
      <c r="P20" s="19"/>
      <c r="Q20" s="19"/>
      <c r="R20" s="19"/>
      <c r="S20" s="19"/>
      <c r="T20" s="19"/>
      <c r="U20" s="19"/>
      <c r="V20" s="16" t="s">
        <v>139</v>
      </c>
      <c r="W20" s="16" t="s">
        <v>46</v>
      </c>
      <c r="X20" s="21" t="s">
        <v>47</v>
      </c>
      <c r="Y20" s="23"/>
      <c r="Z20" s="19"/>
      <c r="AA20" s="19"/>
      <c r="AB20" s="19"/>
      <c r="AC20" s="19"/>
      <c r="AD20" s="19"/>
      <c r="AE20" s="19"/>
      <c r="AF20" s="19"/>
      <c r="AG20" s="19"/>
      <c r="AH20" s="21" t="s">
        <v>228</v>
      </c>
      <c r="AI20" s="23"/>
      <c r="AJ20" s="16" t="s">
        <v>124</v>
      </c>
      <c r="AK20" s="16" t="s">
        <v>153</v>
      </c>
      <c r="AL20" s="16" t="s">
        <v>143</v>
      </c>
      <c r="AM20" s="16" t="s">
        <v>143</v>
      </c>
      <c r="AN20" s="16" t="s">
        <v>143</v>
      </c>
      <c r="AO20" s="16" t="s">
        <v>143</v>
      </c>
      <c r="AP20" s="16" t="s">
        <v>143</v>
      </c>
      <c r="AQ20" s="16" t="s">
        <v>126</v>
      </c>
      <c r="AR20" s="16" t="s">
        <v>143</v>
      </c>
      <c r="AS20" s="19"/>
      <c r="AT20" s="19"/>
      <c r="AU20" s="16" t="s">
        <v>67</v>
      </c>
      <c r="AV20" s="16" t="s">
        <v>68</v>
      </c>
      <c r="AW20" s="21" t="s">
        <v>69</v>
      </c>
      <c r="AX20" s="22"/>
      <c r="AY20" s="23"/>
      <c r="AZ20" s="19"/>
      <c r="BA20" s="19"/>
      <c r="BB20" s="19"/>
      <c r="BC20" s="19"/>
      <c r="BD20" s="19"/>
      <c r="BE20" s="19"/>
      <c r="BF20" s="19"/>
      <c r="BG20" s="21" t="s">
        <v>78</v>
      </c>
      <c r="BH20" s="23"/>
      <c r="BI20" s="19"/>
      <c r="BJ20" s="19"/>
      <c r="BK20" s="16" t="s">
        <v>81</v>
      </c>
      <c r="BL20" s="19"/>
      <c r="BM20" s="19"/>
      <c r="BN20" s="19"/>
      <c r="BO20" s="21" t="s">
        <v>85</v>
      </c>
      <c r="BP20" s="22"/>
      <c r="BQ20" s="22"/>
      <c r="BR20" s="23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6" t="s">
        <v>144</v>
      </c>
      <c r="CG20" s="16" t="s">
        <v>128</v>
      </c>
      <c r="CH20" s="19"/>
      <c r="CI20" s="19"/>
      <c r="CJ20" s="16" t="s">
        <v>102</v>
      </c>
      <c r="CK20" s="21" t="s">
        <v>103</v>
      </c>
      <c r="CL20" s="23"/>
      <c r="CM20" s="19"/>
      <c r="CN20" s="16" t="s">
        <v>128</v>
      </c>
      <c r="CO20" s="16" t="s">
        <v>105</v>
      </c>
      <c r="CP20" s="21" t="s">
        <v>106</v>
      </c>
      <c r="CQ20" s="23"/>
      <c r="CR20" s="16" t="s">
        <v>108</v>
      </c>
      <c r="CS20" s="16" t="s">
        <v>109</v>
      </c>
      <c r="CT20" s="21" t="s">
        <v>110</v>
      </c>
      <c r="CU20" s="23"/>
      <c r="CV20" s="16" t="s">
        <v>128</v>
      </c>
      <c r="CW20" s="16" t="s">
        <v>111</v>
      </c>
      <c r="CX20" s="16" t="s">
        <v>112</v>
      </c>
      <c r="CY20" s="16" t="s">
        <v>113</v>
      </c>
      <c r="CZ20" s="16" t="s">
        <v>114</v>
      </c>
      <c r="DA20" s="21" t="s">
        <v>115</v>
      </c>
      <c r="DB20" s="23"/>
      <c r="DC20" s="16" t="s">
        <v>129</v>
      </c>
      <c r="DD20" s="16" t="s">
        <v>129</v>
      </c>
      <c r="DE20" s="16" t="s">
        <v>129</v>
      </c>
      <c r="DF20" s="16" t="s">
        <v>129</v>
      </c>
      <c r="DG20" s="16" t="s">
        <v>229</v>
      </c>
      <c r="DH20" s="16" t="s">
        <v>230</v>
      </c>
      <c r="DI20" s="21" t="s">
        <v>231</v>
      </c>
      <c r="DJ20" s="22"/>
      <c r="DK20" s="23"/>
      <c r="DL20" s="19"/>
      <c r="DM20" s="16" t="s">
        <v>232</v>
      </c>
      <c r="DN20" s="21" t="s">
        <v>187</v>
      </c>
      <c r="DO20" s="23"/>
    </row>
    <row r="21" ht="15.75" customHeight="1">
      <c r="A21" s="15">
        <v>19.0</v>
      </c>
      <c r="B21" s="16" t="s">
        <v>233</v>
      </c>
      <c r="C21" s="17">
        <v>3.2007072202969E13</v>
      </c>
      <c r="D21" s="18">
        <v>27.0</v>
      </c>
      <c r="E21" s="16" t="s">
        <v>164</v>
      </c>
      <c r="F21" s="16" t="s">
        <v>165</v>
      </c>
      <c r="G21" s="16" t="s">
        <v>136</v>
      </c>
      <c r="H21" s="19"/>
      <c r="I21" s="16"/>
      <c r="J21" s="18">
        <v>1.0</v>
      </c>
      <c r="K21" s="16" t="s">
        <v>234</v>
      </c>
      <c r="L21" s="21" t="s">
        <v>138</v>
      </c>
      <c r="M21" s="23"/>
      <c r="N21" s="19"/>
      <c r="O21" s="19"/>
      <c r="P21" s="19"/>
      <c r="Q21" s="19"/>
      <c r="R21" s="19"/>
      <c r="S21" s="19"/>
      <c r="T21" s="19"/>
      <c r="U21" s="19"/>
      <c r="V21" s="16" t="s">
        <v>139</v>
      </c>
      <c r="W21" s="19"/>
      <c r="X21" s="19"/>
      <c r="Y21" s="21" t="s">
        <v>48</v>
      </c>
      <c r="Z21" s="23"/>
      <c r="AA21" s="19"/>
      <c r="AB21" s="19"/>
      <c r="AC21" s="19"/>
      <c r="AD21" s="19"/>
      <c r="AE21" s="19"/>
      <c r="AF21" s="19"/>
      <c r="AG21" s="19"/>
      <c r="AH21" s="21" t="s">
        <v>123</v>
      </c>
      <c r="AI21" s="23"/>
      <c r="AJ21" s="16" t="s">
        <v>168</v>
      </c>
      <c r="AK21" s="16" t="s">
        <v>153</v>
      </c>
      <c r="AL21" s="16" t="s">
        <v>126</v>
      </c>
      <c r="AM21" s="16" t="s">
        <v>143</v>
      </c>
      <c r="AN21" s="16" t="s">
        <v>143</v>
      </c>
      <c r="AO21" s="16" t="s">
        <v>126</v>
      </c>
      <c r="AP21" s="16" t="s">
        <v>143</v>
      </c>
      <c r="AQ21" s="16" t="s">
        <v>126</v>
      </c>
      <c r="AR21" s="16" t="s">
        <v>143</v>
      </c>
      <c r="AS21" s="21" t="s">
        <v>65</v>
      </c>
      <c r="AT21" s="22"/>
      <c r="AU21" s="23"/>
      <c r="AV21" s="19"/>
      <c r="AW21" s="19"/>
      <c r="AX21" s="21" t="s">
        <v>70</v>
      </c>
      <c r="AY21" s="22"/>
      <c r="AZ21" s="23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6" t="s">
        <v>81</v>
      </c>
      <c r="BL21" s="19"/>
      <c r="BM21" s="19"/>
      <c r="BN21" s="19"/>
      <c r="BO21" s="21" t="s">
        <v>85</v>
      </c>
      <c r="BP21" s="22"/>
      <c r="BQ21" s="22"/>
      <c r="BR21" s="23"/>
      <c r="BS21" s="19"/>
      <c r="BT21" s="19"/>
      <c r="BU21" s="19"/>
      <c r="BV21" s="19"/>
      <c r="BW21" s="19"/>
      <c r="BX21" s="19"/>
      <c r="BY21" s="16" t="s">
        <v>93</v>
      </c>
      <c r="BZ21" s="21" t="s">
        <v>94</v>
      </c>
      <c r="CA21" s="22"/>
      <c r="CB21" s="23"/>
      <c r="CC21" s="19"/>
      <c r="CD21" s="19"/>
      <c r="CE21" s="19"/>
      <c r="CF21" s="19"/>
      <c r="CG21" s="19"/>
      <c r="CH21" s="16" t="s">
        <v>100</v>
      </c>
      <c r="CI21" s="21" t="s">
        <v>101</v>
      </c>
      <c r="CJ21" s="22"/>
      <c r="CK21" s="23"/>
      <c r="CL21" s="19"/>
      <c r="CM21" s="19"/>
      <c r="CN21" s="16" t="s">
        <v>128</v>
      </c>
      <c r="CO21" s="16" t="s">
        <v>105</v>
      </c>
      <c r="CP21" s="21" t="s">
        <v>106</v>
      </c>
      <c r="CQ21" s="22"/>
      <c r="CR21" s="23"/>
      <c r="CS21" s="21" t="s">
        <v>109</v>
      </c>
      <c r="CT21" s="23"/>
      <c r="CU21" s="19"/>
      <c r="CV21" s="21" t="s">
        <v>154</v>
      </c>
      <c r="CW21" s="23"/>
      <c r="CX21" s="21" t="s">
        <v>112</v>
      </c>
      <c r="CY21" s="22"/>
      <c r="CZ21" s="23"/>
      <c r="DA21" s="19"/>
      <c r="DB21" s="19"/>
      <c r="DC21" s="16" t="s">
        <v>145</v>
      </c>
      <c r="DD21" s="16" t="s">
        <v>145</v>
      </c>
      <c r="DE21" s="16" t="s">
        <v>145</v>
      </c>
      <c r="DF21" s="19"/>
      <c r="DG21" s="16" t="s">
        <v>235</v>
      </c>
      <c r="DH21" s="21" t="s">
        <v>236</v>
      </c>
      <c r="DI21" s="23"/>
      <c r="DJ21" s="21" t="s">
        <v>237</v>
      </c>
      <c r="DK21" s="22"/>
      <c r="DL21" s="23"/>
      <c r="DM21" s="21" t="s">
        <v>238</v>
      </c>
      <c r="DN21" s="22"/>
      <c r="DO21" s="23"/>
    </row>
    <row r="22" ht="15.75" customHeight="1">
      <c r="A22" s="15">
        <v>20.0</v>
      </c>
      <c r="B22" s="16" t="s">
        <v>239</v>
      </c>
      <c r="C22" s="17">
        <v>3.20070922022549E14</v>
      </c>
      <c r="D22" s="18">
        <v>109.0</v>
      </c>
      <c r="E22" s="16" t="s">
        <v>240</v>
      </c>
      <c r="F22" s="16" t="s">
        <v>241</v>
      </c>
      <c r="G22" s="16" t="s">
        <v>136</v>
      </c>
      <c r="H22" s="20">
        <v>44021.0</v>
      </c>
      <c r="I22" s="16"/>
      <c r="J22" s="18">
        <v>1.0</v>
      </c>
      <c r="K22" s="16" t="s">
        <v>242</v>
      </c>
      <c r="L22" s="21" t="s">
        <v>138</v>
      </c>
      <c r="M22" s="23"/>
      <c r="N22" s="19"/>
      <c r="O22" s="19"/>
      <c r="P22" s="19"/>
      <c r="Q22" s="19"/>
      <c r="R22" s="19"/>
      <c r="S22" s="19"/>
      <c r="T22" s="19"/>
      <c r="U22" s="19"/>
      <c r="V22" s="16" t="s">
        <v>139</v>
      </c>
      <c r="W22" s="19"/>
      <c r="X22" s="19"/>
      <c r="Y22" s="19"/>
      <c r="Z22" s="19"/>
      <c r="AA22" s="19"/>
      <c r="AB22" s="16" t="s">
        <v>51</v>
      </c>
      <c r="AC22" s="21" t="s">
        <v>52</v>
      </c>
      <c r="AD22" s="23"/>
      <c r="AE22" s="19"/>
      <c r="AF22" s="19"/>
      <c r="AG22" s="19"/>
      <c r="AH22" s="21" t="s">
        <v>152</v>
      </c>
      <c r="AI22" s="23"/>
      <c r="AJ22" s="16" t="s">
        <v>243</v>
      </c>
      <c r="AK22" s="16" t="s">
        <v>244</v>
      </c>
      <c r="AL22" s="16" t="s">
        <v>126</v>
      </c>
      <c r="AM22" s="16" t="s">
        <v>126</v>
      </c>
      <c r="AN22" s="16" t="s">
        <v>126</v>
      </c>
      <c r="AO22" s="16" t="s">
        <v>181</v>
      </c>
      <c r="AP22" s="16" t="s">
        <v>126</v>
      </c>
      <c r="AQ22" s="16" t="s">
        <v>126</v>
      </c>
      <c r="AR22" s="16" t="s">
        <v>126</v>
      </c>
      <c r="AS22" s="21" t="s">
        <v>65</v>
      </c>
      <c r="AT22" s="22"/>
      <c r="AU22" s="23"/>
      <c r="AV22" s="21" t="s">
        <v>68</v>
      </c>
      <c r="AW22" s="23"/>
      <c r="AX22" s="16" t="s">
        <v>70</v>
      </c>
      <c r="AY22" s="21" t="s">
        <v>71</v>
      </c>
      <c r="AZ22" s="22"/>
      <c r="BA22" s="23"/>
      <c r="BB22" s="19"/>
      <c r="BC22" s="19"/>
      <c r="BD22" s="19"/>
      <c r="BE22" s="19"/>
      <c r="BF22" s="19"/>
      <c r="BG22" s="21" t="s">
        <v>78</v>
      </c>
      <c r="BH22" s="23"/>
      <c r="BI22" s="21" t="s">
        <v>52</v>
      </c>
      <c r="BJ22" s="23"/>
      <c r="BK22" s="16" t="s">
        <v>81</v>
      </c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6" t="s">
        <v>96</v>
      </c>
      <c r="CC22" s="21" t="s">
        <v>97</v>
      </c>
      <c r="CD22" s="23"/>
      <c r="CE22" s="19"/>
      <c r="CF22" s="19"/>
      <c r="CG22" s="16" t="s">
        <v>128</v>
      </c>
      <c r="CH22" s="21" t="s">
        <v>100</v>
      </c>
      <c r="CI22" s="23"/>
      <c r="CJ22" s="19"/>
      <c r="CK22" s="19"/>
      <c r="CL22" s="21" t="s">
        <v>104</v>
      </c>
      <c r="CM22" s="23"/>
      <c r="CN22" s="16" t="s">
        <v>128</v>
      </c>
      <c r="CO22" s="16" t="s">
        <v>105</v>
      </c>
      <c r="CP22" s="21" t="s">
        <v>106</v>
      </c>
      <c r="CQ22" s="23"/>
      <c r="CR22" s="21" t="s">
        <v>108</v>
      </c>
      <c r="CS22" s="23"/>
      <c r="CT22" s="21" t="s">
        <v>110</v>
      </c>
      <c r="CU22" s="23"/>
      <c r="CV22" s="16" t="s">
        <v>154</v>
      </c>
      <c r="CW22" s="16" t="s">
        <v>111</v>
      </c>
      <c r="CX22" s="21" t="s">
        <v>112</v>
      </c>
      <c r="CY22" s="22"/>
      <c r="CZ22" s="23"/>
      <c r="DA22" s="21" t="s">
        <v>115</v>
      </c>
      <c r="DB22" s="23"/>
      <c r="DC22" s="16" t="s">
        <v>145</v>
      </c>
      <c r="DD22" s="16" t="s">
        <v>145</v>
      </c>
      <c r="DE22" s="16" t="s">
        <v>145</v>
      </c>
      <c r="DF22" s="16" t="s">
        <v>145</v>
      </c>
      <c r="DG22" s="16" t="s">
        <v>245</v>
      </c>
      <c r="DH22" s="21" t="s">
        <v>246</v>
      </c>
      <c r="DI22" s="23"/>
      <c r="DJ22" s="16" t="s">
        <v>247</v>
      </c>
      <c r="DK22" s="19"/>
      <c r="DL22" s="19"/>
      <c r="DM22" s="16" t="s">
        <v>248</v>
      </c>
      <c r="DN22" s="16" t="s">
        <v>249</v>
      </c>
      <c r="DO22" s="16" t="s">
        <v>250</v>
      </c>
    </row>
    <row r="23" ht="15.75" customHeight="1">
      <c r="A23" s="15">
        <v>21.0</v>
      </c>
      <c r="B23" s="16" t="s">
        <v>251</v>
      </c>
      <c r="C23" s="17">
        <v>3.1706252202739E13</v>
      </c>
      <c r="D23" s="18">
        <v>13.0</v>
      </c>
      <c r="E23" s="16" t="s">
        <v>164</v>
      </c>
      <c r="F23" s="16" t="s">
        <v>165</v>
      </c>
      <c r="G23" s="16" t="s">
        <v>136</v>
      </c>
      <c r="H23" s="20">
        <v>42911.0</v>
      </c>
      <c r="I23" s="18">
        <v>1.0</v>
      </c>
      <c r="J23" s="19"/>
      <c r="K23" s="16" t="s">
        <v>252</v>
      </c>
      <c r="L23" s="21" t="s">
        <v>138</v>
      </c>
      <c r="M23" s="23"/>
      <c r="N23" s="19"/>
      <c r="O23" s="19"/>
      <c r="P23" s="19"/>
      <c r="Q23" s="19"/>
      <c r="R23" s="19"/>
      <c r="S23" s="19"/>
      <c r="T23" s="19"/>
      <c r="U23" s="19"/>
      <c r="V23" s="16" t="s">
        <v>139</v>
      </c>
      <c r="W23" s="16" t="s">
        <v>46</v>
      </c>
      <c r="X23" s="16" t="s">
        <v>47</v>
      </c>
      <c r="Y23" s="21" t="s">
        <v>48</v>
      </c>
      <c r="Z23" s="23"/>
      <c r="AA23" s="16" t="s">
        <v>50</v>
      </c>
      <c r="AB23" s="19"/>
      <c r="AC23" s="19"/>
      <c r="AD23" s="19"/>
      <c r="AE23" s="19"/>
      <c r="AF23" s="19"/>
      <c r="AG23" s="19"/>
      <c r="AH23" s="21" t="s">
        <v>123</v>
      </c>
      <c r="AI23" s="23"/>
      <c r="AJ23" s="16" t="s">
        <v>168</v>
      </c>
      <c r="AK23" s="16" t="s">
        <v>153</v>
      </c>
      <c r="AL23" s="16" t="s">
        <v>181</v>
      </c>
      <c r="AM23" s="16" t="s">
        <v>143</v>
      </c>
      <c r="AN23" s="16" t="s">
        <v>143</v>
      </c>
      <c r="AO23" s="16" t="s">
        <v>143</v>
      </c>
      <c r="AP23" s="16" t="s">
        <v>143</v>
      </c>
      <c r="AQ23" s="16" t="s">
        <v>143</v>
      </c>
      <c r="AR23" s="16" t="s">
        <v>143</v>
      </c>
      <c r="AS23" s="19"/>
      <c r="AT23" s="19"/>
      <c r="AU23" s="16" t="s">
        <v>67</v>
      </c>
      <c r="AV23" s="21" t="s">
        <v>68</v>
      </c>
      <c r="AW23" s="23"/>
      <c r="AX23" s="16" t="s">
        <v>70</v>
      </c>
      <c r="AY23" s="21" t="s">
        <v>71</v>
      </c>
      <c r="AZ23" s="22"/>
      <c r="BA23" s="23"/>
      <c r="BB23" s="19"/>
      <c r="BC23" s="19"/>
      <c r="BD23" s="19"/>
      <c r="BE23" s="19"/>
      <c r="BF23" s="19"/>
      <c r="BG23" s="21" t="s">
        <v>78</v>
      </c>
      <c r="BH23" s="23"/>
      <c r="BI23" s="21" t="s">
        <v>52</v>
      </c>
      <c r="BJ23" s="23"/>
      <c r="BK23" s="16" t="s">
        <v>81</v>
      </c>
      <c r="BL23" s="21" t="s">
        <v>82</v>
      </c>
      <c r="BM23" s="23"/>
      <c r="BN23" s="19"/>
      <c r="BO23" s="21" t="s">
        <v>85</v>
      </c>
      <c r="BP23" s="22"/>
      <c r="BQ23" s="22"/>
      <c r="BR23" s="23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6" t="s">
        <v>253</v>
      </c>
      <c r="CG23" s="16" t="s">
        <v>128</v>
      </c>
      <c r="CH23" s="16" t="s">
        <v>100</v>
      </c>
      <c r="CI23" s="21" t="s">
        <v>101</v>
      </c>
      <c r="CJ23" s="22"/>
      <c r="CK23" s="23"/>
      <c r="CL23" s="21" t="s">
        <v>104</v>
      </c>
      <c r="CM23" s="23"/>
      <c r="CN23" s="16" t="s">
        <v>128</v>
      </c>
      <c r="CO23" s="16" t="s">
        <v>105</v>
      </c>
      <c r="CP23" s="16" t="s">
        <v>106</v>
      </c>
      <c r="CQ23" s="16" t="s">
        <v>107</v>
      </c>
      <c r="CR23" s="16" t="s">
        <v>108</v>
      </c>
      <c r="CS23" s="16" t="s">
        <v>109</v>
      </c>
      <c r="CT23" s="21" t="s">
        <v>110</v>
      </c>
      <c r="CU23" s="23"/>
      <c r="CV23" s="16" t="s">
        <v>128</v>
      </c>
      <c r="CW23" s="16" t="s">
        <v>111</v>
      </c>
      <c r="CX23" s="21" t="s">
        <v>112</v>
      </c>
      <c r="CY23" s="22"/>
      <c r="CZ23" s="23"/>
      <c r="DA23" s="19"/>
      <c r="DB23" s="19"/>
      <c r="DC23" s="16" t="s">
        <v>129</v>
      </c>
      <c r="DD23" s="16" t="s">
        <v>145</v>
      </c>
      <c r="DE23" s="16" t="s">
        <v>129</v>
      </c>
      <c r="DF23" s="16" t="s">
        <v>129</v>
      </c>
      <c r="DG23" s="16" t="s">
        <v>254</v>
      </c>
      <c r="DH23" s="16" t="s">
        <v>255</v>
      </c>
      <c r="DI23" s="16" t="s">
        <v>256</v>
      </c>
      <c r="DJ23" s="16" t="s">
        <v>144</v>
      </c>
      <c r="DK23" s="19"/>
      <c r="DL23" s="19"/>
      <c r="DM23" s="16" t="s">
        <v>257</v>
      </c>
      <c r="DN23" s="21" t="s">
        <v>258</v>
      </c>
      <c r="DO23" s="23"/>
    </row>
    <row r="24" ht="15.75" customHeight="1">
      <c r="A24" s="15">
        <v>22.0</v>
      </c>
      <c r="B24" s="16" t="s">
        <v>259</v>
      </c>
      <c r="C24" s="17">
        <v>3.1410012206293E13</v>
      </c>
      <c r="D24" s="18">
        <v>61.0</v>
      </c>
      <c r="E24" s="16" t="s">
        <v>260</v>
      </c>
      <c r="F24" s="16" t="s">
        <v>241</v>
      </c>
      <c r="G24" s="16" t="s">
        <v>136</v>
      </c>
      <c r="H24" s="20">
        <v>41913.0</v>
      </c>
      <c r="I24" s="18">
        <v>1.0</v>
      </c>
      <c r="J24" s="19"/>
      <c r="K24" s="16" t="s">
        <v>261</v>
      </c>
      <c r="L24" s="21" t="s">
        <v>138</v>
      </c>
      <c r="M24" s="23"/>
      <c r="N24" s="19"/>
      <c r="O24" s="19"/>
      <c r="P24" s="19"/>
      <c r="Q24" s="19"/>
      <c r="R24" s="19"/>
      <c r="S24" s="19"/>
      <c r="T24" s="19"/>
      <c r="U24" s="19"/>
      <c r="V24" s="16" t="s">
        <v>139</v>
      </c>
      <c r="W24" s="16" t="s">
        <v>46</v>
      </c>
      <c r="X24" s="21" t="s">
        <v>47</v>
      </c>
      <c r="Y24" s="23"/>
      <c r="Z24" s="19"/>
      <c r="AA24" s="19"/>
      <c r="AB24" s="19"/>
      <c r="AC24" s="19"/>
      <c r="AD24" s="19"/>
      <c r="AE24" s="19"/>
      <c r="AF24" s="19"/>
      <c r="AG24" s="19"/>
      <c r="AH24" s="21" t="s">
        <v>123</v>
      </c>
      <c r="AI24" s="23"/>
      <c r="AJ24" s="16" t="s">
        <v>168</v>
      </c>
      <c r="AK24" s="16" t="s">
        <v>153</v>
      </c>
      <c r="AL24" s="16" t="s">
        <v>126</v>
      </c>
      <c r="AM24" s="16" t="s">
        <v>181</v>
      </c>
      <c r="AN24" s="16" t="s">
        <v>181</v>
      </c>
      <c r="AO24" s="16" t="s">
        <v>181</v>
      </c>
      <c r="AP24" s="16" t="s">
        <v>126</v>
      </c>
      <c r="AQ24" s="16" t="s">
        <v>181</v>
      </c>
      <c r="AR24" s="16" t="s">
        <v>126</v>
      </c>
      <c r="AS24" s="21" t="s">
        <v>65</v>
      </c>
      <c r="AT24" s="22"/>
      <c r="AU24" s="23"/>
      <c r="AV24" s="16" t="s">
        <v>68</v>
      </c>
      <c r="AW24" s="16" t="s">
        <v>69</v>
      </c>
      <c r="AX24" s="16" t="s">
        <v>70</v>
      </c>
      <c r="AY24" s="21" t="s">
        <v>71</v>
      </c>
      <c r="AZ24" s="22"/>
      <c r="BA24" s="23"/>
      <c r="BB24" s="19"/>
      <c r="BC24" s="19"/>
      <c r="BD24" s="19"/>
      <c r="BE24" s="19"/>
      <c r="BF24" s="16" t="s">
        <v>262</v>
      </c>
      <c r="BG24" s="16" t="s">
        <v>78</v>
      </c>
      <c r="BH24" s="16" t="s">
        <v>79</v>
      </c>
      <c r="BI24" s="21" t="s">
        <v>52</v>
      </c>
      <c r="BJ24" s="23"/>
      <c r="BK24" s="16" t="s">
        <v>81</v>
      </c>
      <c r="BL24" s="21" t="s">
        <v>82</v>
      </c>
      <c r="BM24" s="23"/>
      <c r="BN24" s="19"/>
      <c r="BO24" s="21" t="s">
        <v>85</v>
      </c>
      <c r="BP24" s="22"/>
      <c r="BQ24" s="22"/>
      <c r="BR24" s="23"/>
      <c r="BS24" s="19"/>
      <c r="BT24" s="19"/>
      <c r="BU24" s="19"/>
      <c r="BV24" s="19"/>
      <c r="BW24" s="19"/>
      <c r="BX24" s="19"/>
      <c r="BY24" s="19"/>
      <c r="BZ24" s="19"/>
      <c r="CA24" s="19"/>
      <c r="CB24" s="21" t="s">
        <v>96</v>
      </c>
      <c r="CC24" s="23"/>
      <c r="CD24" s="19"/>
      <c r="CE24" s="19"/>
      <c r="CF24" s="19"/>
      <c r="CG24" s="16" t="s">
        <v>128</v>
      </c>
      <c r="CH24" s="21" t="s">
        <v>100</v>
      </c>
      <c r="CI24" s="23"/>
      <c r="CJ24" s="16" t="s">
        <v>102</v>
      </c>
      <c r="CK24" s="16" t="s">
        <v>103</v>
      </c>
      <c r="CL24" s="21" t="s">
        <v>104</v>
      </c>
      <c r="CM24" s="23"/>
      <c r="CN24" s="16" t="s">
        <v>128</v>
      </c>
      <c r="CO24" s="16" t="s">
        <v>105</v>
      </c>
      <c r="CP24" s="21" t="s">
        <v>106</v>
      </c>
      <c r="CQ24" s="23"/>
      <c r="CR24" s="16" t="s">
        <v>108</v>
      </c>
      <c r="CS24" s="16" t="s">
        <v>109</v>
      </c>
      <c r="CT24" s="21" t="s">
        <v>110</v>
      </c>
      <c r="CU24" s="23"/>
      <c r="CV24" s="16" t="s">
        <v>128</v>
      </c>
      <c r="CW24" s="16" t="s">
        <v>111</v>
      </c>
      <c r="CX24" s="21" t="s">
        <v>112</v>
      </c>
      <c r="CY24" s="23"/>
      <c r="CZ24" s="16" t="s">
        <v>114</v>
      </c>
      <c r="DA24" s="21" t="s">
        <v>115</v>
      </c>
      <c r="DB24" s="23"/>
      <c r="DC24" s="16" t="s">
        <v>145</v>
      </c>
      <c r="DD24" s="16" t="s">
        <v>129</v>
      </c>
      <c r="DE24" s="16" t="s">
        <v>129</v>
      </c>
      <c r="DF24" s="16" t="s">
        <v>129</v>
      </c>
      <c r="DG24" s="16" t="s">
        <v>263</v>
      </c>
      <c r="DH24" s="16" t="s">
        <v>264</v>
      </c>
      <c r="DI24" s="16" t="s">
        <v>265</v>
      </c>
      <c r="DJ24" s="16" t="s">
        <v>247</v>
      </c>
      <c r="DK24" s="16" t="s">
        <v>247</v>
      </c>
      <c r="DL24" s="16" t="s">
        <v>247</v>
      </c>
      <c r="DM24" s="16" t="s">
        <v>266</v>
      </c>
      <c r="DN24" s="16" t="s">
        <v>267</v>
      </c>
      <c r="DO24" s="16" t="s">
        <v>268</v>
      </c>
    </row>
    <row r="25" ht="15.75" customHeight="1">
      <c r="A25" s="15">
        <v>23.0</v>
      </c>
      <c r="B25" s="16" t="s">
        <v>269</v>
      </c>
      <c r="C25" s="17">
        <v>3.1701162201111E13</v>
      </c>
      <c r="D25" s="18">
        <v>30.0</v>
      </c>
      <c r="E25" s="16" t="s">
        <v>164</v>
      </c>
      <c r="F25" s="16" t="s">
        <v>165</v>
      </c>
      <c r="G25" s="16" t="s">
        <v>136</v>
      </c>
      <c r="H25" s="20">
        <v>42751.0</v>
      </c>
      <c r="I25" s="18">
        <v>1.0</v>
      </c>
      <c r="J25" s="19"/>
      <c r="K25" s="16" t="s">
        <v>270</v>
      </c>
      <c r="L25" s="21" t="s">
        <v>138</v>
      </c>
      <c r="M25" s="23"/>
      <c r="N25" s="19"/>
      <c r="O25" s="19"/>
      <c r="P25" s="19"/>
      <c r="Q25" s="19"/>
      <c r="R25" s="19"/>
      <c r="S25" s="19"/>
      <c r="T25" s="19"/>
      <c r="U25" s="19"/>
      <c r="V25" s="16" t="s">
        <v>271</v>
      </c>
      <c r="W25" s="16" t="s">
        <v>46</v>
      </c>
      <c r="X25" s="21" t="s">
        <v>47</v>
      </c>
      <c r="Y25" s="23"/>
      <c r="Z25" s="19"/>
      <c r="AA25" s="19"/>
      <c r="AB25" s="19"/>
      <c r="AC25" s="21" t="s">
        <v>52</v>
      </c>
      <c r="AD25" s="23"/>
      <c r="AE25" s="19"/>
      <c r="AF25" s="19"/>
      <c r="AG25" s="19"/>
      <c r="AH25" s="21" t="s">
        <v>123</v>
      </c>
      <c r="AI25" s="23"/>
      <c r="AJ25" s="16" t="s">
        <v>168</v>
      </c>
      <c r="AK25" s="16" t="s">
        <v>153</v>
      </c>
      <c r="AL25" s="16" t="s">
        <v>126</v>
      </c>
      <c r="AM25" s="16" t="s">
        <v>143</v>
      </c>
      <c r="AN25" s="16" t="s">
        <v>143</v>
      </c>
      <c r="AO25" s="16" t="s">
        <v>126</v>
      </c>
      <c r="AP25" s="16" t="s">
        <v>143</v>
      </c>
      <c r="AQ25" s="16" t="s">
        <v>126</v>
      </c>
      <c r="AR25" s="16" t="s">
        <v>143</v>
      </c>
      <c r="AS25" s="21" t="s">
        <v>65</v>
      </c>
      <c r="AT25" s="23"/>
      <c r="AU25" s="16" t="s">
        <v>67</v>
      </c>
      <c r="AV25" s="21" t="s">
        <v>68</v>
      </c>
      <c r="AW25" s="22"/>
      <c r="AX25" s="23"/>
      <c r="AY25" s="19"/>
      <c r="AZ25" s="19"/>
      <c r="BA25" s="19"/>
      <c r="BB25" s="19"/>
      <c r="BC25" s="19"/>
      <c r="BD25" s="19"/>
      <c r="BE25" s="19"/>
      <c r="BF25" s="19"/>
      <c r="BG25" s="16" t="s">
        <v>78</v>
      </c>
      <c r="BH25" s="21" t="s">
        <v>79</v>
      </c>
      <c r="BI25" s="23"/>
      <c r="BJ25" s="19"/>
      <c r="BK25" s="16" t="s">
        <v>81</v>
      </c>
      <c r="BL25" s="19"/>
      <c r="BM25" s="21" t="s">
        <v>83</v>
      </c>
      <c r="BN25" s="23"/>
      <c r="BO25" s="21" t="s">
        <v>85</v>
      </c>
      <c r="BP25" s="22"/>
      <c r="BQ25" s="22"/>
      <c r="BR25" s="23"/>
      <c r="BS25" s="19"/>
      <c r="BT25" s="19"/>
      <c r="BU25" s="21" t="s">
        <v>90</v>
      </c>
      <c r="BV25" s="23"/>
      <c r="BW25" s="21" t="s">
        <v>92</v>
      </c>
      <c r="BX25" s="22"/>
      <c r="BY25" s="23"/>
      <c r="BZ25" s="19"/>
      <c r="CA25" s="19"/>
      <c r="CB25" s="19"/>
      <c r="CC25" s="19"/>
      <c r="CD25" s="19"/>
      <c r="CE25" s="19"/>
      <c r="CF25" s="16" t="s">
        <v>272</v>
      </c>
      <c r="CG25" s="16" t="s">
        <v>128</v>
      </c>
      <c r="CH25" s="19"/>
      <c r="CI25" s="16" t="s">
        <v>101</v>
      </c>
      <c r="CJ25" s="21" t="s">
        <v>102</v>
      </c>
      <c r="CK25" s="22"/>
      <c r="CL25" s="23"/>
      <c r="CM25" s="19"/>
      <c r="CN25" s="16" t="s">
        <v>128</v>
      </c>
      <c r="CO25" s="16" t="s">
        <v>105</v>
      </c>
      <c r="CP25" s="21" t="s">
        <v>106</v>
      </c>
      <c r="CQ25" s="22"/>
      <c r="CR25" s="23"/>
      <c r="CS25" s="21" t="s">
        <v>109</v>
      </c>
      <c r="CT25" s="23"/>
      <c r="CU25" s="19"/>
      <c r="CV25" s="21" t="s">
        <v>154</v>
      </c>
      <c r="CW25" s="23"/>
      <c r="CX25" s="16" t="s">
        <v>112</v>
      </c>
      <c r="CY25" s="21" t="s">
        <v>113</v>
      </c>
      <c r="CZ25" s="22"/>
      <c r="DA25" s="23"/>
      <c r="DB25" s="19"/>
      <c r="DC25" s="16" t="s">
        <v>145</v>
      </c>
      <c r="DD25" s="16" t="s">
        <v>145</v>
      </c>
      <c r="DE25" s="16" t="s">
        <v>129</v>
      </c>
      <c r="DF25" s="16" t="s">
        <v>129</v>
      </c>
      <c r="DG25" s="16" t="s">
        <v>273</v>
      </c>
      <c r="DH25" s="21" t="s">
        <v>147</v>
      </c>
      <c r="DI25" s="23"/>
      <c r="DJ25" s="21" t="s">
        <v>274</v>
      </c>
      <c r="DK25" s="22"/>
      <c r="DL25" s="23"/>
      <c r="DM25" s="16" t="s">
        <v>144</v>
      </c>
      <c r="DN25" s="19"/>
      <c r="DO25" s="19"/>
    </row>
    <row r="26" ht="15.75" customHeight="1">
      <c r="A26" s="15">
        <v>24.0</v>
      </c>
      <c r="B26" s="16" t="s">
        <v>275</v>
      </c>
      <c r="C26" s="17">
        <v>3.1802122202507E13</v>
      </c>
      <c r="D26" s="18">
        <v>63.0</v>
      </c>
      <c r="E26" s="16" t="s">
        <v>240</v>
      </c>
      <c r="F26" s="16" t="s">
        <v>241</v>
      </c>
      <c r="G26" s="16" t="s">
        <v>136</v>
      </c>
      <c r="H26" s="20">
        <v>43143.0</v>
      </c>
      <c r="I26" s="16"/>
      <c r="J26" s="18">
        <v>1.0</v>
      </c>
      <c r="K26" s="16" t="s">
        <v>276</v>
      </c>
      <c r="L26" s="21" t="s">
        <v>138</v>
      </c>
      <c r="M26" s="23"/>
      <c r="N26" s="19"/>
      <c r="O26" s="19"/>
      <c r="P26" s="19"/>
      <c r="Q26" s="19"/>
      <c r="R26" s="19"/>
      <c r="S26" s="19"/>
      <c r="T26" s="19"/>
      <c r="U26" s="19"/>
      <c r="V26" s="16" t="s">
        <v>139</v>
      </c>
      <c r="W26" s="16" t="s">
        <v>46</v>
      </c>
      <c r="X26" s="21" t="s">
        <v>47</v>
      </c>
      <c r="Y26" s="23"/>
      <c r="Z26" s="19"/>
      <c r="AA26" s="19"/>
      <c r="AB26" s="19"/>
      <c r="AC26" s="19"/>
      <c r="AD26" s="19"/>
      <c r="AE26" s="19"/>
      <c r="AF26" s="19"/>
      <c r="AG26" s="19"/>
      <c r="AH26" s="21" t="s">
        <v>123</v>
      </c>
      <c r="AI26" s="23"/>
      <c r="AJ26" s="16" t="s">
        <v>168</v>
      </c>
      <c r="AK26" s="16" t="s">
        <v>153</v>
      </c>
      <c r="AL26" s="16" t="s">
        <v>181</v>
      </c>
      <c r="AM26" s="16" t="s">
        <v>181</v>
      </c>
      <c r="AN26" s="16" t="s">
        <v>126</v>
      </c>
      <c r="AO26" s="16" t="s">
        <v>181</v>
      </c>
      <c r="AP26" s="16" t="s">
        <v>181</v>
      </c>
      <c r="AQ26" s="16" t="s">
        <v>181</v>
      </c>
      <c r="AR26" s="16" t="s">
        <v>181</v>
      </c>
      <c r="AS26" s="21" t="s">
        <v>65</v>
      </c>
      <c r="AT26" s="22"/>
      <c r="AU26" s="23"/>
      <c r="AV26" s="19"/>
      <c r="AW26" s="19"/>
      <c r="AX26" s="19"/>
      <c r="AY26" s="21" t="s">
        <v>71</v>
      </c>
      <c r="AZ26" s="22"/>
      <c r="BA26" s="23"/>
      <c r="BB26" s="19"/>
      <c r="BC26" s="19"/>
      <c r="BD26" s="19"/>
      <c r="BE26" s="19"/>
      <c r="BF26" s="19"/>
      <c r="BG26" s="21" t="s">
        <v>78</v>
      </c>
      <c r="BH26" s="23"/>
      <c r="BI26" s="19"/>
      <c r="BJ26" s="19"/>
      <c r="BK26" s="16" t="s">
        <v>81</v>
      </c>
      <c r="BL26" s="19"/>
      <c r="BM26" s="19"/>
      <c r="BN26" s="16" t="s">
        <v>84</v>
      </c>
      <c r="BO26" s="21" t="s">
        <v>85</v>
      </c>
      <c r="BP26" s="22"/>
      <c r="BQ26" s="22"/>
      <c r="BR26" s="23"/>
      <c r="BS26" s="19"/>
      <c r="BT26" s="19"/>
      <c r="BU26" s="19"/>
      <c r="BV26" s="19"/>
      <c r="BW26" s="19"/>
      <c r="BX26" s="19"/>
      <c r="BY26" s="19"/>
      <c r="BZ26" s="19"/>
      <c r="CA26" s="19"/>
      <c r="CB26" s="21" t="s">
        <v>96</v>
      </c>
      <c r="CC26" s="23"/>
      <c r="CD26" s="19"/>
      <c r="CE26" s="19"/>
      <c r="CF26" s="19"/>
      <c r="CG26" s="16" t="s">
        <v>128</v>
      </c>
      <c r="CH26" s="21" t="s">
        <v>100</v>
      </c>
      <c r="CI26" s="23"/>
      <c r="CJ26" s="19"/>
      <c r="CK26" s="19"/>
      <c r="CL26" s="21" t="s">
        <v>104</v>
      </c>
      <c r="CM26" s="23"/>
      <c r="CN26" s="16" t="s">
        <v>128</v>
      </c>
      <c r="CO26" s="21" t="s">
        <v>105</v>
      </c>
      <c r="CP26" s="22"/>
      <c r="CQ26" s="23"/>
      <c r="CR26" s="16" t="s">
        <v>108</v>
      </c>
      <c r="CS26" s="16" t="s">
        <v>109</v>
      </c>
      <c r="CT26" s="21" t="s">
        <v>110</v>
      </c>
      <c r="CU26" s="23"/>
      <c r="CV26" s="16" t="s">
        <v>128</v>
      </c>
      <c r="CW26" s="16" t="s">
        <v>111</v>
      </c>
      <c r="CX26" s="21" t="s">
        <v>112</v>
      </c>
      <c r="CY26" s="23"/>
      <c r="CZ26" s="16" t="s">
        <v>114</v>
      </c>
      <c r="DA26" s="21" t="s">
        <v>115</v>
      </c>
      <c r="DB26" s="23"/>
      <c r="DC26" s="16" t="s">
        <v>145</v>
      </c>
      <c r="DD26" s="16" t="s">
        <v>129</v>
      </c>
      <c r="DE26" s="16" t="s">
        <v>129</v>
      </c>
      <c r="DF26" s="16" t="s">
        <v>145</v>
      </c>
      <c r="DG26" s="16" t="s">
        <v>277</v>
      </c>
      <c r="DH26" s="16" t="s">
        <v>278</v>
      </c>
      <c r="DI26" s="16" t="s">
        <v>246</v>
      </c>
      <c r="DJ26" s="16" t="s">
        <v>247</v>
      </c>
      <c r="DK26" s="16" t="s">
        <v>247</v>
      </c>
      <c r="DL26" s="16" t="s">
        <v>247</v>
      </c>
      <c r="DM26" s="16" t="s">
        <v>279</v>
      </c>
      <c r="DN26" s="21" t="s">
        <v>249</v>
      </c>
      <c r="DO26" s="23"/>
    </row>
    <row r="27" ht="15.75" customHeight="1">
      <c r="A27" s="15">
        <v>25.0</v>
      </c>
      <c r="B27" s="16" t="s">
        <v>280</v>
      </c>
      <c r="C27" s="17">
        <v>3.1602132201976E13</v>
      </c>
      <c r="D27" s="18">
        <v>69.0</v>
      </c>
      <c r="E27" s="16" t="s">
        <v>281</v>
      </c>
      <c r="F27" s="16" t="s">
        <v>241</v>
      </c>
      <c r="G27" s="16" t="s">
        <v>136</v>
      </c>
      <c r="H27" s="20">
        <v>42413.0</v>
      </c>
      <c r="I27" s="18">
        <v>1.0</v>
      </c>
      <c r="J27" s="19"/>
      <c r="K27" s="16" t="s">
        <v>282</v>
      </c>
      <c r="L27" s="21" t="s">
        <v>138</v>
      </c>
      <c r="M27" s="23"/>
      <c r="N27" s="19"/>
      <c r="O27" s="19"/>
      <c r="P27" s="19"/>
      <c r="Q27" s="19"/>
      <c r="R27" s="19"/>
      <c r="S27" s="19"/>
      <c r="T27" s="19"/>
      <c r="U27" s="19"/>
      <c r="V27" s="16" t="s">
        <v>139</v>
      </c>
      <c r="W27" s="19"/>
      <c r="X27" s="21" t="s">
        <v>47</v>
      </c>
      <c r="Y27" s="23"/>
      <c r="Z27" s="19"/>
      <c r="AA27" s="19"/>
      <c r="AB27" s="19"/>
      <c r="AC27" s="19"/>
      <c r="AD27" s="19"/>
      <c r="AE27" s="19"/>
      <c r="AF27" s="19"/>
      <c r="AG27" s="19"/>
      <c r="AH27" s="21" t="s">
        <v>123</v>
      </c>
      <c r="AI27" s="23"/>
      <c r="AJ27" s="16" t="s">
        <v>168</v>
      </c>
      <c r="AK27" s="16" t="s">
        <v>153</v>
      </c>
      <c r="AL27" s="16" t="s">
        <v>126</v>
      </c>
      <c r="AM27" s="16" t="s">
        <v>181</v>
      </c>
      <c r="AN27" s="16" t="s">
        <v>126</v>
      </c>
      <c r="AO27" s="16" t="s">
        <v>181</v>
      </c>
      <c r="AP27" s="16" t="s">
        <v>181</v>
      </c>
      <c r="AQ27" s="16" t="s">
        <v>181</v>
      </c>
      <c r="AR27" s="16" t="s">
        <v>126</v>
      </c>
      <c r="AS27" s="21" t="s">
        <v>65</v>
      </c>
      <c r="AT27" s="23"/>
      <c r="AU27" s="21" t="s">
        <v>67</v>
      </c>
      <c r="AV27" s="22"/>
      <c r="AW27" s="23"/>
      <c r="AX27" s="19"/>
      <c r="AY27" s="19"/>
      <c r="AZ27" s="19"/>
      <c r="BA27" s="19"/>
      <c r="BB27" s="19"/>
      <c r="BC27" s="19"/>
      <c r="BD27" s="19"/>
      <c r="BE27" s="19"/>
      <c r="BF27" s="19"/>
      <c r="BG27" s="21" t="s">
        <v>78</v>
      </c>
      <c r="BH27" s="23"/>
      <c r="BI27" s="19"/>
      <c r="BJ27" s="19"/>
      <c r="BK27" s="19"/>
      <c r="BL27" s="21" t="s">
        <v>82</v>
      </c>
      <c r="BM27" s="23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6" t="s">
        <v>144</v>
      </c>
      <c r="CG27" s="16" t="s">
        <v>128</v>
      </c>
      <c r="CH27" s="21" t="s">
        <v>100</v>
      </c>
      <c r="CI27" s="23"/>
      <c r="CJ27" s="19"/>
      <c r="CK27" s="19"/>
      <c r="CL27" s="19"/>
      <c r="CM27" s="19"/>
      <c r="CN27" s="16" t="s">
        <v>128</v>
      </c>
      <c r="CO27" s="21" t="s">
        <v>105</v>
      </c>
      <c r="CP27" s="23"/>
      <c r="CQ27" s="16" t="s">
        <v>107</v>
      </c>
      <c r="CR27" s="21" t="s">
        <v>108</v>
      </c>
      <c r="CS27" s="23"/>
      <c r="CT27" s="21" t="s">
        <v>110</v>
      </c>
      <c r="CU27" s="23"/>
      <c r="CV27" s="16" t="s">
        <v>128</v>
      </c>
      <c r="CW27" s="19"/>
      <c r="CX27" s="19"/>
      <c r="CY27" s="19"/>
      <c r="CZ27" s="16" t="s">
        <v>114</v>
      </c>
      <c r="DA27" s="21" t="s">
        <v>115</v>
      </c>
      <c r="DB27" s="23"/>
      <c r="DC27" s="16" t="s">
        <v>129</v>
      </c>
      <c r="DD27" s="16" t="s">
        <v>129</v>
      </c>
      <c r="DE27" s="16" t="s">
        <v>129</v>
      </c>
      <c r="DF27" s="16" t="s">
        <v>129</v>
      </c>
      <c r="DG27" s="16" t="s">
        <v>283</v>
      </c>
      <c r="DH27" s="16" t="s">
        <v>284</v>
      </c>
      <c r="DI27" s="16" t="s">
        <v>285</v>
      </c>
      <c r="DJ27" s="16" t="s">
        <v>127</v>
      </c>
      <c r="DK27" s="16" t="s">
        <v>144</v>
      </c>
      <c r="DL27" s="16" t="s">
        <v>144</v>
      </c>
      <c r="DM27" s="16" t="s">
        <v>286</v>
      </c>
      <c r="DN27" s="21" t="s">
        <v>287</v>
      </c>
      <c r="DO27" s="23"/>
    </row>
    <row r="28" ht="15.75" customHeight="1">
      <c r="A28" s="15">
        <v>26.0</v>
      </c>
      <c r="B28" s="16" t="s">
        <v>288</v>
      </c>
      <c r="C28" s="17">
        <v>3.1404022201265E13</v>
      </c>
      <c r="D28" s="18">
        <v>123.0</v>
      </c>
      <c r="E28" s="16" t="s">
        <v>281</v>
      </c>
      <c r="F28" s="16" t="s">
        <v>241</v>
      </c>
      <c r="G28" s="16" t="s">
        <v>136</v>
      </c>
      <c r="H28" s="20">
        <v>41731.0</v>
      </c>
      <c r="I28" s="16"/>
      <c r="J28" s="18">
        <v>1.0</v>
      </c>
      <c r="K28" s="16" t="s">
        <v>289</v>
      </c>
      <c r="L28" s="21" t="s">
        <v>138</v>
      </c>
      <c r="M28" s="23"/>
      <c r="N28" s="19"/>
      <c r="O28" s="19"/>
      <c r="P28" s="19"/>
      <c r="Q28" s="19"/>
      <c r="R28" s="19"/>
      <c r="S28" s="19"/>
      <c r="T28" s="19"/>
      <c r="U28" s="19"/>
      <c r="V28" s="21" t="s">
        <v>290</v>
      </c>
      <c r="W28" s="23"/>
      <c r="X28" s="19"/>
      <c r="Y28" s="19"/>
      <c r="Z28" s="16" t="s">
        <v>49</v>
      </c>
      <c r="AA28" s="19"/>
      <c r="AB28" s="21" t="s">
        <v>51</v>
      </c>
      <c r="AC28" s="23"/>
      <c r="AD28" s="19"/>
      <c r="AE28" s="19"/>
      <c r="AF28" s="19"/>
      <c r="AG28" s="19"/>
      <c r="AH28" s="21" t="s">
        <v>152</v>
      </c>
      <c r="AI28" s="23"/>
      <c r="AJ28" s="16" t="s">
        <v>124</v>
      </c>
      <c r="AK28" s="16" t="s">
        <v>125</v>
      </c>
      <c r="AL28" s="16" t="s">
        <v>126</v>
      </c>
      <c r="AM28" s="16" t="s">
        <v>126</v>
      </c>
      <c r="AN28" s="16" t="s">
        <v>126</v>
      </c>
      <c r="AO28" s="16" t="s">
        <v>181</v>
      </c>
      <c r="AP28" s="16" t="s">
        <v>126</v>
      </c>
      <c r="AQ28" s="16" t="s">
        <v>126</v>
      </c>
      <c r="AR28" s="16" t="s">
        <v>126</v>
      </c>
      <c r="AS28" s="19"/>
      <c r="AT28" s="19"/>
      <c r="AU28" s="19"/>
      <c r="AV28" s="19"/>
      <c r="AW28" s="19"/>
      <c r="AX28" s="19"/>
      <c r="AY28" s="19"/>
      <c r="AZ28" s="21" t="s">
        <v>291</v>
      </c>
      <c r="BA28" s="23"/>
      <c r="BB28" s="19"/>
      <c r="BC28" s="19"/>
      <c r="BD28" s="19"/>
      <c r="BE28" s="19"/>
      <c r="BF28" s="19"/>
      <c r="BG28" s="19"/>
      <c r="BH28" s="19"/>
      <c r="BI28" s="19"/>
      <c r="BJ28" s="21" t="s">
        <v>80</v>
      </c>
      <c r="BK28" s="23"/>
      <c r="BL28" s="19"/>
      <c r="BM28" s="19"/>
      <c r="BN28" s="19"/>
      <c r="BO28" s="21" t="s">
        <v>85</v>
      </c>
      <c r="BP28" s="22"/>
      <c r="BQ28" s="22"/>
      <c r="BR28" s="23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6" t="s">
        <v>292</v>
      </c>
      <c r="CG28" s="16" t="s">
        <v>158</v>
      </c>
      <c r="CH28" s="21" t="s">
        <v>100</v>
      </c>
      <c r="CI28" s="23"/>
      <c r="CJ28" s="19"/>
      <c r="CK28" s="19"/>
      <c r="CL28" s="21" t="s">
        <v>104</v>
      </c>
      <c r="CM28" s="23"/>
      <c r="CN28" s="16" t="s">
        <v>128</v>
      </c>
      <c r="CO28" s="19"/>
      <c r="CP28" s="19"/>
      <c r="CQ28" s="19"/>
      <c r="CR28" s="19"/>
      <c r="CS28" s="16" t="s">
        <v>109</v>
      </c>
      <c r="CT28" s="21" t="s">
        <v>110</v>
      </c>
      <c r="CU28" s="23"/>
      <c r="CV28" s="21" t="s">
        <v>154</v>
      </c>
      <c r="CW28" s="23"/>
      <c r="CX28" s="19"/>
      <c r="CY28" s="19"/>
      <c r="CZ28" s="19"/>
      <c r="DA28" s="21" t="s">
        <v>115</v>
      </c>
      <c r="DB28" s="23"/>
      <c r="DC28" s="16" t="s">
        <v>145</v>
      </c>
      <c r="DD28" s="16" t="s">
        <v>129</v>
      </c>
      <c r="DE28" s="16" t="s">
        <v>129</v>
      </c>
      <c r="DF28" s="16" t="s">
        <v>129</v>
      </c>
      <c r="DG28" s="16" t="s">
        <v>264</v>
      </c>
      <c r="DH28" s="16" t="s">
        <v>293</v>
      </c>
      <c r="DI28" s="16" t="s">
        <v>294</v>
      </c>
      <c r="DJ28" s="16" t="s">
        <v>127</v>
      </c>
      <c r="DK28" s="16" t="s">
        <v>144</v>
      </c>
      <c r="DL28" s="16" t="s">
        <v>144</v>
      </c>
      <c r="DM28" s="21" t="s">
        <v>295</v>
      </c>
      <c r="DN28" s="23"/>
      <c r="DO28" s="19"/>
    </row>
    <row r="29" ht="15.75" customHeight="1">
      <c r="A29" s="15">
        <v>27.0</v>
      </c>
      <c r="B29" s="16" t="s">
        <v>296</v>
      </c>
      <c r="C29" s="17">
        <v>2.8003132201433E13</v>
      </c>
      <c r="D29" s="18">
        <v>127.0</v>
      </c>
      <c r="E29" s="16" t="s">
        <v>281</v>
      </c>
      <c r="F29" s="16" t="s">
        <v>241</v>
      </c>
      <c r="G29" s="16" t="s">
        <v>136</v>
      </c>
      <c r="H29" s="20">
        <v>29293.0</v>
      </c>
      <c r="I29" s="18">
        <v>1.0</v>
      </c>
      <c r="J29" s="19"/>
      <c r="K29" s="16" t="s">
        <v>289</v>
      </c>
      <c r="L29" s="21" t="s">
        <v>138</v>
      </c>
      <c r="M29" s="23"/>
      <c r="N29" s="19"/>
      <c r="O29" s="19"/>
      <c r="P29" s="19"/>
      <c r="Q29" s="19"/>
      <c r="R29" s="19"/>
      <c r="S29" s="19"/>
      <c r="T29" s="19"/>
      <c r="U29" s="19"/>
      <c r="V29" s="21" t="s">
        <v>290</v>
      </c>
      <c r="W29" s="23"/>
      <c r="X29" s="19"/>
      <c r="Y29" s="19"/>
      <c r="Z29" s="16" t="s">
        <v>49</v>
      </c>
      <c r="AA29" s="19"/>
      <c r="AB29" s="16" t="s">
        <v>51</v>
      </c>
      <c r="AC29" s="21" t="s">
        <v>52</v>
      </c>
      <c r="AD29" s="23"/>
      <c r="AE29" s="19"/>
      <c r="AF29" s="19"/>
      <c r="AG29" s="19"/>
      <c r="AH29" s="21" t="s">
        <v>152</v>
      </c>
      <c r="AI29" s="23"/>
      <c r="AJ29" s="16" t="s">
        <v>124</v>
      </c>
      <c r="AK29" s="16" t="s">
        <v>125</v>
      </c>
      <c r="AL29" s="16" t="s">
        <v>126</v>
      </c>
      <c r="AM29" s="16" t="s">
        <v>126</v>
      </c>
      <c r="AN29" s="16" t="s">
        <v>126</v>
      </c>
      <c r="AO29" s="16" t="s">
        <v>126</v>
      </c>
      <c r="AP29" s="16" t="s">
        <v>143</v>
      </c>
      <c r="AQ29" s="16" t="s">
        <v>181</v>
      </c>
      <c r="AR29" s="16" t="s">
        <v>126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21" t="s">
        <v>77</v>
      </c>
      <c r="BF29" s="22"/>
      <c r="BG29" s="22"/>
      <c r="BH29" s="23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6" t="s">
        <v>88</v>
      </c>
      <c r="BT29" s="21" t="s">
        <v>89</v>
      </c>
      <c r="BU29" s="22"/>
      <c r="BV29" s="23"/>
      <c r="BW29" s="19"/>
      <c r="BX29" s="19"/>
      <c r="BY29" s="19"/>
      <c r="BZ29" s="19"/>
      <c r="CA29" s="19"/>
      <c r="CB29" s="21" t="s">
        <v>96</v>
      </c>
      <c r="CC29" s="23"/>
      <c r="CD29" s="19"/>
      <c r="CE29" s="19"/>
      <c r="CF29" s="19"/>
      <c r="CG29" s="16" t="s">
        <v>128</v>
      </c>
      <c r="CH29" s="21" t="s">
        <v>100</v>
      </c>
      <c r="CI29" s="23"/>
      <c r="CJ29" s="19"/>
      <c r="CK29" s="19"/>
      <c r="CL29" s="19"/>
      <c r="CM29" s="19"/>
      <c r="CN29" s="16" t="s">
        <v>128</v>
      </c>
      <c r="CO29" s="19"/>
      <c r="CP29" s="19"/>
      <c r="CQ29" s="16" t="s">
        <v>107</v>
      </c>
      <c r="CR29" s="16" t="s">
        <v>108</v>
      </c>
      <c r="CS29" s="21" t="s">
        <v>109</v>
      </c>
      <c r="CT29" s="23"/>
      <c r="CU29" s="19"/>
      <c r="CV29" s="21" t="s">
        <v>154</v>
      </c>
      <c r="CW29" s="23"/>
      <c r="CX29" s="19"/>
      <c r="CY29" s="19"/>
      <c r="CZ29" s="16" t="s">
        <v>114</v>
      </c>
      <c r="DA29" s="21" t="s">
        <v>115</v>
      </c>
      <c r="DB29" s="23"/>
      <c r="DC29" s="16" t="s">
        <v>145</v>
      </c>
      <c r="DD29" s="16" t="s">
        <v>129</v>
      </c>
      <c r="DE29" s="16" t="s">
        <v>129</v>
      </c>
      <c r="DF29" s="16" t="s">
        <v>145</v>
      </c>
      <c r="DG29" s="16" t="s">
        <v>264</v>
      </c>
      <c r="DH29" s="16" t="s">
        <v>297</v>
      </c>
      <c r="DI29" s="16" t="s">
        <v>298</v>
      </c>
      <c r="DJ29" s="16" t="s">
        <v>127</v>
      </c>
      <c r="DK29" s="16" t="s">
        <v>144</v>
      </c>
      <c r="DL29" s="16" t="s">
        <v>144</v>
      </c>
      <c r="DM29" s="16" t="s">
        <v>286</v>
      </c>
      <c r="DN29" s="16" t="s">
        <v>299</v>
      </c>
      <c r="DO29" s="16" t="s">
        <v>300</v>
      </c>
    </row>
    <row r="30" ht="15.75" customHeight="1">
      <c r="A30" s="15">
        <v>28.0</v>
      </c>
      <c r="B30" s="16" t="s">
        <v>301</v>
      </c>
      <c r="C30" s="17">
        <v>3.1209012206407E13</v>
      </c>
      <c r="D30" s="18">
        <v>134.0</v>
      </c>
      <c r="E30" s="16" t="s">
        <v>281</v>
      </c>
      <c r="F30" s="16" t="s">
        <v>241</v>
      </c>
      <c r="G30" s="16" t="s">
        <v>136</v>
      </c>
      <c r="H30" s="20">
        <v>41153.0</v>
      </c>
      <c r="I30" s="16"/>
      <c r="J30" s="18">
        <v>1.0</v>
      </c>
      <c r="K30" s="16" t="s">
        <v>289</v>
      </c>
      <c r="L30" s="21" t="s">
        <v>138</v>
      </c>
      <c r="M30" s="23"/>
      <c r="N30" s="19"/>
      <c r="O30" s="19"/>
      <c r="P30" s="19"/>
      <c r="Q30" s="19"/>
      <c r="R30" s="19"/>
      <c r="S30" s="19"/>
      <c r="T30" s="19"/>
      <c r="U30" s="19"/>
      <c r="V30" s="16" t="s">
        <v>139</v>
      </c>
      <c r="W30" s="19"/>
      <c r="X30" s="21" t="s">
        <v>47</v>
      </c>
      <c r="Y30" s="23"/>
      <c r="Z30" s="19"/>
      <c r="AA30" s="19"/>
      <c r="AB30" s="19"/>
      <c r="AC30" s="19"/>
      <c r="AD30" s="19"/>
      <c r="AE30" s="19"/>
      <c r="AF30" s="19"/>
      <c r="AG30" s="19"/>
      <c r="AH30" s="21" t="s">
        <v>123</v>
      </c>
      <c r="AI30" s="23"/>
      <c r="AJ30" s="16" t="s">
        <v>124</v>
      </c>
      <c r="AK30" s="16" t="s">
        <v>153</v>
      </c>
      <c r="AL30" s="16" t="s">
        <v>181</v>
      </c>
      <c r="AM30" s="16" t="s">
        <v>126</v>
      </c>
      <c r="AN30" s="16" t="s">
        <v>126</v>
      </c>
      <c r="AO30" s="16" t="s">
        <v>181</v>
      </c>
      <c r="AP30" s="16" t="s">
        <v>181</v>
      </c>
      <c r="AQ30" s="16" t="s">
        <v>181</v>
      </c>
      <c r="AR30" s="16" t="s">
        <v>181</v>
      </c>
      <c r="AS30" s="21" t="s">
        <v>65</v>
      </c>
      <c r="AT30" s="23"/>
      <c r="AU30" s="16" t="s">
        <v>67</v>
      </c>
      <c r="AV30" s="21" t="s">
        <v>68</v>
      </c>
      <c r="AW30" s="23"/>
      <c r="AX30" s="16" t="s">
        <v>70</v>
      </c>
      <c r="AY30" s="21" t="s">
        <v>71</v>
      </c>
      <c r="AZ30" s="22"/>
      <c r="BA30" s="23"/>
      <c r="BB30" s="19"/>
      <c r="BC30" s="19"/>
      <c r="BD30" s="19"/>
      <c r="BE30" s="19"/>
      <c r="BF30" s="19"/>
      <c r="BG30" s="21" t="s">
        <v>78</v>
      </c>
      <c r="BH30" s="23"/>
      <c r="BI30" s="19"/>
      <c r="BJ30" s="19"/>
      <c r="BK30" s="19"/>
      <c r="BL30" s="16" t="s">
        <v>82</v>
      </c>
      <c r="BM30" s="21" t="s">
        <v>83</v>
      </c>
      <c r="BN30" s="22"/>
      <c r="BO30" s="23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6" t="s">
        <v>127</v>
      </c>
      <c r="CG30" s="16" t="s">
        <v>128</v>
      </c>
      <c r="CH30" s="21" t="s">
        <v>100</v>
      </c>
      <c r="CI30" s="23"/>
      <c r="CJ30" s="21" t="s">
        <v>102</v>
      </c>
      <c r="CK30" s="22"/>
      <c r="CL30" s="23"/>
      <c r="CM30" s="19"/>
      <c r="CN30" s="16" t="s">
        <v>302</v>
      </c>
      <c r="CO30" s="19"/>
      <c r="CP30" s="19"/>
      <c r="CQ30" s="19"/>
      <c r="CR30" s="19"/>
      <c r="CS30" s="19"/>
      <c r="CT30" s="19"/>
      <c r="CU30" s="19"/>
      <c r="CV30" s="16" t="s">
        <v>128</v>
      </c>
      <c r="CW30" s="19"/>
      <c r="CX30" s="19"/>
      <c r="CY30" s="19"/>
      <c r="CZ30" s="19"/>
      <c r="DA30" s="21" t="s">
        <v>115</v>
      </c>
      <c r="DB30" s="23"/>
      <c r="DC30" s="16" t="s">
        <v>145</v>
      </c>
      <c r="DD30" s="16" t="s">
        <v>129</v>
      </c>
      <c r="DE30" s="16" t="s">
        <v>129</v>
      </c>
      <c r="DF30" s="16" t="s">
        <v>145</v>
      </c>
      <c r="DG30" s="16" t="s">
        <v>298</v>
      </c>
      <c r="DH30" s="16" t="s">
        <v>118</v>
      </c>
      <c r="DI30" s="16" t="s">
        <v>303</v>
      </c>
      <c r="DJ30" s="16" t="s">
        <v>127</v>
      </c>
      <c r="DK30" s="16" t="s">
        <v>144</v>
      </c>
      <c r="DL30" s="16" t="s">
        <v>144</v>
      </c>
      <c r="DM30" s="16" t="s">
        <v>304</v>
      </c>
      <c r="DN30" s="16" t="s">
        <v>305</v>
      </c>
      <c r="DO30" s="16" t="s">
        <v>306</v>
      </c>
    </row>
    <row r="31" ht="15.75" customHeight="1">
      <c r="A31" s="15">
        <v>29.0</v>
      </c>
      <c r="B31" s="16" t="s">
        <v>307</v>
      </c>
      <c r="C31" s="17">
        <v>3.1912122202205E13</v>
      </c>
      <c r="D31" s="18">
        <v>72.0</v>
      </c>
      <c r="E31" s="16" t="s">
        <v>281</v>
      </c>
      <c r="F31" s="16" t="s">
        <v>241</v>
      </c>
      <c r="G31" s="16" t="s">
        <v>136</v>
      </c>
      <c r="H31" s="25">
        <v>43811.0</v>
      </c>
      <c r="I31" s="16"/>
      <c r="J31" s="18">
        <v>1.0</v>
      </c>
      <c r="K31" s="16" t="s">
        <v>308</v>
      </c>
      <c r="L31" s="21" t="s">
        <v>138</v>
      </c>
      <c r="M31" s="23"/>
      <c r="N31" s="19"/>
      <c r="O31" s="19"/>
      <c r="P31" s="19"/>
      <c r="Q31" s="19"/>
      <c r="R31" s="19"/>
      <c r="S31" s="19"/>
      <c r="T31" s="19"/>
      <c r="U31" s="19"/>
      <c r="V31" s="16" t="s">
        <v>139</v>
      </c>
      <c r="W31" s="16" t="s">
        <v>46</v>
      </c>
      <c r="X31" s="21" t="s">
        <v>47</v>
      </c>
      <c r="Y31" s="23"/>
      <c r="Z31" s="19"/>
      <c r="AA31" s="19"/>
      <c r="AB31" s="19"/>
      <c r="AC31" s="19"/>
      <c r="AD31" s="19"/>
      <c r="AE31" s="19"/>
      <c r="AF31" s="19"/>
      <c r="AG31" s="19"/>
      <c r="AH31" s="21" t="s">
        <v>123</v>
      </c>
      <c r="AI31" s="23"/>
      <c r="AJ31" s="16" t="s">
        <v>168</v>
      </c>
      <c r="AK31" s="16" t="s">
        <v>153</v>
      </c>
      <c r="AL31" s="16" t="s">
        <v>126</v>
      </c>
      <c r="AM31" s="16" t="s">
        <v>126</v>
      </c>
      <c r="AN31" s="16" t="s">
        <v>126</v>
      </c>
      <c r="AO31" s="16" t="s">
        <v>181</v>
      </c>
      <c r="AP31" s="16" t="s">
        <v>126</v>
      </c>
      <c r="AQ31" s="16" t="s">
        <v>181</v>
      </c>
      <c r="AR31" s="16" t="s">
        <v>126</v>
      </c>
      <c r="AS31" s="21" t="s">
        <v>65</v>
      </c>
      <c r="AT31" s="22"/>
      <c r="AU31" s="23"/>
      <c r="AV31" s="19"/>
      <c r="AW31" s="21" t="s">
        <v>69</v>
      </c>
      <c r="AX31" s="22"/>
      <c r="AY31" s="23"/>
      <c r="AZ31" s="19"/>
      <c r="BA31" s="19"/>
      <c r="BB31" s="19"/>
      <c r="BC31" s="19"/>
      <c r="BD31" s="19"/>
      <c r="BE31" s="19"/>
      <c r="BF31" s="19"/>
      <c r="BG31" s="21" t="s">
        <v>78</v>
      </c>
      <c r="BH31" s="23"/>
      <c r="BI31" s="19"/>
      <c r="BJ31" s="19"/>
      <c r="BK31" s="16" t="s">
        <v>81</v>
      </c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21" t="s">
        <v>96</v>
      </c>
      <c r="CC31" s="23"/>
      <c r="CD31" s="19"/>
      <c r="CE31" s="19"/>
      <c r="CF31" s="19"/>
      <c r="CG31" s="16" t="s">
        <v>128</v>
      </c>
      <c r="CH31" s="19"/>
      <c r="CI31" s="19"/>
      <c r="CJ31" s="21" t="s">
        <v>102</v>
      </c>
      <c r="CK31" s="23"/>
      <c r="CL31" s="21" t="s">
        <v>104</v>
      </c>
      <c r="CM31" s="23"/>
      <c r="CN31" s="16" t="s">
        <v>128</v>
      </c>
      <c r="CO31" s="21" t="s">
        <v>105</v>
      </c>
      <c r="CP31" s="22"/>
      <c r="CQ31" s="23"/>
      <c r="CR31" s="19"/>
      <c r="CS31" s="16" t="s">
        <v>109</v>
      </c>
      <c r="CT31" s="21" t="s">
        <v>110</v>
      </c>
      <c r="CU31" s="23"/>
      <c r="CV31" s="16" t="s">
        <v>128</v>
      </c>
      <c r="CW31" s="19"/>
      <c r="CX31" s="19"/>
      <c r="CY31" s="19"/>
      <c r="CZ31" s="19"/>
      <c r="DA31" s="21" t="s">
        <v>115</v>
      </c>
      <c r="DB31" s="23"/>
      <c r="DC31" s="16" t="s">
        <v>145</v>
      </c>
      <c r="DD31" s="16" t="s">
        <v>145</v>
      </c>
      <c r="DE31" s="16" t="s">
        <v>145</v>
      </c>
      <c r="DF31" s="16" t="s">
        <v>145</v>
      </c>
      <c r="DG31" s="16" t="s">
        <v>309</v>
      </c>
      <c r="DH31" s="21" t="s">
        <v>310</v>
      </c>
      <c r="DI31" s="22"/>
      <c r="DJ31" s="22"/>
      <c r="DK31" s="23"/>
      <c r="DL31" s="19"/>
      <c r="DM31" s="21" t="s">
        <v>311</v>
      </c>
      <c r="DN31" s="23"/>
      <c r="DO31" s="19"/>
    </row>
    <row r="32" ht="15.75" customHeight="1">
      <c r="A32" s="15">
        <v>30.0</v>
      </c>
      <c r="B32" s="16" t="s">
        <v>312</v>
      </c>
      <c r="C32" s="17">
        <v>3.0610082200964E13</v>
      </c>
      <c r="D32" s="18">
        <v>143.0</v>
      </c>
      <c r="E32" s="16" t="s">
        <v>281</v>
      </c>
      <c r="F32" s="16" t="s">
        <v>241</v>
      </c>
      <c r="G32" s="16" t="s">
        <v>136</v>
      </c>
      <c r="H32" s="20">
        <v>38998.0</v>
      </c>
      <c r="I32" s="16"/>
      <c r="J32" s="18">
        <v>1.0</v>
      </c>
      <c r="K32" s="19"/>
      <c r="L32" s="16" t="s">
        <v>122</v>
      </c>
      <c r="M32" s="19"/>
      <c r="N32" s="19"/>
      <c r="O32" s="19"/>
      <c r="P32" s="19"/>
      <c r="Q32" s="19"/>
      <c r="R32" s="19"/>
      <c r="S32" s="19"/>
      <c r="T32" s="19"/>
      <c r="U32" s="21" t="s">
        <v>44</v>
      </c>
      <c r="V32" s="22"/>
      <c r="W32" s="23"/>
      <c r="X32" s="21" t="s">
        <v>47</v>
      </c>
      <c r="Y32" s="23"/>
      <c r="Z32" s="16" t="s">
        <v>49</v>
      </c>
      <c r="AA32" s="19"/>
      <c r="AB32" s="21" t="s">
        <v>51</v>
      </c>
      <c r="AC32" s="23"/>
      <c r="AD32" s="19"/>
      <c r="AE32" s="19"/>
      <c r="AF32" s="19"/>
      <c r="AG32" s="19"/>
      <c r="AH32" s="16" t="s">
        <v>313</v>
      </c>
      <c r="AI32" s="19"/>
      <c r="AJ32" s="16" t="s">
        <v>243</v>
      </c>
      <c r="AK32" s="16" t="s">
        <v>244</v>
      </c>
      <c r="AL32" s="16" t="s">
        <v>126</v>
      </c>
      <c r="AM32" s="16" t="s">
        <v>126</v>
      </c>
      <c r="AN32" s="16" t="s">
        <v>143</v>
      </c>
      <c r="AO32" s="16" t="s">
        <v>126</v>
      </c>
      <c r="AP32" s="16" t="s">
        <v>126</v>
      </c>
      <c r="AQ32" s="16" t="s">
        <v>126</v>
      </c>
      <c r="AR32" s="16" t="s">
        <v>126</v>
      </c>
      <c r="AS32" s="19"/>
      <c r="AT32" s="19"/>
      <c r="AU32" s="19"/>
      <c r="AV32" s="19"/>
      <c r="AW32" s="19"/>
      <c r="AX32" s="19"/>
      <c r="AY32" s="19"/>
      <c r="AZ32" s="19"/>
      <c r="BA32" s="19"/>
      <c r="BB32" s="21" t="s">
        <v>74</v>
      </c>
      <c r="BC32" s="23"/>
      <c r="BD32" s="16" t="s">
        <v>76</v>
      </c>
      <c r="BE32" s="21" t="s">
        <v>77</v>
      </c>
      <c r="BF32" s="23"/>
      <c r="BG32" s="21" t="s">
        <v>78</v>
      </c>
      <c r="BH32" s="23"/>
      <c r="BI32" s="19"/>
      <c r="BJ32" s="21" t="s">
        <v>80</v>
      </c>
      <c r="BK32" s="23"/>
      <c r="BL32" s="19"/>
      <c r="BM32" s="19"/>
      <c r="BN32" s="19"/>
      <c r="BO32" s="21" t="s">
        <v>85</v>
      </c>
      <c r="BP32" s="22"/>
      <c r="BQ32" s="22"/>
      <c r="BR32" s="23"/>
      <c r="BS32" s="19"/>
      <c r="BT32" s="19"/>
      <c r="BU32" s="19"/>
      <c r="BV32" s="19"/>
      <c r="BW32" s="21" t="s">
        <v>92</v>
      </c>
      <c r="BX32" s="22"/>
      <c r="BY32" s="23"/>
      <c r="BZ32" s="19"/>
      <c r="CA32" s="19"/>
      <c r="CB32" s="21" t="s">
        <v>96</v>
      </c>
      <c r="CC32" s="23"/>
      <c r="CD32" s="19"/>
      <c r="CE32" s="19"/>
      <c r="CF32" s="19"/>
      <c r="CG32" s="16" t="s">
        <v>128</v>
      </c>
      <c r="CH32" s="21" t="s">
        <v>100</v>
      </c>
      <c r="CI32" s="23"/>
      <c r="CJ32" s="19"/>
      <c r="CK32" s="19"/>
      <c r="CL32" s="21" t="s">
        <v>104</v>
      </c>
      <c r="CM32" s="23"/>
      <c r="CN32" s="16" t="s">
        <v>128</v>
      </c>
      <c r="CO32" s="21" t="s">
        <v>105</v>
      </c>
      <c r="CP32" s="22"/>
      <c r="CQ32" s="23"/>
      <c r="CR32" s="19"/>
      <c r="CS32" s="19"/>
      <c r="CT32" s="21" t="s">
        <v>110</v>
      </c>
      <c r="CU32" s="23"/>
      <c r="CV32" s="21" t="s">
        <v>154</v>
      </c>
      <c r="CW32" s="23"/>
      <c r="CX32" s="19"/>
      <c r="CY32" s="19"/>
      <c r="CZ32" s="19"/>
      <c r="DA32" s="21" t="s">
        <v>115</v>
      </c>
      <c r="DB32" s="23"/>
      <c r="DC32" s="16" t="s">
        <v>145</v>
      </c>
      <c r="DD32" s="16" t="s">
        <v>145</v>
      </c>
      <c r="DE32" s="16" t="s">
        <v>145</v>
      </c>
      <c r="DF32" s="16" t="s">
        <v>145</v>
      </c>
      <c r="DG32" s="16" t="s">
        <v>314</v>
      </c>
      <c r="DH32" s="21" t="s">
        <v>315</v>
      </c>
      <c r="DI32" s="23"/>
      <c r="DJ32" s="21" t="s">
        <v>316</v>
      </c>
      <c r="DK32" s="23"/>
      <c r="DL32" s="19"/>
      <c r="DM32" s="21" t="s">
        <v>317</v>
      </c>
      <c r="DN32" s="22"/>
      <c r="DO32" s="23"/>
    </row>
    <row r="33" ht="15.75" customHeight="1">
      <c r="A33" s="15">
        <v>31.0</v>
      </c>
      <c r="B33" s="16" t="s">
        <v>318</v>
      </c>
      <c r="C33" s="17">
        <v>3.2004152203206E13</v>
      </c>
      <c r="D33" s="18">
        <v>80.0</v>
      </c>
      <c r="E33" s="16" t="s">
        <v>240</v>
      </c>
      <c r="F33" s="16" t="s">
        <v>241</v>
      </c>
      <c r="G33" s="16" t="s">
        <v>136</v>
      </c>
      <c r="H33" s="20">
        <v>43931.0</v>
      </c>
      <c r="I33" s="16"/>
      <c r="J33" s="18">
        <v>1.0</v>
      </c>
      <c r="K33" s="16" t="s">
        <v>319</v>
      </c>
      <c r="L33" s="21" t="s">
        <v>138</v>
      </c>
      <c r="M33" s="23"/>
      <c r="N33" s="19"/>
      <c r="O33" s="19"/>
      <c r="P33" s="19"/>
      <c r="Q33" s="19"/>
      <c r="R33" s="19"/>
      <c r="S33" s="19"/>
      <c r="T33" s="19"/>
      <c r="U33" s="19"/>
      <c r="V33" s="16" t="s">
        <v>139</v>
      </c>
      <c r="W33" s="16" t="s">
        <v>46</v>
      </c>
      <c r="X33" s="21" t="s">
        <v>47</v>
      </c>
      <c r="Y33" s="23"/>
      <c r="Z33" s="19"/>
      <c r="AA33" s="19"/>
      <c r="AB33" s="19"/>
      <c r="AC33" s="19"/>
      <c r="AD33" s="19"/>
      <c r="AE33" s="19"/>
      <c r="AF33" s="19"/>
      <c r="AG33" s="19"/>
      <c r="AH33" s="21" t="s">
        <v>228</v>
      </c>
      <c r="AI33" s="23"/>
      <c r="AJ33" s="16" t="s">
        <v>124</v>
      </c>
      <c r="AK33" s="16" t="s">
        <v>142</v>
      </c>
      <c r="AL33" s="16" t="s">
        <v>126</v>
      </c>
      <c r="AM33" s="16" t="s">
        <v>126</v>
      </c>
      <c r="AN33" s="16" t="s">
        <v>126</v>
      </c>
      <c r="AO33" s="16" t="s">
        <v>126</v>
      </c>
      <c r="AP33" s="16" t="s">
        <v>126</v>
      </c>
      <c r="AQ33" s="16" t="s">
        <v>126</v>
      </c>
      <c r="AR33" s="16" t="s">
        <v>126</v>
      </c>
      <c r="AS33" s="21" t="s">
        <v>65</v>
      </c>
      <c r="AT33" s="22"/>
      <c r="AU33" s="23"/>
      <c r="AV33" s="19"/>
      <c r="AW33" s="19"/>
      <c r="AX33" s="21" t="s">
        <v>70</v>
      </c>
      <c r="AY33" s="22"/>
      <c r="AZ33" s="23"/>
      <c r="BA33" s="19"/>
      <c r="BB33" s="19"/>
      <c r="BC33" s="19"/>
      <c r="BD33" s="19"/>
      <c r="BE33" s="19"/>
      <c r="BF33" s="16" t="s">
        <v>320</v>
      </c>
      <c r="BG33" s="21" t="s">
        <v>78</v>
      </c>
      <c r="BH33" s="23"/>
      <c r="BI33" s="19"/>
      <c r="BJ33" s="19"/>
      <c r="BK33" s="16" t="s">
        <v>81</v>
      </c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21" t="s">
        <v>92</v>
      </c>
      <c r="BX33" s="22"/>
      <c r="BY33" s="23"/>
      <c r="BZ33" s="19"/>
      <c r="CA33" s="19"/>
      <c r="CB33" s="19"/>
      <c r="CC33" s="19"/>
      <c r="CD33" s="19"/>
      <c r="CE33" s="19"/>
      <c r="CF33" s="16" t="s">
        <v>127</v>
      </c>
      <c r="CG33" s="16" t="s">
        <v>128</v>
      </c>
      <c r="CH33" s="16" t="s">
        <v>100</v>
      </c>
      <c r="CI33" s="16" t="s">
        <v>101</v>
      </c>
      <c r="CJ33" s="21" t="s">
        <v>102</v>
      </c>
      <c r="CK33" s="23"/>
      <c r="CL33" s="21" t="s">
        <v>104</v>
      </c>
      <c r="CM33" s="23"/>
      <c r="CN33" s="16" t="s">
        <v>128</v>
      </c>
      <c r="CO33" s="16" t="s">
        <v>105</v>
      </c>
      <c r="CP33" s="21" t="s">
        <v>106</v>
      </c>
      <c r="CQ33" s="23"/>
      <c r="CR33" s="16" t="s">
        <v>108</v>
      </c>
      <c r="CS33" s="16" t="s">
        <v>109</v>
      </c>
      <c r="CT33" s="21" t="s">
        <v>110</v>
      </c>
      <c r="CU33" s="23"/>
      <c r="CV33" s="16" t="s">
        <v>128</v>
      </c>
      <c r="CW33" s="19"/>
      <c r="CX33" s="16" t="s">
        <v>112</v>
      </c>
      <c r="CY33" s="16" t="s">
        <v>113</v>
      </c>
      <c r="CZ33" s="16" t="s">
        <v>114</v>
      </c>
      <c r="DA33" s="21" t="s">
        <v>115</v>
      </c>
      <c r="DB33" s="23"/>
      <c r="DC33" s="16" t="s">
        <v>129</v>
      </c>
      <c r="DD33" s="16" t="s">
        <v>129</v>
      </c>
      <c r="DE33" s="16" t="s">
        <v>129</v>
      </c>
      <c r="DF33" s="16" t="s">
        <v>129</v>
      </c>
      <c r="DG33" s="21" t="s">
        <v>321</v>
      </c>
      <c r="DH33" s="23"/>
      <c r="DI33" s="19"/>
      <c r="DJ33" s="16" t="s">
        <v>127</v>
      </c>
      <c r="DK33" s="19"/>
      <c r="DL33" s="19"/>
      <c r="DM33" s="16" t="s">
        <v>322</v>
      </c>
      <c r="DN33" s="19"/>
      <c r="DO33" s="19"/>
    </row>
    <row r="34" ht="15.75" customHeight="1">
      <c r="A34" s="15">
        <v>32.0</v>
      </c>
      <c r="B34" s="16" t="s">
        <v>323</v>
      </c>
      <c r="C34" s="17">
        <v>3.1906202200718E13</v>
      </c>
      <c r="D34" s="18">
        <v>71.0</v>
      </c>
      <c r="E34" s="16" t="s">
        <v>324</v>
      </c>
      <c r="F34" s="16" t="s">
        <v>241</v>
      </c>
      <c r="G34" s="16" t="s">
        <v>136</v>
      </c>
      <c r="H34" s="20">
        <v>43636.0</v>
      </c>
      <c r="I34" s="18">
        <v>1.0</v>
      </c>
      <c r="J34" s="19"/>
      <c r="K34" s="16" t="s">
        <v>325</v>
      </c>
      <c r="L34" s="21" t="s">
        <v>138</v>
      </c>
      <c r="M34" s="23"/>
      <c r="N34" s="19"/>
      <c r="O34" s="19"/>
      <c r="P34" s="19"/>
      <c r="Q34" s="19"/>
      <c r="R34" s="19"/>
      <c r="S34" s="19"/>
      <c r="T34" s="19"/>
      <c r="U34" s="19"/>
      <c r="V34" s="16" t="s">
        <v>326</v>
      </c>
      <c r="W34" s="16" t="s">
        <v>46</v>
      </c>
      <c r="X34" s="21" t="s">
        <v>47</v>
      </c>
      <c r="Y34" s="23"/>
      <c r="Z34" s="19"/>
      <c r="AA34" s="19"/>
      <c r="AB34" s="19"/>
      <c r="AC34" s="19"/>
      <c r="AD34" s="19"/>
      <c r="AE34" s="19"/>
      <c r="AF34" s="19"/>
      <c r="AG34" s="19"/>
      <c r="AH34" s="21" t="s">
        <v>123</v>
      </c>
      <c r="AI34" s="23"/>
      <c r="AJ34" s="16" t="s">
        <v>124</v>
      </c>
      <c r="AK34" s="16" t="s">
        <v>153</v>
      </c>
      <c r="AL34" s="16" t="s">
        <v>181</v>
      </c>
      <c r="AM34" s="16" t="s">
        <v>181</v>
      </c>
      <c r="AN34" s="16" t="s">
        <v>181</v>
      </c>
      <c r="AO34" s="16" t="s">
        <v>181</v>
      </c>
      <c r="AP34" s="16" t="s">
        <v>181</v>
      </c>
      <c r="AQ34" s="16" t="s">
        <v>181</v>
      </c>
      <c r="AR34" s="16" t="s">
        <v>181</v>
      </c>
      <c r="AS34" s="21" t="s">
        <v>65</v>
      </c>
      <c r="AT34" s="23"/>
      <c r="AU34" s="16" t="s">
        <v>67</v>
      </c>
      <c r="AV34" s="21" t="s">
        <v>68</v>
      </c>
      <c r="AW34" s="23"/>
      <c r="AX34" s="16" t="s">
        <v>70</v>
      </c>
      <c r="AY34" s="21" t="s">
        <v>71</v>
      </c>
      <c r="AZ34" s="22"/>
      <c r="BA34" s="23"/>
      <c r="BB34" s="19"/>
      <c r="BC34" s="19"/>
      <c r="BD34" s="19"/>
      <c r="BE34" s="19"/>
      <c r="BF34" s="16" t="s">
        <v>327</v>
      </c>
      <c r="BG34" s="21" t="s">
        <v>78</v>
      </c>
      <c r="BH34" s="23"/>
      <c r="BI34" s="19"/>
      <c r="BJ34" s="19"/>
      <c r="BK34" s="16" t="s">
        <v>81</v>
      </c>
      <c r="BL34" s="21" t="s">
        <v>82</v>
      </c>
      <c r="BM34" s="23"/>
      <c r="BN34" s="19"/>
      <c r="BO34" s="21" t="s">
        <v>85</v>
      </c>
      <c r="BP34" s="22"/>
      <c r="BQ34" s="22"/>
      <c r="BR34" s="23"/>
      <c r="BS34" s="19"/>
      <c r="BT34" s="19"/>
      <c r="BU34" s="19"/>
      <c r="BV34" s="19"/>
      <c r="BW34" s="19"/>
      <c r="BX34" s="21" t="s">
        <v>327</v>
      </c>
      <c r="BY34" s="22"/>
      <c r="BZ34" s="23"/>
      <c r="CA34" s="19"/>
      <c r="CB34" s="19"/>
      <c r="CC34" s="19"/>
      <c r="CD34" s="19"/>
      <c r="CE34" s="19"/>
      <c r="CF34" s="16" t="s">
        <v>127</v>
      </c>
      <c r="CG34" s="16" t="s">
        <v>158</v>
      </c>
      <c r="CH34" s="16" t="s">
        <v>100</v>
      </c>
      <c r="CI34" s="21" t="s">
        <v>101</v>
      </c>
      <c r="CJ34" s="22"/>
      <c r="CK34" s="23"/>
      <c r="CL34" s="21" t="s">
        <v>104</v>
      </c>
      <c r="CM34" s="23"/>
      <c r="CN34" s="16" t="s">
        <v>128</v>
      </c>
      <c r="CO34" s="16" t="s">
        <v>105</v>
      </c>
      <c r="CP34" s="16" t="s">
        <v>106</v>
      </c>
      <c r="CQ34" s="16" t="s">
        <v>107</v>
      </c>
      <c r="CR34" s="16" t="s">
        <v>108</v>
      </c>
      <c r="CS34" s="16" t="s">
        <v>109</v>
      </c>
      <c r="CT34" s="21" t="s">
        <v>110</v>
      </c>
      <c r="CU34" s="23"/>
      <c r="CV34" s="16" t="s">
        <v>128</v>
      </c>
      <c r="CW34" s="19"/>
      <c r="CX34" s="16" t="s">
        <v>112</v>
      </c>
      <c r="CY34" s="21" t="s">
        <v>113</v>
      </c>
      <c r="CZ34" s="23"/>
      <c r="DA34" s="21" t="s">
        <v>115</v>
      </c>
      <c r="DB34" s="23"/>
      <c r="DC34" s="16" t="s">
        <v>129</v>
      </c>
      <c r="DD34" s="16" t="s">
        <v>129</v>
      </c>
      <c r="DE34" s="16" t="s">
        <v>129</v>
      </c>
      <c r="DF34" s="16" t="s">
        <v>129</v>
      </c>
      <c r="DG34" s="16" t="s">
        <v>328</v>
      </c>
      <c r="DH34" s="21" t="s">
        <v>329</v>
      </c>
      <c r="DI34" s="23"/>
      <c r="DJ34" s="21" t="s">
        <v>330</v>
      </c>
      <c r="DK34" s="23"/>
      <c r="DL34" s="19"/>
      <c r="DM34" s="16" t="s">
        <v>331</v>
      </c>
      <c r="DN34" s="21" t="s">
        <v>332</v>
      </c>
      <c r="DO34" s="23"/>
    </row>
    <row r="35" ht="15.75" customHeight="1">
      <c r="A35" s="15">
        <v>33.0</v>
      </c>
      <c r="B35" s="16" t="s">
        <v>333</v>
      </c>
      <c r="C35" s="17">
        <v>3.0805292201306E13</v>
      </c>
      <c r="D35" s="18">
        <v>162.0</v>
      </c>
      <c r="E35" s="16" t="s">
        <v>281</v>
      </c>
      <c r="F35" s="16" t="s">
        <v>241</v>
      </c>
      <c r="G35" s="16" t="s">
        <v>136</v>
      </c>
      <c r="H35" s="20">
        <v>39597.0</v>
      </c>
      <c r="I35" s="16"/>
      <c r="J35" s="18">
        <v>1.0</v>
      </c>
      <c r="K35" s="16" t="s">
        <v>334</v>
      </c>
      <c r="L35" s="21" t="s">
        <v>138</v>
      </c>
      <c r="M35" s="23"/>
      <c r="N35" s="19"/>
      <c r="O35" s="19"/>
      <c r="P35" s="19"/>
      <c r="Q35" s="19"/>
      <c r="R35" s="19"/>
      <c r="S35" s="19"/>
      <c r="T35" s="19"/>
      <c r="U35" s="19"/>
      <c r="V35" s="16" t="s">
        <v>139</v>
      </c>
      <c r="W35" s="19"/>
      <c r="X35" s="19"/>
      <c r="Y35" s="19"/>
      <c r="Z35" s="19"/>
      <c r="AA35" s="19"/>
      <c r="AB35" s="21" t="s">
        <v>51</v>
      </c>
      <c r="AC35" s="23"/>
      <c r="AD35" s="19"/>
      <c r="AE35" s="19"/>
      <c r="AF35" s="19"/>
      <c r="AG35" s="19"/>
      <c r="AH35" s="21" t="s">
        <v>152</v>
      </c>
      <c r="AI35" s="23"/>
      <c r="AJ35" s="16" t="s">
        <v>124</v>
      </c>
      <c r="AK35" s="16" t="s">
        <v>125</v>
      </c>
      <c r="AL35" s="16" t="s">
        <v>126</v>
      </c>
      <c r="AM35" s="16" t="s">
        <v>126</v>
      </c>
      <c r="AN35" s="16" t="s">
        <v>126</v>
      </c>
      <c r="AO35" s="16" t="s">
        <v>126</v>
      </c>
      <c r="AP35" s="16" t="s">
        <v>143</v>
      </c>
      <c r="AQ35" s="16" t="s">
        <v>181</v>
      </c>
      <c r="AR35" s="16" t="s">
        <v>181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21" t="s">
        <v>74</v>
      </c>
      <c r="BC35" s="23"/>
      <c r="BD35" s="16" t="s">
        <v>76</v>
      </c>
      <c r="BE35" s="21" t="s">
        <v>77</v>
      </c>
      <c r="BF35" s="22"/>
      <c r="BG35" s="22"/>
      <c r="BH35" s="23"/>
      <c r="BI35" s="19"/>
      <c r="BJ35" s="19"/>
      <c r="BK35" s="19"/>
      <c r="BL35" s="19"/>
      <c r="BM35" s="19"/>
      <c r="BN35" s="19"/>
      <c r="BO35" s="19"/>
      <c r="BP35" s="16" t="s">
        <v>335</v>
      </c>
      <c r="BQ35" s="19"/>
      <c r="BR35" s="19"/>
      <c r="BS35" s="19"/>
      <c r="BT35" s="19"/>
      <c r="BU35" s="21" t="s">
        <v>90</v>
      </c>
      <c r="BV35" s="23"/>
      <c r="BW35" s="21" t="s">
        <v>92</v>
      </c>
      <c r="BX35" s="22"/>
      <c r="BY35" s="23"/>
      <c r="BZ35" s="19"/>
      <c r="CA35" s="21" t="s">
        <v>95</v>
      </c>
      <c r="CB35" s="22"/>
      <c r="CC35" s="23"/>
      <c r="CD35" s="19"/>
      <c r="CE35" s="21" t="s">
        <v>99</v>
      </c>
      <c r="CF35" s="23"/>
      <c r="CG35" s="16" t="s">
        <v>128</v>
      </c>
      <c r="CH35" s="21" t="s">
        <v>100</v>
      </c>
      <c r="CI35" s="23"/>
      <c r="CJ35" s="21" t="s">
        <v>102</v>
      </c>
      <c r="CK35" s="23"/>
      <c r="CL35" s="21" t="s">
        <v>104</v>
      </c>
      <c r="CM35" s="23"/>
      <c r="CN35" s="16" t="s">
        <v>128</v>
      </c>
      <c r="CO35" s="16" t="s">
        <v>105</v>
      </c>
      <c r="CP35" s="21" t="s">
        <v>106</v>
      </c>
      <c r="CQ35" s="23"/>
      <c r="CR35" s="16" t="s">
        <v>108</v>
      </c>
      <c r="CS35" s="16" t="s">
        <v>109</v>
      </c>
      <c r="CT35" s="21" t="s">
        <v>110</v>
      </c>
      <c r="CU35" s="23"/>
      <c r="CV35" s="16" t="s">
        <v>128</v>
      </c>
      <c r="CW35" s="19"/>
      <c r="CX35" s="16" t="s">
        <v>112</v>
      </c>
      <c r="CY35" s="21" t="s">
        <v>113</v>
      </c>
      <c r="CZ35" s="23"/>
      <c r="DA35" s="21" t="s">
        <v>115</v>
      </c>
      <c r="DB35" s="23"/>
      <c r="DC35" s="16" t="s">
        <v>129</v>
      </c>
      <c r="DD35" s="16" t="s">
        <v>129</v>
      </c>
      <c r="DE35" s="16" t="s">
        <v>129</v>
      </c>
      <c r="DF35" s="16" t="s">
        <v>129</v>
      </c>
      <c r="DG35" s="16" t="s">
        <v>336</v>
      </c>
      <c r="DH35" s="16" t="s">
        <v>337</v>
      </c>
      <c r="DI35" s="16" t="s">
        <v>338</v>
      </c>
      <c r="DJ35" s="16" t="s">
        <v>339</v>
      </c>
      <c r="DK35" s="21" t="s">
        <v>340</v>
      </c>
      <c r="DL35" s="23"/>
      <c r="DM35" s="16" t="s">
        <v>341</v>
      </c>
      <c r="DN35" s="21" t="s">
        <v>342</v>
      </c>
      <c r="DO35" s="23"/>
    </row>
    <row r="36" ht="15.75" customHeight="1">
      <c r="A36" s="15">
        <v>34.0</v>
      </c>
      <c r="B36" s="16" t="s">
        <v>343</v>
      </c>
      <c r="C36" s="17">
        <v>3.1803282202135E13</v>
      </c>
      <c r="D36" s="18">
        <v>82.0</v>
      </c>
      <c r="E36" s="16" t="s">
        <v>240</v>
      </c>
      <c r="F36" s="16" t="s">
        <v>241</v>
      </c>
      <c r="G36" s="16" t="s">
        <v>136</v>
      </c>
      <c r="H36" s="20">
        <v>43187.0</v>
      </c>
      <c r="I36" s="18">
        <v>1.0</v>
      </c>
      <c r="J36" s="19"/>
      <c r="K36" s="16" t="s">
        <v>344</v>
      </c>
      <c r="L36" s="21" t="s">
        <v>138</v>
      </c>
      <c r="M36" s="23"/>
      <c r="N36" s="19"/>
      <c r="O36" s="19"/>
      <c r="P36" s="19"/>
      <c r="Q36" s="19"/>
      <c r="R36" s="19"/>
      <c r="S36" s="19"/>
      <c r="T36" s="19"/>
      <c r="U36" s="19"/>
      <c r="V36" s="16" t="s">
        <v>326</v>
      </c>
      <c r="W36" s="16" t="s">
        <v>46</v>
      </c>
      <c r="X36" s="21" t="s">
        <v>47</v>
      </c>
      <c r="Y36" s="23"/>
      <c r="Z36" s="19"/>
      <c r="AA36" s="19"/>
      <c r="AB36" s="19"/>
      <c r="AC36" s="19"/>
      <c r="AD36" s="19"/>
      <c r="AE36" s="19"/>
      <c r="AF36" s="21" t="s">
        <v>55</v>
      </c>
      <c r="AG36" s="23"/>
      <c r="AH36" s="21" t="s">
        <v>228</v>
      </c>
      <c r="AI36" s="23"/>
      <c r="AJ36" s="16" t="s">
        <v>168</v>
      </c>
      <c r="AK36" s="16" t="s">
        <v>142</v>
      </c>
      <c r="AL36" s="16" t="s">
        <v>181</v>
      </c>
      <c r="AM36" s="16" t="s">
        <v>181</v>
      </c>
      <c r="AN36" s="16" t="s">
        <v>181</v>
      </c>
      <c r="AO36" s="16" t="s">
        <v>181</v>
      </c>
      <c r="AP36" s="16" t="s">
        <v>181</v>
      </c>
      <c r="AQ36" s="16" t="s">
        <v>181</v>
      </c>
      <c r="AR36" s="16" t="s">
        <v>181</v>
      </c>
      <c r="AS36" s="21" t="s">
        <v>65</v>
      </c>
      <c r="AT36" s="22"/>
      <c r="AU36" s="23"/>
      <c r="AV36" s="19"/>
      <c r="AW36" s="21" t="s">
        <v>69</v>
      </c>
      <c r="AX36" s="23"/>
      <c r="AY36" s="21" t="s">
        <v>71</v>
      </c>
      <c r="AZ36" s="22"/>
      <c r="BA36" s="23"/>
      <c r="BB36" s="19"/>
      <c r="BC36" s="19"/>
      <c r="BD36" s="19"/>
      <c r="BE36" s="19"/>
      <c r="BF36" s="16" t="s">
        <v>345</v>
      </c>
      <c r="BG36" s="21" t="s">
        <v>78</v>
      </c>
      <c r="BH36" s="23"/>
      <c r="BI36" s="19"/>
      <c r="BJ36" s="19"/>
      <c r="BK36" s="16" t="s">
        <v>81</v>
      </c>
      <c r="BL36" s="19"/>
      <c r="BM36" s="19"/>
      <c r="BN36" s="19"/>
      <c r="BO36" s="21" t="s">
        <v>85</v>
      </c>
      <c r="BP36" s="22"/>
      <c r="BQ36" s="22"/>
      <c r="BR36" s="23"/>
      <c r="BS36" s="19"/>
      <c r="BT36" s="19"/>
      <c r="BU36" s="19"/>
      <c r="BV36" s="19"/>
      <c r="BW36" s="19"/>
      <c r="BX36" s="21" t="s">
        <v>346</v>
      </c>
      <c r="BY36" s="23"/>
      <c r="BZ36" s="19"/>
      <c r="CA36" s="19"/>
      <c r="CB36" s="19"/>
      <c r="CC36" s="19"/>
      <c r="CD36" s="19"/>
      <c r="CE36" s="21" t="s">
        <v>99</v>
      </c>
      <c r="CF36" s="23"/>
      <c r="CG36" s="16" t="s">
        <v>128</v>
      </c>
      <c r="CH36" s="16" t="s">
        <v>100</v>
      </c>
      <c r="CI36" s="21" t="s">
        <v>101</v>
      </c>
      <c r="CJ36" s="23"/>
      <c r="CK36" s="16" t="s">
        <v>103</v>
      </c>
      <c r="CL36" s="21" t="s">
        <v>104</v>
      </c>
      <c r="CM36" s="23"/>
      <c r="CN36" s="16" t="s">
        <v>128</v>
      </c>
      <c r="CO36" s="16" t="s">
        <v>105</v>
      </c>
      <c r="CP36" s="21" t="s">
        <v>106</v>
      </c>
      <c r="CQ36" s="23"/>
      <c r="CR36" s="16" t="s">
        <v>108</v>
      </c>
      <c r="CS36" s="16" t="s">
        <v>109</v>
      </c>
      <c r="CT36" s="21" t="s">
        <v>110</v>
      </c>
      <c r="CU36" s="23"/>
      <c r="CV36" s="16" t="s">
        <v>128</v>
      </c>
      <c r="CW36" s="19"/>
      <c r="CX36" s="21" t="s">
        <v>112</v>
      </c>
      <c r="CY36" s="23"/>
      <c r="CZ36" s="16" t="s">
        <v>114</v>
      </c>
      <c r="DA36" s="21" t="s">
        <v>115</v>
      </c>
      <c r="DB36" s="23"/>
      <c r="DC36" s="16" t="s">
        <v>129</v>
      </c>
      <c r="DD36" s="16" t="s">
        <v>129</v>
      </c>
      <c r="DE36" s="16" t="s">
        <v>129</v>
      </c>
      <c r="DF36" s="16" t="s">
        <v>129</v>
      </c>
      <c r="DG36" s="16" t="s">
        <v>347</v>
      </c>
      <c r="DH36" s="16" t="s">
        <v>348</v>
      </c>
      <c r="DI36" s="16" t="s">
        <v>349</v>
      </c>
      <c r="DJ36" s="21" t="s">
        <v>350</v>
      </c>
      <c r="DK36" s="23"/>
      <c r="DL36" s="19"/>
      <c r="DM36" s="16" t="s">
        <v>351</v>
      </c>
      <c r="DN36" s="16" t="s">
        <v>352</v>
      </c>
      <c r="DO36" s="16" t="s">
        <v>353</v>
      </c>
    </row>
    <row r="37" ht="15.75" customHeight="1">
      <c r="A37" s="15">
        <v>35.0</v>
      </c>
      <c r="B37" s="16" t="s">
        <v>354</v>
      </c>
      <c r="C37" s="17">
        <v>3.13020722008587E14</v>
      </c>
      <c r="D37" s="18">
        <v>112.0</v>
      </c>
      <c r="E37" s="16" t="s">
        <v>135</v>
      </c>
      <c r="F37" s="16" t="s">
        <v>355</v>
      </c>
      <c r="G37" s="16" t="s">
        <v>136</v>
      </c>
      <c r="H37" s="19"/>
      <c r="I37" s="18">
        <v>1.0</v>
      </c>
      <c r="J37" s="19"/>
      <c r="K37" s="16" t="s">
        <v>356</v>
      </c>
      <c r="L37" s="16" t="s">
        <v>122</v>
      </c>
      <c r="M37" s="19"/>
      <c r="N37" s="19"/>
      <c r="O37" s="19"/>
      <c r="P37" s="19"/>
      <c r="Q37" s="21" t="s">
        <v>40</v>
      </c>
      <c r="R37" s="22"/>
      <c r="S37" s="22"/>
      <c r="T37" s="22"/>
      <c r="U37" s="23"/>
      <c r="V37" s="19"/>
      <c r="W37" s="19"/>
      <c r="X37" s="19"/>
      <c r="Y37" s="19"/>
      <c r="Z37" s="19"/>
      <c r="AA37" s="19"/>
      <c r="AB37" s="21" t="s">
        <v>51</v>
      </c>
      <c r="AC37" s="23"/>
      <c r="AD37" s="19"/>
      <c r="AE37" s="19"/>
      <c r="AF37" s="19"/>
      <c r="AG37" s="19"/>
      <c r="AH37" s="21" t="s">
        <v>357</v>
      </c>
      <c r="AI37" s="23"/>
      <c r="AJ37" s="16" t="s">
        <v>124</v>
      </c>
      <c r="AK37" s="16" t="s">
        <v>153</v>
      </c>
      <c r="AL37" s="16" t="s">
        <v>126</v>
      </c>
      <c r="AM37" s="16" t="s">
        <v>126</v>
      </c>
      <c r="AN37" s="16" t="s">
        <v>126</v>
      </c>
      <c r="AO37" s="16" t="s">
        <v>126</v>
      </c>
      <c r="AP37" s="16" t="s">
        <v>143</v>
      </c>
      <c r="AQ37" s="16" t="s">
        <v>143</v>
      </c>
      <c r="AR37" s="16" t="s">
        <v>126</v>
      </c>
      <c r="AS37" s="21" t="s">
        <v>65</v>
      </c>
      <c r="AT37" s="23"/>
      <c r="AU37" s="21" t="s">
        <v>67</v>
      </c>
      <c r="AV37" s="22"/>
      <c r="AW37" s="23"/>
      <c r="AX37" s="21" t="s">
        <v>70</v>
      </c>
      <c r="AY37" s="22"/>
      <c r="AZ37" s="23"/>
      <c r="BA37" s="19"/>
      <c r="BB37" s="19"/>
      <c r="BC37" s="19"/>
      <c r="BD37" s="19"/>
      <c r="BE37" s="19"/>
      <c r="BF37" s="19"/>
      <c r="BG37" s="21" t="s">
        <v>78</v>
      </c>
      <c r="BH37" s="23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21" t="s">
        <v>93</v>
      </c>
      <c r="BZ37" s="22"/>
      <c r="CA37" s="23"/>
      <c r="CB37" s="19"/>
      <c r="CC37" s="19"/>
      <c r="CD37" s="19"/>
      <c r="CE37" s="19"/>
      <c r="CF37" s="19"/>
      <c r="CG37" s="16" t="s">
        <v>128</v>
      </c>
      <c r="CH37" s="21" t="s">
        <v>100</v>
      </c>
      <c r="CI37" s="23"/>
      <c r="CJ37" s="16" t="s">
        <v>102</v>
      </c>
      <c r="CK37" s="21" t="s">
        <v>103</v>
      </c>
      <c r="CL37" s="23"/>
      <c r="CM37" s="19"/>
      <c r="CN37" s="19"/>
      <c r="CO37" s="16" t="s">
        <v>105</v>
      </c>
      <c r="CP37" s="16" t="s">
        <v>106</v>
      </c>
      <c r="CQ37" s="16" t="s">
        <v>107</v>
      </c>
      <c r="CR37" s="21" t="s">
        <v>108</v>
      </c>
      <c r="CS37" s="23"/>
      <c r="CT37" s="19"/>
      <c r="CU37" s="19"/>
      <c r="CV37" s="16" t="s">
        <v>128</v>
      </c>
      <c r="CW37" s="16" t="s">
        <v>111</v>
      </c>
      <c r="CX37" s="21" t="s">
        <v>112</v>
      </c>
      <c r="CY37" s="23"/>
      <c r="CZ37" s="21" t="s">
        <v>114</v>
      </c>
      <c r="DA37" s="22"/>
      <c r="DB37" s="23"/>
      <c r="DC37" s="16" t="s">
        <v>129</v>
      </c>
      <c r="DD37" s="16" t="s">
        <v>129</v>
      </c>
      <c r="DE37" s="16" t="s">
        <v>129</v>
      </c>
      <c r="DF37" s="16" t="s">
        <v>129</v>
      </c>
      <c r="DG37" s="21" t="s">
        <v>159</v>
      </c>
      <c r="DH37" s="23"/>
      <c r="DI37" s="19"/>
      <c r="DJ37" s="16" t="s">
        <v>144</v>
      </c>
      <c r="DK37" s="19"/>
      <c r="DL37" s="19"/>
      <c r="DM37" s="21" t="s">
        <v>156</v>
      </c>
      <c r="DN37" s="22"/>
      <c r="DO37" s="23"/>
    </row>
    <row r="38" ht="15.75" customHeight="1">
      <c r="A38" s="15">
        <v>36.0</v>
      </c>
      <c r="B38" s="16" t="s">
        <v>358</v>
      </c>
      <c r="C38" s="17">
        <v>2.7801012204098E13</v>
      </c>
      <c r="D38" s="18">
        <v>27.0</v>
      </c>
      <c r="E38" s="16" t="s">
        <v>359</v>
      </c>
      <c r="F38" s="16" t="s">
        <v>135</v>
      </c>
      <c r="G38" s="16" t="s">
        <v>136</v>
      </c>
      <c r="H38" s="20">
        <v>32051.0</v>
      </c>
      <c r="I38" s="18">
        <v>1.0</v>
      </c>
      <c r="J38" s="19"/>
      <c r="K38" s="16" t="s">
        <v>360</v>
      </c>
      <c r="L38" s="16" t="s">
        <v>122</v>
      </c>
      <c r="M38" s="19"/>
      <c r="N38" s="19"/>
      <c r="O38" s="19"/>
      <c r="P38" s="19"/>
      <c r="Q38" s="19"/>
      <c r="R38" s="19"/>
      <c r="S38" s="19"/>
      <c r="T38" s="19"/>
      <c r="U38" s="19"/>
      <c r="V38" s="16" t="s">
        <v>361</v>
      </c>
      <c r="W38" s="19"/>
      <c r="X38" s="19"/>
      <c r="Y38" s="19"/>
      <c r="Z38" s="19"/>
      <c r="AA38" s="19"/>
      <c r="AB38" s="19"/>
      <c r="AC38" s="19"/>
      <c r="AD38" s="19"/>
      <c r="AE38" s="19"/>
      <c r="AF38" s="21" t="s">
        <v>55</v>
      </c>
      <c r="AG38" s="23"/>
      <c r="AH38" s="21" t="s">
        <v>167</v>
      </c>
      <c r="AI38" s="23"/>
      <c r="AJ38" s="16" t="s">
        <v>124</v>
      </c>
      <c r="AK38" s="16" t="s">
        <v>362</v>
      </c>
      <c r="AL38" s="16" t="s">
        <v>126</v>
      </c>
      <c r="AM38" s="16" t="s">
        <v>126</v>
      </c>
      <c r="AN38" s="16" t="s">
        <v>126</v>
      </c>
      <c r="AO38" s="16" t="s">
        <v>126</v>
      </c>
      <c r="AP38" s="16" t="s">
        <v>126</v>
      </c>
      <c r="AQ38" s="16" t="s">
        <v>126</v>
      </c>
      <c r="AR38" s="16" t="s">
        <v>126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6" t="s">
        <v>77</v>
      </c>
      <c r="BF38" s="21" t="s">
        <v>363</v>
      </c>
      <c r="BG38" s="23"/>
      <c r="BH38" s="19"/>
      <c r="BI38" s="19"/>
      <c r="BJ38" s="19"/>
      <c r="BK38" s="19"/>
      <c r="BL38" s="19"/>
      <c r="BM38" s="21" t="s">
        <v>83</v>
      </c>
      <c r="BN38" s="22"/>
      <c r="BO38" s="23"/>
      <c r="BP38" s="19"/>
      <c r="BQ38" s="21" t="s">
        <v>86</v>
      </c>
      <c r="BR38" s="22"/>
      <c r="BS38" s="23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6" t="s">
        <v>364</v>
      </c>
      <c r="CG38" s="16" t="s">
        <v>302</v>
      </c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21" t="s">
        <v>365</v>
      </c>
      <c r="DH38" s="23"/>
      <c r="DI38" s="19"/>
      <c r="DJ38" s="21" t="s">
        <v>366</v>
      </c>
      <c r="DK38" s="22"/>
      <c r="DL38" s="23"/>
      <c r="DM38" s="16" t="s">
        <v>144</v>
      </c>
      <c r="DN38" s="19"/>
      <c r="DO38" s="19"/>
    </row>
    <row r="39" ht="15.75" customHeight="1">
      <c r="A39" s="15">
        <v>37.0</v>
      </c>
      <c r="B39" s="16" t="s">
        <v>367</v>
      </c>
      <c r="C39" s="17">
        <v>3.1703202203204E13</v>
      </c>
      <c r="D39" s="18">
        <v>52.0</v>
      </c>
      <c r="E39" s="16" t="s">
        <v>368</v>
      </c>
      <c r="F39" s="16" t="s">
        <v>135</v>
      </c>
      <c r="G39" s="16" t="s">
        <v>136</v>
      </c>
      <c r="H39" s="20">
        <v>42814.0</v>
      </c>
      <c r="I39" s="16"/>
      <c r="J39" s="18">
        <v>1.0</v>
      </c>
      <c r="K39" s="16" t="s">
        <v>369</v>
      </c>
      <c r="L39" s="21" t="s">
        <v>138</v>
      </c>
      <c r="M39" s="23"/>
      <c r="N39" s="19"/>
      <c r="O39" s="19"/>
      <c r="P39" s="19"/>
      <c r="Q39" s="19"/>
      <c r="R39" s="19"/>
      <c r="S39" s="19"/>
      <c r="T39" s="19"/>
      <c r="U39" s="19"/>
      <c r="V39" s="16" t="s">
        <v>139</v>
      </c>
      <c r="W39" s="16" t="s">
        <v>46</v>
      </c>
      <c r="X39" s="21" t="s">
        <v>47</v>
      </c>
      <c r="Y39" s="23"/>
      <c r="Z39" s="19"/>
      <c r="AA39" s="16" t="s">
        <v>50</v>
      </c>
      <c r="AB39" s="19"/>
      <c r="AC39" s="19"/>
      <c r="AD39" s="19"/>
      <c r="AE39" s="19"/>
      <c r="AF39" s="19"/>
      <c r="AG39" s="19"/>
      <c r="AH39" s="21" t="s">
        <v>123</v>
      </c>
      <c r="AI39" s="23"/>
      <c r="AJ39" s="16" t="s">
        <v>168</v>
      </c>
      <c r="AK39" s="16" t="s">
        <v>153</v>
      </c>
      <c r="AL39" s="16" t="s">
        <v>126</v>
      </c>
      <c r="AM39" s="16" t="s">
        <v>126</v>
      </c>
      <c r="AN39" s="16" t="s">
        <v>126</v>
      </c>
      <c r="AO39" s="16" t="s">
        <v>126</v>
      </c>
      <c r="AP39" s="16" t="s">
        <v>181</v>
      </c>
      <c r="AQ39" s="16" t="s">
        <v>181</v>
      </c>
      <c r="AR39" s="16" t="s">
        <v>181</v>
      </c>
      <c r="AS39" s="21" t="s">
        <v>65</v>
      </c>
      <c r="AT39" s="23"/>
      <c r="AU39" s="21" t="s">
        <v>67</v>
      </c>
      <c r="AV39" s="23"/>
      <c r="AW39" s="16" t="s">
        <v>69</v>
      </c>
      <c r="AX39" s="16" t="s">
        <v>70</v>
      </c>
      <c r="AY39" s="16" t="s">
        <v>71</v>
      </c>
      <c r="AZ39" s="21" t="s">
        <v>370</v>
      </c>
      <c r="BA39" s="23"/>
      <c r="BB39" s="19"/>
      <c r="BC39" s="19"/>
      <c r="BD39" s="19"/>
      <c r="BE39" s="19"/>
      <c r="BF39" s="19"/>
      <c r="BG39" s="16" t="s">
        <v>78</v>
      </c>
      <c r="BH39" s="21" t="s">
        <v>79</v>
      </c>
      <c r="BI39" s="23"/>
      <c r="BJ39" s="19"/>
      <c r="BK39" s="16" t="s">
        <v>81</v>
      </c>
      <c r="BL39" s="19"/>
      <c r="BM39" s="19"/>
      <c r="BN39" s="16" t="s">
        <v>84</v>
      </c>
      <c r="BO39" s="21" t="s">
        <v>85</v>
      </c>
      <c r="BP39" s="22"/>
      <c r="BQ39" s="22"/>
      <c r="BR39" s="23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6" t="s">
        <v>127</v>
      </c>
      <c r="CG39" s="16" t="s">
        <v>128</v>
      </c>
      <c r="CH39" s="16" t="s">
        <v>100</v>
      </c>
      <c r="CI39" s="16" t="s">
        <v>101</v>
      </c>
      <c r="CJ39" s="21" t="s">
        <v>102</v>
      </c>
      <c r="CK39" s="23"/>
      <c r="CL39" s="21" t="s">
        <v>104</v>
      </c>
      <c r="CM39" s="23"/>
      <c r="CN39" s="16" t="s">
        <v>128</v>
      </c>
      <c r="CO39" s="16" t="s">
        <v>105</v>
      </c>
      <c r="CP39" s="16" t="s">
        <v>106</v>
      </c>
      <c r="CQ39" s="16" t="s">
        <v>107</v>
      </c>
      <c r="CR39" s="16" t="s">
        <v>108</v>
      </c>
      <c r="CS39" s="16" t="s">
        <v>109</v>
      </c>
      <c r="CT39" s="21" t="s">
        <v>110</v>
      </c>
      <c r="CU39" s="23"/>
      <c r="CV39" s="16" t="s">
        <v>128</v>
      </c>
      <c r="CW39" s="16" t="s">
        <v>111</v>
      </c>
      <c r="CX39" s="21" t="s">
        <v>112</v>
      </c>
      <c r="CY39" s="23"/>
      <c r="CZ39" s="16" t="s">
        <v>114</v>
      </c>
      <c r="DA39" s="21" t="s">
        <v>115</v>
      </c>
      <c r="DB39" s="23"/>
      <c r="DC39" s="16" t="s">
        <v>129</v>
      </c>
      <c r="DD39" s="16" t="s">
        <v>129</v>
      </c>
      <c r="DE39" s="16" t="s">
        <v>129</v>
      </c>
      <c r="DF39" s="19"/>
      <c r="DG39" s="16" t="s">
        <v>371</v>
      </c>
      <c r="DH39" s="16" t="s">
        <v>372</v>
      </c>
      <c r="DI39" s="19"/>
      <c r="DJ39" s="19"/>
      <c r="DK39" s="19"/>
      <c r="DL39" s="19"/>
      <c r="DM39" s="21" t="s">
        <v>187</v>
      </c>
      <c r="DN39" s="23"/>
      <c r="DO39" s="19"/>
    </row>
    <row r="40" ht="15.75" customHeight="1">
      <c r="A40" s="15">
        <v>38.0</v>
      </c>
      <c r="B40" s="16" t="s">
        <v>373</v>
      </c>
      <c r="C40" s="17">
        <v>3.1402022202234E13</v>
      </c>
      <c r="D40" s="18">
        <v>44.0</v>
      </c>
      <c r="E40" s="16" t="s">
        <v>374</v>
      </c>
      <c r="F40" s="16" t="s">
        <v>135</v>
      </c>
      <c r="G40" s="16" t="s">
        <v>136</v>
      </c>
      <c r="H40" s="20">
        <v>41672.0</v>
      </c>
      <c r="I40" s="18">
        <v>1.0</v>
      </c>
      <c r="J40" s="19"/>
      <c r="K40" s="16" t="s">
        <v>375</v>
      </c>
      <c r="L40" s="21" t="s">
        <v>138</v>
      </c>
      <c r="M40" s="23"/>
      <c r="N40" s="19"/>
      <c r="O40" s="19"/>
      <c r="P40" s="19"/>
      <c r="Q40" s="19"/>
      <c r="R40" s="19"/>
      <c r="S40" s="19"/>
      <c r="T40" s="19"/>
      <c r="U40" s="19"/>
      <c r="V40" s="16" t="s">
        <v>139</v>
      </c>
      <c r="W40" s="16" t="s">
        <v>46</v>
      </c>
      <c r="X40" s="21" t="s">
        <v>47</v>
      </c>
      <c r="Y40" s="23"/>
      <c r="Z40" s="16" t="s">
        <v>49</v>
      </c>
      <c r="AA40" s="16" t="s">
        <v>50</v>
      </c>
      <c r="AB40" s="21" t="s">
        <v>51</v>
      </c>
      <c r="AC40" s="23"/>
      <c r="AD40" s="19"/>
      <c r="AE40" s="19"/>
      <c r="AF40" s="21" t="s">
        <v>55</v>
      </c>
      <c r="AG40" s="23"/>
      <c r="AH40" s="21" t="s">
        <v>228</v>
      </c>
      <c r="AI40" s="23"/>
      <c r="AJ40" s="16" t="s">
        <v>168</v>
      </c>
      <c r="AK40" s="16" t="s">
        <v>153</v>
      </c>
      <c r="AL40" s="16" t="s">
        <v>126</v>
      </c>
      <c r="AM40" s="16" t="s">
        <v>126</v>
      </c>
      <c r="AN40" s="16" t="s">
        <v>126</v>
      </c>
      <c r="AO40" s="16" t="s">
        <v>126</v>
      </c>
      <c r="AP40" s="16" t="s">
        <v>126</v>
      </c>
      <c r="AQ40" s="16" t="s">
        <v>126</v>
      </c>
      <c r="AR40" s="16" t="s">
        <v>126</v>
      </c>
      <c r="AS40" s="16" t="s">
        <v>65</v>
      </c>
      <c r="AT40" s="16" t="s">
        <v>66</v>
      </c>
      <c r="AU40" s="21" t="s">
        <v>67</v>
      </c>
      <c r="AV40" s="22"/>
      <c r="AW40" s="23"/>
      <c r="AX40" s="19"/>
      <c r="AY40" s="19"/>
      <c r="AZ40" s="19"/>
      <c r="BA40" s="19"/>
      <c r="BB40" s="19"/>
      <c r="BC40" s="19"/>
      <c r="BD40" s="19"/>
      <c r="BE40" s="19"/>
      <c r="BF40" s="19"/>
      <c r="BG40" s="21" t="s">
        <v>78</v>
      </c>
      <c r="BH40" s="23"/>
      <c r="BI40" s="19"/>
      <c r="BJ40" s="16" t="s">
        <v>80</v>
      </c>
      <c r="BK40" s="16" t="s">
        <v>81</v>
      </c>
      <c r="BL40" s="19"/>
      <c r="BM40" s="21" t="s">
        <v>83</v>
      </c>
      <c r="BN40" s="22"/>
      <c r="BO40" s="23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21" t="s">
        <v>96</v>
      </c>
      <c r="CC40" s="23"/>
      <c r="CD40" s="19"/>
      <c r="CE40" s="19"/>
      <c r="CF40" s="19"/>
      <c r="CG40" s="16" t="s">
        <v>128</v>
      </c>
      <c r="CH40" s="16" t="s">
        <v>100</v>
      </c>
      <c r="CI40" s="16" t="s">
        <v>101</v>
      </c>
      <c r="CJ40" s="16" t="s">
        <v>102</v>
      </c>
      <c r="CK40" s="16" t="s">
        <v>103</v>
      </c>
      <c r="CL40" s="21" t="s">
        <v>104</v>
      </c>
      <c r="CM40" s="23"/>
      <c r="CN40" s="16" t="s">
        <v>128</v>
      </c>
      <c r="CO40" s="16" t="s">
        <v>105</v>
      </c>
      <c r="CP40" s="16" t="s">
        <v>106</v>
      </c>
      <c r="CQ40" s="16" t="s">
        <v>107</v>
      </c>
      <c r="CR40" s="16" t="s">
        <v>108</v>
      </c>
      <c r="CS40" s="16" t="s">
        <v>109</v>
      </c>
      <c r="CT40" s="21" t="s">
        <v>110</v>
      </c>
      <c r="CU40" s="23"/>
      <c r="CV40" s="16" t="s">
        <v>128</v>
      </c>
      <c r="CW40" s="16" t="s">
        <v>111</v>
      </c>
      <c r="CX40" s="21" t="s">
        <v>112</v>
      </c>
      <c r="CY40" s="22"/>
      <c r="CZ40" s="23"/>
      <c r="DA40" s="19"/>
      <c r="DB40" s="19"/>
      <c r="DC40" s="16" t="s">
        <v>129</v>
      </c>
      <c r="DD40" s="16" t="s">
        <v>129</v>
      </c>
      <c r="DE40" s="16" t="s">
        <v>129</v>
      </c>
      <c r="DF40" s="16" t="s">
        <v>129</v>
      </c>
      <c r="DG40" s="16" t="s">
        <v>376</v>
      </c>
      <c r="DH40" s="16" t="s">
        <v>377</v>
      </c>
      <c r="DI40" s="16" t="s">
        <v>378</v>
      </c>
      <c r="DJ40" s="16" t="s">
        <v>144</v>
      </c>
      <c r="DK40" s="19"/>
      <c r="DL40" s="19"/>
      <c r="DM40" s="21" t="s">
        <v>187</v>
      </c>
      <c r="DN40" s="23"/>
      <c r="DO40" s="19"/>
    </row>
    <row r="41" ht="15.75" customHeight="1">
      <c r="A41" s="15">
        <v>39.0</v>
      </c>
      <c r="B41" s="16" t="s">
        <v>379</v>
      </c>
      <c r="C41" s="17">
        <v>3.2007182202998E13</v>
      </c>
      <c r="D41" s="18">
        <v>78.0</v>
      </c>
      <c r="E41" s="16" t="s">
        <v>260</v>
      </c>
      <c r="F41" s="16" t="s">
        <v>241</v>
      </c>
      <c r="G41" s="16" t="s">
        <v>136</v>
      </c>
      <c r="H41" s="20">
        <v>44030.0</v>
      </c>
      <c r="I41" s="18">
        <v>1.0</v>
      </c>
      <c r="J41" s="19"/>
      <c r="K41" s="16" t="s">
        <v>380</v>
      </c>
      <c r="L41" s="21" t="s">
        <v>138</v>
      </c>
      <c r="M41" s="23"/>
      <c r="N41" s="19"/>
      <c r="O41" s="19"/>
      <c r="P41" s="19"/>
      <c r="Q41" s="19"/>
      <c r="R41" s="19"/>
      <c r="S41" s="19"/>
      <c r="T41" s="19"/>
      <c r="U41" s="19"/>
      <c r="V41" s="16" t="s">
        <v>139</v>
      </c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</row>
    <row r="42" ht="15.75" customHeight="1">
      <c r="A42" s="15">
        <v>40.0</v>
      </c>
      <c r="B42" s="16" t="s">
        <v>381</v>
      </c>
      <c r="C42" s="17">
        <v>3.1705082201949E13</v>
      </c>
      <c r="D42" s="18">
        <v>65.0</v>
      </c>
      <c r="E42" s="16" t="s">
        <v>135</v>
      </c>
      <c r="F42" s="16" t="s">
        <v>355</v>
      </c>
      <c r="G42" s="16" t="s">
        <v>136</v>
      </c>
      <c r="H42" s="20">
        <v>42863.0</v>
      </c>
      <c r="I42" s="16"/>
      <c r="J42" s="18">
        <v>1.0</v>
      </c>
      <c r="K42" s="16" t="s">
        <v>382</v>
      </c>
      <c r="L42" s="16" t="s">
        <v>122</v>
      </c>
      <c r="M42" s="19"/>
      <c r="N42" s="19"/>
      <c r="O42" s="19"/>
      <c r="P42" s="19"/>
      <c r="Q42" s="19"/>
      <c r="R42" s="19"/>
      <c r="S42" s="19"/>
      <c r="T42" s="19"/>
      <c r="U42" s="19"/>
      <c r="V42" s="16" t="s">
        <v>383</v>
      </c>
      <c r="W42" s="16" t="s">
        <v>46</v>
      </c>
      <c r="X42" s="21" t="s">
        <v>47</v>
      </c>
      <c r="Y42" s="23"/>
      <c r="Z42" s="19"/>
      <c r="AA42" s="19"/>
      <c r="AB42" s="19"/>
      <c r="AC42" s="19"/>
      <c r="AD42" s="19"/>
      <c r="AE42" s="19"/>
      <c r="AF42" s="19"/>
      <c r="AG42" s="19"/>
      <c r="AH42" s="21" t="s">
        <v>123</v>
      </c>
      <c r="AI42" s="23"/>
      <c r="AJ42" s="16" t="s">
        <v>168</v>
      </c>
      <c r="AK42" s="16" t="s">
        <v>153</v>
      </c>
      <c r="AL42" s="16" t="s">
        <v>126</v>
      </c>
      <c r="AM42" s="16" t="s">
        <v>126</v>
      </c>
      <c r="AN42" s="16" t="s">
        <v>126</v>
      </c>
      <c r="AO42" s="16" t="s">
        <v>126</v>
      </c>
      <c r="AP42" s="16" t="s">
        <v>126</v>
      </c>
      <c r="AQ42" s="16" t="s">
        <v>126</v>
      </c>
      <c r="AR42" s="16" t="s">
        <v>126</v>
      </c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21" t="s">
        <v>78</v>
      </c>
      <c r="BH42" s="23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6" t="s">
        <v>144</v>
      </c>
      <c r="CG42" s="16" t="s">
        <v>128</v>
      </c>
      <c r="CH42" s="21" t="s">
        <v>100</v>
      </c>
      <c r="CI42" s="23"/>
      <c r="CJ42" s="21" t="s">
        <v>102</v>
      </c>
      <c r="CK42" s="22"/>
      <c r="CL42" s="23"/>
      <c r="CM42" s="19"/>
      <c r="CN42" s="16" t="s">
        <v>128</v>
      </c>
      <c r="CO42" s="16" t="s">
        <v>105</v>
      </c>
      <c r="CP42" s="16" t="s">
        <v>106</v>
      </c>
      <c r="CQ42" s="16" t="s">
        <v>107</v>
      </c>
      <c r="CR42" s="16" t="s">
        <v>108</v>
      </c>
      <c r="CS42" s="16" t="s">
        <v>109</v>
      </c>
      <c r="CT42" s="21" t="s">
        <v>110</v>
      </c>
      <c r="CU42" s="23"/>
      <c r="CV42" s="16" t="s">
        <v>128</v>
      </c>
      <c r="CW42" s="19"/>
      <c r="CX42" s="16" t="s">
        <v>112</v>
      </c>
      <c r="CY42" s="21" t="s">
        <v>113</v>
      </c>
      <c r="CZ42" s="23"/>
      <c r="DA42" s="21" t="s">
        <v>115</v>
      </c>
      <c r="DB42" s="23"/>
      <c r="DC42" s="16" t="s">
        <v>129</v>
      </c>
      <c r="DD42" s="16" t="s">
        <v>129</v>
      </c>
      <c r="DE42" s="16" t="s">
        <v>129</v>
      </c>
      <c r="DF42" s="16" t="s">
        <v>129</v>
      </c>
      <c r="DG42" s="16" t="s">
        <v>384</v>
      </c>
      <c r="DH42" s="21" t="s">
        <v>385</v>
      </c>
      <c r="DI42" s="23"/>
      <c r="DJ42" s="16" t="s">
        <v>386</v>
      </c>
      <c r="DK42" s="21" t="s">
        <v>387</v>
      </c>
      <c r="DL42" s="23"/>
      <c r="DM42" s="16" t="s">
        <v>144</v>
      </c>
      <c r="DN42" s="19"/>
      <c r="DO42" s="19"/>
    </row>
    <row r="43" ht="15.75" customHeight="1">
      <c r="A43" s="15">
        <v>41.0</v>
      </c>
      <c r="B43" s="16" t="s">
        <v>388</v>
      </c>
      <c r="C43" s="17">
        <v>3.1805192201132E13</v>
      </c>
      <c r="D43" s="18">
        <v>54.0</v>
      </c>
      <c r="E43" s="16" t="s">
        <v>374</v>
      </c>
      <c r="F43" s="16" t="s">
        <v>135</v>
      </c>
      <c r="G43" s="16" t="s">
        <v>136</v>
      </c>
      <c r="H43" s="20">
        <v>43239.0</v>
      </c>
      <c r="I43" s="18">
        <v>1.0</v>
      </c>
      <c r="J43" s="19"/>
      <c r="K43" s="16" t="s">
        <v>389</v>
      </c>
      <c r="L43" s="21" t="s">
        <v>138</v>
      </c>
      <c r="M43" s="23"/>
      <c r="N43" s="19"/>
      <c r="O43" s="19"/>
      <c r="P43" s="19"/>
      <c r="Q43" s="19"/>
      <c r="R43" s="19"/>
      <c r="S43" s="19"/>
      <c r="T43" s="19"/>
      <c r="U43" s="19"/>
      <c r="V43" s="16" t="s">
        <v>139</v>
      </c>
      <c r="W43" s="19"/>
      <c r="X43" s="21" t="s">
        <v>47</v>
      </c>
      <c r="Y43" s="23"/>
      <c r="Z43" s="19"/>
      <c r="AA43" s="16" t="s">
        <v>50</v>
      </c>
      <c r="AB43" s="19"/>
      <c r="AC43" s="19"/>
      <c r="AD43" s="19"/>
      <c r="AE43" s="19"/>
      <c r="AF43" s="16" t="s">
        <v>55</v>
      </c>
      <c r="AG43" s="16" t="s">
        <v>390</v>
      </c>
      <c r="AH43" s="21" t="s">
        <v>123</v>
      </c>
      <c r="AI43" s="23"/>
      <c r="AJ43" s="16" t="s">
        <v>168</v>
      </c>
      <c r="AK43" s="16" t="s">
        <v>153</v>
      </c>
      <c r="AL43" s="16" t="s">
        <v>126</v>
      </c>
      <c r="AM43" s="16" t="s">
        <v>126</v>
      </c>
      <c r="AN43" s="16" t="s">
        <v>126</v>
      </c>
      <c r="AO43" s="16" t="s">
        <v>126</v>
      </c>
      <c r="AP43" s="16" t="s">
        <v>126</v>
      </c>
      <c r="AQ43" s="16" t="s">
        <v>126</v>
      </c>
      <c r="AR43" s="16" t="s">
        <v>126</v>
      </c>
      <c r="AS43" s="21" t="s">
        <v>65</v>
      </c>
      <c r="AT43" s="22"/>
      <c r="AU43" s="23"/>
      <c r="AV43" s="19"/>
      <c r="AW43" s="19"/>
      <c r="AX43" s="16" t="s">
        <v>70</v>
      </c>
      <c r="AY43" s="21" t="s">
        <v>71</v>
      </c>
      <c r="AZ43" s="22"/>
      <c r="BA43" s="23"/>
      <c r="BB43" s="19"/>
      <c r="BC43" s="19"/>
      <c r="BD43" s="19"/>
      <c r="BE43" s="19"/>
      <c r="BF43" s="19"/>
      <c r="BG43" s="21" t="s">
        <v>78</v>
      </c>
      <c r="BH43" s="23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6" t="s">
        <v>99</v>
      </c>
      <c r="CF43" s="16" t="s">
        <v>391</v>
      </c>
      <c r="CG43" s="16" t="s">
        <v>128</v>
      </c>
      <c r="CH43" s="16" t="s">
        <v>100</v>
      </c>
      <c r="CI43" s="21" t="s">
        <v>101</v>
      </c>
      <c r="CJ43" s="22"/>
      <c r="CK43" s="23"/>
      <c r="CL43" s="21" t="s">
        <v>104</v>
      </c>
      <c r="CM43" s="23"/>
      <c r="CN43" s="16" t="s">
        <v>128</v>
      </c>
      <c r="CO43" s="16" t="s">
        <v>105</v>
      </c>
      <c r="CP43" s="16" t="s">
        <v>106</v>
      </c>
      <c r="CQ43" s="16" t="s">
        <v>107</v>
      </c>
      <c r="CR43" s="16" t="s">
        <v>108</v>
      </c>
      <c r="CS43" s="16" t="s">
        <v>109</v>
      </c>
      <c r="CT43" s="21" t="s">
        <v>110</v>
      </c>
      <c r="CU43" s="23"/>
      <c r="CV43" s="16" t="s">
        <v>128</v>
      </c>
      <c r="CW43" s="19"/>
      <c r="CX43" s="16" t="s">
        <v>112</v>
      </c>
      <c r="CY43" s="16" t="s">
        <v>113</v>
      </c>
      <c r="CZ43" s="21" t="s">
        <v>114</v>
      </c>
      <c r="DA43" s="22"/>
      <c r="DB43" s="23"/>
      <c r="DC43" s="16" t="s">
        <v>129</v>
      </c>
      <c r="DD43" s="16" t="s">
        <v>129</v>
      </c>
      <c r="DE43" s="19"/>
      <c r="DF43" s="19"/>
      <c r="DG43" s="16" t="s">
        <v>392</v>
      </c>
      <c r="DH43" s="21" t="s">
        <v>393</v>
      </c>
      <c r="DI43" s="23"/>
      <c r="DJ43" s="21" t="s">
        <v>394</v>
      </c>
      <c r="DK43" s="23"/>
      <c r="DL43" s="19"/>
      <c r="DM43" s="21" t="s">
        <v>395</v>
      </c>
      <c r="DN43" s="22"/>
      <c r="DO43" s="23"/>
    </row>
    <row r="44" ht="15.75" customHeight="1">
      <c r="A44" s="15">
        <v>42.0</v>
      </c>
      <c r="B44" s="16" t="s">
        <v>396</v>
      </c>
      <c r="C44" s="17">
        <v>3.0705312240511E13</v>
      </c>
      <c r="D44" s="18">
        <v>77.0</v>
      </c>
      <c r="E44" s="16" t="s">
        <v>359</v>
      </c>
      <c r="F44" s="16" t="s">
        <v>135</v>
      </c>
      <c r="G44" s="16" t="s">
        <v>136</v>
      </c>
      <c r="H44" s="20">
        <v>39233.0</v>
      </c>
      <c r="I44" s="16"/>
      <c r="J44" s="18">
        <v>1.0</v>
      </c>
      <c r="K44" s="16" t="s">
        <v>397</v>
      </c>
      <c r="L44" s="21" t="s">
        <v>138</v>
      </c>
      <c r="M44" s="23"/>
      <c r="N44" s="19"/>
      <c r="O44" s="19"/>
      <c r="P44" s="19"/>
      <c r="Q44" s="19"/>
      <c r="R44" s="19"/>
      <c r="S44" s="19"/>
      <c r="T44" s="19"/>
      <c r="U44" s="19"/>
      <c r="V44" s="21" t="s">
        <v>271</v>
      </c>
      <c r="W44" s="23"/>
      <c r="X44" s="16" t="s">
        <v>47</v>
      </c>
      <c r="Y44" s="21" t="s">
        <v>48</v>
      </c>
      <c r="Z44" s="23"/>
      <c r="AA44" s="19"/>
      <c r="AB44" s="19"/>
      <c r="AC44" s="19"/>
      <c r="AD44" s="19"/>
      <c r="AE44" s="19"/>
      <c r="AF44" s="21" t="s">
        <v>55</v>
      </c>
      <c r="AG44" s="23"/>
      <c r="AH44" s="21" t="s">
        <v>123</v>
      </c>
      <c r="AI44" s="23"/>
      <c r="AJ44" s="16" t="s">
        <v>168</v>
      </c>
      <c r="AK44" s="16" t="s">
        <v>153</v>
      </c>
      <c r="AL44" s="16" t="s">
        <v>126</v>
      </c>
      <c r="AM44" s="16" t="s">
        <v>126</v>
      </c>
      <c r="AN44" s="16" t="s">
        <v>126</v>
      </c>
      <c r="AO44" s="16" t="s">
        <v>126</v>
      </c>
      <c r="AP44" s="16" t="s">
        <v>126</v>
      </c>
      <c r="AQ44" s="16" t="s">
        <v>126</v>
      </c>
      <c r="AR44" s="16" t="s">
        <v>126</v>
      </c>
      <c r="AS44" s="19"/>
      <c r="AT44" s="19"/>
      <c r="AU44" s="19"/>
      <c r="AV44" s="19"/>
      <c r="AW44" s="19"/>
      <c r="AX44" s="19"/>
      <c r="AY44" s="19"/>
      <c r="AZ44" s="19"/>
      <c r="BA44" s="21" t="s">
        <v>73</v>
      </c>
      <c r="BB44" s="23"/>
      <c r="BC44" s="19"/>
      <c r="BD44" s="16" t="s">
        <v>76</v>
      </c>
      <c r="BE44" s="21" t="s">
        <v>77</v>
      </c>
      <c r="BF44" s="22"/>
      <c r="BG44" s="22"/>
      <c r="BH44" s="23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6" t="s">
        <v>89</v>
      </c>
      <c r="BU44" s="16" t="s">
        <v>90</v>
      </c>
      <c r="BV44" s="16" t="s">
        <v>91</v>
      </c>
      <c r="BW44" s="21" t="s">
        <v>92</v>
      </c>
      <c r="BX44" s="23"/>
      <c r="BY44" s="16" t="s">
        <v>93</v>
      </c>
      <c r="BZ44" s="21" t="s">
        <v>94</v>
      </c>
      <c r="CA44" s="22"/>
      <c r="CB44" s="23"/>
      <c r="CC44" s="19"/>
      <c r="CD44" s="19"/>
      <c r="CE44" s="19"/>
      <c r="CF44" s="19"/>
      <c r="CG44" s="16" t="s">
        <v>128</v>
      </c>
      <c r="CH44" s="21" t="s">
        <v>100</v>
      </c>
      <c r="CI44" s="23"/>
      <c r="CJ44" s="19"/>
      <c r="CK44" s="16" t="s">
        <v>103</v>
      </c>
      <c r="CL44" s="21" t="s">
        <v>104</v>
      </c>
      <c r="CM44" s="23"/>
      <c r="CN44" s="16" t="s">
        <v>128</v>
      </c>
      <c r="CO44" s="16" t="s">
        <v>105</v>
      </c>
      <c r="CP44" s="21" t="s">
        <v>106</v>
      </c>
      <c r="CQ44" s="22"/>
      <c r="CR44" s="22"/>
      <c r="CS44" s="23"/>
      <c r="CT44" s="21" t="s">
        <v>110</v>
      </c>
      <c r="CU44" s="23"/>
      <c r="CV44" s="16" t="s">
        <v>128</v>
      </c>
      <c r="CW44" s="16" t="s">
        <v>111</v>
      </c>
      <c r="CX44" s="21" t="s">
        <v>112</v>
      </c>
      <c r="CY44" s="23"/>
      <c r="CZ44" s="16" t="s">
        <v>114</v>
      </c>
      <c r="DA44" s="21" t="s">
        <v>115</v>
      </c>
      <c r="DB44" s="23"/>
      <c r="DC44" s="16" t="s">
        <v>145</v>
      </c>
      <c r="DD44" s="16" t="s">
        <v>129</v>
      </c>
      <c r="DE44" s="16" t="s">
        <v>129</v>
      </c>
      <c r="DF44" s="16" t="s">
        <v>129</v>
      </c>
      <c r="DG44" s="16" t="s">
        <v>155</v>
      </c>
      <c r="DH44" s="21" t="s">
        <v>398</v>
      </c>
      <c r="DI44" s="23"/>
      <c r="DJ44" s="16" t="s">
        <v>144</v>
      </c>
      <c r="DK44" s="19"/>
      <c r="DL44" s="19"/>
      <c r="DM44" s="21" t="s">
        <v>178</v>
      </c>
      <c r="DN44" s="22"/>
      <c r="DO44" s="23"/>
    </row>
    <row r="45" ht="15.75" customHeight="1">
      <c r="A45" s="15">
        <v>43.0</v>
      </c>
      <c r="B45" s="16" t="s">
        <v>399</v>
      </c>
      <c r="C45" s="17">
        <v>3.0503012201202E13</v>
      </c>
      <c r="D45" s="18">
        <v>64.0</v>
      </c>
      <c r="E45" s="16" t="s">
        <v>400</v>
      </c>
      <c r="F45" s="16" t="s">
        <v>135</v>
      </c>
      <c r="G45" s="16" t="s">
        <v>136</v>
      </c>
      <c r="H45" s="20">
        <v>38412.0</v>
      </c>
      <c r="I45" s="16"/>
      <c r="J45" s="18">
        <v>1.0</v>
      </c>
      <c r="K45" s="16" t="s">
        <v>401</v>
      </c>
      <c r="L45" s="21" t="s">
        <v>138</v>
      </c>
      <c r="M45" s="23"/>
      <c r="N45" s="19"/>
      <c r="O45" s="19"/>
      <c r="P45" s="19"/>
      <c r="Q45" s="19"/>
      <c r="R45" s="19"/>
      <c r="S45" s="19"/>
      <c r="T45" s="19"/>
      <c r="U45" s="19"/>
      <c r="V45" s="16" t="s">
        <v>402</v>
      </c>
      <c r="W45" s="19"/>
      <c r="X45" s="19"/>
      <c r="Y45" s="19"/>
      <c r="Z45" s="19"/>
      <c r="AA45" s="19"/>
      <c r="AB45" s="16" t="s">
        <v>51</v>
      </c>
      <c r="AC45" s="21" t="s">
        <v>52</v>
      </c>
      <c r="AD45" s="23"/>
      <c r="AE45" s="19"/>
      <c r="AF45" s="19"/>
      <c r="AG45" s="19"/>
      <c r="AH45" s="21" t="s">
        <v>152</v>
      </c>
      <c r="AI45" s="23"/>
      <c r="AJ45" s="16" t="s">
        <v>168</v>
      </c>
      <c r="AK45" s="16" t="s">
        <v>142</v>
      </c>
      <c r="AL45" s="16" t="s">
        <v>126</v>
      </c>
      <c r="AM45" s="16" t="s">
        <v>126</v>
      </c>
      <c r="AN45" s="16" t="s">
        <v>126</v>
      </c>
      <c r="AO45" s="16" t="s">
        <v>126</v>
      </c>
      <c r="AP45" s="16" t="s">
        <v>126</v>
      </c>
      <c r="AQ45" s="16" t="s">
        <v>126</v>
      </c>
      <c r="AR45" s="16" t="s">
        <v>126</v>
      </c>
      <c r="AS45" s="19"/>
      <c r="AT45" s="19"/>
      <c r="AU45" s="19"/>
      <c r="AV45" s="19"/>
      <c r="AW45" s="19"/>
      <c r="AX45" s="19"/>
      <c r="AY45" s="19"/>
      <c r="AZ45" s="19"/>
      <c r="BA45" s="16" t="s">
        <v>73</v>
      </c>
      <c r="BB45" s="21" t="s">
        <v>74</v>
      </c>
      <c r="BC45" s="23"/>
      <c r="BD45" s="16" t="s">
        <v>76</v>
      </c>
      <c r="BE45" s="21" t="s">
        <v>77</v>
      </c>
      <c r="BF45" s="22"/>
      <c r="BG45" s="22"/>
      <c r="BH45" s="23"/>
      <c r="BI45" s="19"/>
      <c r="BJ45" s="19"/>
      <c r="BK45" s="19"/>
      <c r="BL45" s="19"/>
      <c r="BM45" s="19"/>
      <c r="BN45" s="19"/>
      <c r="BO45" s="19"/>
      <c r="BP45" s="19"/>
      <c r="BQ45" s="21" t="s">
        <v>86</v>
      </c>
      <c r="BR45" s="23"/>
      <c r="BS45" s="16" t="s">
        <v>88</v>
      </c>
      <c r="BT45" s="16" t="s">
        <v>89</v>
      </c>
      <c r="BU45" s="21" t="s">
        <v>90</v>
      </c>
      <c r="BV45" s="23"/>
      <c r="BW45" s="21" t="s">
        <v>92</v>
      </c>
      <c r="BX45" s="22"/>
      <c r="BY45" s="23"/>
      <c r="BZ45" s="19"/>
      <c r="CA45" s="19"/>
      <c r="CB45" s="19"/>
      <c r="CC45" s="19"/>
      <c r="CD45" s="19"/>
      <c r="CE45" s="19"/>
      <c r="CF45" s="16" t="s">
        <v>403</v>
      </c>
      <c r="CG45" s="16" t="s">
        <v>128</v>
      </c>
      <c r="CH45" s="19"/>
      <c r="CI45" s="19"/>
      <c r="CJ45" s="19"/>
      <c r="CK45" s="19"/>
      <c r="CL45" s="19"/>
      <c r="CM45" s="16" t="s">
        <v>404</v>
      </c>
      <c r="CN45" s="16" t="s">
        <v>128</v>
      </c>
      <c r="CO45" s="16" t="s">
        <v>105</v>
      </c>
      <c r="CP45" s="16" t="s">
        <v>106</v>
      </c>
      <c r="CQ45" s="16" t="s">
        <v>107</v>
      </c>
      <c r="CR45" s="21" t="s">
        <v>108</v>
      </c>
      <c r="CS45" s="23"/>
      <c r="CT45" s="21" t="s">
        <v>110</v>
      </c>
      <c r="CU45" s="23"/>
      <c r="CV45" s="16" t="s">
        <v>128</v>
      </c>
      <c r="CW45" s="19"/>
      <c r="CX45" s="19"/>
      <c r="CY45" s="21" t="s">
        <v>113</v>
      </c>
      <c r="CZ45" s="22"/>
      <c r="DA45" s="23"/>
      <c r="DB45" s="19"/>
      <c r="DC45" s="19"/>
      <c r="DD45" s="19"/>
      <c r="DE45" s="16" t="s">
        <v>129</v>
      </c>
      <c r="DF45" s="16" t="s">
        <v>129</v>
      </c>
      <c r="DG45" s="16" t="s">
        <v>405</v>
      </c>
      <c r="DH45" s="16" t="s">
        <v>406</v>
      </c>
      <c r="DI45" s="16" t="s">
        <v>407</v>
      </c>
      <c r="DJ45" s="16" t="s">
        <v>247</v>
      </c>
      <c r="DK45" s="19"/>
      <c r="DL45" s="19"/>
      <c r="DM45" s="21" t="s">
        <v>408</v>
      </c>
      <c r="DN45" s="22"/>
      <c r="DO45" s="23"/>
    </row>
    <row r="46" ht="15.75" customHeight="1">
      <c r="A46" s="15">
        <v>44.0</v>
      </c>
      <c r="B46" s="16" t="s">
        <v>409</v>
      </c>
      <c r="C46" s="17">
        <v>3.11111122200191E14</v>
      </c>
      <c r="D46" s="18">
        <v>2.0</v>
      </c>
      <c r="E46" s="16" t="s">
        <v>359</v>
      </c>
      <c r="F46" s="16" t="s">
        <v>135</v>
      </c>
      <c r="G46" s="16" t="s">
        <v>136</v>
      </c>
      <c r="H46" s="25">
        <v>40859.0</v>
      </c>
      <c r="I46" s="16"/>
      <c r="J46" s="18">
        <v>1.0</v>
      </c>
      <c r="K46" s="16" t="s">
        <v>410</v>
      </c>
      <c r="L46" s="21" t="s">
        <v>138</v>
      </c>
      <c r="M46" s="23"/>
      <c r="N46" s="19"/>
      <c r="O46" s="19"/>
      <c r="P46" s="19"/>
      <c r="Q46" s="19"/>
      <c r="R46" s="19"/>
      <c r="S46" s="19"/>
      <c r="T46" s="19"/>
      <c r="U46" s="19"/>
      <c r="V46" s="16" t="s">
        <v>271</v>
      </c>
      <c r="W46" s="16" t="s">
        <v>46</v>
      </c>
      <c r="X46" s="16" t="s">
        <v>47</v>
      </c>
      <c r="Y46" s="21" t="s">
        <v>48</v>
      </c>
      <c r="Z46" s="23"/>
      <c r="AA46" s="19"/>
      <c r="AB46" s="19"/>
      <c r="AC46" s="19"/>
      <c r="AD46" s="19"/>
      <c r="AE46" s="19"/>
      <c r="AF46" s="19"/>
      <c r="AG46" s="19"/>
      <c r="AH46" s="21" t="s">
        <v>123</v>
      </c>
      <c r="AI46" s="23"/>
      <c r="AJ46" s="16" t="s">
        <v>168</v>
      </c>
      <c r="AK46" s="16" t="s">
        <v>153</v>
      </c>
      <c r="AL46" s="16" t="s">
        <v>126</v>
      </c>
      <c r="AM46" s="16" t="s">
        <v>143</v>
      </c>
      <c r="AN46" s="16" t="s">
        <v>126</v>
      </c>
      <c r="AO46" s="16" t="s">
        <v>181</v>
      </c>
      <c r="AP46" s="16" t="s">
        <v>181</v>
      </c>
      <c r="AQ46" s="16" t="s">
        <v>181</v>
      </c>
      <c r="AR46" s="16" t="s">
        <v>181</v>
      </c>
      <c r="AS46" s="21" t="s">
        <v>65</v>
      </c>
      <c r="AT46" s="23"/>
      <c r="AU46" s="16" t="s">
        <v>67</v>
      </c>
      <c r="AV46" s="21" t="s">
        <v>68</v>
      </c>
      <c r="AW46" s="23"/>
      <c r="AX46" s="21" t="s">
        <v>70</v>
      </c>
      <c r="AY46" s="22"/>
      <c r="AZ46" s="23"/>
      <c r="BA46" s="19"/>
      <c r="BB46" s="19"/>
      <c r="BC46" s="19"/>
      <c r="BD46" s="19"/>
      <c r="BE46" s="19"/>
      <c r="BF46" s="19"/>
      <c r="BG46" s="21" t="s">
        <v>78</v>
      </c>
      <c r="BH46" s="23"/>
      <c r="BI46" s="19"/>
      <c r="BJ46" s="19"/>
      <c r="BK46" s="19"/>
      <c r="BL46" s="16" t="s">
        <v>82</v>
      </c>
      <c r="BM46" s="21" t="s">
        <v>83</v>
      </c>
      <c r="BN46" s="23"/>
      <c r="BO46" s="21" t="s">
        <v>85</v>
      </c>
      <c r="BP46" s="22"/>
      <c r="BQ46" s="22"/>
      <c r="BR46" s="23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6" t="s">
        <v>144</v>
      </c>
      <c r="CG46" s="16" t="s">
        <v>128</v>
      </c>
      <c r="CH46" s="16" t="s">
        <v>100</v>
      </c>
      <c r="CI46" s="16" t="s">
        <v>101</v>
      </c>
      <c r="CJ46" s="16" t="s">
        <v>102</v>
      </c>
      <c r="CK46" s="16" t="s">
        <v>103</v>
      </c>
      <c r="CL46" s="21" t="s">
        <v>104</v>
      </c>
      <c r="CM46" s="23"/>
      <c r="CN46" s="16" t="s">
        <v>128</v>
      </c>
      <c r="CO46" s="16" t="s">
        <v>105</v>
      </c>
      <c r="CP46" s="21" t="s">
        <v>106</v>
      </c>
      <c r="CQ46" s="23"/>
      <c r="CR46" s="16" t="s">
        <v>108</v>
      </c>
      <c r="CS46" s="21" t="s">
        <v>109</v>
      </c>
      <c r="CT46" s="23"/>
      <c r="CU46" s="19"/>
      <c r="CV46" s="16" t="s">
        <v>154</v>
      </c>
      <c r="CW46" s="16" t="s">
        <v>111</v>
      </c>
      <c r="CX46" s="21" t="s">
        <v>112</v>
      </c>
      <c r="CY46" s="23"/>
      <c r="CZ46" s="21" t="s">
        <v>114</v>
      </c>
      <c r="DA46" s="22"/>
      <c r="DB46" s="23"/>
      <c r="DC46" s="16" t="s">
        <v>145</v>
      </c>
      <c r="DD46" s="16" t="s">
        <v>129</v>
      </c>
      <c r="DE46" s="16" t="s">
        <v>129</v>
      </c>
      <c r="DF46" s="16" t="s">
        <v>129</v>
      </c>
      <c r="DG46" s="16" t="s">
        <v>146</v>
      </c>
      <c r="DH46" s="21" t="s">
        <v>411</v>
      </c>
      <c r="DI46" s="23"/>
      <c r="DJ46" s="16" t="s">
        <v>144</v>
      </c>
      <c r="DK46" s="19"/>
      <c r="DL46" s="19"/>
      <c r="DM46" s="21" t="s">
        <v>412</v>
      </c>
      <c r="DN46" s="22"/>
      <c r="DO46" s="23"/>
    </row>
    <row r="47" ht="15.75" customHeight="1">
      <c r="A47" s="15">
        <v>45.0</v>
      </c>
      <c r="B47" s="16" t="s">
        <v>413</v>
      </c>
      <c r="C47" s="17">
        <v>3.1710010220065E13</v>
      </c>
      <c r="D47" s="18">
        <v>133.0</v>
      </c>
      <c r="E47" s="16" t="s">
        <v>414</v>
      </c>
      <c r="F47" s="16" t="s">
        <v>135</v>
      </c>
      <c r="G47" s="16" t="s">
        <v>136</v>
      </c>
      <c r="H47" s="20">
        <v>43009.0</v>
      </c>
      <c r="I47" s="18">
        <v>1.0</v>
      </c>
      <c r="J47" s="19"/>
      <c r="K47" s="16" t="s">
        <v>415</v>
      </c>
      <c r="L47" s="21" t="s">
        <v>138</v>
      </c>
      <c r="M47" s="23"/>
      <c r="N47" s="19"/>
      <c r="O47" s="19"/>
      <c r="P47" s="19"/>
      <c r="Q47" s="19"/>
      <c r="R47" s="19"/>
      <c r="S47" s="19"/>
      <c r="T47" s="19"/>
      <c r="U47" s="19"/>
      <c r="V47" s="16" t="s">
        <v>139</v>
      </c>
      <c r="W47" s="16" t="s">
        <v>46</v>
      </c>
      <c r="X47" s="21" t="s">
        <v>47</v>
      </c>
      <c r="Y47" s="23"/>
      <c r="Z47" s="19"/>
      <c r="AA47" s="19"/>
      <c r="AB47" s="19"/>
      <c r="AC47" s="19"/>
      <c r="AD47" s="19"/>
      <c r="AE47" s="19"/>
      <c r="AF47" s="19"/>
      <c r="AG47" s="19"/>
      <c r="AH47" s="21" t="s">
        <v>123</v>
      </c>
      <c r="AI47" s="23"/>
      <c r="AJ47" s="16" t="s">
        <v>124</v>
      </c>
      <c r="AK47" s="16" t="s">
        <v>153</v>
      </c>
      <c r="AL47" s="16" t="s">
        <v>126</v>
      </c>
      <c r="AM47" s="16" t="s">
        <v>126</v>
      </c>
      <c r="AN47" s="16" t="s">
        <v>126</v>
      </c>
      <c r="AO47" s="16" t="s">
        <v>126</v>
      </c>
      <c r="AP47" s="16" t="s">
        <v>126</v>
      </c>
      <c r="AQ47" s="16" t="s">
        <v>126</v>
      </c>
      <c r="AR47" s="16" t="s">
        <v>126</v>
      </c>
      <c r="AS47" s="21" t="s">
        <v>65</v>
      </c>
      <c r="AT47" s="22"/>
      <c r="AU47" s="23"/>
      <c r="AV47" s="19"/>
      <c r="AW47" s="16" t="s">
        <v>69</v>
      </c>
      <c r="AX47" s="16" t="s">
        <v>70</v>
      </c>
      <c r="AY47" s="21" t="s">
        <v>71</v>
      </c>
      <c r="AZ47" s="22"/>
      <c r="BA47" s="23"/>
      <c r="BB47" s="19"/>
      <c r="BC47" s="19"/>
      <c r="BD47" s="19"/>
      <c r="BE47" s="19"/>
      <c r="BF47" s="19"/>
      <c r="BG47" s="21" t="s">
        <v>78</v>
      </c>
      <c r="BH47" s="23"/>
      <c r="BI47" s="19"/>
      <c r="BJ47" s="19"/>
      <c r="BK47" s="19"/>
      <c r="BL47" s="21" t="s">
        <v>82</v>
      </c>
      <c r="BM47" s="23"/>
      <c r="BN47" s="19"/>
      <c r="BO47" s="21" t="s">
        <v>85</v>
      </c>
      <c r="BP47" s="22"/>
      <c r="BQ47" s="22"/>
      <c r="BR47" s="23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21" t="s">
        <v>97</v>
      </c>
      <c r="CD47" s="23"/>
      <c r="CE47" s="19"/>
      <c r="CF47" s="19"/>
      <c r="CG47" s="16" t="s">
        <v>128</v>
      </c>
      <c r="CH47" s="16" t="s">
        <v>100</v>
      </c>
      <c r="CI47" s="16" t="s">
        <v>101</v>
      </c>
      <c r="CJ47" s="16" t="s">
        <v>102</v>
      </c>
      <c r="CK47" s="16" t="s">
        <v>103</v>
      </c>
      <c r="CL47" s="21" t="s">
        <v>104</v>
      </c>
      <c r="CM47" s="23"/>
      <c r="CN47" s="16" t="s">
        <v>128</v>
      </c>
      <c r="CO47" s="21" t="s">
        <v>105</v>
      </c>
      <c r="CP47" s="22"/>
      <c r="CQ47" s="23"/>
      <c r="CR47" s="19"/>
      <c r="CS47" s="21" t="s">
        <v>109</v>
      </c>
      <c r="CT47" s="23"/>
      <c r="CU47" s="19"/>
      <c r="CV47" s="16" t="s">
        <v>128</v>
      </c>
      <c r="CW47" s="19"/>
      <c r="CX47" s="19"/>
      <c r="CY47" s="19"/>
      <c r="CZ47" s="19"/>
      <c r="DA47" s="21" t="s">
        <v>115</v>
      </c>
      <c r="DB47" s="23"/>
      <c r="DC47" s="16" t="s">
        <v>129</v>
      </c>
      <c r="DD47" s="16" t="s">
        <v>129</v>
      </c>
      <c r="DE47" s="16" t="s">
        <v>145</v>
      </c>
      <c r="DF47" s="16" t="s">
        <v>145</v>
      </c>
      <c r="DG47" s="16" t="s">
        <v>416</v>
      </c>
      <c r="DH47" s="21" t="s">
        <v>417</v>
      </c>
      <c r="DI47" s="22"/>
      <c r="DJ47" s="22"/>
      <c r="DK47" s="22"/>
      <c r="DL47" s="23"/>
      <c r="DM47" s="16" t="s">
        <v>144</v>
      </c>
      <c r="DN47" s="19"/>
      <c r="DO47" s="19"/>
    </row>
    <row r="48" ht="15.75" customHeight="1">
      <c r="A48" s="15">
        <v>46.0</v>
      </c>
      <c r="B48" s="16" t="s">
        <v>418</v>
      </c>
      <c r="C48" s="17">
        <v>3.1406012200867E13</v>
      </c>
      <c r="D48" s="18">
        <v>62.0</v>
      </c>
      <c r="E48" s="16" t="s">
        <v>359</v>
      </c>
      <c r="F48" s="16" t="s">
        <v>135</v>
      </c>
      <c r="G48" s="16" t="s">
        <v>136</v>
      </c>
      <c r="H48" s="19"/>
      <c r="I48" s="16"/>
      <c r="J48" s="18">
        <v>1.0</v>
      </c>
      <c r="K48" s="16" t="s">
        <v>419</v>
      </c>
      <c r="L48" s="21" t="s">
        <v>138</v>
      </c>
      <c r="M48" s="23"/>
      <c r="N48" s="19"/>
      <c r="O48" s="19"/>
      <c r="P48" s="19"/>
      <c r="Q48" s="19"/>
      <c r="R48" s="19"/>
      <c r="S48" s="19"/>
      <c r="T48" s="19"/>
      <c r="U48" s="19"/>
      <c r="V48" s="16" t="s">
        <v>271</v>
      </c>
      <c r="W48" s="16" t="s">
        <v>46</v>
      </c>
      <c r="X48" s="21" t="s">
        <v>47</v>
      </c>
      <c r="Y48" s="23"/>
      <c r="Z48" s="19"/>
      <c r="AA48" s="19"/>
      <c r="AB48" s="19"/>
      <c r="AC48" s="21" t="s">
        <v>52</v>
      </c>
      <c r="AD48" s="23"/>
      <c r="AE48" s="19"/>
      <c r="AF48" s="19"/>
      <c r="AG48" s="19"/>
      <c r="AH48" s="21" t="s">
        <v>123</v>
      </c>
      <c r="AI48" s="23"/>
      <c r="AJ48" s="16" t="s">
        <v>168</v>
      </c>
      <c r="AK48" s="16" t="s">
        <v>153</v>
      </c>
      <c r="AL48" s="16" t="s">
        <v>126</v>
      </c>
      <c r="AM48" s="16" t="s">
        <v>143</v>
      </c>
      <c r="AN48" s="16" t="s">
        <v>126</v>
      </c>
      <c r="AO48" s="16" t="s">
        <v>181</v>
      </c>
      <c r="AP48" s="16" t="s">
        <v>181</v>
      </c>
      <c r="AQ48" s="16" t="s">
        <v>181</v>
      </c>
      <c r="AR48" s="16" t="s">
        <v>181</v>
      </c>
      <c r="AS48" s="21" t="s">
        <v>65</v>
      </c>
      <c r="AT48" s="23"/>
      <c r="AU48" s="16" t="s">
        <v>67</v>
      </c>
      <c r="AV48" s="21" t="s">
        <v>68</v>
      </c>
      <c r="AW48" s="23"/>
      <c r="AX48" s="21" t="s">
        <v>70</v>
      </c>
      <c r="AY48" s="22"/>
      <c r="AZ48" s="23"/>
      <c r="BA48" s="19"/>
      <c r="BB48" s="19"/>
      <c r="BC48" s="19"/>
      <c r="BD48" s="19"/>
      <c r="BE48" s="19"/>
      <c r="BF48" s="19"/>
      <c r="BG48" s="21" t="s">
        <v>78</v>
      </c>
      <c r="BH48" s="23"/>
      <c r="BI48" s="21" t="s">
        <v>52</v>
      </c>
      <c r="BJ48" s="23"/>
      <c r="BK48" s="19"/>
      <c r="BL48" s="19"/>
      <c r="BM48" s="19"/>
      <c r="BN48" s="19"/>
      <c r="BO48" s="21" t="s">
        <v>85</v>
      </c>
      <c r="BP48" s="22"/>
      <c r="BQ48" s="22"/>
      <c r="BR48" s="23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6" t="s">
        <v>144</v>
      </c>
      <c r="CG48" s="16" t="s">
        <v>128</v>
      </c>
      <c r="CH48" s="16" t="s">
        <v>100</v>
      </c>
      <c r="CI48" s="21" t="s">
        <v>101</v>
      </c>
      <c r="CJ48" s="23"/>
      <c r="CK48" s="21" t="s">
        <v>103</v>
      </c>
      <c r="CL48" s="23"/>
      <c r="CM48" s="19"/>
      <c r="CN48" s="16" t="s">
        <v>128</v>
      </c>
      <c r="CO48" s="16" t="s">
        <v>105</v>
      </c>
      <c r="CP48" s="21" t="s">
        <v>106</v>
      </c>
      <c r="CQ48" s="22"/>
      <c r="CR48" s="23"/>
      <c r="CS48" s="21" t="s">
        <v>109</v>
      </c>
      <c r="CT48" s="23"/>
      <c r="CU48" s="19"/>
      <c r="CV48" s="16" t="s">
        <v>128</v>
      </c>
      <c r="CW48" s="21" t="s">
        <v>111</v>
      </c>
      <c r="CX48" s="22"/>
      <c r="CY48" s="23"/>
      <c r="CZ48" s="21" t="s">
        <v>114</v>
      </c>
      <c r="DA48" s="22"/>
      <c r="DB48" s="23"/>
      <c r="DC48" s="16" t="s">
        <v>129</v>
      </c>
      <c r="DD48" s="16" t="s">
        <v>129</v>
      </c>
      <c r="DE48" s="16" t="s">
        <v>129</v>
      </c>
      <c r="DF48" s="16" t="s">
        <v>129</v>
      </c>
      <c r="DG48" s="21" t="s">
        <v>420</v>
      </c>
      <c r="DH48" s="22"/>
      <c r="DI48" s="23"/>
      <c r="DJ48" s="16" t="s">
        <v>144</v>
      </c>
      <c r="DK48" s="19"/>
      <c r="DL48" s="19"/>
      <c r="DM48" s="16" t="s">
        <v>144</v>
      </c>
      <c r="DN48" s="19"/>
      <c r="DO48" s="19"/>
    </row>
    <row r="49" ht="15.75" customHeight="1">
      <c r="A49" s="15">
        <v>47.0</v>
      </c>
      <c r="B49" s="16" t="s">
        <v>421</v>
      </c>
      <c r="C49" s="17">
        <v>3.1010122201728E13</v>
      </c>
      <c r="D49" s="18">
        <v>41.0</v>
      </c>
      <c r="E49" s="16" t="s">
        <v>135</v>
      </c>
      <c r="F49" s="16" t="s">
        <v>135</v>
      </c>
      <c r="G49" s="16" t="s">
        <v>136</v>
      </c>
      <c r="H49" s="25">
        <v>40463.0</v>
      </c>
      <c r="I49" s="16"/>
      <c r="J49" s="18">
        <v>1.0</v>
      </c>
      <c r="K49" s="16" t="s">
        <v>422</v>
      </c>
      <c r="L49" s="21" t="s">
        <v>138</v>
      </c>
      <c r="M49" s="23"/>
      <c r="N49" s="19"/>
      <c r="O49" s="19"/>
      <c r="P49" s="19"/>
      <c r="Q49" s="19"/>
      <c r="R49" s="19"/>
      <c r="S49" s="19"/>
      <c r="T49" s="19"/>
      <c r="U49" s="19"/>
      <c r="V49" s="21" t="s">
        <v>271</v>
      </c>
      <c r="W49" s="23"/>
      <c r="X49" s="19"/>
      <c r="Y49" s="21" t="s">
        <v>48</v>
      </c>
      <c r="Z49" s="23"/>
      <c r="AA49" s="19"/>
      <c r="AB49" s="19"/>
      <c r="AC49" s="21" t="s">
        <v>52</v>
      </c>
      <c r="AD49" s="23"/>
      <c r="AE49" s="19"/>
      <c r="AF49" s="19"/>
      <c r="AG49" s="16" t="s">
        <v>423</v>
      </c>
      <c r="AH49" s="21" t="s">
        <v>123</v>
      </c>
      <c r="AI49" s="23"/>
      <c r="AJ49" s="16" t="s">
        <v>168</v>
      </c>
      <c r="AK49" s="16" t="s">
        <v>153</v>
      </c>
      <c r="AL49" s="16" t="s">
        <v>126</v>
      </c>
      <c r="AM49" s="16" t="s">
        <v>181</v>
      </c>
      <c r="AN49" s="16" t="s">
        <v>126</v>
      </c>
      <c r="AO49" s="16" t="s">
        <v>126</v>
      </c>
      <c r="AP49" s="16" t="s">
        <v>126</v>
      </c>
      <c r="AQ49" s="16" t="s">
        <v>126</v>
      </c>
      <c r="AR49" s="16" t="s">
        <v>126</v>
      </c>
      <c r="AS49" s="21" t="s">
        <v>65</v>
      </c>
      <c r="AT49" s="23"/>
      <c r="AU49" s="16" t="s">
        <v>67</v>
      </c>
      <c r="AV49" s="21" t="s">
        <v>68</v>
      </c>
      <c r="AW49" s="23"/>
      <c r="AX49" s="21" t="s">
        <v>70</v>
      </c>
      <c r="AY49" s="22"/>
      <c r="AZ49" s="23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6" t="s">
        <v>81</v>
      </c>
      <c r="BL49" s="21" t="s">
        <v>82</v>
      </c>
      <c r="BM49" s="23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6" t="s">
        <v>144</v>
      </c>
      <c r="CG49" s="16" t="s">
        <v>128</v>
      </c>
      <c r="CH49" s="16" t="s">
        <v>100</v>
      </c>
      <c r="CI49" s="21" t="s">
        <v>101</v>
      </c>
      <c r="CJ49" s="23"/>
      <c r="CK49" s="16" t="s">
        <v>103</v>
      </c>
      <c r="CL49" s="21" t="s">
        <v>104</v>
      </c>
      <c r="CM49" s="23"/>
      <c r="CN49" s="16" t="s">
        <v>128</v>
      </c>
      <c r="CO49" s="16" t="s">
        <v>105</v>
      </c>
      <c r="CP49" s="21" t="s">
        <v>106</v>
      </c>
      <c r="CQ49" s="22"/>
      <c r="CR49" s="23"/>
      <c r="CS49" s="21" t="s">
        <v>109</v>
      </c>
      <c r="CT49" s="23"/>
      <c r="CU49" s="19"/>
      <c r="CV49" s="16" t="s">
        <v>128</v>
      </c>
      <c r="CW49" s="19"/>
      <c r="CX49" s="21" t="s">
        <v>112</v>
      </c>
      <c r="CY49" s="22"/>
      <c r="CZ49" s="23"/>
      <c r="DA49" s="19"/>
      <c r="DB49" s="19"/>
      <c r="DC49" s="16" t="s">
        <v>129</v>
      </c>
      <c r="DD49" s="16" t="s">
        <v>129</v>
      </c>
      <c r="DE49" s="16" t="s">
        <v>129</v>
      </c>
      <c r="DF49" s="16" t="s">
        <v>129</v>
      </c>
      <c r="DG49" s="21" t="s">
        <v>424</v>
      </c>
      <c r="DH49" s="22"/>
      <c r="DI49" s="23"/>
      <c r="DJ49" s="16" t="s">
        <v>144</v>
      </c>
      <c r="DK49" s="19"/>
      <c r="DL49" s="19"/>
      <c r="DM49" s="21" t="s">
        <v>412</v>
      </c>
      <c r="DN49" s="22"/>
      <c r="DO49" s="23"/>
    </row>
    <row r="50" ht="15.75" customHeight="1">
      <c r="A50" s="15">
        <v>48.0</v>
      </c>
      <c r="B50" s="16" t="s">
        <v>425</v>
      </c>
      <c r="C50" s="17">
        <v>3.1507182203705E13</v>
      </c>
      <c r="D50" s="18">
        <v>51.0</v>
      </c>
      <c r="E50" s="16" t="s">
        <v>426</v>
      </c>
      <c r="F50" s="16" t="s">
        <v>135</v>
      </c>
      <c r="G50" s="16" t="s">
        <v>136</v>
      </c>
      <c r="H50" s="20">
        <v>42203.0</v>
      </c>
      <c r="I50" s="16"/>
      <c r="J50" s="18">
        <v>1.0</v>
      </c>
      <c r="K50" s="16" t="s">
        <v>427</v>
      </c>
      <c r="L50" s="21" t="s">
        <v>138</v>
      </c>
      <c r="M50" s="23"/>
      <c r="N50" s="19"/>
      <c r="O50" s="19"/>
      <c r="P50" s="19"/>
      <c r="Q50" s="19"/>
      <c r="R50" s="19"/>
      <c r="S50" s="19"/>
      <c r="T50" s="19"/>
      <c r="U50" s="19"/>
      <c r="V50" s="16" t="s">
        <v>139</v>
      </c>
      <c r="W50" s="16" t="s">
        <v>46</v>
      </c>
      <c r="X50" s="21" t="s">
        <v>47</v>
      </c>
      <c r="Y50" s="23"/>
      <c r="Z50" s="19"/>
      <c r="AA50" s="19"/>
      <c r="AB50" s="21" t="s">
        <v>51</v>
      </c>
      <c r="AC50" s="23"/>
      <c r="AD50" s="19"/>
      <c r="AE50" s="19"/>
      <c r="AF50" s="16" t="s">
        <v>55</v>
      </c>
      <c r="AG50" s="16" t="s">
        <v>428</v>
      </c>
      <c r="AH50" s="21" t="s">
        <v>228</v>
      </c>
      <c r="AI50" s="23"/>
      <c r="AJ50" s="16" t="s">
        <v>168</v>
      </c>
      <c r="AK50" s="16" t="s">
        <v>153</v>
      </c>
      <c r="AL50" s="16" t="s">
        <v>126</v>
      </c>
      <c r="AM50" s="16" t="s">
        <v>126</v>
      </c>
      <c r="AN50" s="16" t="s">
        <v>126</v>
      </c>
      <c r="AO50" s="16" t="s">
        <v>126</v>
      </c>
      <c r="AP50" s="16" t="s">
        <v>126</v>
      </c>
      <c r="AQ50" s="16" t="s">
        <v>181</v>
      </c>
      <c r="AR50" s="16" t="s">
        <v>126</v>
      </c>
      <c r="AS50" s="21" t="s">
        <v>65</v>
      </c>
      <c r="AT50" s="23"/>
      <c r="AU50" s="16" t="s">
        <v>67</v>
      </c>
      <c r="AV50" s="16" t="s">
        <v>68</v>
      </c>
      <c r="AW50" s="16" t="s">
        <v>69</v>
      </c>
      <c r="AX50" s="16" t="s">
        <v>70</v>
      </c>
      <c r="AY50" s="21" t="s">
        <v>71</v>
      </c>
      <c r="AZ50" s="22"/>
      <c r="BA50" s="23"/>
      <c r="BB50" s="19"/>
      <c r="BC50" s="19"/>
      <c r="BD50" s="19"/>
      <c r="BE50" s="19"/>
      <c r="BF50" s="19"/>
      <c r="BG50" s="21" t="s">
        <v>78</v>
      </c>
      <c r="BH50" s="23"/>
      <c r="BI50" s="19"/>
      <c r="BJ50" s="19"/>
      <c r="BK50" s="16" t="s">
        <v>81</v>
      </c>
      <c r="BL50" s="21" t="s">
        <v>82</v>
      </c>
      <c r="BM50" s="23"/>
      <c r="BN50" s="16" t="s">
        <v>84</v>
      </c>
      <c r="BO50" s="21" t="s">
        <v>85</v>
      </c>
      <c r="BP50" s="22"/>
      <c r="BQ50" s="22"/>
      <c r="BR50" s="23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6" t="s">
        <v>144</v>
      </c>
      <c r="CG50" s="16" t="s">
        <v>128</v>
      </c>
      <c r="CH50" s="16" t="s">
        <v>100</v>
      </c>
      <c r="CI50" s="16" t="s">
        <v>101</v>
      </c>
      <c r="CJ50" s="16" t="s">
        <v>102</v>
      </c>
      <c r="CK50" s="16" t="s">
        <v>103</v>
      </c>
      <c r="CL50" s="21" t="s">
        <v>104</v>
      </c>
      <c r="CM50" s="23"/>
      <c r="CN50" s="16" t="s">
        <v>128</v>
      </c>
      <c r="CO50" s="16" t="s">
        <v>105</v>
      </c>
      <c r="CP50" s="16" t="s">
        <v>106</v>
      </c>
      <c r="CQ50" s="16" t="s">
        <v>107</v>
      </c>
      <c r="CR50" s="16" t="s">
        <v>108</v>
      </c>
      <c r="CS50" s="16" t="s">
        <v>109</v>
      </c>
      <c r="CT50" s="21" t="s">
        <v>110</v>
      </c>
      <c r="CU50" s="23"/>
      <c r="CV50" s="16" t="s">
        <v>128</v>
      </c>
      <c r="CW50" s="16" t="s">
        <v>111</v>
      </c>
      <c r="CX50" s="21" t="s">
        <v>112</v>
      </c>
      <c r="CY50" s="23"/>
      <c r="CZ50" s="21" t="s">
        <v>114</v>
      </c>
      <c r="DA50" s="22"/>
      <c r="DB50" s="23"/>
      <c r="DC50" s="16" t="s">
        <v>145</v>
      </c>
      <c r="DD50" s="16" t="s">
        <v>145</v>
      </c>
      <c r="DE50" s="16" t="s">
        <v>129</v>
      </c>
      <c r="DF50" s="16" t="s">
        <v>129</v>
      </c>
      <c r="DG50" s="16" t="s">
        <v>429</v>
      </c>
      <c r="DH50" s="21" t="s">
        <v>430</v>
      </c>
      <c r="DI50" s="23"/>
      <c r="DJ50" s="19"/>
      <c r="DK50" s="19"/>
      <c r="DL50" s="19"/>
      <c r="DM50" s="21" t="s">
        <v>431</v>
      </c>
      <c r="DN50" s="22"/>
      <c r="DO50" s="23"/>
    </row>
    <row r="51" ht="15.75" customHeight="1">
      <c r="A51" s="15">
        <v>49.0</v>
      </c>
      <c r="B51" s="16" t="s">
        <v>432</v>
      </c>
      <c r="C51" s="17">
        <v>3.140601220012E13</v>
      </c>
      <c r="D51" s="18">
        <v>63.0</v>
      </c>
      <c r="E51" s="16" t="s">
        <v>433</v>
      </c>
      <c r="F51" s="16" t="s">
        <v>355</v>
      </c>
      <c r="G51" s="16" t="s">
        <v>136</v>
      </c>
      <c r="H51" s="19"/>
      <c r="I51" s="18">
        <v>1.0</v>
      </c>
      <c r="J51" s="19"/>
      <c r="K51" s="16" t="s">
        <v>434</v>
      </c>
      <c r="L51" s="21" t="s">
        <v>138</v>
      </c>
      <c r="M51" s="23"/>
      <c r="N51" s="19"/>
      <c r="O51" s="19"/>
      <c r="P51" s="19"/>
      <c r="Q51" s="19"/>
      <c r="R51" s="19"/>
      <c r="S51" s="19"/>
      <c r="T51" s="19"/>
      <c r="U51" s="19"/>
      <c r="V51" s="16" t="s">
        <v>144</v>
      </c>
      <c r="W51" s="16" t="s">
        <v>46</v>
      </c>
      <c r="X51" s="21" t="s">
        <v>47</v>
      </c>
      <c r="Y51" s="23"/>
      <c r="Z51" s="19"/>
      <c r="AA51" s="19"/>
      <c r="AB51" s="19"/>
      <c r="AC51" s="21" t="s">
        <v>52</v>
      </c>
      <c r="AD51" s="23"/>
      <c r="AE51" s="19"/>
      <c r="AF51" s="19"/>
      <c r="AG51" s="19"/>
      <c r="AH51" s="19"/>
      <c r="AI51" s="19"/>
      <c r="AJ51" s="16" t="s">
        <v>168</v>
      </c>
      <c r="AK51" s="16" t="s">
        <v>153</v>
      </c>
      <c r="AL51" s="16" t="s">
        <v>181</v>
      </c>
      <c r="AM51" s="16" t="s">
        <v>126</v>
      </c>
      <c r="AN51" s="16" t="s">
        <v>143</v>
      </c>
      <c r="AO51" s="16" t="s">
        <v>126</v>
      </c>
      <c r="AP51" s="16" t="s">
        <v>126</v>
      </c>
      <c r="AQ51" s="16" t="s">
        <v>181</v>
      </c>
      <c r="AR51" s="16" t="s">
        <v>126</v>
      </c>
      <c r="AS51" s="21" t="s">
        <v>65</v>
      </c>
      <c r="AT51" s="22"/>
      <c r="AU51" s="23"/>
      <c r="AV51" s="19"/>
      <c r="AW51" s="16" t="s">
        <v>69</v>
      </c>
      <c r="AX51" s="21" t="s">
        <v>70</v>
      </c>
      <c r="AY51" s="22"/>
      <c r="AZ51" s="23"/>
      <c r="BA51" s="19"/>
      <c r="BB51" s="19"/>
      <c r="BC51" s="19"/>
      <c r="BD51" s="19"/>
      <c r="BE51" s="19"/>
      <c r="BF51" s="19"/>
      <c r="BG51" s="21" t="s">
        <v>78</v>
      </c>
      <c r="BH51" s="23"/>
      <c r="BI51" s="21" t="s">
        <v>52</v>
      </c>
      <c r="BJ51" s="23"/>
      <c r="BK51" s="19"/>
      <c r="BL51" s="19"/>
      <c r="BM51" s="19"/>
      <c r="BN51" s="19"/>
      <c r="BO51" s="21" t="s">
        <v>85</v>
      </c>
      <c r="BP51" s="23"/>
      <c r="BQ51" s="21" t="s">
        <v>86</v>
      </c>
      <c r="BR51" s="22"/>
      <c r="BS51" s="23"/>
      <c r="BT51" s="19"/>
      <c r="BU51" s="21" t="s">
        <v>90</v>
      </c>
      <c r="BV51" s="23"/>
      <c r="BW51" s="21" t="s">
        <v>92</v>
      </c>
      <c r="BX51" s="22"/>
      <c r="BY51" s="23"/>
      <c r="BZ51" s="19"/>
      <c r="CA51" s="19"/>
      <c r="CB51" s="19"/>
      <c r="CC51" s="21" t="s">
        <v>97</v>
      </c>
      <c r="CD51" s="23"/>
      <c r="CE51" s="19"/>
      <c r="CF51" s="19"/>
      <c r="CG51" s="16" t="s">
        <v>128</v>
      </c>
      <c r="CH51" s="16" t="s">
        <v>100</v>
      </c>
      <c r="CI51" s="16" t="s">
        <v>101</v>
      </c>
      <c r="CJ51" s="21" t="s">
        <v>102</v>
      </c>
      <c r="CK51" s="22"/>
      <c r="CL51" s="23"/>
      <c r="CM51" s="19"/>
      <c r="CN51" s="16" t="s">
        <v>128</v>
      </c>
      <c r="CO51" s="16" t="s">
        <v>105</v>
      </c>
      <c r="CP51" s="21" t="s">
        <v>106</v>
      </c>
      <c r="CQ51" s="22"/>
      <c r="CR51" s="23"/>
      <c r="CS51" s="21" t="s">
        <v>109</v>
      </c>
      <c r="CT51" s="23"/>
      <c r="CU51" s="19"/>
      <c r="CV51" s="16" t="s">
        <v>128</v>
      </c>
      <c r="CW51" s="19"/>
      <c r="CX51" s="21" t="s">
        <v>112</v>
      </c>
      <c r="CY51" s="22"/>
      <c r="CZ51" s="23"/>
      <c r="DA51" s="19"/>
      <c r="DB51" s="19"/>
      <c r="DC51" s="16" t="s">
        <v>129</v>
      </c>
      <c r="DD51" s="16" t="s">
        <v>129</v>
      </c>
      <c r="DE51" s="16" t="s">
        <v>129</v>
      </c>
      <c r="DF51" s="19"/>
      <c r="DG51" s="16" t="s">
        <v>435</v>
      </c>
      <c r="DH51" s="21" t="s">
        <v>436</v>
      </c>
      <c r="DI51" s="23"/>
      <c r="DJ51" s="21" t="s">
        <v>437</v>
      </c>
      <c r="DK51" s="22"/>
      <c r="DL51" s="23"/>
      <c r="DM51" s="16" t="s">
        <v>144</v>
      </c>
      <c r="DN51" s="19"/>
      <c r="DO51" s="19"/>
    </row>
    <row r="52" ht="15.75" customHeight="1">
      <c r="A52" s="15">
        <v>50.0</v>
      </c>
      <c r="B52" s="16" t="s">
        <v>438</v>
      </c>
      <c r="C52" s="17">
        <v>2.6510162200191E13</v>
      </c>
      <c r="D52" s="18">
        <v>111.0</v>
      </c>
      <c r="E52" s="16" t="s">
        <v>359</v>
      </c>
      <c r="F52" s="16" t="s">
        <v>135</v>
      </c>
      <c r="G52" s="16" t="s">
        <v>136</v>
      </c>
      <c r="H52" s="25">
        <v>24031.0</v>
      </c>
      <c r="I52" s="18">
        <v>1.0</v>
      </c>
      <c r="J52" s="19"/>
      <c r="K52" s="16" t="s">
        <v>439</v>
      </c>
      <c r="L52" s="21" t="s">
        <v>138</v>
      </c>
      <c r="M52" s="23"/>
      <c r="N52" s="19"/>
      <c r="O52" s="19"/>
      <c r="P52" s="19"/>
      <c r="Q52" s="19"/>
      <c r="R52" s="19"/>
      <c r="S52" s="19"/>
      <c r="T52" s="19"/>
      <c r="U52" s="19"/>
      <c r="V52" s="16" t="s">
        <v>139</v>
      </c>
      <c r="W52" s="19"/>
      <c r="X52" s="19"/>
      <c r="Y52" s="19"/>
      <c r="Z52" s="19"/>
      <c r="AA52" s="19"/>
      <c r="AB52" s="19"/>
      <c r="AC52" s="19"/>
      <c r="AD52" s="19"/>
      <c r="AE52" s="19"/>
      <c r="AF52" s="16" t="s">
        <v>55</v>
      </c>
      <c r="AG52" s="21" t="s">
        <v>440</v>
      </c>
      <c r="AH52" s="23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21" t="s">
        <v>74</v>
      </c>
      <c r="BC52" s="23"/>
      <c r="BD52" s="16" t="s">
        <v>76</v>
      </c>
      <c r="BE52" s="21" t="s">
        <v>77</v>
      </c>
      <c r="BF52" s="22"/>
      <c r="BG52" s="22"/>
      <c r="BH52" s="23"/>
      <c r="BI52" s="19"/>
      <c r="BJ52" s="19"/>
      <c r="BK52" s="19"/>
      <c r="BL52" s="19"/>
      <c r="BM52" s="19"/>
      <c r="BN52" s="19"/>
      <c r="BO52" s="19"/>
      <c r="BP52" s="19"/>
      <c r="BQ52" s="21" t="s">
        <v>86</v>
      </c>
      <c r="BR52" s="23"/>
      <c r="BS52" s="16" t="s">
        <v>88</v>
      </c>
      <c r="BT52" s="21" t="s">
        <v>89</v>
      </c>
      <c r="BU52" s="22"/>
      <c r="BV52" s="23"/>
      <c r="BW52" s="21" t="s">
        <v>92</v>
      </c>
      <c r="BX52" s="22"/>
      <c r="BY52" s="23"/>
      <c r="BZ52" s="19"/>
      <c r="CA52" s="19"/>
      <c r="CB52" s="19"/>
      <c r="CC52" s="19"/>
      <c r="CD52" s="19"/>
      <c r="CE52" s="19"/>
      <c r="CF52" s="16" t="s">
        <v>144</v>
      </c>
      <c r="CG52" s="16" t="s">
        <v>128</v>
      </c>
      <c r="CH52" s="19"/>
      <c r="CI52" s="19"/>
      <c r="CJ52" s="19"/>
      <c r="CK52" s="19"/>
      <c r="CL52" s="19"/>
      <c r="CM52" s="16" t="s">
        <v>441</v>
      </c>
      <c r="CN52" s="16" t="s">
        <v>128</v>
      </c>
      <c r="CO52" s="16" t="s">
        <v>105</v>
      </c>
      <c r="CP52" s="21" t="s">
        <v>106</v>
      </c>
      <c r="CQ52" s="22"/>
      <c r="CR52" s="22"/>
      <c r="CS52" s="23"/>
      <c r="CT52" s="19"/>
      <c r="CU52" s="19"/>
      <c r="CV52" s="16" t="s">
        <v>128</v>
      </c>
      <c r="CW52" s="19"/>
      <c r="CX52" s="19"/>
      <c r="CY52" s="21" t="s">
        <v>113</v>
      </c>
      <c r="CZ52" s="23"/>
      <c r="DA52" s="21" t="s">
        <v>115</v>
      </c>
      <c r="DB52" s="22"/>
      <c r="DC52" s="22"/>
      <c r="DD52" s="23"/>
      <c r="DE52" s="19"/>
      <c r="DF52" s="19"/>
      <c r="DG52" s="21" t="s">
        <v>442</v>
      </c>
      <c r="DH52" s="22"/>
      <c r="DI52" s="23"/>
      <c r="DJ52" s="16" t="s">
        <v>144</v>
      </c>
      <c r="DK52" s="19"/>
      <c r="DL52" s="19"/>
      <c r="DM52" s="16" t="s">
        <v>144</v>
      </c>
      <c r="DN52" s="19"/>
      <c r="DO52" s="19"/>
    </row>
    <row r="53" ht="15.75" customHeight="1">
      <c r="A53" s="15">
        <v>51.0</v>
      </c>
      <c r="B53" s="16" t="s">
        <v>443</v>
      </c>
      <c r="C53" s="17">
        <v>3.1902012602237E13</v>
      </c>
      <c r="D53" s="18">
        <v>2.0</v>
      </c>
      <c r="E53" s="16" t="s">
        <v>444</v>
      </c>
      <c r="F53" s="19"/>
      <c r="G53" s="19"/>
      <c r="H53" s="20">
        <v>43497.0</v>
      </c>
      <c r="I53" s="18">
        <v>1.0</v>
      </c>
      <c r="J53" s="19"/>
      <c r="K53" s="16" t="s">
        <v>242</v>
      </c>
      <c r="L53" s="16" t="s">
        <v>122</v>
      </c>
      <c r="M53" s="21" t="s">
        <v>36</v>
      </c>
      <c r="N53" s="22"/>
      <c r="O53" s="22"/>
      <c r="P53" s="23"/>
      <c r="Q53" s="19"/>
      <c r="R53" s="19"/>
      <c r="S53" s="19"/>
      <c r="T53" s="19"/>
      <c r="U53" s="19"/>
      <c r="V53" s="19"/>
      <c r="W53" s="19"/>
      <c r="X53" s="21" t="s">
        <v>47</v>
      </c>
      <c r="Y53" s="23"/>
      <c r="Z53" s="19"/>
      <c r="AA53" s="19"/>
      <c r="AB53" s="19"/>
      <c r="AC53" s="19"/>
      <c r="AD53" s="19"/>
      <c r="AE53" s="19"/>
      <c r="AF53" s="19"/>
      <c r="AG53" s="19"/>
      <c r="AH53" s="21" t="s">
        <v>123</v>
      </c>
      <c r="AI53" s="23"/>
      <c r="AJ53" s="16" t="s">
        <v>168</v>
      </c>
      <c r="AK53" s="19"/>
      <c r="AL53" s="16" t="s">
        <v>126</v>
      </c>
      <c r="AM53" s="16" t="s">
        <v>126</v>
      </c>
      <c r="AN53" s="16" t="s">
        <v>126</v>
      </c>
      <c r="AO53" s="16" t="s">
        <v>126</v>
      </c>
      <c r="AP53" s="16" t="s">
        <v>181</v>
      </c>
      <c r="AQ53" s="16" t="s">
        <v>126</v>
      </c>
      <c r="AR53" s="16" t="s">
        <v>126</v>
      </c>
      <c r="AS53" s="21" t="s">
        <v>65</v>
      </c>
      <c r="AT53" s="22"/>
      <c r="AU53" s="23"/>
      <c r="AV53" s="19"/>
      <c r="AW53" s="19"/>
      <c r="AX53" s="19"/>
      <c r="AY53" s="19"/>
      <c r="AZ53" s="19"/>
      <c r="BA53" s="19"/>
      <c r="BB53" s="19"/>
      <c r="BC53" s="19"/>
      <c r="BD53" s="21" t="s">
        <v>76</v>
      </c>
      <c r="BE53" s="22"/>
      <c r="BF53" s="23"/>
      <c r="BG53" s="21" t="s">
        <v>78</v>
      </c>
      <c r="BH53" s="23"/>
      <c r="BI53" s="19"/>
      <c r="BJ53" s="19"/>
      <c r="BK53" s="19"/>
      <c r="BL53" s="19"/>
      <c r="BM53" s="19"/>
      <c r="BN53" s="19"/>
      <c r="BO53" s="21" t="s">
        <v>85</v>
      </c>
      <c r="BP53" s="22"/>
      <c r="BQ53" s="22"/>
      <c r="BR53" s="23"/>
      <c r="BS53" s="21" t="s">
        <v>88</v>
      </c>
      <c r="BT53" s="23"/>
      <c r="BU53" s="21" t="s">
        <v>90</v>
      </c>
      <c r="BV53" s="23"/>
      <c r="BW53" s="19"/>
      <c r="BX53" s="19"/>
      <c r="BY53" s="19"/>
      <c r="BZ53" s="19"/>
      <c r="CA53" s="19"/>
      <c r="CB53" s="21" t="s">
        <v>96</v>
      </c>
      <c r="CC53" s="23"/>
      <c r="CD53" s="19"/>
      <c r="CE53" s="19"/>
      <c r="CF53" s="19"/>
      <c r="CG53" s="16" t="s">
        <v>158</v>
      </c>
      <c r="CH53" s="16" t="s">
        <v>100</v>
      </c>
      <c r="CI53" s="21" t="s">
        <v>101</v>
      </c>
      <c r="CJ53" s="22"/>
      <c r="CK53" s="23"/>
      <c r="CL53" s="19"/>
      <c r="CM53" s="19"/>
      <c r="CN53" s="16" t="s">
        <v>128</v>
      </c>
      <c r="CO53" s="16" t="s">
        <v>105</v>
      </c>
      <c r="CP53" s="16" t="s">
        <v>106</v>
      </c>
      <c r="CQ53" s="16" t="s">
        <v>107</v>
      </c>
      <c r="CR53" s="21" t="s">
        <v>108</v>
      </c>
      <c r="CS53" s="23"/>
      <c r="CT53" s="19"/>
      <c r="CU53" s="19"/>
      <c r="CV53" s="19"/>
      <c r="CW53" s="19"/>
      <c r="CX53" s="16" t="s">
        <v>112</v>
      </c>
      <c r="CY53" s="21" t="s">
        <v>113</v>
      </c>
      <c r="CZ53" s="23"/>
      <c r="DA53" s="21" t="s">
        <v>115</v>
      </c>
      <c r="DB53" s="23"/>
      <c r="DC53" s="16" t="s">
        <v>129</v>
      </c>
      <c r="DD53" s="16" t="s">
        <v>129</v>
      </c>
      <c r="DE53" s="16" t="s">
        <v>129</v>
      </c>
      <c r="DF53" s="16" t="s">
        <v>129</v>
      </c>
      <c r="DG53" s="16" t="s">
        <v>445</v>
      </c>
      <c r="DH53" s="21" t="s">
        <v>446</v>
      </c>
      <c r="DI53" s="23"/>
      <c r="DJ53" s="16" t="s">
        <v>127</v>
      </c>
      <c r="DK53" s="19"/>
      <c r="DL53" s="19"/>
      <c r="DM53" s="16" t="s">
        <v>127</v>
      </c>
      <c r="DN53" s="19"/>
      <c r="DO53" s="19"/>
    </row>
    <row r="54" ht="15.75" customHeight="1">
      <c r="A54" s="15">
        <v>52.0</v>
      </c>
      <c r="B54" s="16" t="s">
        <v>447</v>
      </c>
      <c r="C54" s="17">
        <v>1.102172201879E12</v>
      </c>
      <c r="D54" s="18">
        <v>152.0</v>
      </c>
      <c r="E54" s="16" t="s">
        <v>134</v>
      </c>
      <c r="F54" s="16" t="s">
        <v>135</v>
      </c>
      <c r="G54" s="16" t="s">
        <v>136</v>
      </c>
      <c r="H54" s="20">
        <v>40591.0</v>
      </c>
      <c r="I54" s="18">
        <v>1.0</v>
      </c>
      <c r="J54" s="19"/>
      <c r="K54" s="16" t="s">
        <v>448</v>
      </c>
      <c r="L54" s="16" t="s">
        <v>122</v>
      </c>
      <c r="M54" s="19"/>
      <c r="N54" s="19"/>
      <c r="O54" s="19"/>
      <c r="P54" s="19"/>
      <c r="Q54" s="19"/>
      <c r="R54" s="19"/>
      <c r="S54" s="19"/>
      <c r="T54" s="19"/>
      <c r="U54" s="21" t="s">
        <v>44</v>
      </c>
      <c r="V54" s="23"/>
      <c r="W54" s="16" t="s">
        <v>46</v>
      </c>
      <c r="X54" s="21" t="s">
        <v>47</v>
      </c>
      <c r="Y54" s="23"/>
      <c r="Z54" s="19"/>
      <c r="AA54" s="19"/>
      <c r="AB54" s="21" t="s">
        <v>51</v>
      </c>
      <c r="AC54" s="23"/>
      <c r="AD54" s="19"/>
      <c r="AE54" s="19"/>
      <c r="AF54" s="19"/>
      <c r="AG54" s="19"/>
      <c r="AH54" s="21" t="s">
        <v>123</v>
      </c>
      <c r="AI54" s="23"/>
      <c r="AJ54" s="16" t="s">
        <v>449</v>
      </c>
      <c r="AK54" s="16" t="s">
        <v>125</v>
      </c>
      <c r="AL54" s="16" t="s">
        <v>126</v>
      </c>
      <c r="AM54" s="16" t="s">
        <v>126</v>
      </c>
      <c r="AN54" s="16" t="s">
        <v>126</v>
      </c>
      <c r="AO54" s="16" t="s">
        <v>126</v>
      </c>
      <c r="AP54" s="16" t="s">
        <v>126</v>
      </c>
      <c r="AQ54" s="16" t="s">
        <v>126</v>
      </c>
      <c r="AR54" s="16" t="s">
        <v>126</v>
      </c>
      <c r="AS54" s="21" t="s">
        <v>65</v>
      </c>
      <c r="AT54" s="23"/>
      <c r="AU54" s="16" t="s">
        <v>67</v>
      </c>
      <c r="AV54" s="21" t="s">
        <v>68</v>
      </c>
      <c r="AW54" s="23"/>
      <c r="AX54" s="16" t="s">
        <v>70</v>
      </c>
      <c r="AY54" s="21" t="s">
        <v>71</v>
      </c>
      <c r="AZ54" s="22"/>
      <c r="BA54" s="23"/>
      <c r="BB54" s="19"/>
      <c r="BC54" s="19"/>
      <c r="BD54" s="19"/>
      <c r="BE54" s="19"/>
      <c r="BF54" s="19"/>
      <c r="BG54" s="21" t="s">
        <v>78</v>
      </c>
      <c r="BH54" s="23"/>
      <c r="BI54" s="21" t="s">
        <v>52</v>
      </c>
      <c r="BJ54" s="23"/>
      <c r="BK54" s="16" t="s">
        <v>81</v>
      </c>
      <c r="BL54" s="21" t="s">
        <v>82</v>
      </c>
      <c r="BM54" s="23"/>
      <c r="BN54" s="19"/>
      <c r="BO54" s="21" t="s">
        <v>85</v>
      </c>
      <c r="BP54" s="22"/>
      <c r="BQ54" s="22"/>
      <c r="BR54" s="23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6" t="s">
        <v>144</v>
      </c>
      <c r="CG54" s="16" t="s">
        <v>128</v>
      </c>
      <c r="CH54" s="19"/>
      <c r="CI54" s="16" t="s">
        <v>101</v>
      </c>
      <c r="CJ54" s="21" t="s">
        <v>102</v>
      </c>
      <c r="CK54" s="23"/>
      <c r="CL54" s="21" t="s">
        <v>104</v>
      </c>
      <c r="CM54" s="23"/>
      <c r="CN54" s="16" t="s">
        <v>128</v>
      </c>
      <c r="CO54" s="16" t="s">
        <v>105</v>
      </c>
      <c r="CP54" s="21" t="s">
        <v>106</v>
      </c>
      <c r="CQ54" s="23"/>
      <c r="CR54" s="21" t="s">
        <v>108</v>
      </c>
      <c r="CS54" s="23"/>
      <c r="CT54" s="19"/>
      <c r="CU54" s="19"/>
      <c r="CV54" s="16" t="s">
        <v>128</v>
      </c>
      <c r="CW54" s="16" t="s">
        <v>111</v>
      </c>
      <c r="CX54" s="21" t="s">
        <v>112</v>
      </c>
      <c r="CY54" s="23"/>
      <c r="CZ54" s="16" t="s">
        <v>114</v>
      </c>
      <c r="DA54" s="21" t="s">
        <v>115</v>
      </c>
      <c r="DB54" s="23"/>
      <c r="DC54" s="16" t="s">
        <v>145</v>
      </c>
      <c r="DD54" s="16" t="s">
        <v>145</v>
      </c>
      <c r="DE54" s="16" t="s">
        <v>129</v>
      </c>
      <c r="DF54" s="16" t="s">
        <v>129</v>
      </c>
      <c r="DG54" s="16" t="s">
        <v>450</v>
      </c>
      <c r="DH54" s="21" t="s">
        <v>451</v>
      </c>
      <c r="DI54" s="23"/>
      <c r="DJ54" s="16" t="s">
        <v>144</v>
      </c>
      <c r="DK54" s="19"/>
      <c r="DL54" s="19"/>
      <c r="DM54" s="16" t="s">
        <v>144</v>
      </c>
      <c r="DN54" s="19"/>
      <c r="DO54" s="19"/>
    </row>
    <row r="55" ht="15.75" customHeight="1">
      <c r="A55" s="15">
        <v>53.0</v>
      </c>
      <c r="B55" s="16" t="s">
        <v>452</v>
      </c>
      <c r="C55" s="17">
        <v>3.1805012204228E13</v>
      </c>
      <c r="D55" s="18">
        <v>147.0</v>
      </c>
      <c r="E55" s="16" t="s">
        <v>134</v>
      </c>
      <c r="F55" s="16" t="s">
        <v>135</v>
      </c>
      <c r="G55" s="16" t="s">
        <v>136</v>
      </c>
      <c r="H55" s="20">
        <v>43221.0</v>
      </c>
      <c r="I55" s="16"/>
      <c r="J55" s="18">
        <v>1.0</v>
      </c>
      <c r="K55" s="16" t="s">
        <v>453</v>
      </c>
      <c r="L55" s="16" t="s">
        <v>122</v>
      </c>
      <c r="M55" s="19"/>
      <c r="N55" s="19"/>
      <c r="O55" s="19"/>
      <c r="P55" s="19"/>
      <c r="Q55" s="19"/>
      <c r="R55" s="19"/>
      <c r="S55" s="19"/>
      <c r="T55" s="19"/>
      <c r="U55" s="21" t="s">
        <v>44</v>
      </c>
      <c r="V55" s="23"/>
      <c r="W55" s="16" t="s">
        <v>46</v>
      </c>
      <c r="X55" s="21" t="s">
        <v>47</v>
      </c>
      <c r="Y55" s="23"/>
      <c r="Z55" s="19"/>
      <c r="AA55" s="19"/>
      <c r="AB55" s="19"/>
      <c r="AC55" s="21" t="s">
        <v>52</v>
      </c>
      <c r="AD55" s="23"/>
      <c r="AE55" s="19"/>
      <c r="AF55" s="19"/>
      <c r="AG55" s="19"/>
      <c r="AH55" s="21" t="s">
        <v>123</v>
      </c>
      <c r="AI55" s="23"/>
      <c r="AJ55" s="16" t="s">
        <v>449</v>
      </c>
      <c r="AK55" s="16" t="s">
        <v>125</v>
      </c>
      <c r="AL55" s="16" t="s">
        <v>126</v>
      </c>
      <c r="AM55" s="16" t="s">
        <v>126</v>
      </c>
      <c r="AN55" s="16" t="s">
        <v>126</v>
      </c>
      <c r="AO55" s="16" t="s">
        <v>126</v>
      </c>
      <c r="AP55" s="16" t="s">
        <v>126</v>
      </c>
      <c r="AQ55" s="16" t="s">
        <v>126</v>
      </c>
      <c r="AR55" s="16" t="s">
        <v>126</v>
      </c>
      <c r="AS55" s="21" t="s">
        <v>65</v>
      </c>
      <c r="AT55" s="23"/>
      <c r="AU55" s="16" t="s">
        <v>67</v>
      </c>
      <c r="AV55" s="16" t="s">
        <v>68</v>
      </c>
      <c r="AW55" s="16" t="s">
        <v>69</v>
      </c>
      <c r="AX55" s="16" t="s">
        <v>70</v>
      </c>
      <c r="AY55" s="21" t="s">
        <v>71</v>
      </c>
      <c r="AZ55" s="22"/>
      <c r="BA55" s="23"/>
      <c r="BB55" s="19"/>
      <c r="BC55" s="19"/>
      <c r="BD55" s="19"/>
      <c r="BE55" s="19"/>
      <c r="BF55" s="19"/>
      <c r="BG55" s="21" t="s">
        <v>78</v>
      </c>
      <c r="BH55" s="23"/>
      <c r="BI55" s="21" t="s">
        <v>52</v>
      </c>
      <c r="BJ55" s="23"/>
      <c r="BK55" s="16" t="s">
        <v>81</v>
      </c>
      <c r="BL55" s="21" t="s">
        <v>82</v>
      </c>
      <c r="BM55" s="23"/>
      <c r="BN55" s="16" t="s">
        <v>84</v>
      </c>
      <c r="BO55" s="21" t="s">
        <v>85</v>
      </c>
      <c r="BP55" s="22"/>
      <c r="BQ55" s="22"/>
      <c r="BR55" s="23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6" t="s">
        <v>144</v>
      </c>
      <c r="CG55" s="16" t="s">
        <v>128</v>
      </c>
      <c r="CH55" s="19"/>
      <c r="CI55" s="16" t="s">
        <v>101</v>
      </c>
      <c r="CJ55" s="16" t="s">
        <v>102</v>
      </c>
      <c r="CK55" s="16" t="s">
        <v>103</v>
      </c>
      <c r="CL55" s="21" t="s">
        <v>104</v>
      </c>
      <c r="CM55" s="23"/>
      <c r="CN55" s="16" t="s">
        <v>128</v>
      </c>
      <c r="CO55" s="16" t="s">
        <v>105</v>
      </c>
      <c r="CP55" s="21" t="s">
        <v>106</v>
      </c>
      <c r="CQ55" s="22"/>
      <c r="CR55" s="23"/>
      <c r="CS55" s="21" t="s">
        <v>109</v>
      </c>
      <c r="CT55" s="23"/>
      <c r="CU55" s="19"/>
      <c r="CV55" s="16" t="s">
        <v>128</v>
      </c>
      <c r="CW55" s="21" t="s">
        <v>111</v>
      </c>
      <c r="CX55" s="22"/>
      <c r="CY55" s="23"/>
      <c r="CZ55" s="16" t="s">
        <v>114</v>
      </c>
      <c r="DA55" s="21" t="s">
        <v>115</v>
      </c>
      <c r="DB55" s="23"/>
      <c r="DC55" s="16" t="s">
        <v>129</v>
      </c>
      <c r="DD55" s="16" t="s">
        <v>129</v>
      </c>
      <c r="DE55" s="16" t="s">
        <v>129</v>
      </c>
      <c r="DF55" s="16" t="s">
        <v>129</v>
      </c>
      <c r="DG55" s="21" t="s">
        <v>454</v>
      </c>
      <c r="DH55" s="22"/>
      <c r="DI55" s="23"/>
      <c r="DJ55" s="19"/>
      <c r="DK55" s="19"/>
      <c r="DL55" s="19"/>
      <c r="DM55" s="16" t="s">
        <v>144</v>
      </c>
      <c r="DN55" s="19"/>
      <c r="DO55" s="19"/>
    </row>
    <row r="56" ht="15.75" customHeight="1">
      <c r="A56" s="15">
        <v>54.0</v>
      </c>
      <c r="B56" s="16" t="s">
        <v>455</v>
      </c>
      <c r="C56" s="17">
        <v>3.2103232201601E13</v>
      </c>
      <c r="D56" s="18">
        <v>146.0</v>
      </c>
      <c r="E56" s="16" t="s">
        <v>134</v>
      </c>
      <c r="F56" s="16" t="s">
        <v>135</v>
      </c>
      <c r="G56" s="16" t="s">
        <v>136</v>
      </c>
      <c r="H56" s="20">
        <v>44278.0</v>
      </c>
      <c r="I56" s="16"/>
      <c r="J56" s="18">
        <v>1.0</v>
      </c>
      <c r="K56" s="16" t="s">
        <v>456</v>
      </c>
      <c r="L56" s="16" t="s">
        <v>122</v>
      </c>
      <c r="M56" s="19"/>
      <c r="N56" s="19"/>
      <c r="O56" s="19"/>
      <c r="P56" s="19"/>
      <c r="Q56" s="19"/>
      <c r="R56" s="19"/>
      <c r="S56" s="19"/>
      <c r="T56" s="19"/>
      <c r="U56" s="21" t="s">
        <v>44</v>
      </c>
      <c r="V56" s="23"/>
      <c r="W56" s="16" t="s">
        <v>46</v>
      </c>
      <c r="X56" s="21" t="s">
        <v>47</v>
      </c>
      <c r="Y56" s="23"/>
      <c r="Z56" s="19"/>
      <c r="AA56" s="19"/>
      <c r="AB56" s="19"/>
      <c r="AC56" s="19"/>
      <c r="AD56" s="19"/>
      <c r="AE56" s="19"/>
      <c r="AF56" s="19"/>
      <c r="AG56" s="19"/>
      <c r="AH56" s="21" t="s">
        <v>123</v>
      </c>
      <c r="AI56" s="23"/>
      <c r="AJ56" s="16" t="s">
        <v>449</v>
      </c>
      <c r="AK56" s="16" t="s">
        <v>125</v>
      </c>
      <c r="AL56" s="16" t="s">
        <v>126</v>
      </c>
      <c r="AM56" s="16" t="s">
        <v>126</v>
      </c>
      <c r="AN56" s="16" t="s">
        <v>126</v>
      </c>
      <c r="AO56" s="16" t="s">
        <v>126</v>
      </c>
      <c r="AP56" s="16" t="s">
        <v>126</v>
      </c>
      <c r="AQ56" s="16" t="s">
        <v>126</v>
      </c>
      <c r="AR56" s="16" t="s">
        <v>126</v>
      </c>
      <c r="AS56" s="21" t="s">
        <v>65</v>
      </c>
      <c r="AT56" s="22"/>
      <c r="AU56" s="23"/>
      <c r="AV56" s="19"/>
      <c r="AW56" s="21" t="s">
        <v>69</v>
      </c>
      <c r="AX56" s="22"/>
      <c r="AY56" s="23"/>
      <c r="AZ56" s="19"/>
      <c r="BA56" s="19"/>
      <c r="BB56" s="19"/>
      <c r="BC56" s="19"/>
      <c r="BD56" s="19"/>
      <c r="BE56" s="19"/>
      <c r="BF56" s="16" t="s">
        <v>457</v>
      </c>
      <c r="BG56" s="21" t="s">
        <v>78</v>
      </c>
      <c r="BH56" s="23"/>
      <c r="BI56" s="21" t="s">
        <v>52</v>
      </c>
      <c r="BJ56" s="23"/>
      <c r="BK56" s="19"/>
      <c r="BL56" s="19"/>
      <c r="BM56" s="19"/>
      <c r="BN56" s="19"/>
      <c r="BO56" s="21" t="s">
        <v>85</v>
      </c>
      <c r="BP56" s="22"/>
      <c r="BQ56" s="22"/>
      <c r="BR56" s="23"/>
      <c r="BS56" s="19"/>
      <c r="BT56" s="19"/>
      <c r="BU56" s="19"/>
      <c r="BV56" s="19"/>
      <c r="BW56" s="19"/>
      <c r="BX56" s="16" t="s">
        <v>457</v>
      </c>
      <c r="BY56" s="19"/>
      <c r="BZ56" s="19"/>
      <c r="CA56" s="19"/>
      <c r="CB56" s="19"/>
      <c r="CC56" s="19"/>
      <c r="CD56" s="19"/>
      <c r="CE56" s="19"/>
      <c r="CF56" s="16" t="s">
        <v>144</v>
      </c>
      <c r="CG56" s="16" t="s">
        <v>128</v>
      </c>
      <c r="CH56" s="19"/>
      <c r="CI56" s="16" t="s">
        <v>101</v>
      </c>
      <c r="CJ56" s="21" t="s">
        <v>102</v>
      </c>
      <c r="CK56" s="23"/>
      <c r="CL56" s="21" t="s">
        <v>104</v>
      </c>
      <c r="CM56" s="23"/>
      <c r="CN56" s="16" t="s">
        <v>128</v>
      </c>
      <c r="CO56" s="16" t="s">
        <v>105</v>
      </c>
      <c r="CP56" s="16" t="s">
        <v>106</v>
      </c>
      <c r="CQ56" s="16" t="s">
        <v>107</v>
      </c>
      <c r="CR56" s="16" t="s">
        <v>108</v>
      </c>
      <c r="CS56" s="21" t="s">
        <v>109</v>
      </c>
      <c r="CT56" s="23"/>
      <c r="CU56" s="19"/>
      <c r="CV56" s="16" t="s">
        <v>128</v>
      </c>
      <c r="CW56" s="19"/>
      <c r="CX56" s="21" t="s">
        <v>112</v>
      </c>
      <c r="CY56" s="23"/>
      <c r="CZ56" s="16" t="s">
        <v>114</v>
      </c>
      <c r="DA56" s="21" t="s">
        <v>115</v>
      </c>
      <c r="DB56" s="23"/>
      <c r="DC56" s="16" t="s">
        <v>129</v>
      </c>
      <c r="DD56" s="16" t="s">
        <v>129</v>
      </c>
      <c r="DE56" s="16" t="s">
        <v>129</v>
      </c>
      <c r="DF56" s="16" t="s">
        <v>129</v>
      </c>
      <c r="DG56" s="16" t="s">
        <v>458</v>
      </c>
      <c r="DH56" s="16" t="s">
        <v>459</v>
      </c>
      <c r="DI56" s="16" t="s">
        <v>460</v>
      </c>
      <c r="DJ56" s="16" t="s">
        <v>144</v>
      </c>
      <c r="DK56" s="19"/>
      <c r="DL56" s="19"/>
      <c r="DM56" s="21" t="s">
        <v>461</v>
      </c>
      <c r="DN56" s="22"/>
      <c r="DO56" s="23"/>
    </row>
    <row r="57" ht="15.75" customHeight="1">
      <c r="A57" s="15">
        <v>55.0</v>
      </c>
      <c r="B57" s="16" t="s">
        <v>462</v>
      </c>
      <c r="C57" s="17">
        <v>3.1907222200877E13</v>
      </c>
      <c r="D57" s="18">
        <v>140.0</v>
      </c>
      <c r="E57" s="16" t="s">
        <v>134</v>
      </c>
      <c r="F57" s="16" t="s">
        <v>135</v>
      </c>
      <c r="G57" s="16" t="s">
        <v>136</v>
      </c>
      <c r="H57" s="20">
        <v>43668.0</v>
      </c>
      <c r="I57" s="18">
        <v>1.0</v>
      </c>
      <c r="J57" s="19"/>
      <c r="K57" s="16" t="s">
        <v>463</v>
      </c>
      <c r="L57" s="16" t="s">
        <v>122</v>
      </c>
      <c r="M57" s="19"/>
      <c r="N57" s="19"/>
      <c r="O57" s="19"/>
      <c r="P57" s="19"/>
      <c r="Q57" s="19"/>
      <c r="R57" s="19"/>
      <c r="S57" s="19"/>
      <c r="T57" s="19"/>
      <c r="U57" s="19"/>
      <c r="V57" s="21" t="s">
        <v>464</v>
      </c>
      <c r="W57" s="23"/>
      <c r="X57" s="19"/>
      <c r="Y57" s="19"/>
      <c r="Z57" s="19"/>
      <c r="AA57" s="19"/>
      <c r="AB57" s="19"/>
      <c r="AC57" s="21" t="s">
        <v>52</v>
      </c>
      <c r="AD57" s="23"/>
      <c r="AE57" s="19"/>
      <c r="AF57" s="21" t="s">
        <v>55</v>
      </c>
      <c r="AG57" s="23"/>
      <c r="AH57" s="21" t="s">
        <v>123</v>
      </c>
      <c r="AI57" s="23"/>
      <c r="AJ57" s="16" t="s">
        <v>141</v>
      </c>
      <c r="AK57" s="16" t="s">
        <v>125</v>
      </c>
      <c r="AL57" s="16" t="s">
        <v>181</v>
      </c>
      <c r="AM57" s="16" t="s">
        <v>181</v>
      </c>
      <c r="AN57" s="16" t="s">
        <v>181</v>
      </c>
      <c r="AO57" s="16" t="s">
        <v>181</v>
      </c>
      <c r="AP57" s="16" t="s">
        <v>126</v>
      </c>
      <c r="AQ57" s="16" t="s">
        <v>181</v>
      </c>
      <c r="AR57" s="16" t="s">
        <v>181</v>
      </c>
      <c r="AS57" s="19"/>
      <c r="AT57" s="19"/>
      <c r="AU57" s="16" t="s">
        <v>67</v>
      </c>
      <c r="AV57" s="16" t="s">
        <v>68</v>
      </c>
      <c r="AW57" s="21" t="s">
        <v>69</v>
      </c>
      <c r="AX57" s="22"/>
      <c r="AY57" s="23"/>
      <c r="AZ57" s="21" t="s">
        <v>465</v>
      </c>
      <c r="BA57" s="22"/>
      <c r="BB57" s="22"/>
      <c r="BC57" s="23"/>
      <c r="BD57" s="19"/>
      <c r="BE57" s="19"/>
      <c r="BF57" s="19"/>
      <c r="BG57" s="19"/>
      <c r="BH57" s="21" t="s">
        <v>79</v>
      </c>
      <c r="BI57" s="23"/>
      <c r="BJ57" s="19"/>
      <c r="BK57" s="19"/>
      <c r="BL57" s="21" t="s">
        <v>82</v>
      </c>
      <c r="BM57" s="23"/>
      <c r="BN57" s="16" t="s">
        <v>84</v>
      </c>
      <c r="BO57" s="21" t="s">
        <v>85</v>
      </c>
      <c r="BP57" s="22"/>
      <c r="BQ57" s="22"/>
      <c r="BR57" s="23"/>
      <c r="BS57" s="19"/>
      <c r="BT57" s="19"/>
      <c r="BU57" s="19"/>
      <c r="BV57" s="16" t="s">
        <v>91</v>
      </c>
      <c r="BW57" s="21" t="s">
        <v>92</v>
      </c>
      <c r="BX57" s="22"/>
      <c r="BY57" s="23"/>
      <c r="BZ57" s="19"/>
      <c r="CA57" s="19"/>
      <c r="CB57" s="19"/>
      <c r="CC57" s="21" t="s">
        <v>97</v>
      </c>
      <c r="CD57" s="23"/>
      <c r="CE57" s="19"/>
      <c r="CF57" s="19"/>
      <c r="CG57" s="16" t="s">
        <v>128</v>
      </c>
      <c r="CH57" s="19"/>
      <c r="CI57" s="19"/>
      <c r="CJ57" s="16" t="s">
        <v>102</v>
      </c>
      <c r="CK57" s="16" t="s">
        <v>103</v>
      </c>
      <c r="CL57" s="21" t="s">
        <v>104</v>
      </c>
      <c r="CM57" s="23"/>
      <c r="CN57" s="16" t="s">
        <v>128</v>
      </c>
      <c r="CO57" s="16" t="s">
        <v>105</v>
      </c>
      <c r="CP57" s="16" t="s">
        <v>106</v>
      </c>
      <c r="CQ57" s="16" t="s">
        <v>107</v>
      </c>
      <c r="CR57" s="16" t="s">
        <v>108</v>
      </c>
      <c r="CS57" s="16" t="s">
        <v>109</v>
      </c>
      <c r="CT57" s="21" t="s">
        <v>110</v>
      </c>
      <c r="CU57" s="23"/>
      <c r="CV57" s="16" t="s">
        <v>128</v>
      </c>
      <c r="CW57" s="19"/>
      <c r="CX57" s="19"/>
      <c r="CY57" s="19"/>
      <c r="CZ57" s="21" t="s">
        <v>114</v>
      </c>
      <c r="DA57" s="22"/>
      <c r="DB57" s="23"/>
      <c r="DC57" s="16" t="s">
        <v>129</v>
      </c>
      <c r="DD57" s="16" t="s">
        <v>129</v>
      </c>
      <c r="DE57" s="16" t="s">
        <v>129</v>
      </c>
      <c r="DF57" s="16" t="s">
        <v>129</v>
      </c>
      <c r="DG57" s="16" t="s">
        <v>466</v>
      </c>
      <c r="DH57" s="16" t="s">
        <v>467</v>
      </c>
      <c r="DI57" s="21" t="s">
        <v>468</v>
      </c>
      <c r="DJ57" s="22"/>
      <c r="DK57" s="23"/>
      <c r="DL57" s="19"/>
      <c r="DM57" s="21" t="s">
        <v>469</v>
      </c>
      <c r="DN57" s="22"/>
      <c r="DO57" s="23"/>
    </row>
    <row r="58" ht="15.75" customHeight="1">
      <c r="A58" s="15">
        <v>56.0</v>
      </c>
      <c r="B58" s="16" t="s">
        <v>470</v>
      </c>
      <c r="C58" s="17">
        <v>3.1310012207902E13</v>
      </c>
      <c r="D58" s="18">
        <v>55.0</v>
      </c>
      <c r="E58" s="16" t="s">
        <v>134</v>
      </c>
      <c r="F58" s="16" t="s">
        <v>135</v>
      </c>
      <c r="G58" s="16" t="s">
        <v>136</v>
      </c>
      <c r="H58" s="20">
        <v>41548.0</v>
      </c>
      <c r="I58" s="16"/>
      <c r="J58" s="18">
        <v>1.0</v>
      </c>
      <c r="K58" s="16" t="s">
        <v>471</v>
      </c>
      <c r="L58" s="21" t="s">
        <v>138</v>
      </c>
      <c r="M58" s="23"/>
      <c r="N58" s="19"/>
      <c r="O58" s="19"/>
      <c r="P58" s="19"/>
      <c r="Q58" s="19"/>
      <c r="R58" s="19"/>
      <c r="S58" s="19"/>
      <c r="T58" s="19"/>
      <c r="U58" s="19"/>
      <c r="V58" s="16" t="s">
        <v>271</v>
      </c>
      <c r="W58" s="16" t="s">
        <v>46</v>
      </c>
      <c r="X58" s="21" t="s">
        <v>47</v>
      </c>
      <c r="Y58" s="23"/>
      <c r="Z58" s="19"/>
      <c r="AA58" s="19"/>
      <c r="AB58" s="19"/>
      <c r="AC58" s="19"/>
      <c r="AD58" s="19"/>
      <c r="AE58" s="19"/>
      <c r="AF58" s="19"/>
      <c r="AG58" s="19"/>
      <c r="AH58" s="16" t="s">
        <v>57</v>
      </c>
      <c r="AI58" s="16" t="s">
        <v>472</v>
      </c>
      <c r="AJ58" s="16" t="s">
        <v>168</v>
      </c>
      <c r="AK58" s="16" t="s">
        <v>153</v>
      </c>
      <c r="AL58" s="16" t="s">
        <v>126</v>
      </c>
      <c r="AM58" s="16" t="s">
        <v>126</v>
      </c>
      <c r="AN58" s="16" t="s">
        <v>143</v>
      </c>
      <c r="AO58" s="16" t="s">
        <v>143</v>
      </c>
      <c r="AP58" s="16" t="s">
        <v>126</v>
      </c>
      <c r="AQ58" s="16" t="s">
        <v>126</v>
      </c>
      <c r="AR58" s="16" t="s">
        <v>126</v>
      </c>
      <c r="AS58" s="16" t="s">
        <v>65</v>
      </c>
      <c r="AT58" s="21" t="s">
        <v>66</v>
      </c>
      <c r="AU58" s="22"/>
      <c r="AV58" s="23"/>
      <c r="AW58" s="21" t="s">
        <v>69</v>
      </c>
      <c r="AX58" s="22"/>
      <c r="AY58" s="23"/>
      <c r="AZ58" s="21" t="s">
        <v>473</v>
      </c>
      <c r="BA58" s="22"/>
      <c r="BB58" s="23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6" t="s">
        <v>85</v>
      </c>
      <c r="BP58" s="21" t="s">
        <v>474</v>
      </c>
      <c r="BQ58" s="22"/>
      <c r="BR58" s="22"/>
      <c r="BS58" s="23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6" t="s">
        <v>475</v>
      </c>
      <c r="CG58" s="16" t="s">
        <v>128</v>
      </c>
      <c r="CH58" s="16" t="s">
        <v>100</v>
      </c>
      <c r="CI58" s="16" t="s">
        <v>101</v>
      </c>
      <c r="CJ58" s="21" t="s">
        <v>102</v>
      </c>
      <c r="CK58" s="23"/>
      <c r="CL58" s="21" t="s">
        <v>104</v>
      </c>
      <c r="CM58" s="23"/>
      <c r="CN58" s="16" t="s">
        <v>128</v>
      </c>
      <c r="CO58" s="16" t="s">
        <v>105</v>
      </c>
      <c r="CP58" s="21" t="s">
        <v>106</v>
      </c>
      <c r="CQ58" s="22"/>
      <c r="CR58" s="23"/>
      <c r="CS58" s="21" t="s">
        <v>109</v>
      </c>
      <c r="CT58" s="23"/>
      <c r="CU58" s="19"/>
      <c r="CV58" s="16" t="s">
        <v>128</v>
      </c>
      <c r="CW58" s="19"/>
      <c r="CX58" s="21" t="s">
        <v>112</v>
      </c>
      <c r="CY58" s="23"/>
      <c r="CZ58" s="21" t="s">
        <v>114</v>
      </c>
      <c r="DA58" s="22"/>
      <c r="DB58" s="23"/>
      <c r="DC58" s="16" t="s">
        <v>129</v>
      </c>
      <c r="DD58" s="16" t="s">
        <v>145</v>
      </c>
      <c r="DE58" s="16" t="s">
        <v>129</v>
      </c>
      <c r="DF58" s="16" t="s">
        <v>129</v>
      </c>
      <c r="DG58" s="16" t="s">
        <v>476</v>
      </c>
      <c r="DH58" s="16" t="s">
        <v>477</v>
      </c>
      <c r="DI58" s="16" t="s">
        <v>478</v>
      </c>
      <c r="DJ58" s="16" t="s">
        <v>144</v>
      </c>
      <c r="DK58" s="19"/>
      <c r="DL58" s="19"/>
      <c r="DM58" s="16" t="s">
        <v>479</v>
      </c>
      <c r="DN58" s="21" t="s">
        <v>202</v>
      </c>
      <c r="DO58" s="23"/>
    </row>
    <row r="59" ht="15.75" customHeight="1">
      <c r="A59" s="15">
        <v>57.0</v>
      </c>
      <c r="B59" s="16" t="s">
        <v>480</v>
      </c>
      <c r="C59" s="17">
        <v>3.2102082201873E13</v>
      </c>
      <c r="D59" s="18">
        <v>230.0</v>
      </c>
      <c r="E59" s="16" t="s">
        <v>134</v>
      </c>
      <c r="F59" s="16" t="s">
        <v>135</v>
      </c>
      <c r="G59" s="16" t="s">
        <v>136</v>
      </c>
      <c r="H59" s="20">
        <v>44235.0</v>
      </c>
      <c r="I59" s="18">
        <v>1.0</v>
      </c>
      <c r="J59" s="19"/>
      <c r="K59" s="16" t="s">
        <v>481</v>
      </c>
      <c r="L59" s="21" t="s">
        <v>138</v>
      </c>
      <c r="M59" s="23"/>
      <c r="N59" s="19"/>
      <c r="O59" s="19"/>
      <c r="P59" s="19"/>
      <c r="Q59" s="19"/>
      <c r="R59" s="19"/>
      <c r="S59" s="19"/>
      <c r="T59" s="19"/>
      <c r="U59" s="19"/>
      <c r="V59" s="16" t="s">
        <v>139</v>
      </c>
      <c r="W59" s="19"/>
      <c r="X59" s="21" t="s">
        <v>47</v>
      </c>
      <c r="Y59" s="23"/>
      <c r="Z59" s="19"/>
      <c r="AA59" s="19"/>
      <c r="AB59" s="19"/>
      <c r="AC59" s="19"/>
      <c r="AD59" s="19"/>
      <c r="AE59" s="19"/>
      <c r="AF59" s="21" t="s">
        <v>55</v>
      </c>
      <c r="AG59" s="23"/>
      <c r="AH59" s="21" t="s">
        <v>123</v>
      </c>
      <c r="AI59" s="23"/>
      <c r="AJ59" s="16" t="s">
        <v>482</v>
      </c>
      <c r="AK59" s="16" t="s">
        <v>244</v>
      </c>
      <c r="AL59" s="16" t="s">
        <v>181</v>
      </c>
      <c r="AM59" s="16" t="s">
        <v>181</v>
      </c>
      <c r="AN59" s="16" t="s">
        <v>181</v>
      </c>
      <c r="AO59" s="16" t="s">
        <v>126</v>
      </c>
      <c r="AP59" s="16" t="s">
        <v>181</v>
      </c>
      <c r="AQ59" s="16" t="s">
        <v>181</v>
      </c>
      <c r="AR59" s="16" t="s">
        <v>181</v>
      </c>
      <c r="AS59" s="21" t="s">
        <v>65</v>
      </c>
      <c r="AT59" s="22"/>
      <c r="AU59" s="23"/>
      <c r="AV59" s="19"/>
      <c r="AW59" s="16" t="s">
        <v>69</v>
      </c>
      <c r="AX59" s="16" t="s">
        <v>70</v>
      </c>
      <c r="AY59" s="21" t="s">
        <v>71</v>
      </c>
      <c r="AZ59" s="22"/>
      <c r="BA59" s="23"/>
      <c r="BB59" s="19"/>
      <c r="BC59" s="19"/>
      <c r="BD59" s="19"/>
      <c r="BE59" s="19"/>
      <c r="BF59" s="16" t="s">
        <v>457</v>
      </c>
      <c r="BG59" s="21" t="s">
        <v>78</v>
      </c>
      <c r="BH59" s="23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6" t="s">
        <v>457</v>
      </c>
      <c r="BY59" s="19"/>
      <c r="BZ59" s="19"/>
      <c r="CA59" s="19"/>
      <c r="CB59" s="19"/>
      <c r="CC59" s="19"/>
      <c r="CD59" s="19"/>
      <c r="CE59" s="19"/>
      <c r="CF59" s="16" t="s">
        <v>144</v>
      </c>
      <c r="CG59" s="16" t="s">
        <v>128</v>
      </c>
      <c r="CH59" s="16" t="s">
        <v>100</v>
      </c>
      <c r="CI59" s="21" t="s">
        <v>101</v>
      </c>
      <c r="CJ59" s="22"/>
      <c r="CK59" s="23"/>
      <c r="CL59" s="21" t="s">
        <v>104</v>
      </c>
      <c r="CM59" s="23"/>
      <c r="CN59" s="16" t="s">
        <v>128</v>
      </c>
      <c r="CO59" s="16" t="s">
        <v>105</v>
      </c>
      <c r="CP59" s="16" t="s">
        <v>106</v>
      </c>
      <c r="CQ59" s="16" t="s">
        <v>107</v>
      </c>
      <c r="CR59" s="16" t="s">
        <v>108</v>
      </c>
      <c r="CS59" s="16" t="s">
        <v>109</v>
      </c>
      <c r="CT59" s="21" t="s">
        <v>110</v>
      </c>
      <c r="CU59" s="23"/>
      <c r="CV59" s="16" t="s">
        <v>128</v>
      </c>
      <c r="CW59" s="19"/>
      <c r="CX59" s="21" t="s">
        <v>112</v>
      </c>
      <c r="CY59" s="23"/>
      <c r="CZ59" s="16" t="s">
        <v>114</v>
      </c>
      <c r="DA59" s="21" t="s">
        <v>115</v>
      </c>
      <c r="DB59" s="22"/>
      <c r="DC59" s="22"/>
      <c r="DD59" s="23"/>
      <c r="DE59" s="16" t="s">
        <v>129</v>
      </c>
      <c r="DF59" s="16" t="s">
        <v>129</v>
      </c>
      <c r="DG59" s="16" t="s">
        <v>483</v>
      </c>
      <c r="DH59" s="21" t="s">
        <v>484</v>
      </c>
      <c r="DI59" s="23"/>
      <c r="DJ59" s="16" t="s">
        <v>144</v>
      </c>
      <c r="DK59" s="19"/>
      <c r="DL59" s="19"/>
      <c r="DM59" s="16" t="s">
        <v>144</v>
      </c>
      <c r="DN59" s="19"/>
      <c r="DO59" s="19"/>
    </row>
    <row r="60" ht="15.75" customHeight="1">
      <c r="A60" s="15">
        <v>58.0</v>
      </c>
      <c r="B60" s="16" t="s">
        <v>485</v>
      </c>
      <c r="C60" s="17">
        <v>3.2104192201308E13</v>
      </c>
      <c r="D60" s="18">
        <v>218.0</v>
      </c>
      <c r="E60" s="16" t="s">
        <v>134</v>
      </c>
      <c r="F60" s="16" t="s">
        <v>135</v>
      </c>
      <c r="G60" s="16" t="s">
        <v>136</v>
      </c>
      <c r="H60" s="20">
        <v>44305.0</v>
      </c>
      <c r="I60" s="16"/>
      <c r="J60" s="18">
        <v>1.0</v>
      </c>
      <c r="K60" s="16" t="s">
        <v>486</v>
      </c>
      <c r="L60" s="21" t="s">
        <v>138</v>
      </c>
      <c r="M60" s="23"/>
      <c r="N60" s="19"/>
      <c r="O60" s="19"/>
      <c r="P60" s="19"/>
      <c r="Q60" s="19"/>
      <c r="R60" s="19"/>
      <c r="S60" s="19"/>
      <c r="T60" s="19"/>
      <c r="U60" s="19"/>
      <c r="V60" s="16" t="s">
        <v>139</v>
      </c>
      <c r="W60" s="19"/>
      <c r="X60" s="21" t="s">
        <v>47</v>
      </c>
      <c r="Y60" s="23"/>
      <c r="Z60" s="19"/>
      <c r="AA60" s="19"/>
      <c r="AB60" s="19"/>
      <c r="AC60" s="19"/>
      <c r="AD60" s="19"/>
      <c r="AE60" s="19"/>
      <c r="AF60" s="19"/>
      <c r="AG60" s="19"/>
      <c r="AH60" s="21" t="s">
        <v>123</v>
      </c>
      <c r="AI60" s="23"/>
      <c r="AJ60" s="16" t="s">
        <v>482</v>
      </c>
      <c r="AK60" s="16" t="s">
        <v>244</v>
      </c>
      <c r="AL60" s="16" t="s">
        <v>181</v>
      </c>
      <c r="AM60" s="16" t="s">
        <v>126</v>
      </c>
      <c r="AN60" s="16" t="s">
        <v>126</v>
      </c>
      <c r="AO60" s="16" t="s">
        <v>126</v>
      </c>
      <c r="AP60" s="16" t="s">
        <v>181</v>
      </c>
      <c r="AQ60" s="16" t="s">
        <v>181</v>
      </c>
      <c r="AR60" s="16" t="s">
        <v>181</v>
      </c>
      <c r="AS60" s="21" t="s">
        <v>65</v>
      </c>
      <c r="AT60" s="22"/>
      <c r="AU60" s="23"/>
      <c r="AV60" s="19"/>
      <c r="AW60" s="16" t="s">
        <v>69</v>
      </c>
      <c r="AX60" s="16" t="s">
        <v>70</v>
      </c>
      <c r="AY60" s="21" t="s">
        <v>71</v>
      </c>
      <c r="AZ60" s="22"/>
      <c r="BA60" s="23"/>
      <c r="BB60" s="19"/>
      <c r="BC60" s="19"/>
      <c r="BD60" s="19"/>
      <c r="BE60" s="19"/>
      <c r="BF60" s="16" t="s">
        <v>457</v>
      </c>
      <c r="BG60" s="16" t="s">
        <v>78</v>
      </c>
      <c r="BH60" s="21" t="s">
        <v>79</v>
      </c>
      <c r="BI60" s="23"/>
      <c r="BJ60" s="19"/>
      <c r="BK60" s="19"/>
      <c r="BL60" s="19"/>
      <c r="BM60" s="19"/>
      <c r="BN60" s="21" t="s">
        <v>84</v>
      </c>
      <c r="BO60" s="22"/>
      <c r="BP60" s="23"/>
      <c r="BQ60" s="19"/>
      <c r="BR60" s="19"/>
      <c r="BS60" s="19"/>
      <c r="BT60" s="19"/>
      <c r="BU60" s="21" t="s">
        <v>90</v>
      </c>
      <c r="BV60" s="23"/>
      <c r="BW60" s="21" t="s">
        <v>92</v>
      </c>
      <c r="BX60" s="22"/>
      <c r="BY60" s="23"/>
      <c r="BZ60" s="19"/>
      <c r="CA60" s="19"/>
      <c r="CB60" s="19"/>
      <c r="CC60" s="19"/>
      <c r="CD60" s="19"/>
      <c r="CE60" s="19"/>
      <c r="CF60" s="16" t="s">
        <v>144</v>
      </c>
      <c r="CG60" s="16" t="s">
        <v>128</v>
      </c>
      <c r="CH60" s="16" t="s">
        <v>100</v>
      </c>
      <c r="CI60" s="16" t="s">
        <v>101</v>
      </c>
      <c r="CJ60" s="21" t="s">
        <v>102</v>
      </c>
      <c r="CK60" s="23"/>
      <c r="CL60" s="21" t="s">
        <v>104</v>
      </c>
      <c r="CM60" s="23"/>
      <c r="CN60" s="16" t="s">
        <v>128</v>
      </c>
      <c r="CO60" s="16" t="s">
        <v>105</v>
      </c>
      <c r="CP60" s="16" t="s">
        <v>106</v>
      </c>
      <c r="CQ60" s="16" t="s">
        <v>107</v>
      </c>
      <c r="CR60" s="16" t="s">
        <v>108</v>
      </c>
      <c r="CS60" s="21" t="s">
        <v>109</v>
      </c>
      <c r="CT60" s="23"/>
      <c r="CU60" s="19"/>
      <c r="CV60" s="21" t="s">
        <v>154</v>
      </c>
      <c r="CW60" s="23"/>
      <c r="CX60" s="19"/>
      <c r="CY60" s="19"/>
      <c r="CZ60" s="21" t="s">
        <v>114</v>
      </c>
      <c r="DA60" s="22"/>
      <c r="DB60" s="23"/>
      <c r="DC60" s="16" t="s">
        <v>145</v>
      </c>
      <c r="DD60" s="16" t="s">
        <v>145</v>
      </c>
      <c r="DE60" s="19"/>
      <c r="DF60" s="19"/>
      <c r="DG60" s="16" t="s">
        <v>487</v>
      </c>
      <c r="DH60" s="21" t="s">
        <v>488</v>
      </c>
      <c r="DI60" s="23"/>
      <c r="DJ60" s="16" t="s">
        <v>144</v>
      </c>
      <c r="DK60" s="19"/>
      <c r="DL60" s="19"/>
      <c r="DM60" s="16" t="s">
        <v>489</v>
      </c>
      <c r="DN60" s="21" t="s">
        <v>490</v>
      </c>
      <c r="DO60" s="23"/>
    </row>
    <row r="61" ht="15.75" customHeight="1">
      <c r="A61" s="15">
        <v>59.0</v>
      </c>
      <c r="B61" s="16" t="s">
        <v>491</v>
      </c>
      <c r="C61" s="17">
        <v>3.20111022005721E15</v>
      </c>
      <c r="D61" s="18">
        <v>209.0</v>
      </c>
      <c r="E61" s="16" t="s">
        <v>134</v>
      </c>
      <c r="F61" s="16" t="s">
        <v>135</v>
      </c>
      <c r="G61" s="16" t="s">
        <v>136</v>
      </c>
      <c r="H61" s="25">
        <v>44145.0</v>
      </c>
      <c r="I61" s="18">
        <v>1.0</v>
      </c>
      <c r="J61" s="19"/>
      <c r="K61" s="16" t="s">
        <v>492</v>
      </c>
      <c r="L61" s="21" t="s">
        <v>138</v>
      </c>
      <c r="M61" s="23"/>
      <c r="N61" s="19"/>
      <c r="O61" s="19"/>
      <c r="P61" s="19"/>
      <c r="Q61" s="19"/>
      <c r="R61" s="19"/>
      <c r="S61" s="19"/>
      <c r="T61" s="19"/>
      <c r="U61" s="19"/>
      <c r="V61" s="16" t="s">
        <v>271</v>
      </c>
      <c r="W61" s="16" t="s">
        <v>46</v>
      </c>
      <c r="X61" s="21" t="s">
        <v>47</v>
      </c>
      <c r="Y61" s="23"/>
      <c r="Z61" s="19"/>
      <c r="AA61" s="19"/>
      <c r="AB61" s="19"/>
      <c r="AC61" s="21" t="s">
        <v>52</v>
      </c>
      <c r="AD61" s="23"/>
      <c r="AE61" s="19"/>
      <c r="AF61" s="19"/>
      <c r="AG61" s="19"/>
      <c r="AH61" s="16" t="s">
        <v>57</v>
      </c>
      <c r="AI61" s="16" t="s">
        <v>140</v>
      </c>
      <c r="AJ61" s="16" t="s">
        <v>124</v>
      </c>
      <c r="AK61" s="16" t="s">
        <v>153</v>
      </c>
      <c r="AL61" s="16" t="s">
        <v>126</v>
      </c>
      <c r="AM61" s="16" t="s">
        <v>126</v>
      </c>
      <c r="AN61" s="16" t="s">
        <v>126</v>
      </c>
      <c r="AO61" s="16" t="s">
        <v>181</v>
      </c>
      <c r="AP61" s="16" t="s">
        <v>181</v>
      </c>
      <c r="AQ61" s="16" t="s">
        <v>181</v>
      </c>
      <c r="AR61" s="16" t="s">
        <v>181</v>
      </c>
      <c r="AS61" s="16" t="s">
        <v>65</v>
      </c>
      <c r="AT61" s="21" t="s">
        <v>66</v>
      </c>
      <c r="AU61" s="22"/>
      <c r="AV61" s="23"/>
      <c r="AW61" s="21" t="s">
        <v>69</v>
      </c>
      <c r="AX61" s="22"/>
      <c r="AY61" s="23"/>
      <c r="AZ61" s="21" t="s">
        <v>493</v>
      </c>
      <c r="BA61" s="22"/>
      <c r="BB61" s="23"/>
      <c r="BC61" s="19"/>
      <c r="BD61" s="19"/>
      <c r="BE61" s="19"/>
      <c r="BF61" s="19"/>
      <c r="BG61" s="21" t="s">
        <v>78</v>
      </c>
      <c r="BH61" s="23"/>
      <c r="BI61" s="21" t="s">
        <v>52</v>
      </c>
      <c r="BJ61" s="23"/>
      <c r="BK61" s="16" t="s">
        <v>81</v>
      </c>
      <c r="BL61" s="19"/>
      <c r="BM61" s="19"/>
      <c r="BN61" s="19"/>
      <c r="BO61" s="21" t="s">
        <v>85</v>
      </c>
      <c r="BP61" s="22"/>
      <c r="BQ61" s="22"/>
      <c r="BR61" s="23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6" t="s">
        <v>144</v>
      </c>
      <c r="CG61" s="16" t="s">
        <v>128</v>
      </c>
      <c r="CH61" s="16" t="s">
        <v>100</v>
      </c>
      <c r="CI61" s="21" t="s">
        <v>101</v>
      </c>
      <c r="CJ61" s="22"/>
      <c r="CK61" s="23"/>
      <c r="CL61" s="21" t="s">
        <v>104</v>
      </c>
      <c r="CM61" s="23"/>
      <c r="CN61" s="16" t="s">
        <v>302</v>
      </c>
      <c r="CO61" s="19"/>
      <c r="CP61" s="19"/>
      <c r="CQ61" s="19"/>
      <c r="CR61" s="19"/>
      <c r="CS61" s="19"/>
      <c r="CT61" s="19"/>
      <c r="CU61" s="19"/>
      <c r="CV61" s="21" t="s">
        <v>154</v>
      </c>
      <c r="CW61" s="23"/>
      <c r="CX61" s="21" t="s">
        <v>112</v>
      </c>
      <c r="CY61" s="22"/>
      <c r="CZ61" s="23"/>
      <c r="DA61" s="19"/>
      <c r="DB61" s="19"/>
      <c r="DC61" s="16" t="s">
        <v>129</v>
      </c>
      <c r="DD61" s="16" t="s">
        <v>129</v>
      </c>
      <c r="DE61" s="16" t="s">
        <v>145</v>
      </c>
      <c r="DF61" s="16" t="s">
        <v>145</v>
      </c>
      <c r="DG61" s="16" t="s">
        <v>494</v>
      </c>
      <c r="DH61" s="16" t="s">
        <v>495</v>
      </c>
      <c r="DI61" s="16" t="s">
        <v>496</v>
      </c>
      <c r="DJ61" s="21" t="s">
        <v>237</v>
      </c>
      <c r="DK61" s="22"/>
      <c r="DL61" s="23"/>
      <c r="DM61" s="16" t="s">
        <v>148</v>
      </c>
      <c r="DN61" s="21" t="s">
        <v>497</v>
      </c>
      <c r="DO61" s="23"/>
    </row>
    <row r="62" ht="15.75" customHeight="1">
      <c r="A62" s="15">
        <v>60.0</v>
      </c>
      <c r="B62" s="16" t="s">
        <v>498</v>
      </c>
      <c r="C62" s="17">
        <v>3.0161213220017E13</v>
      </c>
      <c r="D62" s="18">
        <v>165.0</v>
      </c>
      <c r="E62" s="16" t="s">
        <v>134</v>
      </c>
      <c r="F62" s="16" t="s">
        <v>135</v>
      </c>
      <c r="G62" s="16" t="s">
        <v>136</v>
      </c>
      <c r="H62" s="25">
        <v>42717.0</v>
      </c>
      <c r="I62" s="18">
        <v>1.0</v>
      </c>
      <c r="J62" s="19"/>
      <c r="K62" s="16" t="s">
        <v>499</v>
      </c>
      <c r="L62" s="16" t="s">
        <v>122</v>
      </c>
      <c r="M62" s="19"/>
      <c r="N62" s="19"/>
      <c r="O62" s="19"/>
      <c r="P62" s="19"/>
      <c r="Q62" s="19"/>
      <c r="R62" s="19"/>
      <c r="S62" s="19"/>
      <c r="T62" s="19"/>
      <c r="U62" s="19"/>
      <c r="V62" s="21" t="s">
        <v>500</v>
      </c>
      <c r="W62" s="23"/>
      <c r="X62" s="19"/>
      <c r="Y62" s="21" t="s">
        <v>48</v>
      </c>
      <c r="Z62" s="23"/>
      <c r="AA62" s="19"/>
      <c r="AB62" s="19"/>
      <c r="AC62" s="21" t="s">
        <v>52</v>
      </c>
      <c r="AD62" s="23"/>
      <c r="AE62" s="19"/>
      <c r="AF62" s="19"/>
      <c r="AG62" s="19"/>
      <c r="AH62" s="21" t="s">
        <v>123</v>
      </c>
      <c r="AI62" s="23"/>
      <c r="AJ62" s="16" t="s">
        <v>449</v>
      </c>
      <c r="AK62" s="16" t="s">
        <v>142</v>
      </c>
      <c r="AL62" s="16" t="s">
        <v>181</v>
      </c>
      <c r="AM62" s="16" t="s">
        <v>181</v>
      </c>
      <c r="AN62" s="16" t="s">
        <v>181</v>
      </c>
      <c r="AO62" s="16" t="s">
        <v>181</v>
      </c>
      <c r="AP62" s="16" t="s">
        <v>181</v>
      </c>
      <c r="AQ62" s="16" t="s">
        <v>181</v>
      </c>
      <c r="AR62" s="16" t="s">
        <v>126</v>
      </c>
      <c r="AS62" s="19"/>
      <c r="AT62" s="19"/>
      <c r="AU62" s="16" t="s">
        <v>67</v>
      </c>
      <c r="AV62" s="16" t="s">
        <v>68</v>
      </c>
      <c r="AW62" s="16" t="s">
        <v>69</v>
      </c>
      <c r="AX62" s="21" t="s">
        <v>70</v>
      </c>
      <c r="AY62" s="22"/>
      <c r="AZ62" s="23"/>
      <c r="BA62" s="19"/>
      <c r="BB62" s="19"/>
      <c r="BC62" s="19"/>
      <c r="BD62" s="19"/>
      <c r="BE62" s="19"/>
      <c r="BF62" s="16" t="s">
        <v>457</v>
      </c>
      <c r="BG62" s="19"/>
      <c r="BH62" s="21" t="s">
        <v>79</v>
      </c>
      <c r="BI62" s="23"/>
      <c r="BJ62" s="19"/>
      <c r="BK62" s="16" t="s">
        <v>81</v>
      </c>
      <c r="BL62" s="21" t="s">
        <v>82</v>
      </c>
      <c r="BM62" s="23"/>
      <c r="BN62" s="16" t="s">
        <v>84</v>
      </c>
      <c r="BO62" s="21" t="s">
        <v>85</v>
      </c>
      <c r="BP62" s="22"/>
      <c r="BQ62" s="22"/>
      <c r="BR62" s="23"/>
      <c r="BS62" s="19"/>
      <c r="BT62" s="19"/>
      <c r="BU62" s="19"/>
      <c r="BV62" s="16" t="s">
        <v>91</v>
      </c>
      <c r="BW62" s="19"/>
      <c r="BX62" s="19"/>
      <c r="BY62" s="19"/>
      <c r="BZ62" s="19"/>
      <c r="CA62" s="19"/>
      <c r="CB62" s="19"/>
      <c r="CC62" s="19"/>
      <c r="CD62" s="19"/>
      <c r="CE62" s="19"/>
      <c r="CF62" s="16" t="s">
        <v>144</v>
      </c>
      <c r="CG62" s="16" t="s">
        <v>128</v>
      </c>
      <c r="CH62" s="21" t="s">
        <v>100</v>
      </c>
      <c r="CI62" s="23"/>
      <c r="CJ62" s="19"/>
      <c r="CK62" s="21" t="s">
        <v>103</v>
      </c>
      <c r="CL62" s="23"/>
      <c r="CM62" s="19"/>
      <c r="CN62" s="16" t="s">
        <v>128</v>
      </c>
      <c r="CO62" s="16" t="s">
        <v>105</v>
      </c>
      <c r="CP62" s="16" t="s">
        <v>106</v>
      </c>
      <c r="CQ62" s="16" t="s">
        <v>107</v>
      </c>
      <c r="CR62" s="16" t="s">
        <v>108</v>
      </c>
      <c r="CS62" s="16" t="s">
        <v>109</v>
      </c>
      <c r="CT62" s="21" t="s">
        <v>110</v>
      </c>
      <c r="CU62" s="23"/>
      <c r="CV62" s="21" t="s">
        <v>154</v>
      </c>
      <c r="CW62" s="23"/>
      <c r="CX62" s="19"/>
      <c r="CY62" s="19"/>
      <c r="CZ62" s="19"/>
      <c r="DA62" s="19"/>
      <c r="DB62" s="16" t="s">
        <v>501</v>
      </c>
      <c r="DC62" s="16" t="s">
        <v>145</v>
      </c>
      <c r="DD62" s="16" t="s">
        <v>129</v>
      </c>
      <c r="DE62" s="16" t="s">
        <v>129</v>
      </c>
      <c r="DF62" s="16" t="s">
        <v>145</v>
      </c>
      <c r="DG62" s="16" t="s">
        <v>502</v>
      </c>
      <c r="DH62" s="16" t="s">
        <v>503</v>
      </c>
      <c r="DI62" s="16" t="s">
        <v>504</v>
      </c>
      <c r="DJ62" s="16" t="s">
        <v>144</v>
      </c>
      <c r="DK62" s="19"/>
      <c r="DL62" s="19"/>
      <c r="DM62" s="16" t="s">
        <v>505</v>
      </c>
      <c r="DN62" s="21" t="s">
        <v>506</v>
      </c>
      <c r="DO62" s="23"/>
    </row>
    <row r="63" ht="15.75" customHeight="1">
      <c r="A63" s="15">
        <v>61.0</v>
      </c>
      <c r="B63" s="16" t="s">
        <v>507</v>
      </c>
      <c r="C63" s="17">
        <v>3.2101112200919E13</v>
      </c>
      <c r="D63" s="18">
        <v>154.0</v>
      </c>
      <c r="E63" s="16" t="s">
        <v>134</v>
      </c>
      <c r="F63" s="16" t="s">
        <v>135</v>
      </c>
      <c r="G63" s="16" t="s">
        <v>136</v>
      </c>
      <c r="H63" s="20">
        <v>44207.0</v>
      </c>
      <c r="I63" s="18">
        <v>1.0</v>
      </c>
      <c r="J63" s="19"/>
      <c r="K63" s="16" t="s">
        <v>508</v>
      </c>
      <c r="L63" s="21" t="s">
        <v>138</v>
      </c>
      <c r="M63" s="23"/>
      <c r="N63" s="19"/>
      <c r="O63" s="19"/>
      <c r="P63" s="19"/>
      <c r="Q63" s="19"/>
      <c r="R63" s="19"/>
      <c r="S63" s="19"/>
      <c r="T63" s="19"/>
      <c r="U63" s="19"/>
      <c r="V63" s="16" t="s">
        <v>139</v>
      </c>
      <c r="W63" s="19"/>
      <c r="X63" s="21" t="s">
        <v>47</v>
      </c>
      <c r="Y63" s="23"/>
      <c r="Z63" s="19"/>
      <c r="AA63" s="19"/>
      <c r="AB63" s="19"/>
      <c r="AC63" s="21" t="s">
        <v>52</v>
      </c>
      <c r="AD63" s="23"/>
      <c r="AE63" s="19"/>
      <c r="AF63" s="19"/>
      <c r="AG63" s="19"/>
      <c r="AH63" s="21" t="s">
        <v>123</v>
      </c>
      <c r="AI63" s="23"/>
      <c r="AJ63" s="16" t="s">
        <v>124</v>
      </c>
      <c r="AK63" s="16" t="s">
        <v>153</v>
      </c>
      <c r="AL63" s="16" t="s">
        <v>126</v>
      </c>
      <c r="AM63" s="16" t="s">
        <v>126</v>
      </c>
      <c r="AN63" s="16" t="s">
        <v>126</v>
      </c>
      <c r="AO63" s="16" t="s">
        <v>126</v>
      </c>
      <c r="AP63" s="16" t="s">
        <v>126</v>
      </c>
      <c r="AQ63" s="16" t="s">
        <v>126</v>
      </c>
      <c r="AR63" s="16" t="s">
        <v>143</v>
      </c>
      <c r="AS63" s="21" t="s">
        <v>65</v>
      </c>
      <c r="AT63" s="22"/>
      <c r="AU63" s="23"/>
      <c r="AV63" s="19"/>
      <c r="AW63" s="21" t="s">
        <v>69</v>
      </c>
      <c r="AX63" s="22"/>
      <c r="AY63" s="23"/>
      <c r="AZ63" s="21" t="s">
        <v>493</v>
      </c>
      <c r="BA63" s="22"/>
      <c r="BB63" s="23"/>
      <c r="BC63" s="19"/>
      <c r="BD63" s="19"/>
      <c r="BE63" s="19"/>
      <c r="BF63" s="19"/>
      <c r="BG63" s="21" t="s">
        <v>78</v>
      </c>
      <c r="BH63" s="23"/>
      <c r="BI63" s="21" t="s">
        <v>52</v>
      </c>
      <c r="BJ63" s="23"/>
      <c r="BK63" s="19"/>
      <c r="BL63" s="19"/>
      <c r="BM63" s="19"/>
      <c r="BN63" s="19"/>
      <c r="BO63" s="16" t="s">
        <v>85</v>
      </c>
      <c r="BP63" s="21" t="s">
        <v>509</v>
      </c>
      <c r="BQ63" s="22"/>
      <c r="BR63" s="23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6" t="s">
        <v>510</v>
      </c>
      <c r="CG63" s="16" t="s">
        <v>158</v>
      </c>
      <c r="CH63" s="21" t="s">
        <v>100</v>
      </c>
      <c r="CI63" s="23"/>
      <c r="CJ63" s="19"/>
      <c r="CK63" s="19"/>
      <c r="CL63" s="21" t="s">
        <v>104</v>
      </c>
      <c r="CM63" s="23"/>
      <c r="CN63" s="16" t="s">
        <v>128</v>
      </c>
      <c r="CO63" s="21" t="s">
        <v>105</v>
      </c>
      <c r="CP63" s="22"/>
      <c r="CQ63" s="23"/>
      <c r="CR63" s="19"/>
      <c r="CS63" s="21" t="s">
        <v>109</v>
      </c>
      <c r="CT63" s="23"/>
      <c r="CU63" s="19"/>
      <c r="CV63" s="16" t="s">
        <v>302</v>
      </c>
      <c r="CW63" s="19"/>
      <c r="CX63" s="19"/>
      <c r="CY63" s="19"/>
      <c r="CZ63" s="19"/>
      <c r="DA63" s="19"/>
      <c r="DB63" s="19"/>
      <c r="DC63" s="19"/>
      <c r="DD63" s="16" t="s">
        <v>129</v>
      </c>
      <c r="DE63" s="16" t="s">
        <v>129</v>
      </c>
      <c r="DF63" s="16" t="s">
        <v>129</v>
      </c>
      <c r="DG63" s="16" t="s">
        <v>511</v>
      </c>
      <c r="DH63" s="16" t="s">
        <v>512</v>
      </c>
      <c r="DI63" s="16" t="s">
        <v>513</v>
      </c>
      <c r="DJ63" s="16" t="s">
        <v>144</v>
      </c>
      <c r="DK63" s="19"/>
      <c r="DL63" s="19"/>
      <c r="DM63" s="16" t="s">
        <v>144</v>
      </c>
      <c r="DN63" s="19"/>
      <c r="DO63" s="19"/>
    </row>
    <row r="64" ht="15.75" customHeight="1">
      <c r="A64" s="15">
        <v>62.0</v>
      </c>
      <c r="B64" s="16" t="s">
        <v>514</v>
      </c>
      <c r="C64" s="17">
        <v>3.1308202200853E13</v>
      </c>
      <c r="D64" s="18">
        <v>141.0</v>
      </c>
      <c r="E64" s="16" t="s">
        <v>134</v>
      </c>
      <c r="F64" s="16" t="s">
        <v>135</v>
      </c>
      <c r="G64" s="16" t="s">
        <v>136</v>
      </c>
      <c r="H64" s="20">
        <v>41493.0</v>
      </c>
      <c r="I64" s="18">
        <v>1.0</v>
      </c>
      <c r="J64" s="19"/>
      <c r="K64" s="16" t="s">
        <v>515</v>
      </c>
      <c r="L64" s="21" t="s">
        <v>138</v>
      </c>
      <c r="M64" s="23"/>
      <c r="N64" s="19"/>
      <c r="O64" s="19"/>
      <c r="P64" s="19"/>
      <c r="Q64" s="19"/>
      <c r="R64" s="19"/>
      <c r="S64" s="19"/>
      <c r="T64" s="19"/>
      <c r="U64" s="19"/>
      <c r="V64" s="16" t="s">
        <v>139</v>
      </c>
      <c r="W64" s="16" t="s">
        <v>46</v>
      </c>
      <c r="X64" s="21" t="s">
        <v>47</v>
      </c>
      <c r="Y64" s="23"/>
      <c r="Z64" s="19"/>
      <c r="AA64" s="16" t="s">
        <v>50</v>
      </c>
      <c r="AB64" s="19"/>
      <c r="AC64" s="21" t="s">
        <v>52</v>
      </c>
      <c r="AD64" s="23"/>
      <c r="AE64" s="19"/>
      <c r="AF64" s="16" t="s">
        <v>55</v>
      </c>
      <c r="AG64" s="16" t="s">
        <v>516</v>
      </c>
      <c r="AH64" s="21" t="s">
        <v>357</v>
      </c>
      <c r="AI64" s="23"/>
      <c r="AJ64" s="16" t="s">
        <v>124</v>
      </c>
      <c r="AK64" s="16" t="s">
        <v>153</v>
      </c>
      <c r="AL64" s="16" t="s">
        <v>181</v>
      </c>
      <c r="AM64" s="16" t="s">
        <v>181</v>
      </c>
      <c r="AN64" s="16" t="s">
        <v>181</v>
      </c>
      <c r="AO64" s="16" t="s">
        <v>181</v>
      </c>
      <c r="AP64" s="16" t="s">
        <v>126</v>
      </c>
      <c r="AQ64" s="16" t="s">
        <v>181</v>
      </c>
      <c r="AR64" s="16" t="s">
        <v>126</v>
      </c>
      <c r="AS64" s="19"/>
      <c r="AT64" s="21" t="s">
        <v>66</v>
      </c>
      <c r="AU64" s="22"/>
      <c r="AV64" s="23"/>
      <c r="AW64" s="16" t="s">
        <v>69</v>
      </c>
      <c r="AX64" s="16" t="s">
        <v>70</v>
      </c>
      <c r="AY64" s="16" t="s">
        <v>71</v>
      </c>
      <c r="AZ64" s="21" t="s">
        <v>517</v>
      </c>
      <c r="BA64" s="22"/>
      <c r="BB64" s="22"/>
      <c r="BC64" s="23"/>
      <c r="BD64" s="16" t="s">
        <v>76</v>
      </c>
      <c r="BE64" s="21" t="s">
        <v>77</v>
      </c>
      <c r="BF64" s="23"/>
      <c r="BG64" s="16" t="s">
        <v>78</v>
      </c>
      <c r="BH64" s="21" t="s">
        <v>79</v>
      </c>
      <c r="BI64" s="23"/>
      <c r="BJ64" s="19"/>
      <c r="BK64" s="16" t="s">
        <v>81</v>
      </c>
      <c r="BL64" s="19"/>
      <c r="BM64" s="19"/>
      <c r="BN64" s="16" t="s">
        <v>84</v>
      </c>
      <c r="BO64" s="21" t="s">
        <v>85</v>
      </c>
      <c r="BP64" s="22"/>
      <c r="BQ64" s="22"/>
      <c r="BR64" s="23"/>
      <c r="BS64" s="19"/>
      <c r="BT64" s="19"/>
      <c r="BU64" s="19"/>
      <c r="BV64" s="19"/>
      <c r="BW64" s="21" t="s">
        <v>92</v>
      </c>
      <c r="BX64" s="22"/>
      <c r="BY64" s="23"/>
      <c r="BZ64" s="19"/>
      <c r="CA64" s="19"/>
      <c r="CB64" s="19"/>
      <c r="CC64" s="19"/>
      <c r="CD64" s="19"/>
      <c r="CE64" s="19"/>
      <c r="CF64" s="16" t="s">
        <v>518</v>
      </c>
      <c r="CG64" s="16" t="s">
        <v>128</v>
      </c>
      <c r="CH64" s="16" t="s">
        <v>100</v>
      </c>
      <c r="CI64" s="16" t="s">
        <v>101</v>
      </c>
      <c r="CJ64" s="21" t="s">
        <v>102</v>
      </c>
      <c r="CK64" s="23"/>
      <c r="CL64" s="21" t="s">
        <v>104</v>
      </c>
      <c r="CM64" s="23"/>
      <c r="CN64" s="16" t="s">
        <v>128</v>
      </c>
      <c r="CO64" s="16" t="s">
        <v>105</v>
      </c>
      <c r="CP64" s="16" t="s">
        <v>106</v>
      </c>
      <c r="CQ64" s="16" t="s">
        <v>107</v>
      </c>
      <c r="CR64" s="16" t="s">
        <v>108</v>
      </c>
      <c r="CS64" s="16" t="s">
        <v>109</v>
      </c>
      <c r="CT64" s="21" t="s">
        <v>110</v>
      </c>
      <c r="CU64" s="23"/>
      <c r="CV64" s="16" t="s">
        <v>128</v>
      </c>
      <c r="CW64" s="19"/>
      <c r="CX64" s="16" t="s">
        <v>112</v>
      </c>
      <c r="CY64" s="16" t="s">
        <v>113</v>
      </c>
      <c r="CZ64" s="16" t="s">
        <v>114</v>
      </c>
      <c r="DA64" s="21" t="s">
        <v>115</v>
      </c>
      <c r="DB64" s="23"/>
      <c r="DC64" s="16" t="s">
        <v>129</v>
      </c>
      <c r="DD64" s="16" t="s">
        <v>129</v>
      </c>
      <c r="DE64" s="16" t="s">
        <v>129</v>
      </c>
      <c r="DF64" s="16" t="s">
        <v>129</v>
      </c>
      <c r="DG64" s="16" t="s">
        <v>519</v>
      </c>
      <c r="DH64" s="16" t="s">
        <v>520</v>
      </c>
      <c r="DI64" s="16" t="s">
        <v>521</v>
      </c>
      <c r="DJ64" s="21" t="s">
        <v>522</v>
      </c>
      <c r="DK64" s="22"/>
      <c r="DL64" s="23"/>
      <c r="DM64" s="21" t="s">
        <v>523</v>
      </c>
      <c r="DN64" s="22"/>
      <c r="DO64" s="23"/>
    </row>
    <row r="65" ht="15.75" customHeight="1">
      <c r="A65" s="15">
        <v>63.0</v>
      </c>
      <c r="B65" s="16" t="s">
        <v>524</v>
      </c>
      <c r="C65" s="24"/>
      <c r="D65" s="19"/>
      <c r="E65" s="16" t="s">
        <v>525</v>
      </c>
      <c r="F65" s="16" t="s">
        <v>241</v>
      </c>
      <c r="G65" s="16" t="s">
        <v>136</v>
      </c>
      <c r="H65" s="20">
        <v>43604.0</v>
      </c>
      <c r="I65" s="18">
        <v>1.0</v>
      </c>
      <c r="J65" s="19"/>
      <c r="K65" s="16" t="s">
        <v>526</v>
      </c>
      <c r="L65" s="21" t="s">
        <v>138</v>
      </c>
      <c r="M65" s="23"/>
      <c r="N65" s="19"/>
      <c r="O65" s="19"/>
      <c r="P65" s="19"/>
      <c r="Q65" s="19"/>
      <c r="R65" s="19"/>
      <c r="S65" s="19"/>
      <c r="T65" s="19"/>
      <c r="U65" s="19"/>
      <c r="V65" s="16" t="s">
        <v>139</v>
      </c>
      <c r="W65" s="16" t="s">
        <v>46</v>
      </c>
      <c r="X65" s="21" t="s">
        <v>47</v>
      </c>
      <c r="Y65" s="23"/>
      <c r="Z65" s="19"/>
      <c r="AA65" s="19"/>
      <c r="AB65" s="19"/>
      <c r="AC65" s="19"/>
      <c r="AD65" s="19"/>
      <c r="AE65" s="19"/>
      <c r="AF65" s="19"/>
      <c r="AG65" s="19"/>
      <c r="AH65" s="21" t="s">
        <v>123</v>
      </c>
      <c r="AI65" s="23"/>
      <c r="AJ65" s="16" t="s">
        <v>168</v>
      </c>
      <c r="AK65" s="16" t="s">
        <v>153</v>
      </c>
      <c r="AL65" s="16" t="s">
        <v>181</v>
      </c>
      <c r="AM65" s="16" t="s">
        <v>181</v>
      </c>
      <c r="AN65" s="16" t="s">
        <v>181</v>
      </c>
      <c r="AO65" s="16" t="s">
        <v>181</v>
      </c>
      <c r="AP65" s="16" t="s">
        <v>181</v>
      </c>
      <c r="AQ65" s="16" t="s">
        <v>181</v>
      </c>
      <c r="AR65" s="16" t="s">
        <v>181</v>
      </c>
      <c r="AS65" s="21" t="s">
        <v>65</v>
      </c>
      <c r="AT65" s="22"/>
      <c r="AU65" s="23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21" t="s">
        <v>78</v>
      </c>
      <c r="BH65" s="23"/>
      <c r="BI65" s="19"/>
      <c r="BJ65" s="21" t="s">
        <v>80</v>
      </c>
      <c r="BK65" s="23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21" t="s">
        <v>96</v>
      </c>
      <c r="CC65" s="23"/>
      <c r="CD65" s="19"/>
      <c r="CE65" s="19"/>
      <c r="CF65" s="19"/>
      <c r="CG65" s="16" t="s">
        <v>128</v>
      </c>
      <c r="CH65" s="19"/>
      <c r="CI65" s="21" t="s">
        <v>101</v>
      </c>
      <c r="CJ65" s="22"/>
      <c r="CK65" s="23"/>
      <c r="CL65" s="19"/>
      <c r="CM65" s="19"/>
      <c r="CN65" s="16" t="s">
        <v>128</v>
      </c>
      <c r="CO65" s="21" t="s">
        <v>105</v>
      </c>
      <c r="CP65" s="22"/>
      <c r="CQ65" s="23"/>
      <c r="CR65" s="19"/>
      <c r="CS65" s="19"/>
      <c r="CT65" s="19"/>
      <c r="CU65" s="19"/>
      <c r="CV65" s="16" t="s">
        <v>128</v>
      </c>
      <c r="CW65" s="21" t="s">
        <v>111</v>
      </c>
      <c r="CX65" s="22"/>
      <c r="CY65" s="23"/>
      <c r="CZ65" s="19"/>
      <c r="DA65" s="19"/>
      <c r="DB65" s="19"/>
      <c r="DC65" s="16" t="s">
        <v>129</v>
      </c>
      <c r="DD65" s="16" t="s">
        <v>129</v>
      </c>
      <c r="DE65" s="16" t="s">
        <v>129</v>
      </c>
      <c r="DF65" s="16" t="s">
        <v>129</v>
      </c>
      <c r="DG65" s="16" t="s">
        <v>527</v>
      </c>
      <c r="DH65" s="16" t="s">
        <v>528</v>
      </c>
      <c r="DI65" s="19"/>
      <c r="DJ65" s="21" t="s">
        <v>330</v>
      </c>
      <c r="DK65" s="23"/>
      <c r="DL65" s="19"/>
      <c r="DM65" s="21" t="s">
        <v>529</v>
      </c>
      <c r="DN65" s="23"/>
      <c r="DO65" s="19"/>
    </row>
    <row r="66" ht="15.75" customHeight="1">
      <c r="A66" s="15">
        <v>64.0</v>
      </c>
      <c r="B66" s="16" t="s">
        <v>530</v>
      </c>
      <c r="C66" s="24"/>
      <c r="D66" s="19"/>
      <c r="E66" s="16" t="s">
        <v>324</v>
      </c>
      <c r="F66" s="16" t="s">
        <v>241</v>
      </c>
      <c r="G66" s="16" t="s">
        <v>136</v>
      </c>
      <c r="H66" s="20">
        <v>44030.0</v>
      </c>
      <c r="I66" s="18">
        <v>1.0</v>
      </c>
      <c r="J66" s="19"/>
      <c r="K66" s="16" t="s">
        <v>531</v>
      </c>
      <c r="L66" s="21" t="s">
        <v>138</v>
      </c>
      <c r="M66" s="23"/>
      <c r="N66" s="19"/>
      <c r="O66" s="19"/>
      <c r="P66" s="19"/>
      <c r="Q66" s="19"/>
      <c r="R66" s="19"/>
      <c r="S66" s="19"/>
      <c r="T66" s="19"/>
      <c r="U66" s="19"/>
      <c r="V66" s="16" t="s">
        <v>139</v>
      </c>
      <c r="W66" s="19"/>
      <c r="X66" s="21" t="s">
        <v>47</v>
      </c>
      <c r="Y66" s="23"/>
      <c r="Z66" s="19"/>
      <c r="AA66" s="19"/>
      <c r="AB66" s="19"/>
      <c r="AC66" s="19"/>
      <c r="AD66" s="19"/>
      <c r="AE66" s="19"/>
      <c r="AF66" s="19"/>
      <c r="AG66" s="19"/>
      <c r="AH66" s="21" t="s">
        <v>123</v>
      </c>
      <c r="AI66" s="23"/>
      <c r="AJ66" s="16" t="s">
        <v>168</v>
      </c>
      <c r="AK66" s="16" t="s">
        <v>153</v>
      </c>
      <c r="AL66" s="16" t="s">
        <v>181</v>
      </c>
      <c r="AM66" s="16" t="s">
        <v>181</v>
      </c>
      <c r="AN66" s="16" t="s">
        <v>126</v>
      </c>
      <c r="AO66" s="16" t="s">
        <v>181</v>
      </c>
      <c r="AP66" s="16" t="s">
        <v>181</v>
      </c>
      <c r="AQ66" s="16" t="s">
        <v>181</v>
      </c>
      <c r="AR66" s="16" t="s">
        <v>181</v>
      </c>
      <c r="AS66" s="19"/>
      <c r="AT66" s="19"/>
      <c r="AU66" s="19"/>
      <c r="AV66" s="19"/>
      <c r="AW66" s="21" t="s">
        <v>69</v>
      </c>
      <c r="AX66" s="22"/>
      <c r="AY66" s="23"/>
      <c r="AZ66" s="19"/>
      <c r="BA66" s="19"/>
      <c r="BB66" s="19"/>
      <c r="BC66" s="19"/>
      <c r="BD66" s="19"/>
      <c r="BE66" s="19"/>
      <c r="BF66" s="19"/>
      <c r="BG66" s="21" t="s">
        <v>78</v>
      </c>
      <c r="BH66" s="23"/>
      <c r="BI66" s="19"/>
      <c r="BJ66" s="19"/>
      <c r="BK66" s="16" t="s">
        <v>81</v>
      </c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21" t="s">
        <v>96</v>
      </c>
      <c r="CC66" s="23"/>
      <c r="CD66" s="19"/>
      <c r="CE66" s="19"/>
      <c r="CF66" s="19"/>
      <c r="CG66" s="16" t="s">
        <v>128</v>
      </c>
      <c r="CH66" s="19"/>
      <c r="CI66" s="21" t="s">
        <v>101</v>
      </c>
      <c r="CJ66" s="22"/>
      <c r="CK66" s="23"/>
      <c r="CL66" s="19"/>
      <c r="CM66" s="19"/>
      <c r="CN66" s="16" t="s">
        <v>128</v>
      </c>
      <c r="CO66" s="21" t="s">
        <v>105</v>
      </c>
      <c r="CP66" s="22"/>
      <c r="CQ66" s="23"/>
      <c r="CR66" s="19"/>
      <c r="CS66" s="19"/>
      <c r="CT66" s="19"/>
      <c r="CU66" s="19"/>
      <c r="CV66" s="16" t="s">
        <v>128</v>
      </c>
      <c r="CW66" s="19"/>
      <c r="CX66" s="19"/>
      <c r="CY66" s="19"/>
      <c r="CZ66" s="21" t="s">
        <v>114</v>
      </c>
      <c r="DA66" s="22"/>
      <c r="DB66" s="23"/>
      <c r="DC66" s="16" t="s">
        <v>129</v>
      </c>
      <c r="DD66" s="16" t="s">
        <v>129</v>
      </c>
      <c r="DE66" s="16" t="s">
        <v>145</v>
      </c>
      <c r="DF66" s="16" t="s">
        <v>129</v>
      </c>
      <c r="DG66" s="16" t="s">
        <v>532</v>
      </c>
      <c r="DH66" s="19"/>
      <c r="DI66" s="19"/>
      <c r="DJ66" s="21" t="s">
        <v>330</v>
      </c>
      <c r="DK66" s="23"/>
      <c r="DL66" s="19"/>
      <c r="DM66" s="21" t="s">
        <v>533</v>
      </c>
      <c r="DN66" s="23"/>
      <c r="DO66" s="19"/>
    </row>
    <row r="67" ht="15.75" customHeight="1">
      <c r="A67" s="15">
        <v>65.0</v>
      </c>
      <c r="B67" s="16" t="s">
        <v>534</v>
      </c>
      <c r="C67" s="17">
        <v>3.1705162201907E13</v>
      </c>
      <c r="D67" s="18">
        <v>130.0</v>
      </c>
      <c r="E67" s="16" t="s">
        <v>134</v>
      </c>
      <c r="F67" s="16" t="s">
        <v>135</v>
      </c>
      <c r="G67" s="16" t="s">
        <v>136</v>
      </c>
      <c r="H67" s="20">
        <v>42871.0</v>
      </c>
      <c r="I67" s="16"/>
      <c r="J67" s="18">
        <v>1.0</v>
      </c>
      <c r="K67" s="16" t="s">
        <v>535</v>
      </c>
      <c r="L67" s="21" t="s">
        <v>138</v>
      </c>
      <c r="M67" s="23"/>
      <c r="N67" s="19"/>
      <c r="O67" s="19"/>
      <c r="P67" s="19"/>
      <c r="Q67" s="19"/>
      <c r="R67" s="19"/>
      <c r="S67" s="19"/>
      <c r="T67" s="19"/>
      <c r="U67" s="19"/>
      <c r="V67" s="16" t="s">
        <v>402</v>
      </c>
      <c r="W67" s="16" t="s">
        <v>46</v>
      </c>
      <c r="X67" s="21" t="s">
        <v>47</v>
      </c>
      <c r="Y67" s="23"/>
      <c r="Z67" s="19"/>
      <c r="AA67" s="19"/>
      <c r="AB67" s="19"/>
      <c r="AC67" s="19"/>
      <c r="AD67" s="19"/>
      <c r="AE67" s="19"/>
      <c r="AF67" s="19"/>
      <c r="AG67" s="19"/>
      <c r="AH67" s="21" t="s">
        <v>357</v>
      </c>
      <c r="AI67" s="23"/>
      <c r="AJ67" s="16" t="s">
        <v>124</v>
      </c>
      <c r="AK67" s="16" t="s">
        <v>153</v>
      </c>
      <c r="AL67" s="16" t="s">
        <v>181</v>
      </c>
      <c r="AM67" s="16" t="s">
        <v>181</v>
      </c>
      <c r="AN67" s="16" t="s">
        <v>181</v>
      </c>
      <c r="AO67" s="16" t="s">
        <v>181</v>
      </c>
      <c r="AP67" s="16" t="s">
        <v>181</v>
      </c>
      <c r="AQ67" s="16" t="s">
        <v>181</v>
      </c>
      <c r="AR67" s="16" t="s">
        <v>181</v>
      </c>
      <c r="AS67" s="21" t="s">
        <v>65</v>
      </c>
      <c r="AT67" s="22"/>
      <c r="AU67" s="23"/>
      <c r="AV67" s="19"/>
      <c r="AW67" s="16" t="s">
        <v>69</v>
      </c>
      <c r="AX67" s="16" t="s">
        <v>70</v>
      </c>
      <c r="AY67" s="16" t="s">
        <v>71</v>
      </c>
      <c r="AZ67" s="21" t="s">
        <v>536</v>
      </c>
      <c r="BA67" s="22"/>
      <c r="BB67" s="23"/>
      <c r="BC67" s="19"/>
      <c r="BD67" s="19"/>
      <c r="BE67" s="19"/>
      <c r="BF67" s="19"/>
      <c r="BG67" s="21" t="s">
        <v>78</v>
      </c>
      <c r="BH67" s="23"/>
      <c r="BI67" s="19"/>
      <c r="BJ67" s="19"/>
      <c r="BK67" s="16" t="s">
        <v>81</v>
      </c>
      <c r="BL67" s="19"/>
      <c r="BM67" s="19"/>
      <c r="BN67" s="16" t="s">
        <v>84</v>
      </c>
      <c r="BO67" s="21" t="s">
        <v>85</v>
      </c>
      <c r="BP67" s="22"/>
      <c r="BQ67" s="22"/>
      <c r="BR67" s="23"/>
      <c r="BS67" s="19"/>
      <c r="BT67" s="19"/>
      <c r="BU67" s="19"/>
      <c r="BV67" s="19"/>
      <c r="BW67" s="21" t="s">
        <v>92</v>
      </c>
      <c r="BX67" s="23"/>
      <c r="BY67" s="21" t="s">
        <v>93</v>
      </c>
      <c r="BZ67" s="22"/>
      <c r="CA67" s="23"/>
      <c r="CB67" s="19"/>
      <c r="CC67" s="19"/>
      <c r="CD67" s="19"/>
      <c r="CE67" s="19"/>
      <c r="CF67" s="19"/>
      <c r="CG67" s="16" t="s">
        <v>128</v>
      </c>
      <c r="CH67" s="21" t="s">
        <v>100</v>
      </c>
      <c r="CI67" s="23"/>
      <c r="CJ67" s="21" t="s">
        <v>102</v>
      </c>
      <c r="CK67" s="23"/>
      <c r="CL67" s="21" t="s">
        <v>104</v>
      </c>
      <c r="CM67" s="23"/>
      <c r="CN67" s="16" t="s">
        <v>128</v>
      </c>
      <c r="CO67" s="21" t="s">
        <v>105</v>
      </c>
      <c r="CP67" s="23"/>
      <c r="CQ67" s="16" t="s">
        <v>107</v>
      </c>
      <c r="CR67" s="16" t="s">
        <v>108</v>
      </c>
      <c r="CS67" s="16" t="s">
        <v>109</v>
      </c>
      <c r="CT67" s="21" t="s">
        <v>110</v>
      </c>
      <c r="CU67" s="23"/>
      <c r="CV67" s="16" t="s">
        <v>128</v>
      </c>
      <c r="CW67" s="19"/>
      <c r="CX67" s="21" t="s">
        <v>112</v>
      </c>
      <c r="CY67" s="23"/>
      <c r="CZ67" s="16" t="s">
        <v>114</v>
      </c>
      <c r="DA67" s="21" t="s">
        <v>115</v>
      </c>
      <c r="DB67" s="23"/>
      <c r="DC67" s="16" t="s">
        <v>129</v>
      </c>
      <c r="DD67" s="16" t="s">
        <v>145</v>
      </c>
      <c r="DE67" s="16" t="s">
        <v>145</v>
      </c>
      <c r="DF67" s="16" t="s">
        <v>129</v>
      </c>
      <c r="DG67" s="16" t="s">
        <v>537</v>
      </c>
      <c r="DH67" s="16" t="s">
        <v>538</v>
      </c>
      <c r="DI67" s="16" t="s">
        <v>539</v>
      </c>
      <c r="DJ67" s="16" t="s">
        <v>144</v>
      </c>
      <c r="DK67" s="19"/>
      <c r="DL67" s="19"/>
      <c r="DM67" s="21" t="s">
        <v>540</v>
      </c>
      <c r="DN67" s="23"/>
      <c r="DO67" s="19"/>
    </row>
    <row r="68" ht="15.75" customHeight="1">
      <c r="A68" s="15">
        <v>66.0</v>
      </c>
      <c r="B68" s="16" t="s">
        <v>541</v>
      </c>
      <c r="C68" s="17">
        <v>3.0103152200186E13</v>
      </c>
      <c r="D68" s="18">
        <v>46.0</v>
      </c>
      <c r="E68" s="16" t="s">
        <v>542</v>
      </c>
      <c r="F68" s="16" t="s">
        <v>135</v>
      </c>
      <c r="G68" s="16" t="s">
        <v>136</v>
      </c>
      <c r="H68" s="25">
        <v>40477.0</v>
      </c>
      <c r="I68" s="16"/>
      <c r="J68" s="18">
        <v>1.0</v>
      </c>
      <c r="K68" s="16" t="s">
        <v>543</v>
      </c>
      <c r="L68" s="21" t="s">
        <v>138</v>
      </c>
      <c r="M68" s="23"/>
      <c r="N68" s="19"/>
      <c r="O68" s="19"/>
      <c r="P68" s="19"/>
      <c r="Q68" s="19"/>
      <c r="R68" s="19"/>
      <c r="S68" s="19"/>
      <c r="T68" s="21" t="s">
        <v>43</v>
      </c>
      <c r="U68" s="23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</row>
    <row r="69">
      <c r="A69" s="15">
        <v>67.0</v>
      </c>
      <c r="B69" s="16" t="s">
        <v>544</v>
      </c>
      <c r="C69" s="17">
        <v>3.0401152501667E13</v>
      </c>
      <c r="D69" s="18">
        <v>31.0</v>
      </c>
      <c r="E69" s="16" t="s">
        <v>545</v>
      </c>
      <c r="F69" s="16" t="s">
        <v>546</v>
      </c>
      <c r="G69" s="16" t="s">
        <v>547</v>
      </c>
      <c r="H69" s="20">
        <v>38001.0</v>
      </c>
      <c r="I69" s="16"/>
      <c r="J69" s="18">
        <v>1.0</v>
      </c>
      <c r="K69" s="16" t="s">
        <v>548</v>
      </c>
      <c r="L69" s="21" t="s">
        <v>138</v>
      </c>
      <c r="M69" s="23"/>
      <c r="N69" s="19"/>
      <c r="O69" s="19"/>
      <c r="P69" s="19"/>
      <c r="Q69" s="19"/>
      <c r="R69" s="19"/>
      <c r="S69" s="19"/>
      <c r="T69" s="19"/>
      <c r="U69" s="19"/>
      <c r="V69" s="16" t="s">
        <v>139</v>
      </c>
      <c r="W69" s="19"/>
      <c r="X69" s="19"/>
      <c r="Y69" s="19"/>
      <c r="Z69" s="19"/>
      <c r="AA69" s="16" t="s">
        <v>50</v>
      </c>
      <c r="AB69" s="16" t="s">
        <v>51</v>
      </c>
      <c r="AC69" s="16" t="s">
        <v>52</v>
      </c>
      <c r="AD69" s="16" t="s">
        <v>53</v>
      </c>
      <c r="AE69" s="16" t="s">
        <v>54</v>
      </c>
      <c r="AF69" s="21" t="s">
        <v>55</v>
      </c>
      <c r="AG69" s="23"/>
      <c r="AH69" s="21" t="s">
        <v>152</v>
      </c>
      <c r="AI69" s="23"/>
      <c r="AJ69" s="16" t="s">
        <v>124</v>
      </c>
      <c r="AK69" s="16" t="s">
        <v>153</v>
      </c>
      <c r="AL69" s="16" t="s">
        <v>126</v>
      </c>
      <c r="AM69" s="16" t="s">
        <v>126</v>
      </c>
      <c r="AN69" s="16" t="s">
        <v>126</v>
      </c>
      <c r="AO69" s="16" t="s">
        <v>126</v>
      </c>
      <c r="AP69" s="16" t="s">
        <v>126</v>
      </c>
      <c r="AQ69" s="16" t="s">
        <v>126</v>
      </c>
      <c r="AR69" s="16" t="s">
        <v>126</v>
      </c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21" t="s">
        <v>77</v>
      </c>
      <c r="BF69" s="22"/>
      <c r="BG69" s="22"/>
      <c r="BH69" s="23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21" t="s">
        <v>92</v>
      </c>
      <c r="BX69" s="22"/>
      <c r="BY69" s="23"/>
      <c r="BZ69" s="19"/>
      <c r="CA69" s="19"/>
      <c r="CB69" s="21" t="s">
        <v>96</v>
      </c>
      <c r="CC69" s="23"/>
      <c r="CD69" s="19"/>
      <c r="CE69" s="21" t="s">
        <v>99</v>
      </c>
      <c r="CF69" s="23"/>
      <c r="CG69" s="16" t="s">
        <v>128</v>
      </c>
      <c r="CH69" s="21" t="s">
        <v>100</v>
      </c>
      <c r="CI69" s="23"/>
      <c r="CJ69" s="19"/>
      <c r="CK69" s="19"/>
      <c r="CL69" s="21" t="s">
        <v>104</v>
      </c>
      <c r="CM69" s="23"/>
      <c r="CN69" s="16" t="s">
        <v>128</v>
      </c>
      <c r="CO69" s="19"/>
      <c r="CP69" s="21" t="s">
        <v>106</v>
      </c>
      <c r="CQ69" s="22"/>
      <c r="CR69" s="22"/>
      <c r="CS69" s="23"/>
      <c r="CT69" s="21" t="s">
        <v>110</v>
      </c>
      <c r="CU69" s="23"/>
      <c r="CV69" s="16" t="s">
        <v>128</v>
      </c>
      <c r="CW69" s="19"/>
      <c r="CX69" s="19"/>
      <c r="CY69" s="19"/>
      <c r="CZ69" s="19"/>
      <c r="DA69" s="21" t="s">
        <v>115</v>
      </c>
      <c r="DB69" s="23"/>
      <c r="DC69" s="16" t="s">
        <v>145</v>
      </c>
      <c r="DD69" s="16" t="s">
        <v>145</v>
      </c>
      <c r="DE69" s="16" t="s">
        <v>145</v>
      </c>
      <c r="DF69" s="16" t="s">
        <v>145</v>
      </c>
      <c r="DG69" s="16" t="s">
        <v>549</v>
      </c>
      <c r="DH69" s="16" t="s">
        <v>550</v>
      </c>
      <c r="DI69" s="16" t="s">
        <v>551</v>
      </c>
      <c r="DJ69" s="16" t="s">
        <v>552</v>
      </c>
      <c r="DK69" s="16" t="s">
        <v>553</v>
      </c>
      <c r="DL69" s="16" t="s">
        <v>554</v>
      </c>
      <c r="DM69" s="16" t="s">
        <v>555</v>
      </c>
      <c r="DN69" s="16" t="s">
        <v>556</v>
      </c>
      <c r="DO69" s="16" t="s">
        <v>557</v>
      </c>
    </row>
    <row r="70">
      <c r="A70" s="15">
        <v>68.0</v>
      </c>
      <c r="B70" s="16" t="s">
        <v>558</v>
      </c>
      <c r="C70" s="17">
        <v>3.1803222501781E13</v>
      </c>
      <c r="D70" s="18">
        <v>114.0</v>
      </c>
      <c r="E70" s="16" t="s">
        <v>545</v>
      </c>
      <c r="F70" s="16" t="s">
        <v>546</v>
      </c>
      <c r="G70" s="16" t="s">
        <v>547</v>
      </c>
      <c r="H70" s="20">
        <v>43181.0</v>
      </c>
      <c r="I70" s="16"/>
      <c r="J70" s="18">
        <v>1.0</v>
      </c>
      <c r="K70" s="16" t="s">
        <v>559</v>
      </c>
      <c r="L70" s="21" t="s">
        <v>138</v>
      </c>
      <c r="M70" s="23"/>
      <c r="N70" s="19"/>
      <c r="O70" s="19"/>
      <c r="P70" s="19"/>
      <c r="Q70" s="19"/>
      <c r="R70" s="19"/>
      <c r="S70" s="19"/>
      <c r="T70" s="19"/>
      <c r="U70" s="19"/>
      <c r="V70" s="16" t="s">
        <v>139</v>
      </c>
      <c r="W70" s="16" t="s">
        <v>46</v>
      </c>
      <c r="X70" s="21" t="s">
        <v>47</v>
      </c>
      <c r="Y70" s="23"/>
      <c r="Z70" s="19"/>
      <c r="AA70" s="19"/>
      <c r="AB70" s="19"/>
      <c r="AC70" s="19"/>
      <c r="AD70" s="19"/>
      <c r="AE70" s="19"/>
      <c r="AF70" s="19"/>
      <c r="AG70" s="19"/>
      <c r="AH70" s="21" t="s">
        <v>123</v>
      </c>
      <c r="AI70" s="23"/>
      <c r="AJ70" s="16" t="s">
        <v>124</v>
      </c>
      <c r="AK70" s="16" t="s">
        <v>153</v>
      </c>
      <c r="AL70" s="16" t="s">
        <v>126</v>
      </c>
      <c r="AM70" s="16" t="s">
        <v>126</v>
      </c>
      <c r="AN70" s="16" t="s">
        <v>126</v>
      </c>
      <c r="AO70" s="16" t="s">
        <v>126</v>
      </c>
      <c r="AP70" s="16" t="s">
        <v>126</v>
      </c>
      <c r="AQ70" s="16" t="s">
        <v>126</v>
      </c>
      <c r="AR70" s="16" t="s">
        <v>143</v>
      </c>
      <c r="AS70" s="19"/>
      <c r="AT70" s="19"/>
      <c r="AU70" s="19"/>
      <c r="AV70" s="21" t="s">
        <v>68</v>
      </c>
      <c r="AW70" s="22"/>
      <c r="AX70" s="23"/>
      <c r="AY70" s="19"/>
      <c r="AZ70" s="19"/>
      <c r="BA70" s="19"/>
      <c r="BB70" s="19"/>
      <c r="BC70" s="19"/>
      <c r="BD70" s="19"/>
      <c r="BE70" s="21" t="s">
        <v>77</v>
      </c>
      <c r="BF70" s="23"/>
      <c r="BG70" s="16" t="s">
        <v>78</v>
      </c>
      <c r="BH70" s="21" t="s">
        <v>79</v>
      </c>
      <c r="BI70" s="23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21" t="s">
        <v>92</v>
      </c>
      <c r="BX70" s="22"/>
      <c r="BY70" s="23"/>
      <c r="BZ70" s="19"/>
      <c r="CA70" s="19"/>
      <c r="CB70" s="21" t="s">
        <v>96</v>
      </c>
      <c r="CC70" s="23"/>
      <c r="CD70" s="19"/>
      <c r="CE70" s="19"/>
      <c r="CF70" s="19"/>
      <c r="CG70" s="16" t="s">
        <v>128</v>
      </c>
      <c r="CH70" s="21" t="s">
        <v>100</v>
      </c>
      <c r="CI70" s="23"/>
      <c r="CJ70" s="19"/>
      <c r="CK70" s="19"/>
      <c r="CL70" s="21" t="s">
        <v>104</v>
      </c>
      <c r="CM70" s="23"/>
      <c r="CN70" s="16" t="s">
        <v>128</v>
      </c>
      <c r="CO70" s="21" t="s">
        <v>105</v>
      </c>
      <c r="CP70" s="22"/>
      <c r="CQ70" s="23"/>
      <c r="CR70" s="19"/>
      <c r="CS70" s="19"/>
      <c r="CT70" s="19"/>
      <c r="CU70" s="19"/>
      <c r="CV70" s="16" t="s">
        <v>128</v>
      </c>
      <c r="CW70" s="19"/>
      <c r="CX70" s="19"/>
      <c r="CY70" s="19"/>
      <c r="CZ70" s="19"/>
      <c r="DA70" s="21" t="s">
        <v>115</v>
      </c>
      <c r="DB70" s="23"/>
      <c r="DC70" s="16" t="s">
        <v>129</v>
      </c>
      <c r="DD70" s="16" t="s">
        <v>129</v>
      </c>
      <c r="DE70" s="16" t="s">
        <v>129</v>
      </c>
      <c r="DF70" s="16" t="s">
        <v>129</v>
      </c>
      <c r="DG70" s="16" t="s">
        <v>528</v>
      </c>
      <c r="DH70" s="16" t="s">
        <v>560</v>
      </c>
      <c r="DI70" s="16" t="s">
        <v>561</v>
      </c>
      <c r="DJ70" s="21" t="s">
        <v>562</v>
      </c>
      <c r="DK70" s="23"/>
      <c r="DL70" s="19"/>
      <c r="DM70" s="16" t="s">
        <v>563</v>
      </c>
      <c r="DN70" s="16" t="s">
        <v>564</v>
      </c>
      <c r="DO70" s="19"/>
    </row>
    <row r="71">
      <c r="A71" s="15">
        <v>69.0</v>
      </c>
      <c r="B71" s="16" t="s">
        <v>565</v>
      </c>
      <c r="C71" s="17">
        <v>2.810824500459E12</v>
      </c>
      <c r="D71" s="18">
        <v>32.0</v>
      </c>
      <c r="E71" s="16" t="s">
        <v>545</v>
      </c>
      <c r="F71" s="16" t="s">
        <v>546</v>
      </c>
      <c r="G71" s="16" t="s">
        <v>547</v>
      </c>
      <c r="H71" s="20">
        <v>29822.0</v>
      </c>
      <c r="I71" s="18">
        <v>1.0</v>
      </c>
      <c r="J71" s="19"/>
      <c r="K71" s="16" t="s">
        <v>565</v>
      </c>
      <c r="L71" s="21" t="s">
        <v>138</v>
      </c>
      <c r="M71" s="23"/>
      <c r="N71" s="19"/>
      <c r="O71" s="19"/>
      <c r="P71" s="19"/>
      <c r="Q71" s="19"/>
      <c r="R71" s="19"/>
      <c r="S71" s="19"/>
      <c r="T71" s="19"/>
      <c r="U71" s="19"/>
      <c r="V71" s="16" t="s">
        <v>139</v>
      </c>
      <c r="W71" s="19"/>
      <c r="X71" s="19"/>
      <c r="Y71" s="19"/>
      <c r="Z71" s="19"/>
      <c r="AA71" s="19"/>
      <c r="AB71" s="16" t="s">
        <v>51</v>
      </c>
      <c r="AC71" s="21" t="s">
        <v>52</v>
      </c>
      <c r="AD71" s="23"/>
      <c r="AE71" s="19"/>
      <c r="AF71" s="19"/>
      <c r="AG71" s="19"/>
      <c r="AH71" s="21" t="s">
        <v>152</v>
      </c>
      <c r="AI71" s="23"/>
      <c r="AJ71" s="16" t="s">
        <v>124</v>
      </c>
      <c r="AK71" s="16" t="s">
        <v>153</v>
      </c>
      <c r="AL71" s="16" t="s">
        <v>126</v>
      </c>
      <c r="AM71" s="16" t="s">
        <v>126</v>
      </c>
      <c r="AN71" s="16" t="s">
        <v>126</v>
      </c>
      <c r="AO71" s="16" t="s">
        <v>126</v>
      </c>
      <c r="AP71" s="16" t="s">
        <v>126</v>
      </c>
      <c r="AQ71" s="16" t="s">
        <v>126</v>
      </c>
      <c r="AR71" s="16" t="s">
        <v>126</v>
      </c>
      <c r="AS71" s="19"/>
      <c r="AT71" s="19"/>
      <c r="AU71" s="19"/>
      <c r="AV71" s="19"/>
      <c r="AW71" s="19"/>
      <c r="AX71" s="19"/>
      <c r="AY71" s="19"/>
      <c r="AZ71" s="19"/>
      <c r="BA71" s="19"/>
      <c r="BB71" s="21" t="s">
        <v>74</v>
      </c>
      <c r="BC71" s="22"/>
      <c r="BD71" s="23"/>
      <c r="BE71" s="19"/>
      <c r="BF71" s="19"/>
      <c r="BG71" s="19"/>
      <c r="BH71" s="19"/>
      <c r="BI71" s="21" t="s">
        <v>52</v>
      </c>
      <c r="BJ71" s="23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21" t="s">
        <v>92</v>
      </c>
      <c r="BX71" s="22"/>
      <c r="BY71" s="23"/>
      <c r="BZ71" s="19"/>
      <c r="CA71" s="19"/>
      <c r="CB71" s="19"/>
      <c r="CC71" s="19"/>
      <c r="CD71" s="19"/>
      <c r="CE71" s="21" t="s">
        <v>99</v>
      </c>
      <c r="CF71" s="23"/>
      <c r="CG71" s="16" t="s">
        <v>128</v>
      </c>
      <c r="CH71" s="19"/>
      <c r="CI71" s="19"/>
      <c r="CJ71" s="19"/>
      <c r="CK71" s="19"/>
      <c r="CL71" s="21" t="s">
        <v>104</v>
      </c>
      <c r="CM71" s="23"/>
      <c r="CN71" s="16" t="s">
        <v>128</v>
      </c>
      <c r="CO71" s="21" t="s">
        <v>105</v>
      </c>
      <c r="CP71" s="22"/>
      <c r="CQ71" s="23"/>
      <c r="CR71" s="19"/>
      <c r="CS71" s="19"/>
      <c r="CT71" s="19"/>
      <c r="CU71" s="19"/>
      <c r="CV71" s="16" t="s">
        <v>128</v>
      </c>
      <c r="CW71" s="19"/>
      <c r="CX71" s="19"/>
      <c r="CY71" s="19"/>
      <c r="CZ71" s="19"/>
      <c r="DA71" s="21" t="s">
        <v>115</v>
      </c>
      <c r="DB71" s="23"/>
      <c r="DC71" s="16" t="s">
        <v>145</v>
      </c>
      <c r="DD71" s="16" t="s">
        <v>129</v>
      </c>
      <c r="DE71" s="16" t="s">
        <v>129</v>
      </c>
      <c r="DF71" s="16" t="s">
        <v>129</v>
      </c>
      <c r="DG71" s="16" t="s">
        <v>549</v>
      </c>
      <c r="DH71" s="16" t="s">
        <v>550</v>
      </c>
      <c r="DI71" s="16" t="s">
        <v>551</v>
      </c>
      <c r="DJ71" s="16" t="s">
        <v>552</v>
      </c>
      <c r="DK71" s="16" t="s">
        <v>553</v>
      </c>
      <c r="DL71" s="16" t="s">
        <v>554</v>
      </c>
      <c r="DM71" s="16" t="s">
        <v>555</v>
      </c>
      <c r="DN71" s="16" t="s">
        <v>566</v>
      </c>
      <c r="DO71" s="16" t="s">
        <v>567</v>
      </c>
    </row>
    <row r="72">
      <c r="A72" s="15">
        <v>70.0</v>
      </c>
      <c r="B72" s="16" t="s">
        <v>568</v>
      </c>
      <c r="C72" s="17">
        <v>3.1503022503014E13</v>
      </c>
      <c r="D72" s="18">
        <v>96.0</v>
      </c>
      <c r="E72" s="16" t="s">
        <v>545</v>
      </c>
      <c r="F72" s="16" t="s">
        <v>546</v>
      </c>
      <c r="G72" s="16" t="s">
        <v>547</v>
      </c>
      <c r="H72" s="20">
        <v>42065.0</v>
      </c>
      <c r="I72" s="18">
        <v>1.0</v>
      </c>
      <c r="J72" s="19"/>
      <c r="K72" s="16" t="s">
        <v>569</v>
      </c>
      <c r="L72" s="21" t="s">
        <v>138</v>
      </c>
      <c r="M72" s="23"/>
      <c r="N72" s="19"/>
      <c r="O72" s="19"/>
      <c r="P72" s="19"/>
      <c r="Q72" s="19"/>
      <c r="R72" s="19"/>
      <c r="S72" s="19"/>
      <c r="T72" s="19"/>
      <c r="U72" s="19"/>
      <c r="V72" s="16" t="s">
        <v>139</v>
      </c>
      <c r="W72" s="16" t="s">
        <v>46</v>
      </c>
      <c r="X72" s="21" t="s">
        <v>47</v>
      </c>
      <c r="Y72" s="23"/>
      <c r="Z72" s="19"/>
      <c r="AA72" s="19"/>
      <c r="AB72" s="19"/>
      <c r="AC72" s="19"/>
      <c r="AD72" s="19"/>
      <c r="AE72" s="19"/>
      <c r="AF72" s="19"/>
      <c r="AG72" s="19"/>
      <c r="AH72" s="21" t="s">
        <v>123</v>
      </c>
      <c r="AI72" s="23"/>
      <c r="AJ72" s="16" t="s">
        <v>124</v>
      </c>
      <c r="AK72" s="16" t="s">
        <v>153</v>
      </c>
      <c r="AL72" s="16" t="s">
        <v>126</v>
      </c>
      <c r="AM72" s="16" t="s">
        <v>126</v>
      </c>
      <c r="AN72" s="16" t="s">
        <v>126</v>
      </c>
      <c r="AO72" s="16" t="s">
        <v>126</v>
      </c>
      <c r="AP72" s="16" t="s">
        <v>126</v>
      </c>
      <c r="AQ72" s="16" t="s">
        <v>126</v>
      </c>
      <c r="AR72" s="16" t="s">
        <v>126</v>
      </c>
      <c r="AS72" s="19"/>
      <c r="AT72" s="19"/>
      <c r="AU72" s="21" t="s">
        <v>67</v>
      </c>
      <c r="AV72" s="22"/>
      <c r="AW72" s="23"/>
      <c r="AX72" s="19"/>
      <c r="AY72" s="19"/>
      <c r="AZ72" s="19"/>
      <c r="BA72" s="19"/>
      <c r="BB72" s="19"/>
      <c r="BC72" s="19"/>
      <c r="BD72" s="19"/>
      <c r="BE72" s="21" t="s">
        <v>77</v>
      </c>
      <c r="BF72" s="23"/>
      <c r="BG72" s="16" t="s">
        <v>78</v>
      </c>
      <c r="BH72" s="21" t="s">
        <v>79</v>
      </c>
      <c r="BI72" s="23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21" t="s">
        <v>92</v>
      </c>
      <c r="BX72" s="22"/>
      <c r="BY72" s="23"/>
      <c r="BZ72" s="19"/>
      <c r="CA72" s="19"/>
      <c r="CB72" s="21" t="s">
        <v>96</v>
      </c>
      <c r="CC72" s="23"/>
      <c r="CD72" s="19"/>
      <c r="CE72" s="21" t="s">
        <v>99</v>
      </c>
      <c r="CF72" s="23"/>
      <c r="CG72" s="16" t="s">
        <v>128</v>
      </c>
      <c r="CH72" s="19"/>
      <c r="CI72" s="19"/>
      <c r="CJ72" s="19"/>
      <c r="CK72" s="19"/>
      <c r="CL72" s="21" t="s">
        <v>104</v>
      </c>
      <c r="CM72" s="23"/>
      <c r="CN72" s="16" t="s">
        <v>128</v>
      </c>
      <c r="CO72" s="21" t="s">
        <v>105</v>
      </c>
      <c r="CP72" s="22"/>
      <c r="CQ72" s="23"/>
      <c r="CR72" s="19"/>
      <c r="CS72" s="19"/>
      <c r="CT72" s="19"/>
      <c r="CU72" s="19"/>
      <c r="CV72" s="16" t="s">
        <v>128</v>
      </c>
      <c r="CW72" s="19"/>
      <c r="CX72" s="19"/>
      <c r="CY72" s="19"/>
      <c r="CZ72" s="19"/>
      <c r="DA72" s="21" t="s">
        <v>115</v>
      </c>
      <c r="DB72" s="23"/>
      <c r="DC72" s="16" t="s">
        <v>129</v>
      </c>
      <c r="DD72" s="16" t="s">
        <v>129</v>
      </c>
      <c r="DE72" s="16" t="s">
        <v>129</v>
      </c>
      <c r="DF72" s="16" t="s">
        <v>129</v>
      </c>
      <c r="DG72" s="16" t="s">
        <v>528</v>
      </c>
      <c r="DH72" s="16" t="s">
        <v>560</v>
      </c>
      <c r="DI72" s="19"/>
      <c r="DJ72" s="21" t="s">
        <v>562</v>
      </c>
      <c r="DK72" s="23"/>
      <c r="DL72" s="19"/>
      <c r="DM72" s="16" t="s">
        <v>564</v>
      </c>
      <c r="DN72" s="19"/>
      <c r="DO72" s="19"/>
    </row>
    <row r="73">
      <c r="A73" s="15">
        <v>71.0</v>
      </c>
      <c r="B73" s="16" t="s">
        <v>570</v>
      </c>
      <c r="C73" s="17">
        <v>3.2004152505623E13</v>
      </c>
      <c r="D73" s="18">
        <v>117.0</v>
      </c>
      <c r="E73" s="16" t="s">
        <v>545</v>
      </c>
      <c r="F73" s="16" t="s">
        <v>546</v>
      </c>
      <c r="G73" s="16" t="s">
        <v>547</v>
      </c>
      <c r="H73" s="20">
        <v>43936.0</v>
      </c>
      <c r="I73" s="18"/>
      <c r="J73" s="18">
        <v>1.0</v>
      </c>
      <c r="K73" s="16" t="s">
        <v>571</v>
      </c>
      <c r="L73" s="21" t="s">
        <v>138</v>
      </c>
      <c r="M73" s="23"/>
      <c r="N73" s="19"/>
      <c r="O73" s="19"/>
      <c r="P73" s="19"/>
      <c r="Q73" s="19"/>
      <c r="R73" s="19"/>
      <c r="S73" s="19"/>
      <c r="T73" s="19"/>
      <c r="U73" s="19"/>
      <c r="V73" s="16" t="s">
        <v>139</v>
      </c>
      <c r="W73" s="16" t="s">
        <v>46</v>
      </c>
      <c r="X73" s="21" t="s">
        <v>47</v>
      </c>
      <c r="Y73" s="23"/>
      <c r="Z73" s="19"/>
      <c r="AA73" s="19"/>
      <c r="AB73" s="19"/>
      <c r="AC73" s="19"/>
      <c r="AD73" s="19"/>
      <c r="AE73" s="19"/>
      <c r="AF73" s="19"/>
      <c r="AG73" s="19"/>
      <c r="AH73" s="21" t="s">
        <v>123</v>
      </c>
      <c r="AI73" s="23"/>
      <c r="AJ73" s="16" t="s">
        <v>124</v>
      </c>
      <c r="AK73" s="16" t="s">
        <v>153</v>
      </c>
      <c r="AL73" s="16" t="s">
        <v>126</v>
      </c>
      <c r="AM73" s="16" t="s">
        <v>126</v>
      </c>
      <c r="AN73" s="16" t="s">
        <v>126</v>
      </c>
      <c r="AO73" s="16" t="s">
        <v>126</v>
      </c>
      <c r="AP73" s="16" t="s">
        <v>126</v>
      </c>
      <c r="AQ73" s="16" t="s">
        <v>126</v>
      </c>
      <c r="AR73" s="16" t="s">
        <v>126</v>
      </c>
      <c r="AS73" s="21" t="s">
        <v>65</v>
      </c>
      <c r="AT73" s="23"/>
      <c r="AU73" s="21" t="s">
        <v>67</v>
      </c>
      <c r="AV73" s="22"/>
      <c r="AW73" s="23"/>
      <c r="AX73" s="19"/>
      <c r="AY73" s="19"/>
      <c r="AZ73" s="19"/>
      <c r="BA73" s="19"/>
      <c r="BB73" s="19"/>
      <c r="BC73" s="19"/>
      <c r="BD73" s="19"/>
      <c r="BE73" s="21" t="s">
        <v>77</v>
      </c>
      <c r="BF73" s="23"/>
      <c r="BG73" s="21" t="s">
        <v>78</v>
      </c>
      <c r="BH73" s="23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6" t="s">
        <v>91</v>
      </c>
      <c r="BW73" s="19"/>
      <c r="BX73" s="19"/>
      <c r="BY73" s="19"/>
      <c r="BZ73" s="19"/>
      <c r="CA73" s="19"/>
      <c r="CB73" s="19"/>
      <c r="CC73" s="19"/>
      <c r="CD73" s="19"/>
      <c r="CE73" s="21" t="s">
        <v>99</v>
      </c>
      <c r="CF73" s="23"/>
      <c r="CG73" s="16" t="s">
        <v>128</v>
      </c>
      <c r="CH73" s="19"/>
      <c r="CI73" s="21" t="s">
        <v>101</v>
      </c>
      <c r="CJ73" s="22"/>
      <c r="CK73" s="23"/>
      <c r="CL73" s="21" t="s">
        <v>104</v>
      </c>
      <c r="CM73" s="23"/>
      <c r="CN73" s="16" t="s">
        <v>128</v>
      </c>
      <c r="CO73" s="21" t="s">
        <v>105</v>
      </c>
      <c r="CP73" s="22"/>
      <c r="CQ73" s="23"/>
      <c r="CR73" s="19"/>
      <c r="CS73" s="19"/>
      <c r="CT73" s="19"/>
      <c r="CU73" s="19"/>
      <c r="CV73" s="16" t="s">
        <v>128</v>
      </c>
      <c r="CW73" s="19"/>
      <c r="CX73" s="19"/>
      <c r="CY73" s="19"/>
      <c r="CZ73" s="19"/>
      <c r="DA73" s="21" t="s">
        <v>115</v>
      </c>
      <c r="DB73" s="23"/>
      <c r="DC73" s="16" t="s">
        <v>129</v>
      </c>
      <c r="DD73" s="16" t="s">
        <v>129</v>
      </c>
      <c r="DE73" s="16" t="s">
        <v>129</v>
      </c>
      <c r="DF73" s="16" t="s">
        <v>129</v>
      </c>
      <c r="DG73" s="16" t="s">
        <v>572</v>
      </c>
      <c r="DH73" s="16" t="s">
        <v>528</v>
      </c>
      <c r="DI73" s="16" t="s">
        <v>560</v>
      </c>
      <c r="DJ73" s="16" t="s">
        <v>552</v>
      </c>
      <c r="DK73" s="21" t="s">
        <v>553</v>
      </c>
      <c r="DL73" s="23"/>
      <c r="DM73" s="16" t="s">
        <v>555</v>
      </c>
      <c r="DN73" s="21" t="s">
        <v>566</v>
      </c>
      <c r="DO73" s="23"/>
    </row>
    <row r="74">
      <c r="A74" s="15">
        <v>72.0</v>
      </c>
      <c r="B74" s="16" t="s">
        <v>573</v>
      </c>
      <c r="C74" s="17">
        <v>2.1806072501686E13</v>
      </c>
      <c r="D74" s="18">
        <v>125.0</v>
      </c>
      <c r="E74" s="16" t="s">
        <v>545</v>
      </c>
      <c r="F74" s="16" t="s">
        <v>546</v>
      </c>
      <c r="G74" s="16" t="s">
        <v>547</v>
      </c>
      <c r="H74" s="20">
        <v>42162.0</v>
      </c>
      <c r="I74" s="18">
        <v>1.0</v>
      </c>
      <c r="J74" s="19"/>
      <c r="K74" s="21" t="s">
        <v>574</v>
      </c>
      <c r="L74" s="23"/>
      <c r="M74" s="19"/>
      <c r="N74" s="19"/>
      <c r="O74" s="19"/>
      <c r="P74" s="19"/>
      <c r="Q74" s="19"/>
      <c r="R74" s="19"/>
      <c r="S74" s="19"/>
      <c r="T74" s="19"/>
      <c r="U74" s="19"/>
      <c r="V74" s="16" t="s">
        <v>139</v>
      </c>
      <c r="W74" s="16" t="s">
        <v>46</v>
      </c>
      <c r="X74" s="21" t="s">
        <v>47</v>
      </c>
      <c r="Y74" s="23"/>
      <c r="Z74" s="19"/>
      <c r="AA74" s="19"/>
      <c r="AB74" s="19"/>
      <c r="AC74" s="19"/>
      <c r="AD74" s="19"/>
      <c r="AE74" s="19"/>
      <c r="AF74" s="19"/>
      <c r="AG74" s="19"/>
      <c r="AH74" s="21" t="s">
        <v>123</v>
      </c>
      <c r="AI74" s="23"/>
      <c r="AJ74" s="16" t="s">
        <v>124</v>
      </c>
      <c r="AK74" s="16" t="s">
        <v>153</v>
      </c>
      <c r="AL74" s="16" t="s">
        <v>126</v>
      </c>
      <c r="AM74" s="16" t="s">
        <v>126</v>
      </c>
      <c r="AN74" s="16" t="s">
        <v>126</v>
      </c>
      <c r="AO74" s="16" t="s">
        <v>126</v>
      </c>
      <c r="AP74" s="16" t="s">
        <v>126</v>
      </c>
      <c r="AQ74" s="16" t="s">
        <v>126</v>
      </c>
      <c r="AR74" s="16" t="s">
        <v>126</v>
      </c>
      <c r="AS74" s="19"/>
      <c r="AT74" s="16" t="s">
        <v>66</v>
      </c>
      <c r="AU74" s="21" t="s">
        <v>67</v>
      </c>
      <c r="AV74" s="22"/>
      <c r="AW74" s="23"/>
      <c r="AX74" s="19"/>
      <c r="AY74" s="19"/>
      <c r="AZ74" s="19"/>
      <c r="BA74" s="19"/>
      <c r="BB74" s="19"/>
      <c r="BC74" s="19"/>
      <c r="BD74" s="19"/>
      <c r="BE74" s="21" t="s">
        <v>77</v>
      </c>
      <c r="BF74" s="22"/>
      <c r="BG74" s="23"/>
      <c r="BH74" s="21" t="s">
        <v>79</v>
      </c>
      <c r="BI74" s="23"/>
      <c r="BJ74" s="19"/>
      <c r="BK74" s="16" t="s">
        <v>81</v>
      </c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6" t="s">
        <v>91</v>
      </c>
      <c r="BW74" s="19"/>
      <c r="BX74" s="19"/>
      <c r="BY74" s="19"/>
      <c r="BZ74" s="19"/>
      <c r="CA74" s="19"/>
      <c r="CB74" s="21" t="s">
        <v>96</v>
      </c>
      <c r="CC74" s="23"/>
      <c r="CD74" s="19"/>
      <c r="CE74" s="19"/>
      <c r="CF74" s="19"/>
      <c r="CG74" s="16" t="s">
        <v>128</v>
      </c>
      <c r="CH74" s="19"/>
      <c r="CI74" s="19"/>
      <c r="CJ74" s="19"/>
      <c r="CK74" s="19"/>
      <c r="CL74" s="21" t="s">
        <v>104</v>
      </c>
      <c r="CM74" s="23"/>
      <c r="CN74" s="16" t="s">
        <v>128</v>
      </c>
      <c r="CO74" s="21" t="s">
        <v>105</v>
      </c>
      <c r="CP74" s="22"/>
      <c r="CQ74" s="23"/>
      <c r="CR74" s="19"/>
      <c r="CS74" s="19"/>
      <c r="CT74" s="19"/>
      <c r="CU74" s="19"/>
      <c r="CV74" s="16" t="s">
        <v>128</v>
      </c>
      <c r="CW74" s="19"/>
      <c r="CX74" s="19"/>
      <c r="CY74" s="19"/>
      <c r="CZ74" s="19"/>
      <c r="DA74" s="21" t="s">
        <v>115</v>
      </c>
      <c r="DB74" s="23"/>
      <c r="DC74" s="16" t="s">
        <v>129</v>
      </c>
      <c r="DD74" s="16" t="s">
        <v>129</v>
      </c>
      <c r="DE74" s="16" t="s">
        <v>129</v>
      </c>
      <c r="DF74" s="16" t="s">
        <v>129</v>
      </c>
      <c r="DG74" s="16" t="s">
        <v>549</v>
      </c>
      <c r="DH74" s="16" t="s">
        <v>575</v>
      </c>
      <c r="DI74" s="16" t="s">
        <v>560</v>
      </c>
      <c r="DJ74" s="21" t="s">
        <v>552</v>
      </c>
      <c r="DK74" s="22"/>
      <c r="DL74" s="23"/>
      <c r="DM74" s="16" t="s">
        <v>555</v>
      </c>
      <c r="DN74" s="16" t="s">
        <v>566</v>
      </c>
      <c r="DO74" s="16" t="s">
        <v>567</v>
      </c>
    </row>
    <row r="75">
      <c r="A75" s="15">
        <v>73.0</v>
      </c>
      <c r="B75" s="16" t="s">
        <v>576</v>
      </c>
      <c r="C75" s="17">
        <v>3.1010242500656E13</v>
      </c>
      <c r="D75" s="18">
        <v>104.0</v>
      </c>
      <c r="E75" s="16" t="s">
        <v>545</v>
      </c>
      <c r="F75" s="16" t="s">
        <v>546</v>
      </c>
      <c r="G75" s="16" t="s">
        <v>547</v>
      </c>
      <c r="H75" s="25">
        <v>40475.0</v>
      </c>
      <c r="I75" s="18">
        <v>1.0</v>
      </c>
      <c r="J75" s="19"/>
      <c r="K75" s="16" t="s">
        <v>577</v>
      </c>
      <c r="L75" s="21" t="s">
        <v>138</v>
      </c>
      <c r="M75" s="23"/>
      <c r="N75" s="19"/>
      <c r="O75" s="19"/>
      <c r="P75" s="19"/>
      <c r="Q75" s="19"/>
      <c r="R75" s="19"/>
      <c r="S75" s="19"/>
      <c r="T75" s="19"/>
      <c r="U75" s="19"/>
      <c r="V75" s="16" t="s">
        <v>139</v>
      </c>
      <c r="W75" s="16" t="s">
        <v>46</v>
      </c>
      <c r="X75" s="21" t="s">
        <v>47</v>
      </c>
      <c r="Y75" s="23"/>
      <c r="Z75" s="19"/>
      <c r="AA75" s="19"/>
      <c r="AB75" s="19"/>
      <c r="AC75" s="19"/>
      <c r="AD75" s="19"/>
      <c r="AE75" s="19"/>
      <c r="AF75" s="19"/>
      <c r="AG75" s="19"/>
      <c r="AH75" s="21" t="s">
        <v>123</v>
      </c>
      <c r="AI75" s="23"/>
      <c r="AJ75" s="16" t="s">
        <v>124</v>
      </c>
      <c r="AK75" s="16" t="s">
        <v>153</v>
      </c>
      <c r="AL75" s="16" t="s">
        <v>143</v>
      </c>
      <c r="AM75" s="16" t="s">
        <v>126</v>
      </c>
      <c r="AN75" s="16" t="s">
        <v>126</v>
      </c>
      <c r="AO75" s="16" t="s">
        <v>126</v>
      </c>
      <c r="AP75" s="16" t="s">
        <v>126</v>
      </c>
      <c r="AQ75" s="16" t="s">
        <v>126</v>
      </c>
      <c r="AR75" s="16" t="s">
        <v>126</v>
      </c>
      <c r="AS75" s="19"/>
      <c r="AT75" s="19"/>
      <c r="AU75" s="19"/>
      <c r="AV75" s="21" t="s">
        <v>68</v>
      </c>
      <c r="AW75" s="22"/>
      <c r="AX75" s="23"/>
      <c r="AY75" s="19"/>
      <c r="AZ75" s="19"/>
      <c r="BA75" s="19"/>
      <c r="BB75" s="19"/>
      <c r="BC75" s="19"/>
      <c r="BD75" s="19"/>
      <c r="BE75" s="21" t="s">
        <v>77</v>
      </c>
      <c r="BF75" s="23"/>
      <c r="BG75" s="16" t="s">
        <v>78</v>
      </c>
      <c r="BH75" s="21" t="s">
        <v>79</v>
      </c>
      <c r="BI75" s="23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6" t="s">
        <v>91</v>
      </c>
      <c r="BW75" s="19"/>
      <c r="BX75" s="19"/>
      <c r="BY75" s="19"/>
      <c r="BZ75" s="19"/>
      <c r="CA75" s="19"/>
      <c r="CB75" s="21" t="s">
        <v>96</v>
      </c>
      <c r="CC75" s="23"/>
      <c r="CD75" s="19"/>
      <c r="CE75" s="21" t="s">
        <v>99</v>
      </c>
      <c r="CF75" s="23"/>
      <c r="CG75" s="16" t="s">
        <v>128</v>
      </c>
      <c r="CH75" s="21" t="s">
        <v>100</v>
      </c>
      <c r="CI75" s="23"/>
      <c r="CJ75" s="19"/>
      <c r="CK75" s="19"/>
      <c r="CL75" s="21" t="s">
        <v>104</v>
      </c>
      <c r="CM75" s="23"/>
      <c r="CN75" s="16" t="s">
        <v>128</v>
      </c>
      <c r="CO75" s="21" t="s">
        <v>105</v>
      </c>
      <c r="CP75" s="22"/>
      <c r="CQ75" s="23"/>
      <c r="CR75" s="19"/>
      <c r="CS75" s="19"/>
      <c r="CT75" s="19"/>
      <c r="CU75" s="19"/>
      <c r="CV75" s="16" t="s">
        <v>128</v>
      </c>
      <c r="CW75" s="19"/>
      <c r="CX75" s="19"/>
      <c r="CY75" s="19"/>
      <c r="CZ75" s="19"/>
      <c r="DA75" s="21" t="s">
        <v>115</v>
      </c>
      <c r="DB75" s="23"/>
      <c r="DC75" s="16" t="s">
        <v>145</v>
      </c>
      <c r="DD75" s="16" t="s">
        <v>145</v>
      </c>
      <c r="DE75" s="16" t="s">
        <v>145</v>
      </c>
      <c r="DF75" s="16" t="s">
        <v>145</v>
      </c>
      <c r="DG75" s="21" t="s">
        <v>549</v>
      </c>
      <c r="DH75" s="23"/>
      <c r="DI75" s="19"/>
      <c r="DJ75" s="21" t="s">
        <v>552</v>
      </c>
      <c r="DK75" s="22"/>
      <c r="DL75" s="23"/>
      <c r="DM75" s="21" t="s">
        <v>555</v>
      </c>
      <c r="DN75" s="23"/>
      <c r="DO75" s="19"/>
    </row>
    <row r="76">
      <c r="A76" s="15">
        <v>74.0</v>
      </c>
      <c r="B76" s="16" t="s">
        <v>578</v>
      </c>
      <c r="C76" s="17">
        <v>3.0910082500694E13</v>
      </c>
      <c r="D76" s="18">
        <v>127.0</v>
      </c>
      <c r="E76" s="16" t="s">
        <v>545</v>
      </c>
      <c r="F76" s="16" t="s">
        <v>546</v>
      </c>
      <c r="G76" s="16" t="s">
        <v>547</v>
      </c>
      <c r="H76" s="20">
        <v>40094.0</v>
      </c>
      <c r="I76" s="18">
        <v>1.0</v>
      </c>
      <c r="J76" s="19"/>
      <c r="K76" s="16" t="s">
        <v>579</v>
      </c>
      <c r="L76" s="21" t="s">
        <v>138</v>
      </c>
      <c r="M76" s="23"/>
      <c r="N76" s="19"/>
      <c r="O76" s="19"/>
      <c r="P76" s="19"/>
      <c r="Q76" s="19"/>
      <c r="R76" s="19"/>
      <c r="S76" s="19"/>
      <c r="T76" s="19"/>
      <c r="U76" s="19"/>
      <c r="V76" s="16" t="s">
        <v>139</v>
      </c>
      <c r="W76" s="16" t="s">
        <v>46</v>
      </c>
      <c r="X76" s="19"/>
      <c r="Y76" s="21" t="s">
        <v>48</v>
      </c>
      <c r="Z76" s="23"/>
      <c r="AA76" s="19"/>
      <c r="AB76" s="19"/>
      <c r="AC76" s="19"/>
      <c r="AD76" s="19"/>
      <c r="AE76" s="19"/>
      <c r="AF76" s="19"/>
      <c r="AG76" s="19"/>
      <c r="AH76" s="21" t="s">
        <v>123</v>
      </c>
      <c r="AI76" s="23"/>
      <c r="AJ76" s="16" t="s">
        <v>124</v>
      </c>
      <c r="AK76" s="16" t="s">
        <v>153</v>
      </c>
      <c r="AL76" s="16" t="s">
        <v>143</v>
      </c>
      <c r="AM76" s="16" t="s">
        <v>143</v>
      </c>
      <c r="AN76" s="16" t="s">
        <v>126</v>
      </c>
      <c r="AO76" s="16" t="s">
        <v>126</v>
      </c>
      <c r="AP76" s="16" t="s">
        <v>126</v>
      </c>
      <c r="AQ76" s="16" t="s">
        <v>126</v>
      </c>
      <c r="AR76" s="16" t="s">
        <v>126</v>
      </c>
      <c r="AS76" s="19"/>
      <c r="AT76" s="19"/>
      <c r="AU76" s="19"/>
      <c r="AV76" s="21" t="s">
        <v>68</v>
      </c>
      <c r="AW76" s="22"/>
      <c r="AX76" s="23"/>
      <c r="AY76" s="19"/>
      <c r="AZ76" s="19"/>
      <c r="BA76" s="19"/>
      <c r="BB76" s="19"/>
      <c r="BC76" s="21" t="s">
        <v>75</v>
      </c>
      <c r="BD76" s="23"/>
      <c r="BE76" s="19"/>
      <c r="BF76" s="19"/>
      <c r="BG76" s="19"/>
      <c r="BH76" s="21" t="s">
        <v>79</v>
      </c>
      <c r="BI76" s="23"/>
      <c r="BJ76" s="19"/>
      <c r="BK76" s="19"/>
      <c r="BL76" s="21" t="s">
        <v>82</v>
      </c>
      <c r="BM76" s="23"/>
      <c r="BN76" s="19"/>
      <c r="BO76" s="19"/>
      <c r="BP76" s="19"/>
      <c r="BQ76" s="19"/>
      <c r="BR76" s="19"/>
      <c r="BS76" s="19"/>
      <c r="BT76" s="19"/>
      <c r="BU76" s="19"/>
      <c r="BV76" s="16" t="s">
        <v>91</v>
      </c>
      <c r="BW76" s="19"/>
      <c r="BX76" s="19"/>
      <c r="BY76" s="19"/>
      <c r="BZ76" s="19"/>
      <c r="CA76" s="19"/>
      <c r="CB76" s="21" t="s">
        <v>96</v>
      </c>
      <c r="CC76" s="23"/>
      <c r="CD76" s="19"/>
      <c r="CE76" s="19"/>
      <c r="CF76" s="19"/>
      <c r="CG76" s="16" t="s">
        <v>128</v>
      </c>
      <c r="CH76" s="21" t="s">
        <v>100</v>
      </c>
      <c r="CI76" s="23"/>
      <c r="CJ76" s="19"/>
      <c r="CK76" s="19"/>
      <c r="CL76" s="21" t="s">
        <v>104</v>
      </c>
      <c r="CM76" s="23"/>
      <c r="CN76" s="16" t="s">
        <v>128</v>
      </c>
      <c r="CO76" s="21" t="s">
        <v>105</v>
      </c>
      <c r="CP76" s="22"/>
      <c r="CQ76" s="23"/>
      <c r="CR76" s="19"/>
      <c r="CS76" s="19"/>
      <c r="CT76" s="19"/>
      <c r="CU76" s="19"/>
      <c r="CV76" s="16" t="s">
        <v>128</v>
      </c>
      <c r="CW76" s="19"/>
      <c r="CX76" s="19"/>
      <c r="CY76" s="19"/>
      <c r="CZ76" s="19"/>
      <c r="DA76" s="21" t="s">
        <v>115</v>
      </c>
      <c r="DB76" s="23"/>
      <c r="DC76" s="16" t="s">
        <v>129</v>
      </c>
      <c r="DD76" s="16" t="s">
        <v>129</v>
      </c>
      <c r="DE76" s="16" t="s">
        <v>129</v>
      </c>
      <c r="DF76" s="16" t="s">
        <v>129</v>
      </c>
      <c r="DG76" s="16" t="s">
        <v>549</v>
      </c>
      <c r="DH76" s="16" t="s">
        <v>550</v>
      </c>
      <c r="DI76" s="16" t="s">
        <v>551</v>
      </c>
      <c r="DJ76" s="16" t="s">
        <v>552</v>
      </c>
      <c r="DK76" s="16" t="s">
        <v>553</v>
      </c>
      <c r="DL76" s="16" t="s">
        <v>554</v>
      </c>
      <c r="DM76" s="16" t="s">
        <v>555</v>
      </c>
      <c r="DN76" s="16" t="s">
        <v>566</v>
      </c>
      <c r="DO76" s="16" t="s">
        <v>567</v>
      </c>
    </row>
    <row r="77">
      <c r="A77" s="15">
        <v>75.0</v>
      </c>
      <c r="B77" s="16" t="s">
        <v>580</v>
      </c>
      <c r="C77" s="17">
        <v>2.5703012402126E13</v>
      </c>
      <c r="D77" s="18">
        <v>48.0</v>
      </c>
      <c r="E77" s="16" t="s">
        <v>545</v>
      </c>
      <c r="F77" s="16" t="s">
        <v>546</v>
      </c>
      <c r="G77" s="16" t="s">
        <v>547</v>
      </c>
      <c r="H77" s="20">
        <v>20880.0</v>
      </c>
      <c r="I77" s="16"/>
      <c r="J77" s="18">
        <v>1.0</v>
      </c>
      <c r="K77" s="19"/>
      <c r="L77" s="16" t="s">
        <v>122</v>
      </c>
      <c r="M77" s="19"/>
      <c r="N77" s="19"/>
      <c r="O77" s="19"/>
      <c r="P77" s="19"/>
      <c r="Q77" s="19"/>
      <c r="R77" s="19"/>
      <c r="S77" s="19"/>
      <c r="T77" s="19"/>
      <c r="U77" s="21" t="s">
        <v>44</v>
      </c>
      <c r="V77" s="22"/>
      <c r="W77" s="22"/>
      <c r="X77" s="22"/>
      <c r="Y77" s="23"/>
      <c r="Z77" s="19"/>
      <c r="AA77" s="19"/>
      <c r="AB77" s="16" t="s">
        <v>51</v>
      </c>
      <c r="AC77" s="21" t="s">
        <v>52</v>
      </c>
      <c r="AD77" s="23"/>
      <c r="AE77" s="19"/>
      <c r="AF77" s="19"/>
      <c r="AG77" s="19"/>
      <c r="AH77" s="21" t="s">
        <v>152</v>
      </c>
      <c r="AI77" s="23"/>
      <c r="AJ77" s="16" t="s">
        <v>168</v>
      </c>
      <c r="AK77" s="16" t="s">
        <v>153</v>
      </c>
      <c r="AL77" s="16" t="s">
        <v>126</v>
      </c>
      <c r="AM77" s="16" t="s">
        <v>126</v>
      </c>
      <c r="AN77" s="16" t="s">
        <v>126</v>
      </c>
      <c r="AO77" s="16" t="s">
        <v>126</v>
      </c>
      <c r="AP77" s="16" t="s">
        <v>126</v>
      </c>
      <c r="AQ77" s="16" t="s">
        <v>126</v>
      </c>
      <c r="AR77" s="16" t="s">
        <v>126</v>
      </c>
      <c r="AS77" s="19"/>
      <c r="AT77" s="19"/>
      <c r="AU77" s="19"/>
      <c r="AV77" s="19"/>
      <c r="AW77" s="19"/>
      <c r="AX77" s="19"/>
      <c r="AY77" s="19"/>
      <c r="AZ77" s="19"/>
      <c r="BA77" s="21" t="s">
        <v>73</v>
      </c>
      <c r="BB77" s="23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21" t="s">
        <v>92</v>
      </c>
      <c r="BX77" s="22"/>
      <c r="BY77" s="23"/>
      <c r="BZ77" s="19"/>
      <c r="CA77" s="19"/>
      <c r="CB77" s="21" t="s">
        <v>96</v>
      </c>
      <c r="CC77" s="23"/>
      <c r="CD77" s="19"/>
      <c r="CE77" s="19"/>
      <c r="CF77" s="19"/>
      <c r="CG77" s="16" t="s">
        <v>128</v>
      </c>
      <c r="CH77" s="19"/>
      <c r="CI77" s="19"/>
      <c r="CJ77" s="19"/>
      <c r="CK77" s="19"/>
      <c r="CL77" s="21" t="s">
        <v>104</v>
      </c>
      <c r="CM77" s="23"/>
      <c r="CN77" s="16" t="s">
        <v>128</v>
      </c>
      <c r="CO77" s="16" t="s">
        <v>105</v>
      </c>
      <c r="CP77" s="16" t="s">
        <v>106</v>
      </c>
      <c r="CQ77" s="16" t="s">
        <v>107</v>
      </c>
      <c r="CR77" s="16" t="s">
        <v>108</v>
      </c>
      <c r="CS77" s="16" t="s">
        <v>109</v>
      </c>
      <c r="CT77" s="21" t="s">
        <v>110</v>
      </c>
      <c r="CU77" s="23"/>
      <c r="CV77" s="16" t="s">
        <v>128</v>
      </c>
      <c r="CW77" s="19"/>
      <c r="CX77" s="19"/>
      <c r="CY77" s="19"/>
      <c r="CZ77" s="19"/>
      <c r="DA77" s="21" t="s">
        <v>115</v>
      </c>
      <c r="DB77" s="23"/>
      <c r="DC77" s="16" t="s">
        <v>129</v>
      </c>
      <c r="DD77" s="16" t="s">
        <v>145</v>
      </c>
      <c r="DE77" s="16" t="s">
        <v>129</v>
      </c>
      <c r="DF77" s="16" t="s">
        <v>129</v>
      </c>
      <c r="DG77" s="16" t="s">
        <v>549</v>
      </c>
      <c r="DH77" s="16" t="s">
        <v>550</v>
      </c>
      <c r="DI77" s="16" t="s">
        <v>551</v>
      </c>
      <c r="DJ77" s="16" t="s">
        <v>552</v>
      </c>
      <c r="DK77" s="16" t="s">
        <v>553</v>
      </c>
      <c r="DL77" s="16" t="s">
        <v>554</v>
      </c>
      <c r="DM77" s="16" t="s">
        <v>555</v>
      </c>
      <c r="DN77" s="16" t="s">
        <v>566</v>
      </c>
      <c r="DO77" s="16" t="s">
        <v>567</v>
      </c>
    </row>
    <row r="78">
      <c r="A78" s="15">
        <v>76.0</v>
      </c>
      <c r="B78" s="16" t="s">
        <v>581</v>
      </c>
      <c r="C78" s="17">
        <v>3.1608142504657E13</v>
      </c>
      <c r="D78" s="18">
        <v>104.0</v>
      </c>
      <c r="E78" s="16" t="s">
        <v>545</v>
      </c>
      <c r="F78" s="16" t="s">
        <v>546</v>
      </c>
      <c r="G78" s="16" t="s">
        <v>547</v>
      </c>
      <c r="H78" s="20">
        <v>42596.0</v>
      </c>
      <c r="I78" s="18">
        <v>1.0</v>
      </c>
      <c r="J78" s="19"/>
      <c r="K78" s="16" t="s">
        <v>559</v>
      </c>
      <c r="L78" s="21" t="s">
        <v>138</v>
      </c>
      <c r="M78" s="23"/>
      <c r="N78" s="19"/>
      <c r="O78" s="19"/>
      <c r="P78" s="19"/>
      <c r="Q78" s="19"/>
      <c r="R78" s="19"/>
      <c r="S78" s="19"/>
      <c r="T78" s="19"/>
      <c r="U78" s="19"/>
      <c r="V78" s="16" t="s">
        <v>139</v>
      </c>
      <c r="W78" s="19"/>
      <c r="X78" s="19"/>
      <c r="Y78" s="21" t="s">
        <v>48</v>
      </c>
      <c r="Z78" s="23"/>
      <c r="AA78" s="19"/>
      <c r="AB78" s="19"/>
      <c r="AC78" s="19"/>
      <c r="AD78" s="19"/>
      <c r="AE78" s="19"/>
      <c r="AF78" s="19"/>
      <c r="AG78" s="19"/>
      <c r="AH78" s="21" t="s">
        <v>123</v>
      </c>
      <c r="AI78" s="23"/>
      <c r="AJ78" s="16" t="s">
        <v>124</v>
      </c>
      <c r="AK78" s="16" t="s">
        <v>153</v>
      </c>
      <c r="AL78" s="16" t="s">
        <v>126</v>
      </c>
      <c r="AM78" s="16" t="s">
        <v>126</v>
      </c>
      <c r="AN78" s="16" t="s">
        <v>126</v>
      </c>
      <c r="AO78" s="16" t="s">
        <v>126</v>
      </c>
      <c r="AP78" s="16" t="s">
        <v>126</v>
      </c>
      <c r="AQ78" s="16" t="s">
        <v>126</v>
      </c>
      <c r="AR78" s="16" t="s">
        <v>143</v>
      </c>
      <c r="AS78" s="19"/>
      <c r="AT78" s="19"/>
      <c r="AU78" s="19"/>
      <c r="AV78" s="21" t="s">
        <v>68</v>
      </c>
      <c r="AW78" s="23"/>
      <c r="AX78" s="21" t="s">
        <v>70</v>
      </c>
      <c r="AY78" s="22"/>
      <c r="AZ78" s="23"/>
      <c r="BA78" s="19"/>
      <c r="BB78" s="19"/>
      <c r="BC78" s="19"/>
      <c r="BD78" s="19"/>
      <c r="BE78" s="21" t="s">
        <v>77</v>
      </c>
      <c r="BF78" s="22"/>
      <c r="BG78" s="23"/>
      <c r="BH78" s="21" t="s">
        <v>79</v>
      </c>
      <c r="BI78" s="23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6" t="s">
        <v>91</v>
      </c>
      <c r="BW78" s="19"/>
      <c r="BX78" s="19"/>
      <c r="BY78" s="19"/>
      <c r="BZ78" s="19"/>
      <c r="CA78" s="19"/>
      <c r="CB78" s="21" t="s">
        <v>96</v>
      </c>
      <c r="CC78" s="23"/>
      <c r="CD78" s="19"/>
      <c r="CE78" s="19"/>
      <c r="CF78" s="19"/>
      <c r="CG78" s="16" t="s">
        <v>128</v>
      </c>
      <c r="CH78" s="21" t="s">
        <v>100</v>
      </c>
      <c r="CI78" s="23"/>
      <c r="CJ78" s="19"/>
      <c r="CK78" s="19"/>
      <c r="CL78" s="19"/>
      <c r="CM78" s="19"/>
      <c r="CN78" s="16" t="s">
        <v>128</v>
      </c>
      <c r="CO78" s="21" t="s">
        <v>105</v>
      </c>
      <c r="CP78" s="22"/>
      <c r="CQ78" s="23"/>
      <c r="CR78" s="19"/>
      <c r="CS78" s="19"/>
      <c r="CT78" s="19"/>
      <c r="CU78" s="19"/>
      <c r="CV78" s="16" t="s">
        <v>128</v>
      </c>
      <c r="CW78" s="19"/>
      <c r="CX78" s="19"/>
      <c r="CY78" s="19"/>
      <c r="CZ78" s="19"/>
      <c r="DA78" s="21" t="s">
        <v>115</v>
      </c>
      <c r="DB78" s="23"/>
      <c r="DC78" s="16" t="s">
        <v>129</v>
      </c>
      <c r="DD78" s="16" t="s">
        <v>129</v>
      </c>
      <c r="DE78" s="16" t="s">
        <v>129</v>
      </c>
      <c r="DF78" s="16" t="s">
        <v>129</v>
      </c>
      <c r="DG78" s="21" t="s">
        <v>561</v>
      </c>
      <c r="DH78" s="23"/>
      <c r="DI78" s="19"/>
      <c r="DJ78" s="16" t="s">
        <v>582</v>
      </c>
      <c r="DK78" s="19"/>
      <c r="DL78" s="19"/>
      <c r="DM78" s="16" t="s">
        <v>564</v>
      </c>
      <c r="DN78" s="19"/>
      <c r="DO78" s="19"/>
    </row>
    <row r="79">
      <c r="A79" s="15">
        <v>77.0</v>
      </c>
      <c r="B79" s="16" t="s">
        <v>583</v>
      </c>
      <c r="C79" s="17">
        <v>2.8301062500382E13</v>
      </c>
      <c r="D79" s="18">
        <v>49.0</v>
      </c>
      <c r="E79" s="16" t="s">
        <v>545</v>
      </c>
      <c r="F79" s="16" t="s">
        <v>546</v>
      </c>
      <c r="G79" s="16" t="s">
        <v>547</v>
      </c>
      <c r="H79" s="20">
        <v>30322.0</v>
      </c>
      <c r="I79" s="16"/>
      <c r="J79" s="18">
        <v>1.0</v>
      </c>
      <c r="K79" s="16" t="s">
        <v>584</v>
      </c>
      <c r="L79" s="16" t="s">
        <v>122</v>
      </c>
      <c r="M79" s="19"/>
      <c r="N79" s="19"/>
      <c r="O79" s="19"/>
      <c r="P79" s="21" t="s">
        <v>39</v>
      </c>
      <c r="Q79" s="22"/>
      <c r="R79" s="22"/>
      <c r="S79" s="23"/>
      <c r="T79" s="19"/>
      <c r="U79" s="19"/>
      <c r="V79" s="19"/>
      <c r="W79" s="19"/>
      <c r="X79" s="19"/>
      <c r="Y79" s="19"/>
      <c r="Z79" s="16" t="s">
        <v>49</v>
      </c>
      <c r="AA79" s="19"/>
      <c r="AB79" s="21" t="s">
        <v>51</v>
      </c>
      <c r="AC79" s="23"/>
      <c r="AD79" s="19"/>
      <c r="AE79" s="19"/>
      <c r="AF79" s="19"/>
      <c r="AG79" s="19"/>
      <c r="AH79" s="21" t="s">
        <v>152</v>
      </c>
      <c r="AI79" s="23"/>
      <c r="AJ79" s="16" t="s">
        <v>168</v>
      </c>
      <c r="AK79" s="16" t="s">
        <v>153</v>
      </c>
      <c r="AL79" s="16" t="s">
        <v>126</v>
      </c>
      <c r="AM79" s="16" t="s">
        <v>126</v>
      </c>
      <c r="AN79" s="16" t="s">
        <v>126</v>
      </c>
      <c r="AO79" s="16" t="s">
        <v>143</v>
      </c>
      <c r="AP79" s="16" t="s">
        <v>126</v>
      </c>
      <c r="AQ79" s="16" t="s">
        <v>126</v>
      </c>
      <c r="AR79" s="16" t="s">
        <v>126</v>
      </c>
      <c r="AS79" s="19"/>
      <c r="AT79" s="19"/>
      <c r="AU79" s="19"/>
      <c r="AV79" s="19"/>
      <c r="AW79" s="19"/>
      <c r="AX79" s="19"/>
      <c r="AY79" s="19"/>
      <c r="AZ79" s="19"/>
      <c r="BA79" s="21" t="s">
        <v>73</v>
      </c>
      <c r="BB79" s="23"/>
      <c r="BC79" s="19"/>
      <c r="BD79" s="19"/>
      <c r="BE79" s="21" t="s">
        <v>77</v>
      </c>
      <c r="BF79" s="22"/>
      <c r="BG79" s="22"/>
      <c r="BH79" s="23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21" t="s">
        <v>88</v>
      </c>
      <c r="BT79" s="23"/>
      <c r="BU79" s="19"/>
      <c r="BV79" s="19"/>
      <c r="BW79" s="21" t="s">
        <v>92</v>
      </c>
      <c r="BX79" s="22"/>
      <c r="BY79" s="23"/>
      <c r="BZ79" s="19"/>
      <c r="CA79" s="19"/>
      <c r="CB79" s="21" t="s">
        <v>96</v>
      </c>
      <c r="CC79" s="23"/>
      <c r="CD79" s="19"/>
      <c r="CE79" s="19"/>
      <c r="CF79" s="19"/>
      <c r="CG79" s="16" t="s">
        <v>128</v>
      </c>
      <c r="CH79" s="19"/>
      <c r="CI79" s="19"/>
      <c r="CJ79" s="19"/>
      <c r="CK79" s="19"/>
      <c r="CL79" s="21" t="s">
        <v>104</v>
      </c>
      <c r="CM79" s="23"/>
      <c r="CN79" s="16" t="s">
        <v>128</v>
      </c>
      <c r="CO79" s="16" t="s">
        <v>105</v>
      </c>
      <c r="CP79" s="16" t="s">
        <v>106</v>
      </c>
      <c r="CQ79" s="21" t="s">
        <v>107</v>
      </c>
      <c r="CR79" s="23"/>
      <c r="CS79" s="16" t="s">
        <v>109</v>
      </c>
      <c r="CT79" s="21" t="s">
        <v>110</v>
      </c>
      <c r="CU79" s="23"/>
      <c r="CV79" s="16" t="s">
        <v>128</v>
      </c>
      <c r="CW79" s="19"/>
      <c r="CX79" s="19"/>
      <c r="CY79" s="21" t="s">
        <v>113</v>
      </c>
      <c r="CZ79" s="22"/>
      <c r="DA79" s="23"/>
      <c r="DB79" s="19"/>
      <c r="DC79" s="16" t="s">
        <v>129</v>
      </c>
      <c r="DD79" s="16" t="s">
        <v>129</v>
      </c>
      <c r="DE79" s="16" t="s">
        <v>129</v>
      </c>
      <c r="DF79" s="16" t="s">
        <v>129</v>
      </c>
      <c r="DG79" s="16" t="s">
        <v>549</v>
      </c>
      <c r="DH79" s="16" t="s">
        <v>550</v>
      </c>
      <c r="DI79" s="16" t="s">
        <v>551</v>
      </c>
      <c r="DJ79" s="16" t="s">
        <v>552</v>
      </c>
      <c r="DK79" s="16" t="s">
        <v>553</v>
      </c>
      <c r="DL79" s="16" t="s">
        <v>554</v>
      </c>
      <c r="DM79" s="16" t="s">
        <v>555</v>
      </c>
      <c r="DN79" s="16" t="s">
        <v>566</v>
      </c>
      <c r="DO79" s="16" t="s">
        <v>567</v>
      </c>
    </row>
    <row r="80">
      <c r="A80" s="15">
        <v>78.0</v>
      </c>
      <c r="B80" s="16" t="s">
        <v>585</v>
      </c>
      <c r="C80" s="17">
        <v>3.1912132503084E13</v>
      </c>
      <c r="D80" s="18">
        <v>103.0</v>
      </c>
      <c r="E80" s="16" t="s">
        <v>545</v>
      </c>
      <c r="F80" s="16" t="s">
        <v>546</v>
      </c>
      <c r="G80" s="16" t="s">
        <v>547</v>
      </c>
      <c r="H80" s="25">
        <v>43812.0</v>
      </c>
      <c r="I80" s="18">
        <v>1.0</v>
      </c>
      <c r="J80" s="19"/>
      <c r="K80" s="16" t="s">
        <v>559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6" t="s">
        <v>139</v>
      </c>
      <c r="W80" s="16" t="s">
        <v>46</v>
      </c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21" t="s">
        <v>123</v>
      </c>
      <c r="AI80" s="23"/>
      <c r="AJ80" s="16" t="s">
        <v>124</v>
      </c>
      <c r="AK80" s="16" t="s">
        <v>153</v>
      </c>
      <c r="AL80" s="16" t="s">
        <v>143</v>
      </c>
      <c r="AM80" s="16" t="s">
        <v>126</v>
      </c>
      <c r="AN80" s="16" t="s">
        <v>143</v>
      </c>
      <c r="AO80" s="16" t="s">
        <v>126</v>
      </c>
      <c r="AP80" s="16" t="s">
        <v>126</v>
      </c>
      <c r="AQ80" s="16" t="s">
        <v>126</v>
      </c>
      <c r="AR80" s="16" t="s">
        <v>126</v>
      </c>
      <c r="AS80" s="21" t="s">
        <v>65</v>
      </c>
      <c r="AT80" s="22"/>
      <c r="AU80" s="23"/>
      <c r="AV80" s="19"/>
      <c r="AW80" s="19"/>
      <c r="AX80" s="21" t="s">
        <v>70</v>
      </c>
      <c r="AY80" s="22"/>
      <c r="AZ80" s="23"/>
      <c r="BA80" s="19"/>
      <c r="BB80" s="19"/>
      <c r="BC80" s="19"/>
      <c r="BD80" s="19"/>
      <c r="BE80" s="21" t="s">
        <v>77</v>
      </c>
      <c r="BF80" s="22"/>
      <c r="BG80" s="23"/>
      <c r="BH80" s="21" t="s">
        <v>79</v>
      </c>
      <c r="BI80" s="23"/>
      <c r="BJ80" s="19"/>
      <c r="BK80" s="16" t="s">
        <v>81</v>
      </c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21" t="s">
        <v>92</v>
      </c>
      <c r="BX80" s="22"/>
      <c r="BY80" s="23"/>
      <c r="BZ80" s="19"/>
      <c r="CA80" s="19"/>
      <c r="CB80" s="21" t="s">
        <v>96</v>
      </c>
      <c r="CC80" s="23"/>
      <c r="CD80" s="19"/>
      <c r="CE80" s="19"/>
      <c r="CF80" s="19"/>
      <c r="CG80" s="16" t="s">
        <v>128</v>
      </c>
      <c r="CH80" s="19"/>
      <c r="CI80" s="21" t="s">
        <v>101</v>
      </c>
      <c r="CJ80" s="22"/>
      <c r="CK80" s="23"/>
      <c r="CL80" s="19"/>
      <c r="CM80" s="19"/>
      <c r="CN80" s="16" t="s">
        <v>128</v>
      </c>
      <c r="CO80" s="21" t="s">
        <v>105</v>
      </c>
      <c r="CP80" s="22"/>
      <c r="CQ80" s="23"/>
      <c r="CR80" s="19"/>
      <c r="CS80" s="19"/>
      <c r="CT80" s="21" t="s">
        <v>110</v>
      </c>
      <c r="CU80" s="23"/>
      <c r="CV80" s="16" t="s">
        <v>128</v>
      </c>
      <c r="CW80" s="19"/>
      <c r="CX80" s="19"/>
      <c r="CY80" s="19"/>
      <c r="CZ80" s="16" t="s">
        <v>114</v>
      </c>
      <c r="DA80" s="21" t="s">
        <v>115</v>
      </c>
      <c r="DB80" s="23"/>
      <c r="DC80" s="16" t="s">
        <v>145</v>
      </c>
      <c r="DD80" s="16" t="s">
        <v>129</v>
      </c>
      <c r="DE80" s="16" t="s">
        <v>129</v>
      </c>
      <c r="DF80" s="16" t="s">
        <v>145</v>
      </c>
      <c r="DG80" s="21" t="s">
        <v>561</v>
      </c>
      <c r="DH80" s="23"/>
      <c r="DI80" s="19"/>
      <c r="DJ80" s="16" t="s">
        <v>582</v>
      </c>
      <c r="DK80" s="19"/>
      <c r="DL80" s="19"/>
      <c r="DM80" s="16" t="s">
        <v>564</v>
      </c>
      <c r="DN80" s="19"/>
      <c r="DO80" s="19"/>
    </row>
    <row r="81">
      <c r="A81" s="15">
        <v>79.0</v>
      </c>
      <c r="B81" s="16" t="s">
        <v>586</v>
      </c>
      <c r="C81" s="17">
        <v>2.6901042500572E13</v>
      </c>
      <c r="D81" s="18">
        <v>70.0</v>
      </c>
      <c r="E81" s="16" t="s">
        <v>545</v>
      </c>
      <c r="F81" s="16" t="s">
        <v>546</v>
      </c>
      <c r="G81" s="16" t="s">
        <v>547</v>
      </c>
      <c r="H81" s="20">
        <v>25207.0</v>
      </c>
      <c r="I81" s="18">
        <v>1.0</v>
      </c>
      <c r="J81" s="19"/>
      <c r="K81" s="16" t="s">
        <v>587</v>
      </c>
      <c r="L81" s="21" t="s">
        <v>138</v>
      </c>
      <c r="M81" s="23"/>
      <c r="N81" s="19"/>
      <c r="O81" s="19"/>
      <c r="P81" s="19"/>
      <c r="Q81" s="19"/>
      <c r="R81" s="19"/>
      <c r="S81" s="19"/>
      <c r="T81" s="19"/>
      <c r="U81" s="19"/>
      <c r="V81" s="16" t="s">
        <v>139</v>
      </c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6" t="s">
        <v>588</v>
      </c>
      <c r="AH81" s="21" t="s">
        <v>152</v>
      </c>
      <c r="AI81" s="23"/>
      <c r="AJ81" s="16" t="s">
        <v>124</v>
      </c>
      <c r="AK81" s="16" t="s">
        <v>153</v>
      </c>
      <c r="AL81" s="16" t="s">
        <v>143</v>
      </c>
      <c r="AM81" s="16" t="s">
        <v>143</v>
      </c>
      <c r="AN81" s="16" t="s">
        <v>143</v>
      </c>
      <c r="AO81" s="16" t="s">
        <v>143</v>
      </c>
      <c r="AP81" s="16" t="s">
        <v>143</v>
      </c>
      <c r="AQ81" s="16" t="s">
        <v>143</v>
      </c>
      <c r="AR81" s="16" t="s">
        <v>143</v>
      </c>
      <c r="AS81" s="19"/>
      <c r="AT81" s="19"/>
      <c r="AU81" s="19"/>
      <c r="AV81" s="19"/>
      <c r="AW81" s="19"/>
      <c r="AX81" s="19"/>
      <c r="AY81" s="19"/>
      <c r="AZ81" s="21" t="s">
        <v>589</v>
      </c>
      <c r="BA81" s="23"/>
      <c r="BB81" s="21" t="s">
        <v>74</v>
      </c>
      <c r="BC81" s="22"/>
      <c r="BD81" s="23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6" t="s">
        <v>588</v>
      </c>
      <c r="BQ81" s="19"/>
      <c r="BR81" s="19"/>
      <c r="BS81" s="19"/>
      <c r="BT81" s="19"/>
      <c r="BU81" s="19"/>
      <c r="BV81" s="19"/>
      <c r="BW81" s="19"/>
      <c r="BX81" s="16" t="s">
        <v>588</v>
      </c>
      <c r="BY81" s="19"/>
      <c r="BZ81" s="19"/>
      <c r="CA81" s="19"/>
      <c r="CB81" s="19"/>
      <c r="CC81" s="19"/>
      <c r="CD81" s="19"/>
      <c r="CE81" s="21" t="s">
        <v>99</v>
      </c>
      <c r="CF81" s="23"/>
      <c r="CG81" s="16" t="s">
        <v>128</v>
      </c>
      <c r="CH81" s="19"/>
      <c r="CI81" s="19"/>
      <c r="CJ81" s="19"/>
      <c r="CK81" s="19"/>
      <c r="CL81" s="21" t="s">
        <v>104</v>
      </c>
      <c r="CM81" s="23"/>
      <c r="CN81" s="16" t="s">
        <v>128</v>
      </c>
      <c r="CO81" s="21" t="s">
        <v>105</v>
      </c>
      <c r="CP81" s="22"/>
      <c r="CQ81" s="23"/>
      <c r="CR81" s="21" t="s">
        <v>108</v>
      </c>
      <c r="CS81" s="23"/>
      <c r="CT81" s="19"/>
      <c r="CU81" s="19"/>
      <c r="CV81" s="16" t="s">
        <v>128</v>
      </c>
      <c r="CW81" s="19"/>
      <c r="CX81" s="19"/>
      <c r="CY81" s="19"/>
      <c r="CZ81" s="19"/>
      <c r="DA81" s="21" t="s">
        <v>115</v>
      </c>
      <c r="DB81" s="23"/>
      <c r="DC81" s="16" t="s">
        <v>129</v>
      </c>
      <c r="DD81" s="16" t="s">
        <v>129</v>
      </c>
      <c r="DE81" s="16" t="s">
        <v>129</v>
      </c>
      <c r="DF81" s="16" t="s">
        <v>129</v>
      </c>
      <c r="DG81" s="21" t="s">
        <v>561</v>
      </c>
      <c r="DH81" s="23"/>
      <c r="DI81" s="19"/>
      <c r="DJ81" s="16" t="s">
        <v>582</v>
      </c>
      <c r="DK81" s="19"/>
      <c r="DL81" s="19"/>
      <c r="DM81" s="16" t="s">
        <v>564</v>
      </c>
      <c r="DN81" s="19"/>
      <c r="DO81" s="19"/>
    </row>
    <row r="82">
      <c r="A82" s="15">
        <v>80.0</v>
      </c>
      <c r="B82" s="16" t="s">
        <v>587</v>
      </c>
      <c r="C82" s="17">
        <v>2.6808082500441E13</v>
      </c>
      <c r="D82" s="18">
        <v>69.0</v>
      </c>
      <c r="E82" s="16" t="s">
        <v>545</v>
      </c>
      <c r="F82" s="16" t="s">
        <v>546</v>
      </c>
      <c r="G82" s="16" t="s">
        <v>547</v>
      </c>
      <c r="H82" s="20">
        <v>25059.0</v>
      </c>
      <c r="I82" s="19"/>
      <c r="J82" s="18">
        <v>1.0</v>
      </c>
      <c r="K82" s="16" t="s">
        <v>587</v>
      </c>
      <c r="L82" s="21" t="s">
        <v>138</v>
      </c>
      <c r="M82" s="23"/>
      <c r="N82" s="19"/>
      <c r="O82" s="19"/>
      <c r="P82" s="19"/>
      <c r="Q82" s="19"/>
      <c r="R82" s="19"/>
      <c r="S82" s="19"/>
      <c r="T82" s="19"/>
      <c r="U82" s="19"/>
      <c r="V82" s="16" t="s">
        <v>139</v>
      </c>
      <c r="W82" s="19"/>
      <c r="X82" s="19"/>
      <c r="Y82" s="19"/>
      <c r="Z82" s="16" t="s">
        <v>49</v>
      </c>
      <c r="AA82" s="16" t="s">
        <v>50</v>
      </c>
      <c r="AB82" s="21" t="s">
        <v>51</v>
      </c>
      <c r="AC82" s="23"/>
      <c r="AD82" s="19"/>
      <c r="AE82" s="19"/>
      <c r="AF82" s="19"/>
      <c r="AG82" s="19"/>
      <c r="AH82" s="21" t="s">
        <v>152</v>
      </c>
      <c r="AI82" s="23"/>
      <c r="AJ82" s="16" t="s">
        <v>124</v>
      </c>
      <c r="AK82" s="16" t="s">
        <v>153</v>
      </c>
      <c r="AL82" s="16" t="s">
        <v>126</v>
      </c>
      <c r="AM82" s="16" t="s">
        <v>126</v>
      </c>
      <c r="AN82" s="16" t="s">
        <v>143</v>
      </c>
      <c r="AO82" s="16" t="s">
        <v>143</v>
      </c>
      <c r="AP82" s="16" t="s">
        <v>143</v>
      </c>
      <c r="AQ82" s="16" t="s">
        <v>126</v>
      </c>
      <c r="AR82" s="16" t="s">
        <v>143</v>
      </c>
      <c r="AS82" s="19"/>
      <c r="AT82" s="19"/>
      <c r="AU82" s="19"/>
      <c r="AV82" s="19"/>
      <c r="AW82" s="19"/>
      <c r="AX82" s="19"/>
      <c r="AY82" s="19"/>
      <c r="AZ82" s="21" t="s">
        <v>589</v>
      </c>
      <c r="BA82" s="23"/>
      <c r="BB82" s="21" t="s">
        <v>74</v>
      </c>
      <c r="BC82" s="22"/>
      <c r="BD82" s="23"/>
      <c r="BE82" s="19"/>
      <c r="BF82" s="19"/>
      <c r="BG82" s="19"/>
      <c r="BH82" s="19"/>
      <c r="BI82" s="21" t="s">
        <v>52</v>
      </c>
      <c r="BJ82" s="23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21" t="s">
        <v>92</v>
      </c>
      <c r="BX82" s="22"/>
      <c r="BY82" s="23"/>
      <c r="BZ82" s="19"/>
      <c r="CA82" s="19"/>
      <c r="CB82" s="21" t="s">
        <v>96</v>
      </c>
      <c r="CC82" s="23"/>
      <c r="CD82" s="19"/>
      <c r="CE82" s="21" t="s">
        <v>99</v>
      </c>
      <c r="CF82" s="23"/>
      <c r="CG82" s="16" t="s">
        <v>158</v>
      </c>
      <c r="CH82" s="21" t="s">
        <v>100</v>
      </c>
      <c r="CI82" s="23"/>
      <c r="CJ82" s="19"/>
      <c r="CK82" s="19"/>
      <c r="CL82" s="21" t="s">
        <v>104</v>
      </c>
      <c r="CM82" s="23"/>
      <c r="CN82" s="16" t="s">
        <v>128</v>
      </c>
      <c r="CO82" s="21" t="s">
        <v>105</v>
      </c>
      <c r="CP82" s="22"/>
      <c r="CQ82" s="23"/>
      <c r="CR82" s="19"/>
      <c r="CS82" s="19"/>
      <c r="CT82" s="19"/>
      <c r="CU82" s="19"/>
      <c r="CV82" s="21" t="s">
        <v>154</v>
      </c>
      <c r="CW82" s="23"/>
      <c r="CX82" s="19"/>
      <c r="CY82" s="19"/>
      <c r="CZ82" s="16" t="s">
        <v>114</v>
      </c>
      <c r="DA82" s="21" t="s">
        <v>115</v>
      </c>
      <c r="DB82" s="23"/>
      <c r="DC82" s="16" t="s">
        <v>129</v>
      </c>
      <c r="DD82" s="16" t="s">
        <v>145</v>
      </c>
      <c r="DE82" s="16" t="s">
        <v>129</v>
      </c>
      <c r="DF82" s="16" t="s">
        <v>145</v>
      </c>
      <c r="DG82" s="16" t="s">
        <v>561</v>
      </c>
      <c r="DH82" s="16" t="s">
        <v>560</v>
      </c>
      <c r="DI82" s="19"/>
      <c r="DJ82" s="21" t="s">
        <v>590</v>
      </c>
      <c r="DK82" s="23"/>
      <c r="DL82" s="19"/>
      <c r="DM82" s="16" t="s">
        <v>563</v>
      </c>
      <c r="DN82" s="19"/>
      <c r="DO82" s="19"/>
    </row>
    <row r="83">
      <c r="A83" s="15">
        <v>81.0</v>
      </c>
      <c r="B83" s="16" t="s">
        <v>591</v>
      </c>
      <c r="C83" s="17">
        <v>3.07010520109E12</v>
      </c>
      <c r="D83" s="18">
        <v>79.0</v>
      </c>
      <c r="E83" s="16" t="s">
        <v>545</v>
      </c>
      <c r="F83" s="16" t="s">
        <v>546</v>
      </c>
      <c r="G83" s="16" t="s">
        <v>547</v>
      </c>
      <c r="H83" s="20">
        <v>39087.0</v>
      </c>
      <c r="I83" s="18">
        <v>1.0</v>
      </c>
      <c r="J83" s="19"/>
      <c r="K83" s="16" t="s">
        <v>592</v>
      </c>
      <c r="L83" s="21" t="s">
        <v>138</v>
      </c>
      <c r="M83" s="23"/>
      <c r="N83" s="19"/>
      <c r="O83" s="19"/>
      <c r="P83" s="19"/>
      <c r="Q83" s="19"/>
      <c r="R83" s="19"/>
      <c r="S83" s="19"/>
      <c r="T83" s="19"/>
      <c r="U83" s="19"/>
      <c r="V83" s="16" t="s">
        <v>139</v>
      </c>
      <c r="W83" s="19"/>
      <c r="X83" s="19"/>
      <c r="Y83" s="19"/>
      <c r="Z83" s="19"/>
      <c r="AA83" s="19"/>
      <c r="AB83" s="16" t="s">
        <v>51</v>
      </c>
      <c r="AC83" s="21" t="s">
        <v>52</v>
      </c>
      <c r="AD83" s="23"/>
      <c r="AE83" s="19"/>
      <c r="AF83" s="19"/>
      <c r="AG83" s="19"/>
      <c r="AH83" s="21" t="s">
        <v>152</v>
      </c>
      <c r="AI83" s="23"/>
      <c r="AJ83" s="16" t="s">
        <v>124</v>
      </c>
      <c r="AK83" s="16" t="s">
        <v>153</v>
      </c>
      <c r="AL83" s="16" t="s">
        <v>143</v>
      </c>
      <c r="AM83" s="16" t="s">
        <v>143</v>
      </c>
      <c r="AN83" s="16" t="s">
        <v>143</v>
      </c>
      <c r="AO83" s="16" t="s">
        <v>143</v>
      </c>
      <c r="AP83" s="16" t="s">
        <v>143</v>
      </c>
      <c r="AQ83" s="16" t="s">
        <v>143</v>
      </c>
      <c r="AR83" s="16" t="s">
        <v>143</v>
      </c>
      <c r="AS83" s="19"/>
      <c r="AT83" s="19"/>
      <c r="AU83" s="19"/>
      <c r="AV83" s="19"/>
      <c r="AW83" s="19"/>
      <c r="AX83" s="19"/>
      <c r="AY83" s="19"/>
      <c r="AZ83" s="21" t="s">
        <v>593</v>
      </c>
      <c r="BA83" s="23"/>
      <c r="BB83" s="19"/>
      <c r="BC83" s="19"/>
      <c r="BD83" s="19"/>
      <c r="BE83" s="21" t="s">
        <v>77</v>
      </c>
      <c r="BF83" s="22"/>
      <c r="BG83" s="23"/>
      <c r="BH83" s="21" t="s">
        <v>79</v>
      </c>
      <c r="BI83" s="23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21" t="s">
        <v>92</v>
      </c>
      <c r="BX83" s="22"/>
      <c r="BY83" s="23"/>
      <c r="BZ83" s="19"/>
      <c r="CA83" s="19"/>
      <c r="CB83" s="21" t="s">
        <v>96</v>
      </c>
      <c r="CC83" s="23"/>
      <c r="CD83" s="19"/>
      <c r="CE83" s="19"/>
      <c r="CF83" s="19"/>
      <c r="CG83" s="16" t="s">
        <v>158</v>
      </c>
      <c r="CH83" s="21" t="s">
        <v>100</v>
      </c>
      <c r="CI83" s="23"/>
      <c r="CJ83" s="19"/>
      <c r="CK83" s="19"/>
      <c r="CL83" s="19"/>
      <c r="CM83" s="19"/>
      <c r="CN83" s="16" t="s">
        <v>128</v>
      </c>
      <c r="CO83" s="21" t="s">
        <v>105</v>
      </c>
      <c r="CP83" s="22"/>
      <c r="CQ83" s="23"/>
      <c r="CR83" s="19"/>
      <c r="CS83" s="19"/>
      <c r="CT83" s="19"/>
      <c r="CU83" s="19"/>
      <c r="CV83" s="16" t="s">
        <v>128</v>
      </c>
      <c r="CW83" s="19"/>
      <c r="CX83" s="19"/>
      <c r="CY83" s="19"/>
      <c r="CZ83" s="19"/>
      <c r="DA83" s="21" t="s">
        <v>115</v>
      </c>
      <c r="DB83" s="23"/>
      <c r="DC83" s="16" t="s">
        <v>129</v>
      </c>
      <c r="DD83" s="16" t="s">
        <v>145</v>
      </c>
      <c r="DE83" s="16" t="s">
        <v>129</v>
      </c>
      <c r="DF83" s="16" t="s">
        <v>145</v>
      </c>
      <c r="DG83" s="16" t="s">
        <v>528</v>
      </c>
      <c r="DH83" s="16" t="s">
        <v>560</v>
      </c>
      <c r="DI83" s="16" t="s">
        <v>561</v>
      </c>
      <c r="DJ83" s="16" t="s">
        <v>590</v>
      </c>
      <c r="DK83" s="16" t="s">
        <v>582</v>
      </c>
      <c r="DL83" s="19"/>
      <c r="DM83" s="16" t="s">
        <v>563</v>
      </c>
      <c r="DN83" s="19"/>
      <c r="DO83" s="19"/>
    </row>
    <row r="84">
      <c r="A84" s="15">
        <v>82.0</v>
      </c>
      <c r="B84" s="16" t="s">
        <v>594</v>
      </c>
      <c r="C84" s="17">
        <v>3.1109052502012E13</v>
      </c>
      <c r="D84" s="18">
        <v>12.0</v>
      </c>
      <c r="E84" s="16" t="s">
        <v>595</v>
      </c>
      <c r="F84" s="16" t="s">
        <v>595</v>
      </c>
      <c r="G84" s="16" t="s">
        <v>547</v>
      </c>
      <c r="H84" s="20">
        <v>40426.0</v>
      </c>
      <c r="I84" s="18">
        <v>1.0</v>
      </c>
      <c r="J84" s="19"/>
      <c r="K84" s="16" t="s">
        <v>596</v>
      </c>
      <c r="L84" s="16" t="s">
        <v>122</v>
      </c>
      <c r="M84" s="16" t="s">
        <v>36</v>
      </c>
      <c r="N84" s="21" t="s">
        <v>37</v>
      </c>
      <c r="O84" s="22"/>
      <c r="P84" s="22"/>
      <c r="Q84" s="22"/>
      <c r="R84" s="23"/>
      <c r="S84" s="19"/>
      <c r="T84" s="21" t="s">
        <v>43</v>
      </c>
      <c r="U84" s="23"/>
      <c r="V84" s="19"/>
      <c r="W84" s="16" t="s">
        <v>46</v>
      </c>
      <c r="X84" s="16" t="s">
        <v>47</v>
      </c>
      <c r="Y84" s="21" t="s">
        <v>48</v>
      </c>
      <c r="Z84" s="23"/>
      <c r="AA84" s="19"/>
      <c r="AB84" s="19"/>
      <c r="AC84" s="19"/>
      <c r="AD84" s="19"/>
      <c r="AE84" s="19"/>
      <c r="AF84" s="19"/>
      <c r="AG84" s="19"/>
      <c r="AH84" s="21" t="s">
        <v>228</v>
      </c>
      <c r="AI84" s="23"/>
      <c r="AJ84" s="16" t="s">
        <v>243</v>
      </c>
      <c r="AK84" s="16" t="s">
        <v>142</v>
      </c>
      <c r="AL84" s="16" t="s">
        <v>597</v>
      </c>
      <c r="AM84" s="16" t="s">
        <v>126</v>
      </c>
      <c r="AN84" s="16" t="s">
        <v>598</v>
      </c>
      <c r="AO84" s="16" t="s">
        <v>143</v>
      </c>
      <c r="AP84" s="16" t="s">
        <v>597</v>
      </c>
      <c r="AQ84" s="16" t="s">
        <v>143</v>
      </c>
      <c r="AR84" s="16" t="s">
        <v>598</v>
      </c>
      <c r="AS84" s="21" t="s">
        <v>65</v>
      </c>
      <c r="AT84" s="22"/>
      <c r="AU84" s="23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21" t="s">
        <v>78</v>
      </c>
      <c r="BH84" s="23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6" t="s">
        <v>93</v>
      </c>
      <c r="BZ84" s="21" t="s">
        <v>94</v>
      </c>
      <c r="CA84" s="23"/>
      <c r="CB84" s="21" t="s">
        <v>96</v>
      </c>
      <c r="CC84" s="23"/>
      <c r="CD84" s="19"/>
      <c r="CE84" s="21" t="s">
        <v>99</v>
      </c>
      <c r="CF84" s="23"/>
      <c r="CG84" s="16" t="s">
        <v>302</v>
      </c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21" t="s">
        <v>154</v>
      </c>
      <c r="CW84" s="23"/>
      <c r="CX84" s="21" t="s">
        <v>112</v>
      </c>
      <c r="CY84" s="22"/>
      <c r="CZ84" s="23"/>
      <c r="DA84" s="19"/>
      <c r="DB84" s="19"/>
      <c r="DC84" s="16" t="s">
        <v>129</v>
      </c>
      <c r="DD84" s="16" t="s">
        <v>129</v>
      </c>
      <c r="DE84" s="16" t="s">
        <v>129</v>
      </c>
      <c r="DF84" s="16" t="s">
        <v>129</v>
      </c>
      <c r="DG84" s="19"/>
      <c r="DH84" s="19"/>
      <c r="DI84" s="19"/>
      <c r="DJ84" s="19"/>
      <c r="DK84" s="19"/>
      <c r="DL84" s="19"/>
      <c r="DM84" s="21" t="s">
        <v>599</v>
      </c>
      <c r="DN84" s="23"/>
      <c r="DO84" s="19"/>
    </row>
    <row r="85" ht="15.75" customHeight="1">
      <c r="A85" s="15">
        <v>83.0</v>
      </c>
      <c r="B85" s="16" t="s">
        <v>600</v>
      </c>
      <c r="C85" s="17">
        <v>3.1603308800293E13</v>
      </c>
      <c r="D85" s="18">
        <v>74.0</v>
      </c>
      <c r="E85" s="16" t="s">
        <v>595</v>
      </c>
      <c r="F85" s="16" t="s">
        <v>595</v>
      </c>
      <c r="G85" s="16" t="s">
        <v>547</v>
      </c>
      <c r="H85" s="20">
        <v>42459.0</v>
      </c>
      <c r="I85" s="18">
        <v>1.0</v>
      </c>
      <c r="J85" s="19"/>
      <c r="K85" s="16" t="s">
        <v>601</v>
      </c>
      <c r="L85" s="21" t="s">
        <v>138</v>
      </c>
      <c r="M85" s="23"/>
      <c r="N85" s="19"/>
      <c r="O85" s="19"/>
      <c r="P85" s="19"/>
      <c r="Q85" s="19"/>
      <c r="R85" s="19"/>
      <c r="S85" s="19"/>
      <c r="T85" s="19"/>
      <c r="U85" s="19"/>
      <c r="V85" s="16" t="s">
        <v>139</v>
      </c>
      <c r="W85" s="16" t="s">
        <v>46</v>
      </c>
      <c r="X85" s="19"/>
      <c r="Y85" s="21" t="s">
        <v>48</v>
      </c>
      <c r="Z85" s="23"/>
      <c r="AA85" s="19"/>
      <c r="AB85" s="19"/>
      <c r="AC85" s="19"/>
      <c r="AD85" s="19"/>
      <c r="AE85" s="19"/>
      <c r="AF85" s="19"/>
      <c r="AG85" s="19"/>
      <c r="AH85" s="21" t="s">
        <v>228</v>
      </c>
      <c r="AI85" s="23"/>
      <c r="AJ85" s="16" t="s">
        <v>124</v>
      </c>
      <c r="AK85" s="16" t="s">
        <v>142</v>
      </c>
      <c r="AL85" s="16" t="s">
        <v>597</v>
      </c>
      <c r="AM85" s="16" t="s">
        <v>143</v>
      </c>
      <c r="AN85" s="16" t="s">
        <v>598</v>
      </c>
      <c r="AO85" s="16" t="s">
        <v>126</v>
      </c>
      <c r="AP85" s="16" t="s">
        <v>143</v>
      </c>
      <c r="AQ85" s="16" t="s">
        <v>126</v>
      </c>
      <c r="AR85" s="16" t="s">
        <v>597</v>
      </c>
      <c r="AS85" s="21" t="s">
        <v>65</v>
      </c>
      <c r="AT85" s="22"/>
      <c r="AU85" s="23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6" t="s">
        <v>78</v>
      </c>
      <c r="BH85" s="21" t="s">
        <v>79</v>
      </c>
      <c r="BI85" s="23"/>
      <c r="BJ85" s="19"/>
      <c r="BK85" s="16" t="s">
        <v>81</v>
      </c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21" t="s">
        <v>93</v>
      </c>
      <c r="BZ85" s="22"/>
      <c r="CA85" s="23"/>
      <c r="CB85" s="19"/>
      <c r="CC85" s="19"/>
      <c r="CD85" s="19"/>
      <c r="CE85" s="19"/>
      <c r="CF85" s="19"/>
      <c r="CG85" s="16" t="s">
        <v>158</v>
      </c>
      <c r="CH85" s="19"/>
      <c r="CI85" s="19"/>
      <c r="CJ85" s="21" t="s">
        <v>102</v>
      </c>
      <c r="CK85" s="22"/>
      <c r="CL85" s="23"/>
      <c r="CM85" s="19"/>
      <c r="CN85" s="16" t="s">
        <v>302</v>
      </c>
      <c r="CO85" s="19"/>
      <c r="CP85" s="19"/>
      <c r="CQ85" s="19"/>
      <c r="CR85" s="19"/>
      <c r="CS85" s="19"/>
      <c r="CT85" s="19"/>
      <c r="CU85" s="19"/>
      <c r="CV85" s="21" t="s">
        <v>154</v>
      </c>
      <c r="CW85" s="23"/>
      <c r="CX85" s="21" t="s">
        <v>112</v>
      </c>
      <c r="CY85" s="22"/>
      <c r="CZ85" s="23"/>
      <c r="DA85" s="19"/>
      <c r="DB85" s="19"/>
      <c r="DC85" s="16" t="s">
        <v>145</v>
      </c>
      <c r="DD85" s="16" t="s">
        <v>129</v>
      </c>
      <c r="DE85" s="16" t="s">
        <v>602</v>
      </c>
      <c r="DF85" s="16" t="s">
        <v>129</v>
      </c>
      <c r="DG85" s="19"/>
      <c r="DH85" s="19"/>
      <c r="DI85" s="19"/>
      <c r="DJ85" s="19"/>
      <c r="DK85" s="19"/>
      <c r="DL85" s="19"/>
      <c r="DM85" s="21" t="s">
        <v>599</v>
      </c>
      <c r="DN85" s="23"/>
      <c r="DO85" s="19"/>
    </row>
    <row r="86" ht="15.75" customHeight="1">
      <c r="A86" s="15">
        <v>84.0</v>
      </c>
      <c r="B86" s="16" t="s">
        <v>603</v>
      </c>
      <c r="C86" s="17">
        <v>3.1804262501922E13</v>
      </c>
      <c r="D86" s="18">
        <v>73.0</v>
      </c>
      <c r="E86" s="16" t="s">
        <v>595</v>
      </c>
      <c r="F86" s="16" t="s">
        <v>595</v>
      </c>
      <c r="G86" s="16" t="s">
        <v>547</v>
      </c>
      <c r="H86" s="20">
        <v>43216.0</v>
      </c>
      <c r="I86" s="16"/>
      <c r="J86" s="18">
        <v>1.0</v>
      </c>
      <c r="K86" s="16" t="s">
        <v>601</v>
      </c>
      <c r="L86" s="21" t="s">
        <v>138</v>
      </c>
      <c r="M86" s="23"/>
      <c r="N86" s="19"/>
      <c r="O86" s="19"/>
      <c r="P86" s="19"/>
      <c r="Q86" s="19"/>
      <c r="R86" s="19"/>
      <c r="S86" s="19"/>
      <c r="T86" s="19"/>
      <c r="U86" s="19"/>
      <c r="V86" s="16" t="s">
        <v>139</v>
      </c>
      <c r="W86" s="16" t="s">
        <v>46</v>
      </c>
      <c r="X86" s="16" t="s">
        <v>47</v>
      </c>
      <c r="Y86" s="21" t="s">
        <v>48</v>
      </c>
      <c r="Z86" s="23"/>
      <c r="AA86" s="19"/>
      <c r="AB86" s="19"/>
      <c r="AC86" s="19"/>
      <c r="AD86" s="19"/>
      <c r="AE86" s="19"/>
      <c r="AF86" s="19"/>
      <c r="AG86" s="19"/>
      <c r="AH86" s="21" t="s">
        <v>123</v>
      </c>
      <c r="AI86" s="23"/>
      <c r="AJ86" s="16" t="s">
        <v>124</v>
      </c>
      <c r="AK86" s="16" t="s">
        <v>153</v>
      </c>
      <c r="AL86" s="16" t="s">
        <v>143</v>
      </c>
      <c r="AM86" s="16" t="s">
        <v>126</v>
      </c>
      <c r="AN86" s="16" t="s">
        <v>597</v>
      </c>
      <c r="AO86" s="16" t="s">
        <v>143</v>
      </c>
      <c r="AP86" s="16" t="s">
        <v>597</v>
      </c>
      <c r="AQ86" s="16" t="s">
        <v>126</v>
      </c>
      <c r="AR86" s="16" t="s">
        <v>598</v>
      </c>
      <c r="AS86" s="21" t="s">
        <v>65</v>
      </c>
      <c r="AT86" s="22"/>
      <c r="AU86" s="23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21" t="s">
        <v>78</v>
      </c>
      <c r="BH86" s="23"/>
      <c r="BI86" s="19"/>
      <c r="BJ86" s="19"/>
      <c r="BK86" s="16" t="s">
        <v>81</v>
      </c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21" t="s">
        <v>94</v>
      </c>
      <c r="CA86" s="22"/>
      <c r="CB86" s="23"/>
      <c r="CC86" s="19"/>
      <c r="CD86" s="19"/>
      <c r="CE86" s="19"/>
      <c r="CF86" s="19"/>
      <c r="CG86" s="16" t="s">
        <v>158</v>
      </c>
      <c r="CH86" s="19"/>
      <c r="CI86" s="19"/>
      <c r="CJ86" s="21" t="s">
        <v>102</v>
      </c>
      <c r="CK86" s="22"/>
      <c r="CL86" s="23"/>
      <c r="CM86" s="19"/>
      <c r="CN86" s="16" t="s">
        <v>302</v>
      </c>
      <c r="CO86" s="19"/>
      <c r="CP86" s="19"/>
      <c r="CQ86" s="19"/>
      <c r="CR86" s="19"/>
      <c r="CS86" s="19"/>
      <c r="CT86" s="19"/>
      <c r="CU86" s="19"/>
      <c r="CV86" s="21" t="s">
        <v>154</v>
      </c>
      <c r="CW86" s="23"/>
      <c r="CX86" s="19"/>
      <c r="CY86" s="19"/>
      <c r="CZ86" s="19"/>
      <c r="DA86" s="19"/>
      <c r="DB86" s="19"/>
      <c r="DC86" s="16" t="s">
        <v>145</v>
      </c>
      <c r="DD86" s="16" t="s">
        <v>129</v>
      </c>
      <c r="DE86" s="16" t="s">
        <v>602</v>
      </c>
      <c r="DF86" s="16" t="s">
        <v>129</v>
      </c>
      <c r="DG86" s="19"/>
      <c r="DH86" s="19"/>
      <c r="DI86" s="19"/>
      <c r="DJ86" s="19"/>
      <c r="DK86" s="19"/>
      <c r="DL86" s="19"/>
      <c r="DM86" s="21" t="s">
        <v>599</v>
      </c>
      <c r="DN86" s="23"/>
      <c r="DO86" s="19"/>
    </row>
    <row r="87" ht="15.75" customHeight="1">
      <c r="A87" s="15">
        <v>85.0</v>
      </c>
      <c r="B87" s="16" t="s">
        <v>604</v>
      </c>
      <c r="C87" s="17">
        <v>3.1505132389514E13</v>
      </c>
      <c r="D87" s="18">
        <v>20.0</v>
      </c>
      <c r="E87" s="16" t="s">
        <v>605</v>
      </c>
      <c r="F87" s="16" t="s">
        <v>606</v>
      </c>
      <c r="G87" s="16" t="s">
        <v>547</v>
      </c>
      <c r="H87" s="20">
        <v>42137.0</v>
      </c>
      <c r="I87" s="18">
        <v>1.0</v>
      </c>
      <c r="J87" s="19"/>
      <c r="K87" s="16" t="s">
        <v>607</v>
      </c>
      <c r="L87" s="21" t="s">
        <v>138</v>
      </c>
      <c r="M87" s="23"/>
      <c r="N87" s="19"/>
      <c r="O87" s="19"/>
      <c r="P87" s="19"/>
      <c r="Q87" s="19"/>
      <c r="R87" s="19"/>
      <c r="S87" s="19"/>
      <c r="T87" s="19"/>
      <c r="U87" s="19"/>
      <c r="V87" s="16" t="s">
        <v>608</v>
      </c>
      <c r="W87" s="16" t="s">
        <v>46</v>
      </c>
      <c r="X87" s="16" t="s">
        <v>47</v>
      </c>
      <c r="Y87" s="21" t="s">
        <v>48</v>
      </c>
      <c r="Z87" s="23"/>
      <c r="AA87" s="19"/>
      <c r="AB87" s="19"/>
      <c r="AC87" s="19"/>
      <c r="AD87" s="19"/>
      <c r="AE87" s="19"/>
      <c r="AF87" s="19"/>
      <c r="AG87" s="19"/>
      <c r="AH87" s="21" t="s">
        <v>123</v>
      </c>
      <c r="AI87" s="23"/>
      <c r="AJ87" s="16" t="s">
        <v>168</v>
      </c>
      <c r="AK87" s="16" t="s">
        <v>153</v>
      </c>
      <c r="AL87" s="16" t="s">
        <v>181</v>
      </c>
      <c r="AM87" s="16" t="s">
        <v>181</v>
      </c>
      <c r="AN87" s="16" t="s">
        <v>181</v>
      </c>
      <c r="AO87" s="16" t="s">
        <v>181</v>
      </c>
      <c r="AP87" s="16" t="s">
        <v>181</v>
      </c>
      <c r="AQ87" s="16" t="s">
        <v>181</v>
      </c>
      <c r="AR87" s="16" t="s">
        <v>181</v>
      </c>
      <c r="AS87" s="19"/>
      <c r="AT87" s="19"/>
      <c r="AU87" s="16" t="s">
        <v>67</v>
      </c>
      <c r="AV87" s="16" t="s">
        <v>68</v>
      </c>
      <c r="AW87" s="16" t="s">
        <v>69</v>
      </c>
      <c r="AX87" s="16" t="s">
        <v>70</v>
      </c>
      <c r="AY87" s="21" t="s">
        <v>71</v>
      </c>
      <c r="AZ87" s="22"/>
      <c r="BA87" s="23"/>
      <c r="BB87" s="19"/>
      <c r="BC87" s="19"/>
      <c r="BD87" s="19"/>
      <c r="BE87" s="19"/>
      <c r="BF87" s="19"/>
      <c r="BG87" s="16" t="s">
        <v>78</v>
      </c>
      <c r="BH87" s="16" t="s">
        <v>79</v>
      </c>
      <c r="BI87" s="21" t="s">
        <v>52</v>
      </c>
      <c r="BJ87" s="23"/>
      <c r="BK87" s="16" t="s">
        <v>81</v>
      </c>
      <c r="BL87" s="21" t="s">
        <v>82</v>
      </c>
      <c r="BM87" s="23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21" t="s">
        <v>97</v>
      </c>
      <c r="CD87" s="23"/>
      <c r="CE87" s="19"/>
      <c r="CF87" s="19"/>
      <c r="CG87" s="16" t="s">
        <v>128</v>
      </c>
      <c r="CH87" s="16" t="s">
        <v>100</v>
      </c>
      <c r="CI87" s="16" t="s">
        <v>101</v>
      </c>
      <c r="CJ87" s="16" t="s">
        <v>102</v>
      </c>
      <c r="CK87" s="16" t="s">
        <v>103</v>
      </c>
      <c r="CL87" s="21" t="s">
        <v>104</v>
      </c>
      <c r="CM87" s="23"/>
      <c r="CN87" s="16" t="s">
        <v>128</v>
      </c>
      <c r="CO87" s="16" t="s">
        <v>105</v>
      </c>
      <c r="CP87" s="16" t="s">
        <v>106</v>
      </c>
      <c r="CQ87" s="16" t="s">
        <v>107</v>
      </c>
      <c r="CR87" s="16" t="s">
        <v>108</v>
      </c>
      <c r="CS87" s="16" t="s">
        <v>109</v>
      </c>
      <c r="CT87" s="21" t="s">
        <v>110</v>
      </c>
      <c r="CU87" s="23"/>
      <c r="CV87" s="16" t="s">
        <v>128</v>
      </c>
      <c r="CW87" s="16" t="s">
        <v>111</v>
      </c>
      <c r="CX87" s="21" t="s">
        <v>112</v>
      </c>
      <c r="CY87" s="22"/>
      <c r="CZ87" s="23"/>
      <c r="DA87" s="21" t="s">
        <v>115</v>
      </c>
      <c r="DB87" s="23"/>
      <c r="DC87" s="16" t="s">
        <v>129</v>
      </c>
      <c r="DD87" s="16" t="s">
        <v>129</v>
      </c>
      <c r="DE87" s="16" t="s">
        <v>129</v>
      </c>
      <c r="DF87" s="16" t="s">
        <v>129</v>
      </c>
      <c r="DG87" s="16" t="s">
        <v>609</v>
      </c>
      <c r="DH87" s="16" t="s">
        <v>610</v>
      </c>
      <c r="DI87" s="16" t="s">
        <v>611</v>
      </c>
      <c r="DJ87" s="16" t="s">
        <v>612</v>
      </c>
      <c r="DK87" s="16" t="s">
        <v>613</v>
      </c>
      <c r="DL87" s="16" t="s">
        <v>144</v>
      </c>
      <c r="DM87" s="16" t="s">
        <v>614</v>
      </c>
      <c r="DN87" s="16" t="s">
        <v>615</v>
      </c>
      <c r="DO87" s="16" t="s">
        <v>616</v>
      </c>
    </row>
    <row r="88" ht="15.75" customHeight="1">
      <c r="A88" s="15">
        <v>86.0</v>
      </c>
      <c r="B88" s="16" t="s">
        <v>617</v>
      </c>
      <c r="C88" s="17">
        <v>3.1706132500914E13</v>
      </c>
      <c r="D88" s="18">
        <v>99.0</v>
      </c>
      <c r="E88" s="16" t="s">
        <v>618</v>
      </c>
      <c r="F88" s="16" t="s">
        <v>606</v>
      </c>
      <c r="G88" s="16" t="s">
        <v>547</v>
      </c>
      <c r="H88" s="19"/>
      <c r="I88" s="18">
        <v>1.0</v>
      </c>
      <c r="J88" s="19"/>
      <c r="K88" s="16" t="s">
        <v>619</v>
      </c>
      <c r="L88" s="21" t="s">
        <v>138</v>
      </c>
      <c r="M88" s="23"/>
      <c r="N88" s="19"/>
      <c r="O88" s="19"/>
      <c r="P88" s="19"/>
      <c r="Q88" s="19"/>
      <c r="R88" s="19"/>
      <c r="S88" s="19"/>
      <c r="T88" s="19"/>
      <c r="U88" s="19"/>
      <c r="V88" s="21" t="s">
        <v>608</v>
      </c>
      <c r="W88" s="23"/>
      <c r="X88" s="19"/>
      <c r="Y88" s="21" t="s">
        <v>48</v>
      </c>
      <c r="Z88" s="23"/>
      <c r="AA88" s="16" t="s">
        <v>50</v>
      </c>
      <c r="AB88" s="19"/>
      <c r="AC88" s="19"/>
      <c r="AD88" s="19"/>
      <c r="AE88" s="19"/>
      <c r="AF88" s="19"/>
      <c r="AG88" s="19"/>
      <c r="AH88" s="21" t="s">
        <v>123</v>
      </c>
      <c r="AI88" s="23"/>
      <c r="AJ88" s="16" t="s">
        <v>168</v>
      </c>
      <c r="AK88" s="16" t="s">
        <v>153</v>
      </c>
      <c r="AL88" s="16" t="s">
        <v>181</v>
      </c>
      <c r="AM88" s="16" t="s">
        <v>181</v>
      </c>
      <c r="AN88" s="16" t="s">
        <v>181</v>
      </c>
      <c r="AO88" s="16" t="s">
        <v>181</v>
      </c>
      <c r="AP88" s="16" t="s">
        <v>181</v>
      </c>
      <c r="AQ88" s="16" t="s">
        <v>181</v>
      </c>
      <c r="AR88" s="16" t="s">
        <v>181</v>
      </c>
      <c r="AS88" s="19"/>
      <c r="AT88" s="19"/>
      <c r="AU88" s="16" t="s">
        <v>67</v>
      </c>
      <c r="AV88" s="16" t="s">
        <v>68</v>
      </c>
      <c r="AW88" s="16" t="s">
        <v>69</v>
      </c>
      <c r="AX88" s="16" t="s">
        <v>70</v>
      </c>
      <c r="AY88" s="21" t="s">
        <v>71</v>
      </c>
      <c r="AZ88" s="22"/>
      <c r="BA88" s="23"/>
      <c r="BB88" s="19"/>
      <c r="BC88" s="19"/>
      <c r="BD88" s="19"/>
      <c r="BE88" s="19"/>
      <c r="BF88" s="19"/>
      <c r="BG88" s="19"/>
      <c r="BH88" s="19"/>
      <c r="BI88" s="19"/>
      <c r="BJ88" s="19"/>
      <c r="BK88" s="16" t="s">
        <v>81</v>
      </c>
      <c r="BL88" s="19"/>
      <c r="BM88" s="19"/>
      <c r="BN88" s="16" t="s">
        <v>84</v>
      </c>
      <c r="BO88" s="21" t="s">
        <v>85</v>
      </c>
      <c r="BP88" s="22"/>
      <c r="BQ88" s="22"/>
      <c r="BR88" s="23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21" t="s">
        <v>97</v>
      </c>
      <c r="CD88" s="23"/>
      <c r="CE88" s="19"/>
      <c r="CF88" s="19"/>
      <c r="CG88" s="16" t="s">
        <v>128</v>
      </c>
      <c r="CH88" s="16" t="s">
        <v>100</v>
      </c>
      <c r="CI88" s="16" t="s">
        <v>101</v>
      </c>
      <c r="CJ88" s="16" t="s">
        <v>102</v>
      </c>
      <c r="CK88" s="16" t="s">
        <v>103</v>
      </c>
      <c r="CL88" s="21" t="s">
        <v>104</v>
      </c>
      <c r="CM88" s="23"/>
      <c r="CN88" s="16" t="s">
        <v>128</v>
      </c>
      <c r="CO88" s="16" t="s">
        <v>105</v>
      </c>
      <c r="CP88" s="16" t="s">
        <v>106</v>
      </c>
      <c r="CQ88" s="16" t="s">
        <v>107</v>
      </c>
      <c r="CR88" s="16" t="s">
        <v>108</v>
      </c>
      <c r="CS88" s="16" t="s">
        <v>109</v>
      </c>
      <c r="CT88" s="21" t="s">
        <v>110</v>
      </c>
      <c r="CU88" s="23"/>
      <c r="CV88" s="16" t="s">
        <v>128</v>
      </c>
      <c r="CW88" s="16" t="s">
        <v>111</v>
      </c>
      <c r="CX88" s="21" t="s">
        <v>112</v>
      </c>
      <c r="CY88" s="22"/>
      <c r="CZ88" s="23"/>
      <c r="DA88" s="21" t="s">
        <v>115</v>
      </c>
      <c r="DB88" s="23"/>
      <c r="DC88" s="16" t="s">
        <v>129</v>
      </c>
      <c r="DD88" s="16" t="s">
        <v>129</v>
      </c>
      <c r="DE88" s="16" t="s">
        <v>129</v>
      </c>
      <c r="DF88" s="16" t="s">
        <v>129</v>
      </c>
      <c r="DG88" s="16" t="s">
        <v>620</v>
      </c>
      <c r="DH88" s="16" t="s">
        <v>609</v>
      </c>
      <c r="DI88" s="16" t="s">
        <v>621</v>
      </c>
      <c r="DJ88" s="16" t="s">
        <v>144</v>
      </c>
      <c r="DK88" s="16" t="s">
        <v>144</v>
      </c>
      <c r="DL88" s="16" t="s">
        <v>144</v>
      </c>
      <c r="DM88" s="16" t="s">
        <v>622</v>
      </c>
      <c r="DN88" s="16" t="s">
        <v>144</v>
      </c>
      <c r="DO88" s="16" t="s">
        <v>144</v>
      </c>
    </row>
    <row r="89" ht="15.75" customHeight="1">
      <c r="A89" s="15">
        <v>87.0</v>
      </c>
      <c r="B89" s="16" t="s">
        <v>623</v>
      </c>
      <c r="C89" s="17">
        <v>3.1808242500513E13</v>
      </c>
      <c r="D89" s="18">
        <v>146.0</v>
      </c>
      <c r="E89" s="16" t="s">
        <v>624</v>
      </c>
      <c r="F89" s="16" t="s">
        <v>546</v>
      </c>
      <c r="G89" s="16" t="s">
        <v>547</v>
      </c>
      <c r="H89" s="20">
        <v>43336.0</v>
      </c>
      <c r="I89" s="16"/>
      <c r="J89" s="18">
        <v>1.0</v>
      </c>
      <c r="K89" s="16" t="s">
        <v>625</v>
      </c>
      <c r="L89" s="21" t="s">
        <v>138</v>
      </c>
      <c r="M89" s="23"/>
      <c r="N89" s="19"/>
      <c r="O89" s="19"/>
      <c r="P89" s="19"/>
      <c r="Q89" s="19"/>
      <c r="R89" s="19"/>
      <c r="S89" s="19"/>
      <c r="T89" s="19"/>
      <c r="U89" s="19"/>
      <c r="V89" s="16" t="s">
        <v>127</v>
      </c>
      <c r="W89" s="16" t="s">
        <v>46</v>
      </c>
      <c r="X89" s="21" t="s">
        <v>47</v>
      </c>
      <c r="Y89" s="23"/>
      <c r="Z89" s="19"/>
      <c r="AA89" s="19"/>
      <c r="AB89" s="19"/>
      <c r="AC89" s="19"/>
      <c r="AD89" s="19"/>
      <c r="AE89" s="19"/>
      <c r="AF89" s="19"/>
      <c r="AG89" s="19"/>
      <c r="AH89" s="21" t="s">
        <v>123</v>
      </c>
      <c r="AI89" s="23"/>
      <c r="AJ89" s="16" t="s">
        <v>168</v>
      </c>
      <c r="AK89" s="16" t="s">
        <v>153</v>
      </c>
      <c r="AL89" s="16" t="s">
        <v>126</v>
      </c>
      <c r="AM89" s="16" t="s">
        <v>126</v>
      </c>
      <c r="AN89" s="16" t="s">
        <v>126</v>
      </c>
      <c r="AO89" s="16" t="s">
        <v>126</v>
      </c>
      <c r="AP89" s="16" t="s">
        <v>126</v>
      </c>
      <c r="AQ89" s="16" t="s">
        <v>126</v>
      </c>
      <c r="AR89" s="16" t="s">
        <v>597</v>
      </c>
      <c r="AS89" s="21" t="s">
        <v>65</v>
      </c>
      <c r="AT89" s="22"/>
      <c r="AU89" s="23"/>
      <c r="AV89" s="19"/>
      <c r="AW89" s="16" t="s">
        <v>69</v>
      </c>
      <c r="AX89" s="16" t="s">
        <v>70</v>
      </c>
      <c r="AY89" s="21" t="s">
        <v>71</v>
      </c>
      <c r="AZ89" s="22"/>
      <c r="BA89" s="23"/>
      <c r="BB89" s="19"/>
      <c r="BC89" s="19"/>
      <c r="BD89" s="19"/>
      <c r="BE89" s="19"/>
      <c r="BF89" s="16" t="s">
        <v>127</v>
      </c>
      <c r="BG89" s="21" t="s">
        <v>78</v>
      </c>
      <c r="BH89" s="23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6" t="s">
        <v>127</v>
      </c>
      <c r="BY89" s="19"/>
      <c r="BZ89" s="19"/>
      <c r="CA89" s="19"/>
      <c r="CB89" s="19"/>
      <c r="CC89" s="19"/>
      <c r="CD89" s="19"/>
      <c r="CE89" s="19"/>
      <c r="CF89" s="16" t="s">
        <v>127</v>
      </c>
      <c r="CG89" s="16" t="s">
        <v>128</v>
      </c>
      <c r="CH89" s="16" t="s">
        <v>100</v>
      </c>
      <c r="CI89" s="16" t="s">
        <v>101</v>
      </c>
      <c r="CJ89" s="21" t="s">
        <v>102</v>
      </c>
      <c r="CK89" s="23"/>
      <c r="CL89" s="21" t="s">
        <v>104</v>
      </c>
      <c r="CM89" s="23"/>
      <c r="CN89" s="16" t="s">
        <v>128</v>
      </c>
      <c r="CO89" s="16" t="s">
        <v>105</v>
      </c>
      <c r="CP89" s="21" t="s">
        <v>106</v>
      </c>
      <c r="CQ89" s="22"/>
      <c r="CR89" s="22"/>
      <c r="CS89" s="23"/>
      <c r="CT89" s="21" t="s">
        <v>110</v>
      </c>
      <c r="CU89" s="23"/>
      <c r="CV89" s="16" t="s">
        <v>128</v>
      </c>
      <c r="CW89" s="19"/>
      <c r="CX89" s="21" t="s">
        <v>112</v>
      </c>
      <c r="CY89" s="23"/>
      <c r="CZ89" s="16" t="s">
        <v>114</v>
      </c>
      <c r="DA89" s="21" t="s">
        <v>115</v>
      </c>
      <c r="DB89" s="23"/>
      <c r="DC89" s="16" t="s">
        <v>129</v>
      </c>
      <c r="DD89" s="16" t="s">
        <v>129</v>
      </c>
      <c r="DE89" s="16" t="s">
        <v>129</v>
      </c>
      <c r="DF89" s="16" t="s">
        <v>129</v>
      </c>
      <c r="DG89" s="16" t="s">
        <v>626</v>
      </c>
      <c r="DH89" s="16" t="s">
        <v>627</v>
      </c>
      <c r="DI89" s="21" t="s">
        <v>628</v>
      </c>
      <c r="DJ89" s="23"/>
      <c r="DK89" s="19"/>
      <c r="DL89" s="19"/>
      <c r="DM89" s="16" t="s">
        <v>629</v>
      </c>
      <c r="DN89" s="21" t="s">
        <v>630</v>
      </c>
      <c r="DO89" s="23"/>
    </row>
    <row r="90" ht="15.75" customHeight="1">
      <c r="A90" s="15">
        <v>88.0</v>
      </c>
      <c r="B90" s="16" t="s">
        <v>631</v>
      </c>
      <c r="C90" s="17">
        <v>3.1507222504037E13</v>
      </c>
      <c r="D90" s="18">
        <v>82.0</v>
      </c>
      <c r="E90" s="16" t="s">
        <v>632</v>
      </c>
      <c r="F90" s="16" t="s">
        <v>606</v>
      </c>
      <c r="G90" s="16" t="s">
        <v>547</v>
      </c>
      <c r="H90" s="20">
        <v>42207.0</v>
      </c>
      <c r="I90" s="18">
        <v>1.0</v>
      </c>
      <c r="J90" s="19"/>
      <c r="K90" s="16" t="s">
        <v>633</v>
      </c>
      <c r="L90" s="21" t="s">
        <v>138</v>
      </c>
      <c r="M90" s="23"/>
      <c r="N90" s="19"/>
      <c r="O90" s="19"/>
      <c r="P90" s="19"/>
      <c r="Q90" s="19"/>
      <c r="R90" s="19"/>
      <c r="S90" s="19"/>
      <c r="T90" s="19"/>
      <c r="U90" s="19"/>
      <c r="V90" s="16" t="s">
        <v>139</v>
      </c>
      <c r="W90" s="16" t="s">
        <v>46</v>
      </c>
      <c r="X90" s="19"/>
      <c r="Y90" s="21" t="s">
        <v>48</v>
      </c>
      <c r="Z90" s="23"/>
      <c r="AA90" s="16" t="s">
        <v>50</v>
      </c>
      <c r="AB90" s="19"/>
      <c r="AC90" s="19"/>
      <c r="AD90" s="19"/>
      <c r="AE90" s="19"/>
      <c r="AF90" s="19"/>
      <c r="AG90" s="19"/>
      <c r="AH90" s="19"/>
      <c r="AI90" s="19"/>
      <c r="AJ90" s="16" t="s">
        <v>124</v>
      </c>
      <c r="AK90" s="16" t="s">
        <v>153</v>
      </c>
      <c r="AL90" s="16" t="s">
        <v>181</v>
      </c>
      <c r="AM90" s="16" t="s">
        <v>181</v>
      </c>
      <c r="AN90" s="16" t="s">
        <v>181</v>
      </c>
      <c r="AO90" s="16" t="s">
        <v>181</v>
      </c>
      <c r="AP90" s="16" t="s">
        <v>181</v>
      </c>
      <c r="AQ90" s="16" t="s">
        <v>181</v>
      </c>
      <c r="AR90" s="16" t="s">
        <v>181</v>
      </c>
      <c r="AS90" s="21" t="s">
        <v>65</v>
      </c>
      <c r="AT90" s="23"/>
      <c r="AU90" s="16" t="s">
        <v>67</v>
      </c>
      <c r="AV90" s="16" t="s">
        <v>68</v>
      </c>
      <c r="AW90" s="16" t="s">
        <v>69</v>
      </c>
      <c r="AX90" s="21" t="s">
        <v>70</v>
      </c>
      <c r="AY90" s="22"/>
      <c r="AZ90" s="23"/>
      <c r="BA90" s="19"/>
      <c r="BB90" s="19"/>
      <c r="BC90" s="19"/>
      <c r="BD90" s="19"/>
      <c r="BE90" s="19"/>
      <c r="BF90" s="19"/>
      <c r="BG90" s="16" t="s">
        <v>78</v>
      </c>
      <c r="BH90" s="21" t="s">
        <v>79</v>
      </c>
      <c r="BI90" s="23"/>
      <c r="BJ90" s="19"/>
      <c r="BK90" s="16" t="s">
        <v>81</v>
      </c>
      <c r="BL90" s="21" t="s">
        <v>82</v>
      </c>
      <c r="BM90" s="23"/>
      <c r="BN90" s="19"/>
      <c r="BO90" s="21" t="s">
        <v>85</v>
      </c>
      <c r="BP90" s="22"/>
      <c r="BQ90" s="22"/>
      <c r="BR90" s="23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21" t="s">
        <v>97</v>
      </c>
      <c r="CD90" s="23"/>
      <c r="CE90" s="19"/>
      <c r="CF90" s="19"/>
      <c r="CG90" s="16" t="s">
        <v>128</v>
      </c>
      <c r="CH90" s="16" t="s">
        <v>100</v>
      </c>
      <c r="CI90" s="16" t="s">
        <v>101</v>
      </c>
      <c r="CJ90" s="16" t="s">
        <v>102</v>
      </c>
      <c r="CK90" s="16" t="s">
        <v>103</v>
      </c>
      <c r="CL90" s="21" t="s">
        <v>104</v>
      </c>
      <c r="CM90" s="23"/>
      <c r="CN90" s="16" t="s">
        <v>128</v>
      </c>
      <c r="CO90" s="16" t="s">
        <v>105</v>
      </c>
      <c r="CP90" s="16" t="s">
        <v>106</v>
      </c>
      <c r="CQ90" s="16" t="s">
        <v>107</v>
      </c>
      <c r="CR90" s="16" t="s">
        <v>108</v>
      </c>
      <c r="CS90" s="16" t="s">
        <v>109</v>
      </c>
      <c r="CT90" s="21" t="s">
        <v>110</v>
      </c>
      <c r="CU90" s="23"/>
      <c r="CV90" s="16" t="s">
        <v>128</v>
      </c>
      <c r="CW90" s="16" t="s">
        <v>111</v>
      </c>
      <c r="CX90" s="16" t="s">
        <v>112</v>
      </c>
      <c r="CY90" s="16" t="s">
        <v>113</v>
      </c>
      <c r="CZ90" s="16" t="s">
        <v>114</v>
      </c>
      <c r="DA90" s="21" t="s">
        <v>115</v>
      </c>
      <c r="DB90" s="23"/>
      <c r="DC90" s="16" t="s">
        <v>129</v>
      </c>
      <c r="DD90" s="16" t="s">
        <v>129</v>
      </c>
      <c r="DE90" s="16" t="s">
        <v>129</v>
      </c>
      <c r="DF90" s="16" t="s">
        <v>129</v>
      </c>
      <c r="DG90" s="16" t="s">
        <v>634</v>
      </c>
      <c r="DH90" s="16" t="s">
        <v>635</v>
      </c>
      <c r="DI90" s="16" t="s">
        <v>636</v>
      </c>
      <c r="DJ90" s="16" t="s">
        <v>144</v>
      </c>
      <c r="DK90" s="16" t="s">
        <v>144</v>
      </c>
      <c r="DL90" s="16" t="s">
        <v>144</v>
      </c>
      <c r="DM90" s="16" t="s">
        <v>614</v>
      </c>
      <c r="DN90" s="16" t="s">
        <v>144</v>
      </c>
      <c r="DO90" s="16" t="s">
        <v>144</v>
      </c>
    </row>
    <row r="91" ht="15.75" customHeight="1">
      <c r="A91" s="15">
        <v>89.0</v>
      </c>
      <c r="B91" s="16" t="s">
        <v>637</v>
      </c>
      <c r="C91" s="17">
        <v>3.1307152501705E13</v>
      </c>
      <c r="D91" s="18">
        <v>141.0</v>
      </c>
      <c r="E91" s="16" t="s">
        <v>624</v>
      </c>
      <c r="F91" s="16" t="s">
        <v>546</v>
      </c>
      <c r="G91" s="16" t="s">
        <v>547</v>
      </c>
      <c r="H91" s="20">
        <v>41470.0</v>
      </c>
      <c r="I91" s="16"/>
      <c r="J91" s="18">
        <v>1.0</v>
      </c>
      <c r="K91" s="16" t="s">
        <v>625</v>
      </c>
      <c r="L91" s="21" t="s">
        <v>138</v>
      </c>
      <c r="M91" s="23"/>
      <c r="N91" s="19"/>
      <c r="O91" s="19"/>
      <c r="P91" s="19"/>
      <c r="Q91" s="19"/>
      <c r="R91" s="19"/>
      <c r="S91" s="19"/>
      <c r="T91" s="19"/>
      <c r="U91" s="19"/>
      <c r="V91" s="16" t="s">
        <v>127</v>
      </c>
      <c r="W91" s="16" t="s">
        <v>46</v>
      </c>
      <c r="X91" s="19"/>
      <c r="Y91" s="21" t="s">
        <v>48</v>
      </c>
      <c r="Z91" s="23"/>
      <c r="AA91" s="19"/>
      <c r="AB91" s="19"/>
      <c r="AC91" s="19"/>
      <c r="AD91" s="19"/>
      <c r="AE91" s="19"/>
      <c r="AF91" s="19"/>
      <c r="AG91" s="19"/>
      <c r="AH91" s="21" t="s">
        <v>152</v>
      </c>
      <c r="AI91" s="23"/>
      <c r="AJ91" s="16" t="s">
        <v>168</v>
      </c>
      <c r="AK91" s="16" t="s">
        <v>153</v>
      </c>
      <c r="AL91" s="16" t="s">
        <v>126</v>
      </c>
      <c r="AM91" s="16" t="s">
        <v>126</v>
      </c>
      <c r="AN91" s="16" t="s">
        <v>126</v>
      </c>
      <c r="AO91" s="16" t="s">
        <v>126</v>
      </c>
      <c r="AP91" s="16" t="s">
        <v>126</v>
      </c>
      <c r="AQ91" s="16" t="s">
        <v>126</v>
      </c>
      <c r="AR91" s="16" t="s">
        <v>597</v>
      </c>
      <c r="AS91" s="19"/>
      <c r="AT91" s="19"/>
      <c r="AU91" s="19"/>
      <c r="AV91" s="16" t="s">
        <v>68</v>
      </c>
      <c r="AW91" s="16" t="s">
        <v>69</v>
      </c>
      <c r="AX91" s="16" t="s">
        <v>70</v>
      </c>
      <c r="AY91" s="21" t="s">
        <v>71</v>
      </c>
      <c r="AZ91" s="22"/>
      <c r="BA91" s="23"/>
      <c r="BB91" s="19"/>
      <c r="BC91" s="19"/>
      <c r="BD91" s="19"/>
      <c r="BE91" s="19"/>
      <c r="BF91" s="16" t="s">
        <v>127</v>
      </c>
      <c r="BG91" s="19"/>
      <c r="BH91" s="19"/>
      <c r="BI91" s="19"/>
      <c r="BJ91" s="19"/>
      <c r="BK91" s="16" t="s">
        <v>81</v>
      </c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6" t="s">
        <v>127</v>
      </c>
      <c r="BY91" s="19"/>
      <c r="BZ91" s="19"/>
      <c r="CA91" s="19"/>
      <c r="CB91" s="19"/>
      <c r="CC91" s="19"/>
      <c r="CD91" s="19"/>
      <c r="CE91" s="19"/>
      <c r="CF91" s="16" t="s">
        <v>127</v>
      </c>
      <c r="CG91" s="16" t="s">
        <v>128</v>
      </c>
      <c r="CH91" s="16" t="s">
        <v>100</v>
      </c>
      <c r="CI91" s="16" t="s">
        <v>101</v>
      </c>
      <c r="CJ91" s="21" t="s">
        <v>102</v>
      </c>
      <c r="CK91" s="23"/>
      <c r="CL91" s="21" t="s">
        <v>104</v>
      </c>
      <c r="CM91" s="23"/>
      <c r="CN91" s="16" t="s">
        <v>128</v>
      </c>
      <c r="CO91" s="16" t="s">
        <v>105</v>
      </c>
      <c r="CP91" s="21" t="s">
        <v>106</v>
      </c>
      <c r="CQ91" s="22"/>
      <c r="CR91" s="22"/>
      <c r="CS91" s="23"/>
      <c r="CT91" s="21" t="s">
        <v>110</v>
      </c>
      <c r="CU91" s="23"/>
      <c r="CV91" s="16" t="s">
        <v>128</v>
      </c>
      <c r="CW91" s="19"/>
      <c r="CX91" s="21" t="s">
        <v>112</v>
      </c>
      <c r="CY91" s="22"/>
      <c r="CZ91" s="23"/>
      <c r="DA91" s="21" t="s">
        <v>115</v>
      </c>
      <c r="DB91" s="23"/>
      <c r="DC91" s="16" t="s">
        <v>129</v>
      </c>
      <c r="DD91" s="16" t="s">
        <v>129</v>
      </c>
      <c r="DE91" s="16" t="s">
        <v>129</v>
      </c>
      <c r="DF91" s="16" t="s">
        <v>129</v>
      </c>
      <c r="DG91" s="16" t="s">
        <v>638</v>
      </c>
      <c r="DH91" s="16" t="s">
        <v>639</v>
      </c>
      <c r="DI91" s="16" t="s">
        <v>626</v>
      </c>
      <c r="DJ91" s="19"/>
      <c r="DK91" s="19"/>
      <c r="DL91" s="19"/>
      <c r="DM91" s="16" t="s">
        <v>640</v>
      </c>
      <c r="DN91" s="21" t="s">
        <v>641</v>
      </c>
      <c r="DO91" s="23"/>
    </row>
    <row r="92" ht="15.75" customHeight="1">
      <c r="A92" s="15">
        <v>90.0</v>
      </c>
      <c r="B92" s="16" t="s">
        <v>642</v>
      </c>
      <c r="C92" s="17">
        <v>3.1801212500521E13</v>
      </c>
      <c r="D92" s="18">
        <v>117.0</v>
      </c>
      <c r="E92" s="16" t="s">
        <v>624</v>
      </c>
      <c r="F92" s="16" t="s">
        <v>546</v>
      </c>
      <c r="G92" s="16" t="s">
        <v>547</v>
      </c>
      <c r="H92" s="20">
        <v>43121.0</v>
      </c>
      <c r="I92" s="16"/>
      <c r="J92" s="18">
        <v>1.0</v>
      </c>
      <c r="K92" s="16" t="s">
        <v>643</v>
      </c>
      <c r="L92" s="21" t="s">
        <v>138</v>
      </c>
      <c r="M92" s="23"/>
      <c r="N92" s="19"/>
      <c r="O92" s="19"/>
      <c r="P92" s="19"/>
      <c r="Q92" s="19"/>
      <c r="R92" s="19"/>
      <c r="S92" s="19"/>
      <c r="T92" s="19"/>
      <c r="U92" s="19"/>
      <c r="V92" s="16" t="s">
        <v>127</v>
      </c>
      <c r="W92" s="16" t="s">
        <v>46</v>
      </c>
      <c r="X92" s="21" t="s">
        <v>47</v>
      </c>
      <c r="Y92" s="23"/>
      <c r="Z92" s="19"/>
      <c r="AA92" s="19"/>
      <c r="AB92" s="19"/>
      <c r="AC92" s="19"/>
      <c r="AD92" s="19"/>
      <c r="AE92" s="19"/>
      <c r="AF92" s="19"/>
      <c r="AG92" s="19"/>
      <c r="AH92" s="21" t="s">
        <v>123</v>
      </c>
      <c r="AI92" s="23"/>
      <c r="AJ92" s="16" t="s">
        <v>168</v>
      </c>
      <c r="AK92" s="16" t="s">
        <v>153</v>
      </c>
      <c r="AL92" s="16" t="s">
        <v>126</v>
      </c>
      <c r="AM92" s="16" t="s">
        <v>126</v>
      </c>
      <c r="AN92" s="16" t="s">
        <v>126</v>
      </c>
      <c r="AO92" s="16" t="s">
        <v>126</v>
      </c>
      <c r="AP92" s="16" t="s">
        <v>126</v>
      </c>
      <c r="AQ92" s="16" t="s">
        <v>126</v>
      </c>
      <c r="AR92" s="16" t="s">
        <v>597</v>
      </c>
      <c r="AS92" s="21" t="s">
        <v>65</v>
      </c>
      <c r="AT92" s="22"/>
      <c r="AU92" s="23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6" t="s">
        <v>127</v>
      </c>
      <c r="BG92" s="21" t="s">
        <v>78</v>
      </c>
      <c r="BH92" s="23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6" t="s">
        <v>127</v>
      </c>
      <c r="BY92" s="19"/>
      <c r="BZ92" s="19"/>
      <c r="CA92" s="19"/>
      <c r="CB92" s="19"/>
      <c r="CC92" s="19"/>
      <c r="CD92" s="19"/>
      <c r="CE92" s="19"/>
      <c r="CF92" s="16" t="s">
        <v>127</v>
      </c>
      <c r="CG92" s="16" t="s">
        <v>128</v>
      </c>
      <c r="CH92" s="16" t="s">
        <v>100</v>
      </c>
      <c r="CI92" s="16" t="s">
        <v>101</v>
      </c>
      <c r="CJ92" s="21" t="s">
        <v>102</v>
      </c>
      <c r="CK92" s="22"/>
      <c r="CL92" s="23"/>
      <c r="CM92" s="19"/>
      <c r="CN92" s="16" t="s">
        <v>128</v>
      </c>
      <c r="CO92" s="21" t="s">
        <v>105</v>
      </c>
      <c r="CP92" s="22"/>
      <c r="CQ92" s="23"/>
      <c r="CR92" s="19"/>
      <c r="CS92" s="19"/>
      <c r="CT92" s="21" t="s">
        <v>110</v>
      </c>
      <c r="CU92" s="23"/>
      <c r="CV92" s="16" t="s">
        <v>128</v>
      </c>
      <c r="CW92" s="19"/>
      <c r="CX92" s="21" t="s">
        <v>112</v>
      </c>
      <c r="CY92" s="22"/>
      <c r="CZ92" s="23"/>
      <c r="DA92" s="21" t="s">
        <v>115</v>
      </c>
      <c r="DB92" s="22"/>
      <c r="DC92" s="23"/>
      <c r="DD92" s="16" t="s">
        <v>129</v>
      </c>
      <c r="DE92" s="16" t="s">
        <v>129</v>
      </c>
      <c r="DF92" s="16" t="s">
        <v>129</v>
      </c>
      <c r="DG92" s="16" t="s">
        <v>644</v>
      </c>
      <c r="DH92" s="21" t="s">
        <v>628</v>
      </c>
      <c r="DI92" s="23"/>
      <c r="DJ92" s="19"/>
      <c r="DK92" s="19"/>
      <c r="DL92" s="19"/>
      <c r="DM92" s="16" t="s">
        <v>645</v>
      </c>
      <c r="DN92" s="21" t="s">
        <v>646</v>
      </c>
      <c r="DO92" s="23"/>
    </row>
    <row r="93" ht="15.75" customHeight="1">
      <c r="A93" s="15">
        <v>91.0</v>
      </c>
      <c r="B93" s="16" t="s">
        <v>647</v>
      </c>
      <c r="C93" s="17">
        <v>3.1911082500082E13</v>
      </c>
      <c r="D93" s="18">
        <v>156.0</v>
      </c>
      <c r="E93" s="16" t="s">
        <v>618</v>
      </c>
      <c r="F93" s="16" t="s">
        <v>606</v>
      </c>
      <c r="G93" s="16" t="s">
        <v>547</v>
      </c>
      <c r="H93" s="20">
        <v>43777.0</v>
      </c>
      <c r="I93" s="16"/>
      <c r="J93" s="18">
        <v>1.0</v>
      </c>
      <c r="K93" s="16" t="s">
        <v>648</v>
      </c>
      <c r="L93" s="21" t="s">
        <v>138</v>
      </c>
      <c r="M93" s="23"/>
      <c r="N93" s="19"/>
      <c r="O93" s="19"/>
      <c r="P93" s="19"/>
      <c r="Q93" s="19"/>
      <c r="R93" s="19"/>
      <c r="S93" s="19"/>
      <c r="T93" s="19"/>
      <c r="U93" s="19"/>
      <c r="V93" s="21" t="s">
        <v>271</v>
      </c>
      <c r="W93" s="23"/>
      <c r="X93" s="16" t="s">
        <v>47</v>
      </c>
      <c r="Y93" s="21" t="s">
        <v>48</v>
      </c>
      <c r="Z93" s="23"/>
      <c r="AA93" s="16" t="s">
        <v>50</v>
      </c>
      <c r="AB93" s="19"/>
      <c r="AC93" s="19"/>
      <c r="AD93" s="19"/>
      <c r="AE93" s="19"/>
      <c r="AF93" s="19"/>
      <c r="AG93" s="19"/>
      <c r="AH93" s="21" t="s">
        <v>123</v>
      </c>
      <c r="AI93" s="23"/>
      <c r="AJ93" s="16" t="s">
        <v>124</v>
      </c>
      <c r="AK93" s="16" t="s">
        <v>153</v>
      </c>
      <c r="AL93" s="16" t="s">
        <v>181</v>
      </c>
      <c r="AM93" s="16" t="s">
        <v>181</v>
      </c>
      <c r="AN93" s="16" t="s">
        <v>181</v>
      </c>
      <c r="AO93" s="16" t="s">
        <v>181</v>
      </c>
      <c r="AP93" s="16" t="s">
        <v>181</v>
      </c>
      <c r="AQ93" s="16" t="s">
        <v>181</v>
      </c>
      <c r="AR93" s="16" t="s">
        <v>181</v>
      </c>
      <c r="AS93" s="21" t="s">
        <v>65</v>
      </c>
      <c r="AT93" s="23"/>
      <c r="AU93" s="16" t="s">
        <v>67</v>
      </c>
      <c r="AV93" s="16" t="s">
        <v>68</v>
      </c>
      <c r="AW93" s="16" t="s">
        <v>69</v>
      </c>
      <c r="AX93" s="16" t="s">
        <v>70</v>
      </c>
      <c r="AY93" s="21" t="s">
        <v>71</v>
      </c>
      <c r="AZ93" s="22"/>
      <c r="BA93" s="23"/>
      <c r="BB93" s="19"/>
      <c r="BC93" s="19"/>
      <c r="BD93" s="19"/>
      <c r="BE93" s="19"/>
      <c r="BF93" s="19"/>
      <c r="BG93" s="16" t="s">
        <v>78</v>
      </c>
      <c r="BH93" s="21" t="s">
        <v>79</v>
      </c>
      <c r="BI93" s="23"/>
      <c r="BJ93" s="19"/>
      <c r="BK93" s="19"/>
      <c r="BL93" s="21" t="s">
        <v>82</v>
      </c>
      <c r="BM93" s="23"/>
      <c r="BN93" s="19"/>
      <c r="BO93" s="21" t="s">
        <v>85</v>
      </c>
      <c r="BP93" s="22"/>
      <c r="BQ93" s="22"/>
      <c r="BR93" s="23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21" t="s">
        <v>97</v>
      </c>
      <c r="CD93" s="23"/>
      <c r="CE93" s="21" t="s">
        <v>99</v>
      </c>
      <c r="CF93" s="23"/>
      <c r="CG93" s="16" t="s">
        <v>128</v>
      </c>
      <c r="CH93" s="16" t="s">
        <v>100</v>
      </c>
      <c r="CI93" s="16" t="s">
        <v>101</v>
      </c>
      <c r="CJ93" s="16" t="s">
        <v>102</v>
      </c>
      <c r="CK93" s="16" t="s">
        <v>103</v>
      </c>
      <c r="CL93" s="21" t="s">
        <v>104</v>
      </c>
      <c r="CM93" s="23"/>
      <c r="CN93" s="16" t="s">
        <v>128</v>
      </c>
      <c r="CO93" s="16" t="s">
        <v>105</v>
      </c>
      <c r="CP93" s="16" t="s">
        <v>106</v>
      </c>
      <c r="CQ93" s="16" t="s">
        <v>107</v>
      </c>
      <c r="CR93" s="16" t="s">
        <v>108</v>
      </c>
      <c r="CS93" s="16" t="s">
        <v>109</v>
      </c>
      <c r="CT93" s="21" t="s">
        <v>110</v>
      </c>
      <c r="CU93" s="23"/>
      <c r="CV93" s="16" t="s">
        <v>128</v>
      </c>
      <c r="CW93" s="16" t="s">
        <v>111</v>
      </c>
      <c r="CX93" s="16" t="s">
        <v>112</v>
      </c>
      <c r="CY93" s="21" t="s">
        <v>113</v>
      </c>
      <c r="CZ93" s="23"/>
      <c r="DA93" s="21" t="s">
        <v>115</v>
      </c>
      <c r="DB93" s="23"/>
      <c r="DC93" s="16" t="s">
        <v>129</v>
      </c>
      <c r="DD93" s="16" t="s">
        <v>129</v>
      </c>
      <c r="DE93" s="16" t="s">
        <v>129</v>
      </c>
      <c r="DF93" s="16" t="s">
        <v>129</v>
      </c>
      <c r="DG93" s="16" t="s">
        <v>649</v>
      </c>
      <c r="DH93" s="16" t="s">
        <v>650</v>
      </c>
      <c r="DI93" s="16" t="s">
        <v>651</v>
      </c>
      <c r="DJ93" s="16" t="s">
        <v>144</v>
      </c>
      <c r="DK93" s="16" t="s">
        <v>144</v>
      </c>
      <c r="DL93" s="16" t="s">
        <v>144</v>
      </c>
      <c r="DM93" s="16" t="s">
        <v>144</v>
      </c>
      <c r="DN93" s="16" t="s">
        <v>144</v>
      </c>
      <c r="DO93" s="16" t="s">
        <v>144</v>
      </c>
    </row>
    <row r="94" ht="15.75" customHeight="1">
      <c r="A94" s="15">
        <v>92.0</v>
      </c>
      <c r="B94" s="16" t="s">
        <v>652</v>
      </c>
      <c r="C94" s="17">
        <v>3.1609242500823E13</v>
      </c>
      <c r="D94" s="18">
        <v>109.0</v>
      </c>
      <c r="E94" s="16" t="s">
        <v>624</v>
      </c>
      <c r="F94" s="16" t="s">
        <v>546</v>
      </c>
      <c r="G94" s="16" t="s">
        <v>547</v>
      </c>
      <c r="H94" s="20">
        <v>42637.0</v>
      </c>
      <c r="I94" s="16"/>
      <c r="J94" s="18">
        <v>1.0</v>
      </c>
      <c r="K94" s="16" t="s">
        <v>653</v>
      </c>
      <c r="L94" s="21" t="s">
        <v>138</v>
      </c>
      <c r="M94" s="23"/>
      <c r="N94" s="19"/>
      <c r="O94" s="19"/>
      <c r="P94" s="19"/>
      <c r="Q94" s="19"/>
      <c r="R94" s="19"/>
      <c r="S94" s="19"/>
      <c r="T94" s="19"/>
      <c r="U94" s="19"/>
      <c r="V94" s="16" t="s">
        <v>144</v>
      </c>
      <c r="W94" s="16" t="s">
        <v>46</v>
      </c>
      <c r="X94" s="19"/>
      <c r="Y94" s="21" t="s">
        <v>48</v>
      </c>
      <c r="Z94" s="23"/>
      <c r="AA94" s="19"/>
      <c r="AB94" s="19"/>
      <c r="AC94" s="19"/>
      <c r="AD94" s="19"/>
      <c r="AE94" s="19"/>
      <c r="AF94" s="19"/>
      <c r="AG94" s="19"/>
      <c r="AH94" s="21" t="s">
        <v>123</v>
      </c>
      <c r="AI94" s="23"/>
      <c r="AJ94" s="16" t="s">
        <v>124</v>
      </c>
      <c r="AK94" s="16" t="s">
        <v>153</v>
      </c>
      <c r="AL94" s="16" t="s">
        <v>126</v>
      </c>
      <c r="AM94" s="16" t="s">
        <v>126</v>
      </c>
      <c r="AN94" s="16" t="s">
        <v>126</v>
      </c>
      <c r="AO94" s="16" t="s">
        <v>126</v>
      </c>
      <c r="AP94" s="16" t="s">
        <v>126</v>
      </c>
      <c r="AQ94" s="16" t="s">
        <v>126</v>
      </c>
      <c r="AR94" s="16" t="s">
        <v>597</v>
      </c>
      <c r="AS94" s="19"/>
      <c r="AT94" s="21" t="s">
        <v>66</v>
      </c>
      <c r="AU94" s="23"/>
      <c r="AV94" s="16" t="s">
        <v>68</v>
      </c>
      <c r="AW94" s="16" t="s">
        <v>69</v>
      </c>
      <c r="AX94" s="21" t="s">
        <v>70</v>
      </c>
      <c r="AY94" s="22"/>
      <c r="AZ94" s="23"/>
      <c r="BA94" s="19"/>
      <c r="BB94" s="19"/>
      <c r="BC94" s="19"/>
      <c r="BD94" s="19"/>
      <c r="BE94" s="19"/>
      <c r="BF94" s="16" t="s">
        <v>127</v>
      </c>
      <c r="BG94" s="21" t="s">
        <v>78</v>
      </c>
      <c r="BH94" s="23"/>
      <c r="BI94" s="19"/>
      <c r="BJ94" s="19"/>
      <c r="BK94" s="16" t="s">
        <v>81</v>
      </c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6" t="s">
        <v>127</v>
      </c>
      <c r="BY94" s="19"/>
      <c r="BZ94" s="19"/>
      <c r="CA94" s="19"/>
      <c r="CB94" s="19"/>
      <c r="CC94" s="19"/>
      <c r="CD94" s="19"/>
      <c r="CE94" s="19"/>
      <c r="CF94" s="16" t="s">
        <v>127</v>
      </c>
      <c r="CG94" s="16" t="s">
        <v>128</v>
      </c>
      <c r="CH94" s="16" t="s">
        <v>100</v>
      </c>
      <c r="CI94" s="21" t="s">
        <v>101</v>
      </c>
      <c r="CJ94" s="22"/>
      <c r="CK94" s="23"/>
      <c r="CL94" s="21" t="s">
        <v>104</v>
      </c>
      <c r="CM94" s="23"/>
      <c r="CN94" s="16" t="s">
        <v>128</v>
      </c>
      <c r="CO94" s="16" t="s">
        <v>105</v>
      </c>
      <c r="CP94" s="21" t="s">
        <v>106</v>
      </c>
      <c r="CQ94" s="23"/>
      <c r="CR94" s="21" t="s">
        <v>108</v>
      </c>
      <c r="CS94" s="23"/>
      <c r="CT94" s="19"/>
      <c r="CU94" s="19"/>
      <c r="CV94" s="16" t="s">
        <v>128</v>
      </c>
      <c r="CW94" s="19"/>
      <c r="CX94" s="19"/>
      <c r="CY94" s="19"/>
      <c r="CZ94" s="16" t="s">
        <v>114</v>
      </c>
      <c r="DA94" s="21" t="s">
        <v>115</v>
      </c>
      <c r="DB94" s="23"/>
      <c r="DC94" s="16" t="s">
        <v>145</v>
      </c>
      <c r="DD94" s="16" t="s">
        <v>129</v>
      </c>
      <c r="DE94" s="16" t="s">
        <v>129</v>
      </c>
      <c r="DF94" s="19"/>
      <c r="DG94" s="16" t="s">
        <v>626</v>
      </c>
      <c r="DH94" s="16" t="s">
        <v>654</v>
      </c>
      <c r="DI94" s="19"/>
      <c r="DJ94" s="19"/>
      <c r="DK94" s="19"/>
      <c r="DL94" s="19"/>
      <c r="DM94" s="16" t="s">
        <v>645</v>
      </c>
      <c r="DN94" s="21" t="s">
        <v>655</v>
      </c>
      <c r="DO94" s="23"/>
    </row>
    <row r="95" ht="15.75" customHeight="1">
      <c r="A95" s="15">
        <v>93.0</v>
      </c>
      <c r="B95" s="16" t="s">
        <v>656</v>
      </c>
      <c r="C95" s="17">
        <v>3.1406162504155E13</v>
      </c>
      <c r="D95" s="18">
        <v>127.0</v>
      </c>
      <c r="E95" s="16" t="s">
        <v>624</v>
      </c>
      <c r="F95" s="16" t="s">
        <v>546</v>
      </c>
      <c r="G95" s="16" t="s">
        <v>547</v>
      </c>
      <c r="H95" s="20">
        <v>41806.0</v>
      </c>
      <c r="I95" s="18">
        <v>1.0</v>
      </c>
      <c r="J95" s="19"/>
      <c r="K95" s="16" t="s">
        <v>657</v>
      </c>
      <c r="L95" s="21" t="s">
        <v>138</v>
      </c>
      <c r="M95" s="23"/>
      <c r="N95" s="19"/>
      <c r="O95" s="19"/>
      <c r="P95" s="19"/>
      <c r="Q95" s="19"/>
      <c r="R95" s="19"/>
      <c r="S95" s="19"/>
      <c r="T95" s="19"/>
      <c r="U95" s="19"/>
      <c r="V95" s="16" t="s">
        <v>127</v>
      </c>
      <c r="W95" s="16" t="s">
        <v>46</v>
      </c>
      <c r="X95" s="16" t="s">
        <v>47</v>
      </c>
      <c r="Y95" s="21" t="s">
        <v>48</v>
      </c>
      <c r="Z95" s="23"/>
      <c r="AA95" s="19"/>
      <c r="AB95" s="19"/>
      <c r="AC95" s="19"/>
      <c r="AD95" s="19"/>
      <c r="AE95" s="19"/>
      <c r="AF95" s="19"/>
      <c r="AG95" s="19"/>
      <c r="AH95" s="21" t="s">
        <v>123</v>
      </c>
      <c r="AI95" s="23"/>
      <c r="AJ95" s="16" t="s">
        <v>168</v>
      </c>
      <c r="AK95" s="16" t="s">
        <v>153</v>
      </c>
      <c r="AL95" s="16" t="s">
        <v>126</v>
      </c>
      <c r="AM95" s="16" t="s">
        <v>126</v>
      </c>
      <c r="AN95" s="16" t="s">
        <v>126</v>
      </c>
      <c r="AO95" s="16" t="s">
        <v>126</v>
      </c>
      <c r="AP95" s="16" t="s">
        <v>126</v>
      </c>
      <c r="AQ95" s="16" t="s">
        <v>126</v>
      </c>
      <c r="AR95" s="16" t="s">
        <v>597</v>
      </c>
      <c r="AS95" s="21" t="s">
        <v>65</v>
      </c>
      <c r="AT95" s="22"/>
      <c r="AU95" s="23"/>
      <c r="AV95" s="19"/>
      <c r="AW95" s="16" t="s">
        <v>69</v>
      </c>
      <c r="AX95" s="21" t="s">
        <v>70</v>
      </c>
      <c r="AY95" s="22"/>
      <c r="AZ95" s="23"/>
      <c r="BA95" s="19"/>
      <c r="BB95" s="19"/>
      <c r="BC95" s="19"/>
      <c r="BD95" s="19"/>
      <c r="BE95" s="19"/>
      <c r="BF95" s="19"/>
      <c r="BG95" s="21" t="s">
        <v>78</v>
      </c>
      <c r="BH95" s="23"/>
      <c r="BI95" s="19"/>
      <c r="BJ95" s="19"/>
      <c r="BK95" s="16" t="s">
        <v>81</v>
      </c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6" t="s">
        <v>127</v>
      </c>
      <c r="CG95" s="16" t="s">
        <v>128</v>
      </c>
      <c r="CH95" s="16" t="s">
        <v>100</v>
      </c>
      <c r="CI95" s="16" t="s">
        <v>101</v>
      </c>
      <c r="CJ95" s="21" t="s">
        <v>102</v>
      </c>
      <c r="CK95" s="23"/>
      <c r="CL95" s="21" t="s">
        <v>104</v>
      </c>
      <c r="CM95" s="23"/>
      <c r="CN95" s="16" t="s">
        <v>128</v>
      </c>
      <c r="CO95" s="16" t="s">
        <v>105</v>
      </c>
      <c r="CP95" s="21" t="s">
        <v>106</v>
      </c>
      <c r="CQ95" s="22"/>
      <c r="CR95" s="22"/>
      <c r="CS95" s="23"/>
      <c r="CT95" s="21" t="s">
        <v>110</v>
      </c>
      <c r="CU95" s="23"/>
      <c r="CV95" s="16" t="s">
        <v>128</v>
      </c>
      <c r="CW95" s="19"/>
      <c r="CX95" s="19"/>
      <c r="CY95" s="19"/>
      <c r="CZ95" s="19"/>
      <c r="DA95" s="21" t="s">
        <v>115</v>
      </c>
      <c r="DB95" s="23"/>
      <c r="DC95" s="16" t="s">
        <v>145</v>
      </c>
      <c r="DD95" s="16" t="s">
        <v>129</v>
      </c>
      <c r="DE95" s="16" t="s">
        <v>145</v>
      </c>
      <c r="DF95" s="19"/>
      <c r="DG95" s="16" t="s">
        <v>638</v>
      </c>
      <c r="DH95" s="19"/>
      <c r="DI95" s="19"/>
      <c r="DJ95" s="16" t="s">
        <v>127</v>
      </c>
      <c r="DK95" s="19"/>
      <c r="DL95" s="19"/>
      <c r="DM95" s="21" t="s">
        <v>658</v>
      </c>
      <c r="DN95" s="22"/>
      <c r="DO95" s="23"/>
    </row>
    <row r="96" ht="15.75" customHeight="1">
      <c r="A96" s="15">
        <v>94.0</v>
      </c>
      <c r="B96" s="16" t="s">
        <v>659</v>
      </c>
      <c r="C96" s="17">
        <v>3.1707102503427E13</v>
      </c>
      <c r="D96" s="18">
        <v>198.0</v>
      </c>
      <c r="E96" s="16" t="s">
        <v>660</v>
      </c>
      <c r="F96" s="16" t="s">
        <v>546</v>
      </c>
      <c r="G96" s="16" t="s">
        <v>547</v>
      </c>
      <c r="H96" s="19"/>
      <c r="I96" s="16"/>
      <c r="J96" s="18">
        <v>1.0</v>
      </c>
      <c r="K96" s="16" t="s">
        <v>661</v>
      </c>
      <c r="L96" s="21" t="s">
        <v>138</v>
      </c>
      <c r="M96" s="23"/>
      <c r="N96" s="19"/>
      <c r="O96" s="19"/>
      <c r="P96" s="19"/>
      <c r="Q96" s="19"/>
      <c r="R96" s="19"/>
      <c r="S96" s="19"/>
      <c r="T96" s="19"/>
      <c r="U96" s="19"/>
      <c r="V96" s="21" t="s">
        <v>138</v>
      </c>
      <c r="W96" s="23"/>
      <c r="X96" s="21" t="s">
        <v>47</v>
      </c>
      <c r="Y96" s="23"/>
      <c r="Z96" s="19"/>
      <c r="AA96" s="19"/>
      <c r="AB96" s="19"/>
      <c r="AC96" s="19"/>
      <c r="AD96" s="19"/>
      <c r="AE96" s="19"/>
      <c r="AF96" s="19"/>
      <c r="AG96" s="16" t="s">
        <v>662</v>
      </c>
      <c r="AH96" s="21" t="s">
        <v>123</v>
      </c>
      <c r="AI96" s="23"/>
      <c r="AJ96" s="16" t="s">
        <v>663</v>
      </c>
      <c r="AK96" s="16" t="s">
        <v>153</v>
      </c>
      <c r="AL96" s="16" t="s">
        <v>181</v>
      </c>
      <c r="AM96" s="16" t="s">
        <v>181</v>
      </c>
      <c r="AN96" s="16" t="s">
        <v>181</v>
      </c>
      <c r="AO96" s="16" t="s">
        <v>181</v>
      </c>
      <c r="AP96" s="16" t="s">
        <v>181</v>
      </c>
      <c r="AQ96" s="16" t="s">
        <v>181</v>
      </c>
      <c r="AR96" s="16" t="s">
        <v>181</v>
      </c>
      <c r="AS96" s="21" t="s">
        <v>65</v>
      </c>
      <c r="AT96" s="22"/>
      <c r="AU96" s="23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6" t="s">
        <v>144</v>
      </c>
      <c r="BG96" s="21" t="s">
        <v>78</v>
      </c>
      <c r="BH96" s="23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6" t="s">
        <v>144</v>
      </c>
      <c r="BY96" s="19"/>
      <c r="BZ96" s="19"/>
      <c r="CA96" s="19"/>
      <c r="CB96" s="19"/>
      <c r="CC96" s="19"/>
      <c r="CD96" s="19"/>
      <c r="CE96" s="19"/>
      <c r="CF96" s="16" t="s">
        <v>144</v>
      </c>
      <c r="CG96" s="16" t="s">
        <v>128</v>
      </c>
      <c r="CH96" s="21" t="s">
        <v>100</v>
      </c>
      <c r="CI96" s="23"/>
      <c r="CJ96" s="19"/>
      <c r="CK96" s="19"/>
      <c r="CL96" s="19"/>
      <c r="CM96" s="19"/>
      <c r="CN96" s="16" t="s">
        <v>128</v>
      </c>
      <c r="CO96" s="19"/>
      <c r="CP96" s="19"/>
      <c r="CQ96" s="19"/>
      <c r="CR96" s="21" t="s">
        <v>108</v>
      </c>
      <c r="CS96" s="23"/>
      <c r="CT96" s="19"/>
      <c r="CU96" s="19"/>
      <c r="CV96" s="16" t="s">
        <v>128</v>
      </c>
      <c r="CW96" s="19"/>
      <c r="CX96" s="19"/>
      <c r="CY96" s="19"/>
      <c r="CZ96" s="19"/>
      <c r="DA96" s="21" t="s">
        <v>115</v>
      </c>
      <c r="DB96" s="23"/>
      <c r="DC96" s="16" t="s">
        <v>602</v>
      </c>
      <c r="DD96" s="16" t="s">
        <v>602</v>
      </c>
      <c r="DE96" s="16" t="s">
        <v>602</v>
      </c>
      <c r="DF96" s="16" t="s">
        <v>602</v>
      </c>
      <c r="DG96" s="16" t="s">
        <v>664</v>
      </c>
      <c r="DH96" s="16" t="s">
        <v>665</v>
      </c>
      <c r="DI96" s="16" t="s">
        <v>666</v>
      </c>
      <c r="DJ96" s="16" t="s">
        <v>144</v>
      </c>
      <c r="DK96" s="19"/>
      <c r="DL96" s="19"/>
      <c r="DM96" s="16" t="s">
        <v>144</v>
      </c>
      <c r="DN96" s="19"/>
      <c r="DO96" s="19"/>
    </row>
    <row r="97" ht="15.75" customHeight="1">
      <c r="A97" s="15">
        <v>95.0</v>
      </c>
      <c r="B97" s="16" t="s">
        <v>667</v>
      </c>
      <c r="C97" s="17">
        <v>3.1207272500357E13</v>
      </c>
      <c r="D97" s="18">
        <v>29.0</v>
      </c>
      <c r="E97" s="16" t="s">
        <v>624</v>
      </c>
      <c r="F97" s="16" t="s">
        <v>546</v>
      </c>
      <c r="G97" s="16" t="s">
        <v>547</v>
      </c>
      <c r="H97" s="20">
        <v>41117.0</v>
      </c>
      <c r="I97" s="18">
        <v>1.0</v>
      </c>
      <c r="J97" s="19"/>
      <c r="K97" s="16" t="s">
        <v>668</v>
      </c>
      <c r="L97" s="21" t="s">
        <v>138</v>
      </c>
      <c r="M97" s="23"/>
      <c r="N97" s="19"/>
      <c r="O97" s="19"/>
      <c r="P97" s="19"/>
      <c r="Q97" s="19"/>
      <c r="R97" s="19"/>
      <c r="S97" s="19"/>
      <c r="T97" s="19"/>
      <c r="U97" s="19"/>
      <c r="V97" s="16" t="s">
        <v>127</v>
      </c>
      <c r="W97" s="16" t="s">
        <v>46</v>
      </c>
      <c r="X97" s="21" t="s">
        <v>47</v>
      </c>
      <c r="Y97" s="23"/>
      <c r="Z97" s="19"/>
      <c r="AA97" s="19"/>
      <c r="AB97" s="19"/>
      <c r="AC97" s="19"/>
      <c r="AD97" s="19"/>
      <c r="AE97" s="19"/>
      <c r="AF97" s="19"/>
      <c r="AG97" s="19"/>
      <c r="AH97" s="21" t="s">
        <v>123</v>
      </c>
      <c r="AI97" s="23"/>
      <c r="AJ97" s="16" t="s">
        <v>168</v>
      </c>
      <c r="AK97" s="16" t="s">
        <v>153</v>
      </c>
      <c r="AL97" s="16" t="s">
        <v>126</v>
      </c>
      <c r="AM97" s="16" t="s">
        <v>126</v>
      </c>
      <c r="AN97" s="16" t="s">
        <v>126</v>
      </c>
      <c r="AO97" s="16" t="s">
        <v>126</v>
      </c>
      <c r="AP97" s="16" t="s">
        <v>126</v>
      </c>
      <c r="AQ97" s="16" t="s">
        <v>126</v>
      </c>
      <c r="AR97" s="16" t="s">
        <v>126</v>
      </c>
      <c r="AS97" s="21" t="s">
        <v>65</v>
      </c>
      <c r="AT97" s="22"/>
      <c r="AU97" s="23"/>
      <c r="AV97" s="19"/>
      <c r="AW97" s="16" t="s">
        <v>69</v>
      </c>
      <c r="AX97" s="16" t="s">
        <v>70</v>
      </c>
      <c r="AY97" s="21" t="s">
        <v>71</v>
      </c>
      <c r="AZ97" s="22"/>
      <c r="BA97" s="23"/>
      <c r="BB97" s="19"/>
      <c r="BC97" s="19"/>
      <c r="BD97" s="19"/>
      <c r="BE97" s="19"/>
      <c r="BF97" s="16" t="s">
        <v>127</v>
      </c>
      <c r="BG97" s="21" t="s">
        <v>78</v>
      </c>
      <c r="BH97" s="23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6" t="s">
        <v>127</v>
      </c>
      <c r="BY97" s="19"/>
      <c r="BZ97" s="19"/>
      <c r="CA97" s="21" t="s">
        <v>95</v>
      </c>
      <c r="CB97" s="22"/>
      <c r="CC97" s="23"/>
      <c r="CD97" s="19"/>
      <c r="CE97" s="19"/>
      <c r="CF97" s="19"/>
      <c r="CG97" s="16" t="s">
        <v>128</v>
      </c>
      <c r="CH97" s="21" t="s">
        <v>100</v>
      </c>
      <c r="CI97" s="23"/>
      <c r="CJ97" s="21" t="s">
        <v>102</v>
      </c>
      <c r="CK97" s="23"/>
      <c r="CL97" s="21" t="s">
        <v>104</v>
      </c>
      <c r="CM97" s="23"/>
      <c r="CN97" s="16" t="s">
        <v>128</v>
      </c>
      <c r="CO97" s="16" t="s">
        <v>105</v>
      </c>
      <c r="CP97" s="21" t="s">
        <v>106</v>
      </c>
      <c r="CQ97" s="22"/>
      <c r="CR97" s="22"/>
      <c r="CS97" s="23"/>
      <c r="CT97" s="19"/>
      <c r="CU97" s="19"/>
      <c r="CV97" s="16" t="s">
        <v>128</v>
      </c>
      <c r="CW97" s="19"/>
      <c r="CX97" s="19"/>
      <c r="CY97" s="19"/>
      <c r="CZ97" s="16" t="s">
        <v>114</v>
      </c>
      <c r="DA97" s="21" t="s">
        <v>115</v>
      </c>
      <c r="DB97" s="23"/>
      <c r="DC97" s="16" t="s">
        <v>129</v>
      </c>
      <c r="DD97" s="16" t="s">
        <v>129</v>
      </c>
      <c r="DE97" s="16" t="s">
        <v>129</v>
      </c>
      <c r="DF97" s="16" t="s">
        <v>129</v>
      </c>
      <c r="DG97" s="16" t="s">
        <v>638</v>
      </c>
      <c r="DH97" s="21" t="s">
        <v>669</v>
      </c>
      <c r="DI97" s="23"/>
      <c r="DJ97" s="19"/>
      <c r="DK97" s="19"/>
      <c r="DL97" s="19"/>
      <c r="DM97" s="16" t="s">
        <v>670</v>
      </c>
      <c r="DN97" s="21" t="s">
        <v>671</v>
      </c>
      <c r="DO97" s="23"/>
    </row>
    <row r="98" ht="15.75" customHeight="1">
      <c r="A98" s="15">
        <v>96.0</v>
      </c>
      <c r="B98" s="16" t="s">
        <v>672</v>
      </c>
      <c r="C98" s="17">
        <v>3.18011425022761E16</v>
      </c>
      <c r="D98" s="19"/>
      <c r="E98" s="16" t="s">
        <v>660</v>
      </c>
      <c r="F98" s="16" t="s">
        <v>546</v>
      </c>
      <c r="G98" s="16" t="s">
        <v>547</v>
      </c>
      <c r="H98" s="20">
        <v>43114.0</v>
      </c>
      <c r="I98" s="18">
        <v>1.0</v>
      </c>
      <c r="J98" s="19"/>
      <c r="K98" s="16" t="s">
        <v>673</v>
      </c>
      <c r="L98" s="21" t="s">
        <v>138</v>
      </c>
      <c r="M98" s="23"/>
      <c r="N98" s="19"/>
      <c r="O98" s="19"/>
      <c r="P98" s="19"/>
      <c r="Q98" s="19"/>
      <c r="R98" s="19"/>
      <c r="S98" s="19"/>
      <c r="T98" s="19"/>
      <c r="U98" s="19"/>
      <c r="V98" s="21" t="s">
        <v>674</v>
      </c>
      <c r="W98" s="23"/>
      <c r="X98" s="19"/>
      <c r="Y98" s="19"/>
      <c r="Z98" s="19"/>
      <c r="AA98" s="19"/>
      <c r="AB98" s="19"/>
      <c r="AC98" s="19"/>
      <c r="AD98" s="19"/>
      <c r="AE98" s="19"/>
      <c r="AF98" s="19"/>
      <c r="AG98" s="16" t="s">
        <v>675</v>
      </c>
      <c r="AH98" s="21" t="s">
        <v>123</v>
      </c>
      <c r="AI98" s="23"/>
      <c r="AJ98" s="16" t="s">
        <v>168</v>
      </c>
      <c r="AK98" s="16" t="s">
        <v>153</v>
      </c>
      <c r="AL98" s="16" t="s">
        <v>181</v>
      </c>
      <c r="AM98" s="16" t="s">
        <v>181</v>
      </c>
      <c r="AN98" s="16" t="s">
        <v>181</v>
      </c>
      <c r="AO98" s="16" t="s">
        <v>126</v>
      </c>
      <c r="AP98" s="16" t="s">
        <v>181</v>
      </c>
      <c r="AQ98" s="16" t="s">
        <v>126</v>
      </c>
      <c r="AR98" s="16" t="s">
        <v>181</v>
      </c>
      <c r="AS98" s="21" t="s">
        <v>65</v>
      </c>
      <c r="AT98" s="22"/>
      <c r="AU98" s="23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6" t="s">
        <v>81</v>
      </c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6" t="s">
        <v>676</v>
      </c>
      <c r="CG98" s="16" t="s">
        <v>128</v>
      </c>
      <c r="CH98" s="19"/>
      <c r="CI98" s="19"/>
      <c r="CJ98" s="19"/>
      <c r="CK98" s="19"/>
      <c r="CL98" s="21" t="s">
        <v>104</v>
      </c>
      <c r="CM98" s="23"/>
      <c r="CN98" s="16" t="s">
        <v>128</v>
      </c>
      <c r="CO98" s="19"/>
      <c r="CP98" s="19"/>
      <c r="CQ98" s="19"/>
      <c r="CR98" s="21" t="s">
        <v>108</v>
      </c>
      <c r="CS98" s="23"/>
      <c r="CT98" s="19"/>
      <c r="CU98" s="19"/>
      <c r="CV98" s="16" t="s">
        <v>128</v>
      </c>
      <c r="CW98" s="19"/>
      <c r="CX98" s="21" t="s">
        <v>112</v>
      </c>
      <c r="CY98" s="22"/>
      <c r="CZ98" s="23"/>
      <c r="DA98" s="19"/>
      <c r="DB98" s="19"/>
      <c r="DC98" s="16" t="s">
        <v>129</v>
      </c>
      <c r="DD98" s="16" t="s">
        <v>145</v>
      </c>
      <c r="DE98" s="16" t="s">
        <v>129</v>
      </c>
      <c r="DF98" s="16" t="s">
        <v>129</v>
      </c>
      <c r="DG98" s="16" t="s">
        <v>677</v>
      </c>
      <c r="DH98" s="16" t="s">
        <v>79</v>
      </c>
      <c r="DI98" s="16" t="s">
        <v>678</v>
      </c>
      <c r="DJ98" s="16" t="s">
        <v>144</v>
      </c>
      <c r="DK98" s="19"/>
      <c r="DL98" s="19"/>
      <c r="DM98" s="16" t="s">
        <v>679</v>
      </c>
      <c r="DN98" s="21" t="s">
        <v>680</v>
      </c>
      <c r="DO98" s="23"/>
    </row>
    <row r="99" ht="15.75" customHeight="1">
      <c r="A99" s="15">
        <v>97.0</v>
      </c>
      <c r="B99" s="16" t="s">
        <v>681</v>
      </c>
      <c r="C99" s="17">
        <v>3.1701152504396E13</v>
      </c>
      <c r="D99" s="18">
        <v>5.0</v>
      </c>
      <c r="E99" s="16" t="s">
        <v>682</v>
      </c>
      <c r="F99" s="16" t="s">
        <v>595</v>
      </c>
      <c r="G99" s="16" t="s">
        <v>547</v>
      </c>
      <c r="H99" s="20">
        <v>42750.0</v>
      </c>
      <c r="I99" s="18">
        <v>1.0</v>
      </c>
      <c r="J99" s="19"/>
      <c r="K99" s="16" t="s">
        <v>289</v>
      </c>
      <c r="L99" s="21" t="s">
        <v>138</v>
      </c>
      <c r="M99" s="23"/>
      <c r="N99" s="19"/>
      <c r="O99" s="19"/>
      <c r="P99" s="19"/>
      <c r="Q99" s="19"/>
      <c r="R99" s="19"/>
      <c r="S99" s="19"/>
      <c r="T99" s="19"/>
      <c r="U99" s="19"/>
      <c r="V99" s="16" t="s">
        <v>138</v>
      </c>
      <c r="W99" s="16" t="s">
        <v>46</v>
      </c>
      <c r="X99" s="21" t="s">
        <v>47</v>
      </c>
      <c r="Y99" s="23"/>
      <c r="Z99" s="16" t="s">
        <v>49</v>
      </c>
      <c r="AA99" s="19"/>
      <c r="AB99" s="19"/>
      <c r="AC99" s="19"/>
      <c r="AD99" s="19"/>
      <c r="AE99" s="19"/>
      <c r="AF99" s="19"/>
      <c r="AG99" s="19"/>
      <c r="AH99" s="21" t="s">
        <v>123</v>
      </c>
      <c r="AI99" s="23"/>
      <c r="AJ99" s="16" t="s">
        <v>168</v>
      </c>
      <c r="AK99" s="16" t="s">
        <v>142</v>
      </c>
      <c r="AL99" s="16" t="s">
        <v>181</v>
      </c>
      <c r="AM99" s="19"/>
      <c r="AN99" s="16" t="s">
        <v>126</v>
      </c>
      <c r="AO99" s="16" t="s">
        <v>181</v>
      </c>
      <c r="AP99" s="16" t="s">
        <v>126</v>
      </c>
      <c r="AQ99" s="16" t="s">
        <v>181</v>
      </c>
      <c r="AR99" s="16" t="s">
        <v>181</v>
      </c>
      <c r="AS99" s="19"/>
      <c r="AT99" s="19"/>
      <c r="AU99" s="21" t="s">
        <v>67</v>
      </c>
      <c r="AV99" s="23"/>
      <c r="AW99" s="21" t="s">
        <v>69</v>
      </c>
      <c r="AX99" s="22"/>
      <c r="AY99" s="23"/>
      <c r="AZ99" s="19"/>
      <c r="BA99" s="19"/>
      <c r="BB99" s="19"/>
      <c r="BC99" s="19"/>
      <c r="BD99" s="19"/>
      <c r="BE99" s="19"/>
      <c r="BF99" s="19"/>
      <c r="BG99" s="16" t="s">
        <v>78</v>
      </c>
      <c r="BH99" s="16" t="s">
        <v>79</v>
      </c>
      <c r="BI99" s="21" t="s">
        <v>52</v>
      </c>
      <c r="BJ99" s="23"/>
      <c r="BK99" s="19"/>
      <c r="BL99" s="21" t="s">
        <v>82</v>
      </c>
      <c r="BM99" s="23"/>
      <c r="BN99" s="21" t="s">
        <v>84</v>
      </c>
      <c r="BO99" s="22"/>
      <c r="BP99" s="23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21" t="s">
        <v>96</v>
      </c>
      <c r="CC99" s="23"/>
      <c r="CD99" s="19"/>
      <c r="CE99" s="19"/>
      <c r="CF99" s="19"/>
      <c r="CG99" s="16" t="s">
        <v>128</v>
      </c>
      <c r="CH99" s="21" t="s">
        <v>100</v>
      </c>
      <c r="CI99" s="23"/>
      <c r="CJ99" s="19"/>
      <c r="CK99" s="21" t="s">
        <v>103</v>
      </c>
      <c r="CL99" s="23"/>
      <c r="CM99" s="19"/>
      <c r="CN99" s="16" t="s">
        <v>128</v>
      </c>
      <c r="CO99" s="21" t="s">
        <v>105</v>
      </c>
      <c r="CP99" s="22"/>
      <c r="CQ99" s="23"/>
      <c r="CR99" s="19"/>
      <c r="CS99" s="21" t="s">
        <v>109</v>
      </c>
      <c r="CT99" s="23"/>
      <c r="CU99" s="19"/>
      <c r="CV99" s="16" t="s">
        <v>128</v>
      </c>
      <c r="CW99" s="19"/>
      <c r="CX99" s="19"/>
      <c r="CY99" s="19"/>
      <c r="CZ99" s="21" t="s">
        <v>114</v>
      </c>
      <c r="DA99" s="22"/>
      <c r="DB99" s="23"/>
      <c r="DC99" s="16" t="s">
        <v>129</v>
      </c>
      <c r="DD99" s="16" t="s">
        <v>129</v>
      </c>
      <c r="DE99" s="16" t="s">
        <v>129</v>
      </c>
      <c r="DF99" s="16" t="s">
        <v>145</v>
      </c>
      <c r="DG99" s="21" t="s">
        <v>683</v>
      </c>
      <c r="DH99" s="23"/>
      <c r="DI99" s="19"/>
      <c r="DJ99" s="21" t="s">
        <v>684</v>
      </c>
      <c r="DK99" s="23"/>
      <c r="DL99" s="19"/>
      <c r="DM99" s="21" t="s">
        <v>685</v>
      </c>
      <c r="DN99" s="23"/>
      <c r="DO99" s="19"/>
    </row>
    <row r="100" ht="15.75" customHeight="1">
      <c r="A100" s="15">
        <v>98.0</v>
      </c>
      <c r="B100" s="16" t="s">
        <v>686</v>
      </c>
      <c r="C100" s="17">
        <v>3.1701302501199E13</v>
      </c>
      <c r="D100" s="18">
        <v>14.0</v>
      </c>
      <c r="E100" s="16" t="s">
        <v>682</v>
      </c>
      <c r="F100" s="16" t="s">
        <v>595</v>
      </c>
      <c r="G100" s="16" t="s">
        <v>547</v>
      </c>
      <c r="H100" s="20">
        <v>42765.0</v>
      </c>
      <c r="I100" s="18">
        <v>1.0</v>
      </c>
      <c r="J100" s="19"/>
      <c r="K100" s="16" t="s">
        <v>289</v>
      </c>
      <c r="L100" s="21" t="s">
        <v>138</v>
      </c>
      <c r="M100" s="23"/>
      <c r="N100" s="19"/>
      <c r="O100" s="19"/>
      <c r="P100" s="19"/>
      <c r="Q100" s="19"/>
      <c r="R100" s="19"/>
      <c r="S100" s="19"/>
      <c r="T100" s="19"/>
      <c r="U100" s="19"/>
      <c r="V100" s="21" t="s">
        <v>138</v>
      </c>
      <c r="W100" s="23"/>
      <c r="X100" s="21" t="s">
        <v>47</v>
      </c>
      <c r="Y100" s="23"/>
      <c r="Z100" s="19"/>
      <c r="AA100" s="19"/>
      <c r="AB100" s="19"/>
      <c r="AC100" s="19"/>
      <c r="AD100" s="19"/>
      <c r="AE100" s="19"/>
      <c r="AF100" s="19"/>
      <c r="AG100" s="19"/>
      <c r="AH100" s="21" t="s">
        <v>123</v>
      </c>
      <c r="AI100" s="23"/>
      <c r="AJ100" s="16" t="s">
        <v>168</v>
      </c>
      <c r="AK100" s="16" t="s">
        <v>142</v>
      </c>
      <c r="AL100" s="16" t="s">
        <v>181</v>
      </c>
      <c r="AM100" s="16" t="s">
        <v>181</v>
      </c>
      <c r="AN100" s="16" t="s">
        <v>181</v>
      </c>
      <c r="AO100" s="16" t="s">
        <v>181</v>
      </c>
      <c r="AP100" s="16" t="s">
        <v>181</v>
      </c>
      <c r="AQ100" s="16" t="s">
        <v>181</v>
      </c>
      <c r="AR100" s="16" t="s">
        <v>181</v>
      </c>
      <c r="AS100" s="21" t="s">
        <v>65</v>
      </c>
      <c r="AT100" s="22"/>
      <c r="AU100" s="23"/>
      <c r="AV100" s="21" t="s">
        <v>68</v>
      </c>
      <c r="AW100" s="22"/>
      <c r="AX100" s="23"/>
      <c r="AY100" s="19"/>
      <c r="AZ100" s="19"/>
      <c r="BA100" s="19"/>
      <c r="BB100" s="19"/>
      <c r="BC100" s="19"/>
      <c r="BD100" s="19"/>
      <c r="BE100" s="19"/>
      <c r="BF100" s="19"/>
      <c r="BG100" s="21" t="s">
        <v>78</v>
      </c>
      <c r="BH100" s="23"/>
      <c r="BI100" s="21" t="s">
        <v>52</v>
      </c>
      <c r="BJ100" s="23"/>
      <c r="BK100" s="16" t="s">
        <v>81</v>
      </c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21" t="s">
        <v>96</v>
      </c>
      <c r="CC100" s="23"/>
      <c r="CD100" s="19"/>
      <c r="CE100" s="19"/>
      <c r="CF100" s="19"/>
      <c r="CG100" s="16" t="s">
        <v>128</v>
      </c>
      <c r="CH100" s="16" t="s">
        <v>100</v>
      </c>
      <c r="CI100" s="21" t="s">
        <v>101</v>
      </c>
      <c r="CJ100" s="22"/>
      <c r="CK100" s="23"/>
      <c r="CL100" s="19"/>
      <c r="CM100" s="19"/>
      <c r="CN100" s="16" t="s">
        <v>128</v>
      </c>
      <c r="CO100" s="19"/>
      <c r="CP100" s="19"/>
      <c r="CQ100" s="19"/>
      <c r="CR100" s="21" t="s">
        <v>108</v>
      </c>
      <c r="CS100" s="23"/>
      <c r="CT100" s="19"/>
      <c r="CU100" s="19"/>
      <c r="CV100" s="16" t="s">
        <v>128</v>
      </c>
      <c r="CW100" s="21" t="s">
        <v>111</v>
      </c>
      <c r="CX100" s="22"/>
      <c r="CY100" s="23"/>
      <c r="CZ100" s="19"/>
      <c r="DA100" s="19"/>
      <c r="DB100" s="19"/>
      <c r="DC100" s="16" t="s">
        <v>129</v>
      </c>
      <c r="DD100" s="16" t="s">
        <v>129</v>
      </c>
      <c r="DE100" s="16" t="s">
        <v>145</v>
      </c>
      <c r="DF100" s="16" t="s">
        <v>145</v>
      </c>
      <c r="DG100" s="16" t="s">
        <v>687</v>
      </c>
      <c r="DH100" s="19"/>
      <c r="DI100" s="19"/>
      <c r="DJ100" s="21" t="s">
        <v>688</v>
      </c>
      <c r="DK100" s="23"/>
      <c r="DL100" s="19"/>
      <c r="DM100" s="21" t="s">
        <v>689</v>
      </c>
      <c r="DN100" s="22"/>
      <c r="DO100" s="23"/>
    </row>
    <row r="101" ht="15.75" customHeight="1">
      <c r="A101" s="15">
        <v>99.0</v>
      </c>
      <c r="B101" s="16" t="s">
        <v>690</v>
      </c>
      <c r="C101" s="17">
        <v>3.1011212502393E13</v>
      </c>
      <c r="D101" s="18">
        <v>21.0</v>
      </c>
      <c r="E101" s="16" t="s">
        <v>624</v>
      </c>
      <c r="F101" s="16" t="s">
        <v>546</v>
      </c>
      <c r="G101" s="16" t="s">
        <v>547</v>
      </c>
      <c r="H101" s="25">
        <v>40503.0</v>
      </c>
      <c r="I101" s="18">
        <v>1.0</v>
      </c>
      <c r="J101" s="19"/>
      <c r="K101" s="16" t="s">
        <v>691</v>
      </c>
      <c r="L101" s="16" t="s">
        <v>122</v>
      </c>
      <c r="M101" s="21" t="s">
        <v>36</v>
      </c>
      <c r="N101" s="22"/>
      <c r="O101" s="22"/>
      <c r="P101" s="23"/>
      <c r="Q101" s="19"/>
      <c r="R101" s="19"/>
      <c r="S101" s="19"/>
      <c r="T101" s="19"/>
      <c r="U101" s="19"/>
      <c r="V101" s="19"/>
      <c r="W101" s="16" t="s">
        <v>46</v>
      </c>
      <c r="X101" s="21" t="s">
        <v>47</v>
      </c>
      <c r="Y101" s="23"/>
      <c r="Z101" s="19"/>
      <c r="AA101" s="19"/>
      <c r="AB101" s="19"/>
      <c r="AC101" s="19"/>
      <c r="AD101" s="19"/>
      <c r="AE101" s="19"/>
      <c r="AF101" s="19"/>
      <c r="AG101" s="19"/>
      <c r="AH101" s="21" t="s">
        <v>152</v>
      </c>
      <c r="AI101" s="23"/>
      <c r="AJ101" s="16" t="s">
        <v>124</v>
      </c>
      <c r="AK101" s="16" t="s">
        <v>153</v>
      </c>
      <c r="AL101" s="16" t="s">
        <v>126</v>
      </c>
      <c r="AM101" s="16" t="s">
        <v>126</v>
      </c>
      <c r="AN101" s="16" t="s">
        <v>181</v>
      </c>
      <c r="AO101" s="16" t="s">
        <v>126</v>
      </c>
      <c r="AP101" s="16" t="s">
        <v>126</v>
      </c>
      <c r="AQ101" s="16" t="s">
        <v>126</v>
      </c>
      <c r="AR101" s="16" t="s">
        <v>143</v>
      </c>
      <c r="AS101" s="21" t="s">
        <v>65</v>
      </c>
      <c r="AT101" s="22"/>
      <c r="AU101" s="23"/>
      <c r="AV101" s="19"/>
      <c r="AW101" s="19"/>
      <c r="AX101" s="19"/>
      <c r="AY101" s="21" t="s">
        <v>71</v>
      </c>
      <c r="AZ101" s="22"/>
      <c r="BA101" s="23"/>
      <c r="BB101" s="19"/>
      <c r="BC101" s="19"/>
      <c r="BD101" s="19"/>
      <c r="BE101" s="19"/>
      <c r="BF101" s="19"/>
      <c r="BG101" s="21" t="s">
        <v>78</v>
      </c>
      <c r="BH101" s="23"/>
      <c r="BI101" s="19"/>
      <c r="BJ101" s="19"/>
      <c r="BK101" s="16" t="s">
        <v>81</v>
      </c>
      <c r="BL101" s="19"/>
      <c r="BM101" s="19"/>
      <c r="BN101" s="19"/>
      <c r="BO101" s="21" t="s">
        <v>85</v>
      </c>
      <c r="BP101" s="22"/>
      <c r="BQ101" s="22"/>
      <c r="BR101" s="23"/>
      <c r="BS101" s="19"/>
      <c r="BT101" s="19"/>
      <c r="BU101" s="19"/>
      <c r="BV101" s="19"/>
      <c r="BW101" s="19"/>
      <c r="BX101" s="16" t="s">
        <v>127</v>
      </c>
      <c r="BY101" s="19"/>
      <c r="BZ101" s="19"/>
      <c r="CA101" s="19"/>
      <c r="CB101" s="19"/>
      <c r="CC101" s="19"/>
      <c r="CD101" s="19"/>
      <c r="CE101" s="19"/>
      <c r="CF101" s="16" t="s">
        <v>127</v>
      </c>
      <c r="CG101" s="16" t="s">
        <v>128</v>
      </c>
      <c r="CH101" s="21" t="s">
        <v>100</v>
      </c>
      <c r="CI101" s="23"/>
      <c r="CJ101" s="19"/>
      <c r="CK101" s="19"/>
      <c r="CL101" s="21" t="s">
        <v>104</v>
      </c>
      <c r="CM101" s="23"/>
      <c r="CN101" s="16" t="s">
        <v>128</v>
      </c>
      <c r="CO101" s="21" t="s">
        <v>105</v>
      </c>
      <c r="CP101" s="22"/>
      <c r="CQ101" s="23"/>
      <c r="CR101" s="21" t="s">
        <v>108</v>
      </c>
      <c r="CS101" s="23"/>
      <c r="CT101" s="21" t="s">
        <v>110</v>
      </c>
      <c r="CU101" s="23"/>
      <c r="CV101" s="16" t="s">
        <v>128</v>
      </c>
      <c r="CW101" s="19"/>
      <c r="CX101" s="21" t="s">
        <v>112</v>
      </c>
      <c r="CY101" s="22"/>
      <c r="CZ101" s="23"/>
      <c r="DA101" s="21" t="s">
        <v>115</v>
      </c>
      <c r="DB101" s="22"/>
      <c r="DC101" s="22"/>
      <c r="DD101" s="23"/>
      <c r="DE101" s="19"/>
      <c r="DF101" s="19"/>
      <c r="DG101" s="16" t="s">
        <v>638</v>
      </c>
      <c r="DH101" s="19"/>
      <c r="DI101" s="19"/>
      <c r="DJ101" s="19"/>
      <c r="DK101" s="19"/>
      <c r="DL101" s="19"/>
      <c r="DM101" s="16" t="s">
        <v>692</v>
      </c>
      <c r="DN101" s="21" t="s">
        <v>693</v>
      </c>
      <c r="DO101" s="23"/>
    </row>
    <row r="102" ht="15.75" customHeight="1">
      <c r="A102" s="15">
        <v>100.0</v>
      </c>
      <c r="B102" s="16" t="s">
        <v>694</v>
      </c>
      <c r="C102" s="17">
        <v>3.1512302502454E13</v>
      </c>
      <c r="D102" s="18">
        <v>164.0</v>
      </c>
      <c r="E102" s="16" t="s">
        <v>660</v>
      </c>
      <c r="F102" s="16" t="s">
        <v>546</v>
      </c>
      <c r="G102" s="16" t="s">
        <v>547</v>
      </c>
      <c r="H102" s="19"/>
      <c r="I102" s="18">
        <v>1.0</v>
      </c>
      <c r="J102" s="19"/>
      <c r="K102" s="16" t="s">
        <v>695</v>
      </c>
      <c r="L102" s="21" t="s">
        <v>138</v>
      </c>
      <c r="M102" s="23"/>
      <c r="N102" s="19"/>
      <c r="O102" s="19"/>
      <c r="P102" s="19"/>
      <c r="Q102" s="19"/>
      <c r="R102" s="19"/>
      <c r="S102" s="19"/>
      <c r="T102" s="19"/>
      <c r="U102" s="19"/>
      <c r="V102" s="21" t="s">
        <v>138</v>
      </c>
      <c r="W102" s="23"/>
      <c r="X102" s="21" t="s">
        <v>47</v>
      </c>
      <c r="Y102" s="23"/>
      <c r="Z102" s="19"/>
      <c r="AA102" s="19"/>
      <c r="AB102" s="19"/>
      <c r="AC102" s="19"/>
      <c r="AD102" s="19"/>
      <c r="AE102" s="19"/>
      <c r="AF102" s="19"/>
      <c r="AG102" s="16" t="s">
        <v>662</v>
      </c>
      <c r="AH102" s="21" t="s">
        <v>123</v>
      </c>
      <c r="AI102" s="23"/>
      <c r="AJ102" s="16" t="s">
        <v>663</v>
      </c>
      <c r="AK102" s="16" t="s">
        <v>153</v>
      </c>
      <c r="AL102" s="16" t="s">
        <v>181</v>
      </c>
      <c r="AM102" s="16" t="s">
        <v>181</v>
      </c>
      <c r="AN102" s="16" t="s">
        <v>181</v>
      </c>
      <c r="AO102" s="16" t="s">
        <v>181</v>
      </c>
      <c r="AP102" s="16" t="s">
        <v>181</v>
      </c>
      <c r="AQ102" s="16" t="s">
        <v>181</v>
      </c>
      <c r="AR102" s="16" t="s">
        <v>181</v>
      </c>
      <c r="AS102" s="21" t="s">
        <v>65</v>
      </c>
      <c r="AT102" s="22"/>
      <c r="AU102" s="23"/>
      <c r="AV102" s="19"/>
      <c r="AW102" s="19"/>
      <c r="AX102" s="19"/>
      <c r="AY102" s="19"/>
      <c r="AZ102" s="21" t="s">
        <v>696</v>
      </c>
      <c r="BA102" s="23"/>
      <c r="BB102" s="19"/>
      <c r="BC102" s="19"/>
      <c r="BD102" s="19"/>
      <c r="BE102" s="19"/>
      <c r="BF102" s="16" t="s">
        <v>144</v>
      </c>
      <c r="BG102" s="21" t="s">
        <v>78</v>
      </c>
      <c r="BH102" s="23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6" t="s">
        <v>144</v>
      </c>
      <c r="BY102" s="19"/>
      <c r="BZ102" s="19"/>
      <c r="CA102" s="19"/>
      <c r="CB102" s="21" t="s">
        <v>96</v>
      </c>
      <c r="CC102" s="23"/>
      <c r="CD102" s="19"/>
      <c r="CE102" s="19"/>
      <c r="CF102" s="19"/>
      <c r="CG102" s="16" t="s">
        <v>128</v>
      </c>
      <c r="CH102" s="21" t="s">
        <v>100</v>
      </c>
      <c r="CI102" s="23"/>
      <c r="CJ102" s="19"/>
      <c r="CK102" s="19"/>
      <c r="CL102" s="19"/>
      <c r="CM102" s="19"/>
      <c r="CN102" s="16" t="s">
        <v>128</v>
      </c>
      <c r="CO102" s="19"/>
      <c r="CP102" s="19"/>
      <c r="CQ102" s="19"/>
      <c r="CR102" s="21" t="s">
        <v>108</v>
      </c>
      <c r="CS102" s="23"/>
      <c r="CT102" s="19"/>
      <c r="CU102" s="19"/>
      <c r="CV102" s="16" t="s">
        <v>128</v>
      </c>
      <c r="CW102" s="19"/>
      <c r="CX102" s="19"/>
      <c r="CY102" s="19"/>
      <c r="CZ102" s="19"/>
      <c r="DA102" s="21" t="s">
        <v>115</v>
      </c>
      <c r="DB102" s="23"/>
      <c r="DC102" s="16" t="s">
        <v>129</v>
      </c>
      <c r="DD102" s="16" t="s">
        <v>129</v>
      </c>
      <c r="DE102" s="16" t="s">
        <v>129</v>
      </c>
      <c r="DF102" s="16" t="s">
        <v>129</v>
      </c>
      <c r="DG102" s="16" t="s">
        <v>697</v>
      </c>
      <c r="DH102" s="21" t="s">
        <v>698</v>
      </c>
      <c r="DI102" s="23"/>
      <c r="DJ102" s="21" t="s">
        <v>699</v>
      </c>
      <c r="DK102" s="23"/>
      <c r="DL102" s="19"/>
      <c r="DM102" s="21" t="s">
        <v>700</v>
      </c>
      <c r="DN102" s="23"/>
      <c r="DO102" s="19"/>
    </row>
    <row r="103" ht="15.75" customHeight="1">
      <c r="A103" s="15">
        <v>101.0</v>
      </c>
      <c r="B103" s="16" t="s">
        <v>701</v>
      </c>
      <c r="C103" s="17">
        <v>2.9909122501245E13</v>
      </c>
      <c r="D103" s="18">
        <v>18.0</v>
      </c>
      <c r="E103" s="16" t="s">
        <v>682</v>
      </c>
      <c r="F103" s="16" t="s">
        <v>595</v>
      </c>
      <c r="G103" s="16" t="s">
        <v>547</v>
      </c>
      <c r="H103" s="20">
        <v>36415.0</v>
      </c>
      <c r="I103" s="16"/>
      <c r="J103" s="18">
        <v>1.0</v>
      </c>
      <c r="K103" s="19"/>
      <c r="L103" s="21" t="s">
        <v>138</v>
      </c>
      <c r="M103" s="23"/>
      <c r="N103" s="19"/>
      <c r="O103" s="19"/>
      <c r="P103" s="19"/>
      <c r="Q103" s="19"/>
      <c r="R103" s="19"/>
      <c r="S103" s="19"/>
      <c r="T103" s="19"/>
      <c r="U103" s="19"/>
      <c r="V103" s="21" t="s">
        <v>138</v>
      </c>
      <c r="W103" s="23"/>
      <c r="X103" s="19"/>
      <c r="Y103" s="19"/>
      <c r="Z103" s="16" t="s">
        <v>49</v>
      </c>
      <c r="AA103" s="16" t="s">
        <v>50</v>
      </c>
      <c r="AB103" s="19"/>
      <c r="AC103" s="19"/>
      <c r="AD103" s="19"/>
      <c r="AE103" s="19"/>
      <c r="AF103" s="19"/>
      <c r="AG103" s="19"/>
      <c r="AH103" s="21" t="s">
        <v>123</v>
      </c>
      <c r="AI103" s="23"/>
      <c r="AJ103" s="16" t="s">
        <v>168</v>
      </c>
      <c r="AK103" s="16" t="s">
        <v>142</v>
      </c>
      <c r="AL103" s="16" t="s">
        <v>181</v>
      </c>
      <c r="AM103" s="16" t="s">
        <v>181</v>
      </c>
      <c r="AN103" s="16" t="s">
        <v>126</v>
      </c>
      <c r="AO103" s="16" t="s">
        <v>126</v>
      </c>
      <c r="AP103" s="19"/>
      <c r="AQ103" s="16" t="s">
        <v>181</v>
      </c>
      <c r="AR103" s="16" t="s">
        <v>181</v>
      </c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6" t="s">
        <v>76</v>
      </c>
      <c r="BE103" s="21" t="s">
        <v>77</v>
      </c>
      <c r="BF103" s="22"/>
      <c r="BG103" s="22"/>
      <c r="BH103" s="23"/>
      <c r="BI103" s="19"/>
      <c r="BJ103" s="19"/>
      <c r="BK103" s="19"/>
      <c r="BL103" s="19"/>
      <c r="BM103" s="19"/>
      <c r="BN103" s="19"/>
      <c r="BO103" s="19"/>
      <c r="BP103" s="19"/>
      <c r="BQ103" s="19"/>
      <c r="BR103" s="21" t="s">
        <v>87</v>
      </c>
      <c r="BS103" s="23"/>
      <c r="BT103" s="16" t="s">
        <v>89</v>
      </c>
      <c r="BU103" s="21" t="s">
        <v>90</v>
      </c>
      <c r="BV103" s="23"/>
      <c r="BW103" s="19"/>
      <c r="BX103" s="19"/>
      <c r="BY103" s="19"/>
      <c r="BZ103" s="19"/>
      <c r="CA103" s="19"/>
      <c r="CB103" s="21" t="s">
        <v>96</v>
      </c>
      <c r="CC103" s="23"/>
      <c r="CD103" s="19"/>
      <c r="CE103" s="19"/>
      <c r="CF103" s="19"/>
      <c r="CG103" s="16" t="s">
        <v>128</v>
      </c>
      <c r="CH103" s="21" t="s">
        <v>100</v>
      </c>
      <c r="CI103" s="23"/>
      <c r="CJ103" s="19"/>
      <c r="CK103" s="19"/>
      <c r="CL103" s="21" t="s">
        <v>104</v>
      </c>
      <c r="CM103" s="23"/>
      <c r="CN103" s="16" t="s">
        <v>128</v>
      </c>
      <c r="CO103" s="21" t="s">
        <v>105</v>
      </c>
      <c r="CP103" s="22"/>
      <c r="CQ103" s="23"/>
      <c r="CR103" s="16" t="s">
        <v>108</v>
      </c>
      <c r="CS103" s="16" t="s">
        <v>109</v>
      </c>
      <c r="CT103" s="21" t="s">
        <v>110</v>
      </c>
      <c r="CU103" s="23"/>
      <c r="CV103" s="16" t="s">
        <v>128</v>
      </c>
      <c r="CW103" s="19"/>
      <c r="CX103" s="19"/>
      <c r="CY103" s="19"/>
      <c r="CZ103" s="21" t="s">
        <v>114</v>
      </c>
      <c r="DA103" s="22"/>
      <c r="DB103" s="23"/>
      <c r="DC103" s="16" t="s">
        <v>129</v>
      </c>
      <c r="DD103" s="16" t="s">
        <v>129</v>
      </c>
      <c r="DE103" s="16" t="s">
        <v>145</v>
      </c>
      <c r="DF103" s="16" t="s">
        <v>129</v>
      </c>
      <c r="DG103" s="21" t="s">
        <v>702</v>
      </c>
      <c r="DH103" s="23"/>
      <c r="DI103" s="19"/>
      <c r="DJ103" s="21" t="s">
        <v>703</v>
      </c>
      <c r="DK103" s="22"/>
      <c r="DL103" s="23"/>
      <c r="DM103" s="21" t="s">
        <v>704</v>
      </c>
      <c r="DN103" s="23"/>
      <c r="DO103" s="19"/>
    </row>
    <row r="104" ht="15.75" customHeight="1">
      <c r="A104" s="15">
        <v>102.0</v>
      </c>
      <c r="B104" s="16" t="s">
        <v>705</v>
      </c>
      <c r="C104" s="17">
        <v>3.1509032504009E13</v>
      </c>
      <c r="D104" s="18">
        <v>131.0</v>
      </c>
      <c r="E104" s="16" t="s">
        <v>660</v>
      </c>
      <c r="F104" s="16" t="s">
        <v>546</v>
      </c>
      <c r="G104" s="16" t="s">
        <v>547</v>
      </c>
      <c r="H104" s="20">
        <v>42250.0</v>
      </c>
      <c r="I104" s="16"/>
      <c r="J104" s="18">
        <v>1.0</v>
      </c>
      <c r="K104" s="16" t="s">
        <v>706</v>
      </c>
      <c r="L104" s="21" t="s">
        <v>138</v>
      </c>
      <c r="M104" s="23"/>
      <c r="N104" s="19"/>
      <c r="O104" s="19"/>
      <c r="P104" s="19"/>
      <c r="Q104" s="19"/>
      <c r="R104" s="19"/>
      <c r="S104" s="19"/>
      <c r="T104" s="19"/>
      <c r="U104" s="19"/>
      <c r="V104" s="21" t="s">
        <v>674</v>
      </c>
      <c r="W104" s="23"/>
      <c r="X104" s="19"/>
      <c r="Y104" s="19"/>
      <c r="Z104" s="19"/>
      <c r="AA104" s="19"/>
      <c r="AB104" s="19"/>
      <c r="AC104" s="19"/>
      <c r="AD104" s="19"/>
      <c r="AE104" s="19"/>
      <c r="AF104" s="19"/>
      <c r="AG104" s="16" t="s">
        <v>675</v>
      </c>
      <c r="AH104" s="21" t="s">
        <v>123</v>
      </c>
      <c r="AI104" s="23"/>
      <c r="AJ104" s="16" t="s">
        <v>168</v>
      </c>
      <c r="AK104" s="16" t="s">
        <v>153</v>
      </c>
      <c r="AL104" s="16" t="s">
        <v>181</v>
      </c>
      <c r="AM104" s="16" t="s">
        <v>181</v>
      </c>
      <c r="AN104" s="16" t="s">
        <v>181</v>
      </c>
      <c r="AO104" s="16" t="s">
        <v>181</v>
      </c>
      <c r="AP104" s="16" t="s">
        <v>181</v>
      </c>
      <c r="AQ104" s="16" t="s">
        <v>181</v>
      </c>
      <c r="AR104" s="16" t="s">
        <v>181</v>
      </c>
      <c r="AS104" s="21" t="s">
        <v>65</v>
      </c>
      <c r="AT104" s="22"/>
      <c r="AU104" s="23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6" t="s">
        <v>81</v>
      </c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6" t="s">
        <v>676</v>
      </c>
      <c r="CG104" s="16" t="s">
        <v>128</v>
      </c>
      <c r="CH104" s="19"/>
      <c r="CI104" s="19"/>
      <c r="CJ104" s="19"/>
      <c r="CK104" s="19"/>
      <c r="CL104" s="21" t="s">
        <v>104</v>
      </c>
      <c r="CM104" s="23"/>
      <c r="CN104" s="16" t="s">
        <v>128</v>
      </c>
      <c r="CO104" s="19"/>
      <c r="CP104" s="19"/>
      <c r="CQ104" s="19"/>
      <c r="CR104" s="19"/>
      <c r="CS104" s="21" t="s">
        <v>109</v>
      </c>
      <c r="CT104" s="23"/>
      <c r="CU104" s="19"/>
      <c r="CV104" s="16" t="s">
        <v>128</v>
      </c>
      <c r="CW104" s="19"/>
      <c r="CX104" s="19"/>
      <c r="CY104" s="19"/>
      <c r="CZ104" s="19"/>
      <c r="DA104" s="21" t="s">
        <v>115</v>
      </c>
      <c r="DB104" s="23"/>
      <c r="DC104" s="16" t="s">
        <v>145</v>
      </c>
      <c r="DD104" s="16" t="s">
        <v>129</v>
      </c>
      <c r="DE104" s="16" t="s">
        <v>129</v>
      </c>
      <c r="DF104" s="16" t="s">
        <v>145</v>
      </c>
      <c r="DG104" s="16" t="s">
        <v>707</v>
      </c>
      <c r="DH104" s="16" t="s">
        <v>79</v>
      </c>
      <c r="DI104" s="16" t="s">
        <v>678</v>
      </c>
      <c r="DJ104" s="16" t="s">
        <v>144</v>
      </c>
      <c r="DK104" s="19"/>
      <c r="DL104" s="19"/>
      <c r="DM104" s="16" t="s">
        <v>708</v>
      </c>
      <c r="DN104" s="21" t="s">
        <v>680</v>
      </c>
      <c r="DO104" s="23"/>
    </row>
    <row r="105" ht="15.75" customHeight="1">
      <c r="A105" s="15">
        <v>103.0</v>
      </c>
      <c r="B105" s="16" t="s">
        <v>709</v>
      </c>
      <c r="C105" s="17">
        <v>3.2002252502852E13</v>
      </c>
      <c r="D105" s="18">
        <v>94.0</v>
      </c>
      <c r="E105" s="16" t="s">
        <v>660</v>
      </c>
      <c r="F105" s="16" t="s">
        <v>546</v>
      </c>
      <c r="G105" s="16" t="s">
        <v>547</v>
      </c>
      <c r="H105" s="20">
        <v>43886.0</v>
      </c>
      <c r="I105" s="18">
        <v>1.0</v>
      </c>
      <c r="J105" s="19"/>
      <c r="K105" s="16" t="s">
        <v>710</v>
      </c>
      <c r="L105" s="21" t="s">
        <v>138</v>
      </c>
      <c r="M105" s="23"/>
      <c r="N105" s="19"/>
      <c r="O105" s="19"/>
      <c r="P105" s="19"/>
      <c r="Q105" s="19"/>
      <c r="R105" s="19"/>
      <c r="S105" s="19"/>
      <c r="T105" s="19"/>
      <c r="U105" s="19"/>
      <c r="V105" s="21" t="s">
        <v>138</v>
      </c>
      <c r="W105" s="23"/>
      <c r="X105" s="21" t="s">
        <v>47</v>
      </c>
      <c r="Y105" s="23"/>
      <c r="Z105" s="19"/>
      <c r="AA105" s="19"/>
      <c r="AB105" s="19"/>
      <c r="AC105" s="19"/>
      <c r="AD105" s="19"/>
      <c r="AE105" s="19"/>
      <c r="AF105" s="19"/>
      <c r="AG105" s="19"/>
      <c r="AH105" s="21" t="s">
        <v>123</v>
      </c>
      <c r="AI105" s="23"/>
      <c r="AJ105" s="16" t="s">
        <v>663</v>
      </c>
      <c r="AK105" s="16" t="s">
        <v>153</v>
      </c>
      <c r="AL105" s="16" t="s">
        <v>181</v>
      </c>
      <c r="AM105" s="16" t="s">
        <v>181</v>
      </c>
      <c r="AN105" s="16" t="s">
        <v>181</v>
      </c>
      <c r="AO105" s="16" t="s">
        <v>181</v>
      </c>
      <c r="AP105" s="16" t="s">
        <v>181</v>
      </c>
      <c r="AQ105" s="16" t="s">
        <v>181</v>
      </c>
      <c r="AR105" s="16" t="s">
        <v>181</v>
      </c>
      <c r="AS105" s="21" t="s">
        <v>65</v>
      </c>
      <c r="AT105" s="22"/>
      <c r="AU105" s="23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6" t="s">
        <v>144</v>
      </c>
      <c r="BG105" s="21" t="s">
        <v>78</v>
      </c>
      <c r="BH105" s="23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6" t="s">
        <v>144</v>
      </c>
      <c r="BY105" s="19"/>
      <c r="BZ105" s="19"/>
      <c r="CA105" s="19"/>
      <c r="CB105" s="19"/>
      <c r="CC105" s="19"/>
      <c r="CD105" s="19"/>
      <c r="CE105" s="19"/>
      <c r="CF105" s="16" t="s">
        <v>144</v>
      </c>
      <c r="CG105" s="16" t="s">
        <v>128</v>
      </c>
      <c r="CH105" s="19"/>
      <c r="CI105" s="19"/>
      <c r="CJ105" s="19"/>
      <c r="CK105" s="19"/>
      <c r="CL105" s="21" t="s">
        <v>104</v>
      </c>
      <c r="CM105" s="23"/>
      <c r="CN105" s="16" t="s">
        <v>128</v>
      </c>
      <c r="CO105" s="19"/>
      <c r="CP105" s="19"/>
      <c r="CQ105" s="19"/>
      <c r="CR105" s="19"/>
      <c r="CS105" s="21" t="s">
        <v>109</v>
      </c>
      <c r="CT105" s="23"/>
      <c r="CU105" s="19"/>
      <c r="CV105" s="16" t="s">
        <v>128</v>
      </c>
      <c r="CW105" s="19"/>
      <c r="CX105" s="19"/>
      <c r="CY105" s="19"/>
      <c r="CZ105" s="19"/>
      <c r="DA105" s="21" t="s">
        <v>115</v>
      </c>
      <c r="DB105" s="23"/>
      <c r="DC105" s="16" t="s">
        <v>129</v>
      </c>
      <c r="DD105" s="16" t="s">
        <v>129</v>
      </c>
      <c r="DE105" s="16" t="s">
        <v>129</v>
      </c>
      <c r="DF105" s="16" t="s">
        <v>129</v>
      </c>
      <c r="DG105" s="16" t="s">
        <v>711</v>
      </c>
      <c r="DH105" s="21" t="s">
        <v>712</v>
      </c>
      <c r="DI105" s="23"/>
      <c r="DJ105" s="21" t="s">
        <v>699</v>
      </c>
      <c r="DK105" s="23"/>
      <c r="DL105" s="19"/>
      <c r="DM105" s="21" t="s">
        <v>713</v>
      </c>
      <c r="DN105" s="23"/>
      <c r="DO105" s="19"/>
    </row>
    <row r="106" ht="15.75" customHeight="1">
      <c r="A106" s="15">
        <v>104.0</v>
      </c>
      <c r="B106" s="16" t="s">
        <v>714</v>
      </c>
      <c r="C106" s="17">
        <v>2.8912012502081E13</v>
      </c>
      <c r="D106" s="18">
        <v>197.0</v>
      </c>
      <c r="E106" s="16" t="s">
        <v>682</v>
      </c>
      <c r="F106" s="16" t="s">
        <v>595</v>
      </c>
      <c r="G106" s="16" t="s">
        <v>547</v>
      </c>
      <c r="H106" s="20">
        <v>32541.0</v>
      </c>
      <c r="I106" s="16"/>
      <c r="J106" s="18">
        <v>1.0</v>
      </c>
      <c r="K106" s="19"/>
      <c r="L106" s="21" t="s">
        <v>138</v>
      </c>
      <c r="M106" s="23"/>
      <c r="N106" s="19"/>
      <c r="O106" s="19"/>
      <c r="P106" s="19"/>
      <c r="Q106" s="19"/>
      <c r="R106" s="19"/>
      <c r="S106" s="19"/>
      <c r="T106" s="19"/>
      <c r="U106" s="19"/>
      <c r="V106" s="21" t="s">
        <v>138</v>
      </c>
      <c r="W106" s="23"/>
      <c r="X106" s="19"/>
      <c r="Y106" s="19"/>
      <c r="Z106" s="19"/>
      <c r="AA106" s="16" t="s">
        <v>50</v>
      </c>
      <c r="AB106" s="21" t="s">
        <v>51</v>
      </c>
      <c r="AC106" s="23"/>
      <c r="AD106" s="19"/>
      <c r="AE106" s="19"/>
      <c r="AF106" s="19"/>
      <c r="AG106" s="19"/>
      <c r="AH106" s="21" t="s">
        <v>152</v>
      </c>
      <c r="AI106" s="23"/>
      <c r="AJ106" s="16" t="s">
        <v>168</v>
      </c>
      <c r="AK106" s="16" t="s">
        <v>125</v>
      </c>
      <c r="AL106" s="16" t="s">
        <v>181</v>
      </c>
      <c r="AM106" s="16" t="s">
        <v>181</v>
      </c>
      <c r="AN106" s="16" t="s">
        <v>181</v>
      </c>
      <c r="AO106" s="16" t="s">
        <v>181</v>
      </c>
      <c r="AP106" s="16" t="s">
        <v>181</v>
      </c>
      <c r="AQ106" s="16" t="s">
        <v>181</v>
      </c>
      <c r="AR106" s="16" t="s">
        <v>181</v>
      </c>
      <c r="AS106" s="19"/>
      <c r="AT106" s="19"/>
      <c r="AU106" s="19"/>
      <c r="AV106" s="19"/>
      <c r="AW106" s="19"/>
      <c r="AX106" s="19"/>
      <c r="AY106" s="19"/>
      <c r="AZ106" s="19"/>
      <c r="BA106" s="16" t="s">
        <v>73</v>
      </c>
      <c r="BB106" s="21" t="s">
        <v>74</v>
      </c>
      <c r="BC106" s="23"/>
      <c r="BD106" s="16" t="s">
        <v>76</v>
      </c>
      <c r="BE106" s="21" t="s">
        <v>77</v>
      </c>
      <c r="BF106" s="22"/>
      <c r="BG106" s="22"/>
      <c r="BH106" s="23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6" t="s">
        <v>88</v>
      </c>
      <c r="BT106" s="16" t="s">
        <v>89</v>
      </c>
      <c r="BU106" s="21" t="s">
        <v>90</v>
      </c>
      <c r="BV106" s="23"/>
      <c r="BW106" s="19"/>
      <c r="BX106" s="19"/>
      <c r="BY106" s="19"/>
      <c r="BZ106" s="19"/>
      <c r="CA106" s="19"/>
      <c r="CB106" s="21" t="s">
        <v>96</v>
      </c>
      <c r="CC106" s="23"/>
      <c r="CD106" s="19"/>
      <c r="CE106" s="19"/>
      <c r="CF106" s="19"/>
      <c r="CG106" s="16" t="s">
        <v>158</v>
      </c>
      <c r="CH106" s="21" t="s">
        <v>100</v>
      </c>
      <c r="CI106" s="23"/>
      <c r="CJ106" s="19"/>
      <c r="CK106" s="19"/>
      <c r="CL106" s="19"/>
      <c r="CM106" s="19"/>
      <c r="CN106" s="16" t="s">
        <v>128</v>
      </c>
      <c r="CO106" s="16" t="s">
        <v>105</v>
      </c>
      <c r="CP106" s="21" t="s">
        <v>106</v>
      </c>
      <c r="CQ106" s="22"/>
      <c r="CR106" s="22"/>
      <c r="CS106" s="23"/>
      <c r="CT106" s="19"/>
      <c r="CU106" s="19"/>
      <c r="CV106" s="16" t="s">
        <v>128</v>
      </c>
      <c r="CW106" s="19"/>
      <c r="CX106" s="19"/>
      <c r="CY106" s="16" t="s">
        <v>113</v>
      </c>
      <c r="CZ106" s="16" t="s">
        <v>114</v>
      </c>
      <c r="DA106" s="21" t="s">
        <v>115</v>
      </c>
      <c r="DB106" s="23"/>
      <c r="DC106" s="16" t="s">
        <v>145</v>
      </c>
      <c r="DD106" s="16" t="s">
        <v>145</v>
      </c>
      <c r="DE106" s="16" t="s">
        <v>129</v>
      </c>
      <c r="DF106" s="16" t="s">
        <v>145</v>
      </c>
      <c r="DG106" s="21" t="s">
        <v>715</v>
      </c>
      <c r="DH106" s="23"/>
      <c r="DI106" s="19"/>
      <c r="DJ106" s="21" t="s">
        <v>716</v>
      </c>
      <c r="DK106" s="22"/>
      <c r="DL106" s="23"/>
      <c r="DM106" s="21" t="s">
        <v>717</v>
      </c>
      <c r="DN106" s="22"/>
      <c r="DO106" s="23"/>
    </row>
    <row r="107" ht="15.75" customHeight="1">
      <c r="A107" s="15">
        <v>105.0</v>
      </c>
      <c r="B107" s="16" t="s">
        <v>718</v>
      </c>
      <c r="C107" s="17">
        <v>3.2109142500756E13</v>
      </c>
      <c r="D107" s="18">
        <v>156.0</v>
      </c>
      <c r="E107" s="16" t="s">
        <v>624</v>
      </c>
      <c r="F107" s="16" t="s">
        <v>546</v>
      </c>
      <c r="G107" s="16" t="s">
        <v>547</v>
      </c>
      <c r="H107" s="20">
        <v>44453.0</v>
      </c>
      <c r="I107" s="18">
        <v>1.0</v>
      </c>
      <c r="J107" s="19"/>
      <c r="K107" s="16" t="s">
        <v>719</v>
      </c>
      <c r="L107" s="21" t="s">
        <v>138</v>
      </c>
      <c r="M107" s="23"/>
      <c r="N107" s="19"/>
      <c r="O107" s="19"/>
      <c r="P107" s="19"/>
      <c r="Q107" s="19"/>
      <c r="R107" s="19"/>
      <c r="S107" s="19"/>
      <c r="T107" s="19"/>
      <c r="U107" s="19"/>
      <c r="V107" s="16" t="s">
        <v>127</v>
      </c>
      <c r="W107" s="19"/>
      <c r="X107" s="21" t="s">
        <v>47</v>
      </c>
      <c r="Y107" s="23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" t="s">
        <v>124</v>
      </c>
      <c r="AK107" s="16" t="s">
        <v>153</v>
      </c>
      <c r="AL107" s="16" t="s">
        <v>126</v>
      </c>
      <c r="AM107" s="16" t="s">
        <v>126</v>
      </c>
      <c r="AN107" s="16" t="s">
        <v>181</v>
      </c>
      <c r="AO107" s="16" t="s">
        <v>126</v>
      </c>
      <c r="AP107" s="16" t="s">
        <v>181</v>
      </c>
      <c r="AQ107" s="16" t="s">
        <v>126</v>
      </c>
      <c r="AR107" s="16" t="s">
        <v>126</v>
      </c>
      <c r="AS107" s="21" t="s">
        <v>65</v>
      </c>
      <c r="AT107" s="22"/>
      <c r="AU107" s="23"/>
      <c r="AV107" s="19"/>
      <c r="AW107" s="16" t="s">
        <v>69</v>
      </c>
      <c r="AX107" s="21" t="s">
        <v>70</v>
      </c>
      <c r="AY107" s="22"/>
      <c r="AZ107" s="23"/>
      <c r="BA107" s="19"/>
      <c r="BB107" s="19"/>
      <c r="BC107" s="19"/>
      <c r="BD107" s="19"/>
      <c r="BE107" s="19"/>
      <c r="BF107" s="16" t="s">
        <v>127</v>
      </c>
      <c r="BG107" s="21" t="s">
        <v>78</v>
      </c>
      <c r="BH107" s="23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6" t="s">
        <v>127</v>
      </c>
      <c r="BY107" s="19"/>
      <c r="BZ107" s="19"/>
      <c r="CA107" s="19"/>
      <c r="CB107" s="21" t="s">
        <v>96</v>
      </c>
      <c r="CC107" s="23"/>
      <c r="CD107" s="19"/>
      <c r="CE107" s="19"/>
      <c r="CF107" s="19"/>
      <c r="CG107" s="16" t="s">
        <v>128</v>
      </c>
      <c r="CH107" s="16" t="s">
        <v>100</v>
      </c>
      <c r="CI107" s="21" t="s">
        <v>101</v>
      </c>
      <c r="CJ107" s="22"/>
      <c r="CK107" s="23"/>
      <c r="CL107" s="21" t="s">
        <v>104</v>
      </c>
      <c r="CM107" s="23"/>
      <c r="CN107" s="16" t="s">
        <v>128</v>
      </c>
      <c r="CO107" s="16" t="s">
        <v>105</v>
      </c>
      <c r="CP107" s="21" t="s">
        <v>106</v>
      </c>
      <c r="CQ107" s="23"/>
      <c r="CR107" s="21" t="s">
        <v>108</v>
      </c>
      <c r="CS107" s="23"/>
      <c r="CT107" s="21" t="s">
        <v>110</v>
      </c>
      <c r="CU107" s="23"/>
      <c r="CV107" s="16" t="s">
        <v>128</v>
      </c>
      <c r="CW107" s="19"/>
      <c r="CX107" s="19"/>
      <c r="CY107" s="19"/>
      <c r="CZ107" s="16" t="s">
        <v>114</v>
      </c>
      <c r="DA107" s="21" t="s">
        <v>115</v>
      </c>
      <c r="DB107" s="23"/>
      <c r="DC107" s="16" t="s">
        <v>145</v>
      </c>
      <c r="DD107" s="16" t="s">
        <v>129</v>
      </c>
      <c r="DE107" s="16" t="s">
        <v>129</v>
      </c>
      <c r="DF107" s="16" t="s">
        <v>129</v>
      </c>
      <c r="DG107" s="16" t="s">
        <v>638</v>
      </c>
      <c r="DH107" s="16" t="s">
        <v>720</v>
      </c>
      <c r="DI107" s="19"/>
      <c r="DJ107" s="19"/>
      <c r="DK107" s="19"/>
      <c r="DL107" s="19"/>
      <c r="DM107" s="16" t="s">
        <v>645</v>
      </c>
      <c r="DN107" s="21" t="s">
        <v>721</v>
      </c>
      <c r="DO107" s="23"/>
    </row>
    <row r="108" ht="15.75" customHeight="1">
      <c r="A108" s="15">
        <v>106.0</v>
      </c>
      <c r="B108" s="16" t="s">
        <v>722</v>
      </c>
      <c r="C108" s="17">
        <v>3.0811302500579E13</v>
      </c>
      <c r="D108" s="18">
        <v>30.0</v>
      </c>
      <c r="E108" s="16" t="s">
        <v>624</v>
      </c>
      <c r="F108" s="16" t="s">
        <v>546</v>
      </c>
      <c r="G108" s="16" t="s">
        <v>547</v>
      </c>
      <c r="H108" s="25">
        <v>39782.0</v>
      </c>
      <c r="I108" s="18">
        <v>1.0</v>
      </c>
      <c r="J108" s="19"/>
      <c r="K108" s="16" t="s">
        <v>723</v>
      </c>
      <c r="L108" s="21" t="s">
        <v>138</v>
      </c>
      <c r="M108" s="23"/>
      <c r="N108" s="19"/>
      <c r="O108" s="19"/>
      <c r="P108" s="19"/>
      <c r="Q108" s="19"/>
      <c r="R108" s="19"/>
      <c r="S108" s="19"/>
      <c r="T108" s="19"/>
      <c r="U108" s="19"/>
      <c r="V108" s="16" t="s">
        <v>127</v>
      </c>
      <c r="W108" s="16" t="s">
        <v>46</v>
      </c>
      <c r="X108" s="16" t="s">
        <v>47</v>
      </c>
      <c r="Y108" s="21" t="s">
        <v>48</v>
      </c>
      <c r="Z108" s="23"/>
      <c r="AA108" s="19"/>
      <c r="AB108" s="19"/>
      <c r="AC108" s="19"/>
      <c r="AD108" s="19"/>
      <c r="AE108" s="19"/>
      <c r="AF108" s="19"/>
      <c r="AG108" s="19"/>
      <c r="AH108" s="21" t="s">
        <v>123</v>
      </c>
      <c r="AI108" s="23"/>
      <c r="AJ108" s="16" t="s">
        <v>124</v>
      </c>
      <c r="AK108" s="16" t="s">
        <v>153</v>
      </c>
      <c r="AL108" s="16" t="s">
        <v>126</v>
      </c>
      <c r="AM108" s="16" t="s">
        <v>126</v>
      </c>
      <c r="AN108" s="16" t="s">
        <v>126</v>
      </c>
      <c r="AO108" s="16" t="s">
        <v>126</v>
      </c>
      <c r="AP108" s="16" t="s">
        <v>126</v>
      </c>
      <c r="AQ108" s="16" t="s">
        <v>126</v>
      </c>
      <c r="AR108" s="16" t="s">
        <v>126</v>
      </c>
      <c r="AS108" s="21" t="s">
        <v>65</v>
      </c>
      <c r="AT108" s="22"/>
      <c r="AU108" s="23"/>
      <c r="AV108" s="21" t="s">
        <v>68</v>
      </c>
      <c r="AW108" s="22"/>
      <c r="AX108" s="23"/>
      <c r="AY108" s="19"/>
      <c r="AZ108" s="19"/>
      <c r="BA108" s="19"/>
      <c r="BB108" s="19"/>
      <c r="BC108" s="19"/>
      <c r="BD108" s="19"/>
      <c r="BE108" s="19"/>
      <c r="BF108" s="19"/>
      <c r="BG108" s="21" t="s">
        <v>78</v>
      </c>
      <c r="BH108" s="23"/>
      <c r="BI108" s="19"/>
      <c r="BJ108" s="19"/>
      <c r="BK108" s="16" t="s">
        <v>81</v>
      </c>
      <c r="BL108" s="19"/>
      <c r="BM108" s="19"/>
      <c r="BN108" s="16" t="s">
        <v>84</v>
      </c>
      <c r="BO108" s="21" t="s">
        <v>85</v>
      </c>
      <c r="BP108" s="22"/>
      <c r="BQ108" s="22"/>
      <c r="BR108" s="23"/>
      <c r="BS108" s="19"/>
      <c r="BT108" s="19"/>
      <c r="BU108" s="19"/>
      <c r="BV108" s="19"/>
      <c r="BW108" s="19"/>
      <c r="BX108" s="19"/>
      <c r="BY108" s="19"/>
      <c r="BZ108" s="19"/>
      <c r="CA108" s="21" t="s">
        <v>95</v>
      </c>
      <c r="CB108" s="22"/>
      <c r="CC108" s="23"/>
      <c r="CD108" s="19"/>
      <c r="CE108" s="19"/>
      <c r="CF108" s="19"/>
      <c r="CG108" s="16" t="s">
        <v>128</v>
      </c>
      <c r="CH108" s="21" t="s">
        <v>100</v>
      </c>
      <c r="CI108" s="23"/>
      <c r="CJ108" s="19"/>
      <c r="CK108" s="16" t="s">
        <v>103</v>
      </c>
      <c r="CL108" s="21" t="s">
        <v>104</v>
      </c>
      <c r="CM108" s="23"/>
      <c r="CN108" s="16" t="s">
        <v>128</v>
      </c>
      <c r="CO108" s="16" t="s">
        <v>105</v>
      </c>
      <c r="CP108" s="16" t="s">
        <v>106</v>
      </c>
      <c r="CQ108" s="21" t="s">
        <v>107</v>
      </c>
      <c r="CR108" s="22"/>
      <c r="CS108" s="23"/>
      <c r="CT108" s="21" t="s">
        <v>110</v>
      </c>
      <c r="CU108" s="23"/>
      <c r="CV108" s="16" t="s">
        <v>128</v>
      </c>
      <c r="CW108" s="19"/>
      <c r="CX108" s="19"/>
      <c r="CY108" s="19"/>
      <c r="CZ108" s="16" t="s">
        <v>114</v>
      </c>
      <c r="DA108" s="21" t="s">
        <v>115</v>
      </c>
      <c r="DB108" s="22"/>
      <c r="DC108" s="23"/>
      <c r="DD108" s="16" t="s">
        <v>129</v>
      </c>
      <c r="DE108" s="16" t="s">
        <v>129</v>
      </c>
      <c r="DF108" s="16" t="s">
        <v>145</v>
      </c>
      <c r="DG108" s="16" t="s">
        <v>638</v>
      </c>
      <c r="DH108" s="21" t="s">
        <v>724</v>
      </c>
      <c r="DI108" s="23"/>
      <c r="DJ108" s="19"/>
      <c r="DK108" s="19"/>
      <c r="DL108" s="19"/>
      <c r="DM108" s="21" t="s">
        <v>629</v>
      </c>
      <c r="DN108" s="23"/>
      <c r="DO108" s="19"/>
    </row>
    <row r="109" ht="15.75" customHeight="1">
      <c r="A109" s="15">
        <v>107.0</v>
      </c>
      <c r="B109" s="16" t="s">
        <v>725</v>
      </c>
      <c r="C109" s="17">
        <v>2.7702012500803E13</v>
      </c>
      <c r="D109" s="18">
        <v>142.0</v>
      </c>
      <c r="E109" s="16" t="s">
        <v>726</v>
      </c>
      <c r="F109" s="16" t="s">
        <v>546</v>
      </c>
      <c r="G109" s="16" t="s">
        <v>547</v>
      </c>
      <c r="H109" s="20">
        <v>28157.0</v>
      </c>
      <c r="I109" s="16"/>
      <c r="J109" s="18">
        <v>1.0</v>
      </c>
      <c r="K109" s="16" t="s">
        <v>727</v>
      </c>
      <c r="L109" s="21" t="s">
        <v>138</v>
      </c>
      <c r="M109" s="23"/>
      <c r="N109" s="19"/>
      <c r="O109" s="19"/>
      <c r="P109" s="19"/>
      <c r="Q109" s="19"/>
      <c r="R109" s="19"/>
      <c r="S109" s="19"/>
      <c r="T109" s="19"/>
      <c r="U109" s="19"/>
      <c r="V109" s="21" t="s">
        <v>728</v>
      </c>
      <c r="W109" s="23"/>
      <c r="X109" s="19"/>
      <c r="Y109" s="19"/>
      <c r="Z109" s="19"/>
      <c r="AA109" s="19"/>
      <c r="AB109" s="16" t="s">
        <v>51</v>
      </c>
      <c r="AC109" s="21" t="s">
        <v>52</v>
      </c>
      <c r="AD109" s="23"/>
      <c r="AE109" s="19"/>
      <c r="AF109" s="19"/>
      <c r="AG109" s="19"/>
      <c r="AH109" s="21" t="s">
        <v>152</v>
      </c>
      <c r="AI109" s="23"/>
      <c r="AJ109" s="16" t="s">
        <v>124</v>
      </c>
      <c r="AK109" s="16" t="s">
        <v>142</v>
      </c>
      <c r="AL109" s="19"/>
      <c r="AM109" s="16" t="s">
        <v>143</v>
      </c>
      <c r="AN109" s="16" t="s">
        <v>126</v>
      </c>
      <c r="AO109" s="16" t="s">
        <v>126</v>
      </c>
      <c r="AP109" s="16" t="s">
        <v>181</v>
      </c>
      <c r="AQ109" s="16" t="s">
        <v>126</v>
      </c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6" t="s">
        <v>77</v>
      </c>
      <c r="BF109" s="21" t="s">
        <v>729</v>
      </c>
      <c r="BG109" s="22"/>
      <c r="BH109" s="23"/>
      <c r="BI109" s="21" t="s">
        <v>52</v>
      </c>
      <c r="BJ109" s="23"/>
      <c r="BK109" s="19"/>
      <c r="BL109" s="19"/>
      <c r="BM109" s="19"/>
      <c r="BN109" s="19"/>
      <c r="BO109" s="19"/>
      <c r="BP109" s="19"/>
      <c r="BQ109" s="19"/>
      <c r="BR109" s="19"/>
      <c r="BS109" s="21" t="s">
        <v>88</v>
      </c>
      <c r="BT109" s="23"/>
      <c r="BU109" s="19"/>
      <c r="BV109" s="19"/>
      <c r="BW109" s="21" t="s">
        <v>92</v>
      </c>
      <c r="BX109" s="22"/>
      <c r="BY109" s="23"/>
      <c r="BZ109" s="19"/>
      <c r="CA109" s="19"/>
      <c r="CB109" s="19"/>
      <c r="CC109" s="19"/>
      <c r="CD109" s="19"/>
      <c r="CE109" s="19"/>
      <c r="CF109" s="16" t="s">
        <v>144</v>
      </c>
      <c r="CG109" s="16" t="s">
        <v>128</v>
      </c>
      <c r="CH109" s="16" t="s">
        <v>100</v>
      </c>
      <c r="CI109" s="21" t="s">
        <v>101</v>
      </c>
      <c r="CJ109" s="22"/>
      <c r="CK109" s="23"/>
      <c r="CL109" s="21" t="s">
        <v>104</v>
      </c>
      <c r="CM109" s="23"/>
      <c r="CN109" s="16" t="s">
        <v>128</v>
      </c>
      <c r="CO109" s="16" t="s">
        <v>105</v>
      </c>
      <c r="CP109" s="21" t="s">
        <v>106</v>
      </c>
      <c r="CQ109" s="22"/>
      <c r="CR109" s="22"/>
      <c r="CS109" s="23"/>
      <c r="CT109" s="19"/>
      <c r="CU109" s="19"/>
      <c r="CV109" s="16" t="s">
        <v>128</v>
      </c>
      <c r="CW109" s="19"/>
      <c r="CX109" s="19"/>
      <c r="CY109" s="21" t="s">
        <v>113</v>
      </c>
      <c r="CZ109" s="22"/>
      <c r="DA109" s="23"/>
      <c r="DB109" s="19"/>
      <c r="DC109" s="19"/>
      <c r="DD109" s="19"/>
      <c r="DE109" s="16" t="s">
        <v>129</v>
      </c>
      <c r="DF109" s="16" t="s">
        <v>129</v>
      </c>
      <c r="DG109" s="16" t="s">
        <v>730</v>
      </c>
      <c r="DH109" s="16" t="s">
        <v>731</v>
      </c>
      <c r="DI109" s="16" t="s">
        <v>732</v>
      </c>
      <c r="DJ109" s="16" t="s">
        <v>144</v>
      </c>
      <c r="DK109" s="19"/>
      <c r="DL109" s="19"/>
      <c r="DM109" s="21" t="s">
        <v>733</v>
      </c>
      <c r="DN109" s="23"/>
      <c r="DO109" s="19"/>
    </row>
    <row r="110" ht="15.75" customHeight="1">
      <c r="A110" s="15">
        <v>108.0</v>
      </c>
      <c r="B110" s="16" t="s">
        <v>734</v>
      </c>
      <c r="C110" s="17">
        <v>3.201042501896E12</v>
      </c>
      <c r="D110" s="18">
        <v>30.0</v>
      </c>
      <c r="E110" s="16" t="s">
        <v>660</v>
      </c>
      <c r="F110" s="16" t="s">
        <v>546</v>
      </c>
      <c r="G110" s="16" t="s">
        <v>547</v>
      </c>
      <c r="H110" s="19"/>
      <c r="I110" s="18">
        <v>1.0</v>
      </c>
      <c r="J110" s="19"/>
      <c r="K110" s="16" t="s">
        <v>735</v>
      </c>
      <c r="L110" s="21" t="s">
        <v>138</v>
      </c>
      <c r="M110" s="23"/>
      <c r="N110" s="19"/>
      <c r="O110" s="19"/>
      <c r="P110" s="19"/>
      <c r="Q110" s="19"/>
      <c r="R110" s="19"/>
      <c r="S110" s="19"/>
      <c r="T110" s="19"/>
      <c r="U110" s="19"/>
      <c r="V110" s="16" t="s">
        <v>144</v>
      </c>
      <c r="W110" s="19"/>
      <c r="X110" s="19"/>
      <c r="Y110" s="19"/>
      <c r="Z110" s="19"/>
      <c r="AA110" s="19"/>
      <c r="AB110" s="21" t="s">
        <v>51</v>
      </c>
      <c r="AC110" s="23"/>
      <c r="AD110" s="19"/>
      <c r="AE110" s="19"/>
      <c r="AF110" s="19"/>
      <c r="AG110" s="19"/>
      <c r="AH110" s="21" t="s">
        <v>152</v>
      </c>
      <c r="AI110" s="23"/>
      <c r="AJ110" s="16" t="s">
        <v>482</v>
      </c>
      <c r="AK110" s="16" t="s">
        <v>153</v>
      </c>
      <c r="AL110" s="16" t="s">
        <v>181</v>
      </c>
      <c r="AM110" s="16" t="s">
        <v>181</v>
      </c>
      <c r="AN110" s="16" t="s">
        <v>181</v>
      </c>
      <c r="AO110" s="16" t="s">
        <v>181</v>
      </c>
      <c r="AP110" s="16" t="s">
        <v>181</v>
      </c>
      <c r="AQ110" s="16" t="s">
        <v>181</v>
      </c>
      <c r="AR110" s="16" t="s">
        <v>181</v>
      </c>
      <c r="AS110" s="19"/>
      <c r="AT110" s="21" t="s">
        <v>66</v>
      </c>
      <c r="AU110" s="22"/>
      <c r="AV110" s="23"/>
      <c r="AW110" s="19"/>
      <c r="AX110" s="19"/>
      <c r="AY110" s="19"/>
      <c r="AZ110" s="19"/>
      <c r="BA110" s="19"/>
      <c r="BB110" s="19"/>
      <c r="BC110" s="19"/>
      <c r="BD110" s="19"/>
      <c r="BE110" s="19"/>
      <c r="BF110" s="16" t="s">
        <v>144</v>
      </c>
      <c r="BG110" s="19"/>
      <c r="BH110" s="19"/>
      <c r="BI110" s="19"/>
      <c r="BJ110" s="21" t="s">
        <v>80</v>
      </c>
      <c r="BK110" s="23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6" t="s">
        <v>144</v>
      </c>
      <c r="BY110" s="19"/>
      <c r="BZ110" s="19"/>
      <c r="CA110" s="19"/>
      <c r="CB110" s="19"/>
      <c r="CC110" s="19"/>
      <c r="CD110" s="19"/>
      <c r="CE110" s="19"/>
      <c r="CF110" s="16" t="s">
        <v>144</v>
      </c>
      <c r="CG110" s="16" t="s">
        <v>128</v>
      </c>
      <c r="CH110" s="19"/>
      <c r="CI110" s="19"/>
      <c r="CJ110" s="19"/>
      <c r="CK110" s="19"/>
      <c r="CL110" s="21" t="s">
        <v>104</v>
      </c>
      <c r="CM110" s="23"/>
      <c r="CN110" s="16" t="s">
        <v>128</v>
      </c>
      <c r="CO110" s="19"/>
      <c r="CP110" s="19"/>
      <c r="CQ110" s="19"/>
      <c r="CR110" s="21" t="s">
        <v>108</v>
      </c>
      <c r="CS110" s="23"/>
      <c r="CT110" s="19"/>
      <c r="CU110" s="19"/>
      <c r="CV110" s="16" t="s">
        <v>128</v>
      </c>
      <c r="CW110" s="19"/>
      <c r="CX110" s="19"/>
      <c r="CY110" s="19"/>
      <c r="CZ110" s="19"/>
      <c r="DA110" s="21" t="s">
        <v>115</v>
      </c>
      <c r="DB110" s="23"/>
      <c r="DC110" s="16" t="s">
        <v>129</v>
      </c>
      <c r="DD110" s="16" t="s">
        <v>129</v>
      </c>
      <c r="DE110" s="16" t="s">
        <v>129</v>
      </c>
      <c r="DF110" s="16" t="s">
        <v>129</v>
      </c>
      <c r="DG110" s="16" t="s">
        <v>736</v>
      </c>
      <c r="DH110" s="16" t="s">
        <v>737</v>
      </c>
      <c r="DI110" s="16" t="s">
        <v>738</v>
      </c>
      <c r="DJ110" s="21" t="s">
        <v>699</v>
      </c>
      <c r="DK110" s="23"/>
      <c r="DL110" s="19"/>
      <c r="DM110" s="16" t="s">
        <v>739</v>
      </c>
      <c r="DN110" s="19"/>
      <c r="DO110" s="19"/>
    </row>
    <row r="111" ht="15.75" customHeight="1">
      <c r="A111" s="15">
        <v>109.0</v>
      </c>
      <c r="B111" s="16" t="s">
        <v>740</v>
      </c>
      <c r="C111" s="17">
        <v>3.1410282502048E13</v>
      </c>
      <c r="D111" s="18">
        <v>200.0</v>
      </c>
      <c r="E111" s="16" t="s">
        <v>660</v>
      </c>
      <c r="F111" s="16" t="s">
        <v>546</v>
      </c>
      <c r="G111" s="16" t="s">
        <v>547</v>
      </c>
      <c r="H111" s="25">
        <v>41940.0</v>
      </c>
      <c r="I111" s="16"/>
      <c r="J111" s="18">
        <v>1.0</v>
      </c>
      <c r="K111" s="16" t="s">
        <v>741</v>
      </c>
      <c r="L111" s="21" t="s">
        <v>138</v>
      </c>
      <c r="M111" s="23"/>
      <c r="N111" s="19"/>
      <c r="O111" s="19"/>
      <c r="P111" s="19"/>
      <c r="Q111" s="19"/>
      <c r="R111" s="19"/>
      <c r="S111" s="19"/>
      <c r="T111" s="19"/>
      <c r="U111" s="19"/>
      <c r="V111" s="21" t="s">
        <v>674</v>
      </c>
      <c r="W111" s="23"/>
      <c r="X111" s="19"/>
      <c r="Y111" s="19"/>
      <c r="Z111" s="19"/>
      <c r="AA111" s="19"/>
      <c r="AB111" s="19"/>
      <c r="AC111" s="19"/>
      <c r="AD111" s="19"/>
      <c r="AE111" s="19"/>
      <c r="AF111" s="19"/>
      <c r="AG111" s="16" t="s">
        <v>675</v>
      </c>
      <c r="AH111" s="21" t="s">
        <v>123</v>
      </c>
      <c r="AI111" s="23"/>
      <c r="AJ111" s="16" t="s">
        <v>168</v>
      </c>
      <c r="AK111" s="16" t="s">
        <v>153</v>
      </c>
      <c r="AL111" s="16" t="s">
        <v>181</v>
      </c>
      <c r="AM111" s="16" t="s">
        <v>181</v>
      </c>
      <c r="AN111" s="16" t="s">
        <v>181</v>
      </c>
      <c r="AO111" s="16" t="s">
        <v>181</v>
      </c>
      <c r="AP111" s="16" t="s">
        <v>126</v>
      </c>
      <c r="AQ111" s="16" t="s">
        <v>181</v>
      </c>
      <c r="AR111" s="16" t="s">
        <v>126</v>
      </c>
      <c r="AS111" s="19"/>
      <c r="AT111" s="19"/>
      <c r="AU111" s="19"/>
      <c r="AV111" s="19"/>
      <c r="AW111" s="19"/>
      <c r="AX111" s="19"/>
      <c r="AY111" s="21" t="s">
        <v>71</v>
      </c>
      <c r="AZ111" s="22"/>
      <c r="BA111" s="23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21" t="s">
        <v>85</v>
      </c>
      <c r="BP111" s="22"/>
      <c r="BQ111" s="22"/>
      <c r="BR111" s="23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6" t="s">
        <v>676</v>
      </c>
      <c r="CG111" s="16" t="s">
        <v>128</v>
      </c>
      <c r="CH111" s="19"/>
      <c r="CI111" s="19"/>
      <c r="CJ111" s="19"/>
      <c r="CK111" s="19"/>
      <c r="CL111" s="21" t="s">
        <v>104</v>
      </c>
      <c r="CM111" s="23"/>
      <c r="CN111" s="16" t="s">
        <v>128</v>
      </c>
      <c r="CO111" s="19"/>
      <c r="CP111" s="19"/>
      <c r="CQ111" s="19"/>
      <c r="CR111" s="19"/>
      <c r="CS111" s="19"/>
      <c r="CT111" s="21" t="s">
        <v>110</v>
      </c>
      <c r="CU111" s="23"/>
      <c r="CV111" s="16" t="s">
        <v>128</v>
      </c>
      <c r="CW111" s="19"/>
      <c r="CX111" s="19"/>
      <c r="CY111" s="19"/>
      <c r="CZ111" s="19"/>
      <c r="DA111" s="21" t="s">
        <v>115</v>
      </c>
      <c r="DB111" s="23"/>
      <c r="DC111" s="16" t="s">
        <v>129</v>
      </c>
      <c r="DD111" s="16" t="s">
        <v>129</v>
      </c>
      <c r="DE111" s="16" t="s">
        <v>145</v>
      </c>
      <c r="DF111" s="16" t="s">
        <v>145</v>
      </c>
      <c r="DG111" s="16" t="s">
        <v>707</v>
      </c>
      <c r="DH111" s="16" t="s">
        <v>742</v>
      </c>
      <c r="DI111" s="16" t="s">
        <v>678</v>
      </c>
      <c r="DJ111" s="16" t="s">
        <v>144</v>
      </c>
      <c r="DK111" s="19"/>
      <c r="DL111" s="19"/>
      <c r="DM111" s="16" t="s">
        <v>679</v>
      </c>
      <c r="DN111" s="21" t="s">
        <v>680</v>
      </c>
      <c r="DO111" s="23"/>
    </row>
    <row r="112" ht="15.75" customHeight="1">
      <c r="A112" s="15">
        <v>110.0</v>
      </c>
      <c r="B112" s="16" t="s">
        <v>743</v>
      </c>
      <c r="C112" s="17">
        <v>3.2002222500332E13</v>
      </c>
      <c r="D112" s="18">
        <v>125.0</v>
      </c>
      <c r="E112" s="16" t="s">
        <v>624</v>
      </c>
      <c r="F112" s="16" t="s">
        <v>546</v>
      </c>
      <c r="G112" s="16" t="s">
        <v>547</v>
      </c>
      <c r="H112" s="20">
        <v>36578.0</v>
      </c>
      <c r="I112" s="18">
        <v>1.0</v>
      </c>
      <c r="J112" s="19"/>
      <c r="K112" s="16" t="s">
        <v>744</v>
      </c>
      <c r="L112" s="21" t="s">
        <v>138</v>
      </c>
      <c r="M112" s="23"/>
      <c r="N112" s="19"/>
      <c r="O112" s="19"/>
      <c r="P112" s="19"/>
      <c r="Q112" s="19"/>
      <c r="R112" s="19"/>
      <c r="S112" s="19"/>
      <c r="T112" s="19"/>
      <c r="U112" s="19"/>
      <c r="V112" s="16" t="s">
        <v>127</v>
      </c>
      <c r="W112" s="19"/>
      <c r="X112" s="21" t="s">
        <v>47</v>
      </c>
      <c r="Y112" s="23"/>
      <c r="Z112" s="19"/>
      <c r="AA112" s="19"/>
      <c r="AB112" s="19"/>
      <c r="AC112" s="19"/>
      <c r="AD112" s="19"/>
      <c r="AE112" s="19"/>
      <c r="AF112" s="19"/>
      <c r="AG112" s="19"/>
      <c r="AH112" s="21" t="s">
        <v>123</v>
      </c>
      <c r="AI112" s="23"/>
      <c r="AJ112" s="16" t="s">
        <v>168</v>
      </c>
      <c r="AK112" s="16" t="s">
        <v>153</v>
      </c>
      <c r="AL112" s="16" t="s">
        <v>126</v>
      </c>
      <c r="AM112" s="16" t="s">
        <v>126</v>
      </c>
      <c r="AN112" s="16" t="s">
        <v>126</v>
      </c>
      <c r="AO112" s="19"/>
      <c r="AP112" s="16" t="s">
        <v>126</v>
      </c>
      <c r="AQ112" s="16" t="s">
        <v>126</v>
      </c>
      <c r="AR112" s="16" t="s">
        <v>126</v>
      </c>
      <c r="AS112" s="21" t="s">
        <v>65</v>
      </c>
      <c r="AT112" s="22"/>
      <c r="AU112" s="23"/>
      <c r="AV112" s="19"/>
      <c r="AW112" s="16" t="s">
        <v>69</v>
      </c>
      <c r="AX112" s="16" t="s">
        <v>70</v>
      </c>
      <c r="AY112" s="21" t="s">
        <v>71</v>
      </c>
      <c r="AZ112" s="22"/>
      <c r="BA112" s="23"/>
      <c r="BB112" s="19"/>
      <c r="BC112" s="19"/>
      <c r="BD112" s="19"/>
      <c r="BE112" s="19"/>
      <c r="BF112" s="16" t="s">
        <v>127</v>
      </c>
      <c r="BG112" s="21" t="s">
        <v>78</v>
      </c>
      <c r="BH112" s="23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6" t="s">
        <v>127</v>
      </c>
      <c r="BY112" s="19"/>
      <c r="BZ112" s="19"/>
      <c r="CA112" s="19"/>
      <c r="CB112" s="19"/>
      <c r="CC112" s="19"/>
      <c r="CD112" s="19"/>
      <c r="CE112" s="19"/>
      <c r="CF112" s="16" t="s">
        <v>127</v>
      </c>
      <c r="CG112" s="16" t="s">
        <v>128</v>
      </c>
      <c r="CH112" s="21" t="s">
        <v>100</v>
      </c>
      <c r="CI112" s="23"/>
      <c r="CJ112" s="19"/>
      <c r="CK112" s="19"/>
      <c r="CL112" s="21" t="s">
        <v>104</v>
      </c>
      <c r="CM112" s="23"/>
      <c r="CN112" s="16" t="s">
        <v>128</v>
      </c>
      <c r="CO112" s="16" t="s">
        <v>105</v>
      </c>
      <c r="CP112" s="21" t="s">
        <v>106</v>
      </c>
      <c r="CQ112" s="23"/>
      <c r="CR112" s="21" t="s">
        <v>108</v>
      </c>
      <c r="CS112" s="23"/>
      <c r="CT112" s="21" t="s">
        <v>110</v>
      </c>
      <c r="CU112" s="23"/>
      <c r="CV112" s="16" t="s">
        <v>128</v>
      </c>
      <c r="CW112" s="19"/>
      <c r="CX112" s="19"/>
      <c r="CY112" s="19"/>
      <c r="CZ112" s="19"/>
      <c r="DA112" s="21" t="s">
        <v>115</v>
      </c>
      <c r="DB112" s="23"/>
      <c r="DC112" s="16" t="s">
        <v>145</v>
      </c>
      <c r="DD112" s="16" t="s">
        <v>129</v>
      </c>
      <c r="DE112" s="16" t="s">
        <v>129</v>
      </c>
      <c r="DF112" s="19"/>
      <c r="DG112" s="16" t="s">
        <v>745</v>
      </c>
      <c r="DH112" s="16" t="s">
        <v>626</v>
      </c>
      <c r="DI112" s="19"/>
      <c r="DJ112" s="19"/>
      <c r="DK112" s="19"/>
      <c r="DL112" s="19"/>
      <c r="DM112" s="16" t="s">
        <v>746</v>
      </c>
      <c r="DN112" s="21" t="s">
        <v>747</v>
      </c>
      <c r="DO112" s="23"/>
    </row>
    <row r="113" ht="15.75" customHeight="1">
      <c r="A113" s="15">
        <v>111.0</v>
      </c>
      <c r="B113" s="16" t="s">
        <v>748</v>
      </c>
      <c r="C113" s="17">
        <v>2.3003082500309E13</v>
      </c>
      <c r="D113" s="18">
        <v>28.0</v>
      </c>
      <c r="E113" s="16" t="s">
        <v>726</v>
      </c>
      <c r="F113" s="16" t="s">
        <v>546</v>
      </c>
      <c r="G113" s="16" t="s">
        <v>547</v>
      </c>
      <c r="H113" s="19"/>
      <c r="I113" s="16"/>
      <c r="J113" s="18">
        <v>1.0</v>
      </c>
      <c r="K113" s="16" t="s">
        <v>749</v>
      </c>
      <c r="L113" s="21" t="s">
        <v>138</v>
      </c>
      <c r="M113" s="23"/>
      <c r="N113" s="19"/>
      <c r="O113" s="19"/>
      <c r="P113" s="19"/>
      <c r="Q113" s="19"/>
      <c r="R113" s="19"/>
      <c r="S113" s="19"/>
      <c r="T113" s="19"/>
      <c r="U113" s="19"/>
      <c r="V113" s="16" t="s">
        <v>402</v>
      </c>
      <c r="W113" s="16" t="s">
        <v>46</v>
      </c>
      <c r="X113" s="19"/>
      <c r="Y113" s="19"/>
      <c r="Z113" s="19"/>
      <c r="AA113" s="19"/>
      <c r="AB113" s="21" t="s">
        <v>51</v>
      </c>
      <c r="AC113" s="23"/>
      <c r="AD113" s="19"/>
      <c r="AE113" s="19"/>
      <c r="AF113" s="19"/>
      <c r="AG113" s="19"/>
      <c r="AH113" s="21" t="s">
        <v>228</v>
      </c>
      <c r="AI113" s="23"/>
      <c r="AJ113" s="16" t="s">
        <v>168</v>
      </c>
      <c r="AK113" s="16" t="s">
        <v>153</v>
      </c>
      <c r="AL113" s="16" t="s">
        <v>126</v>
      </c>
      <c r="AM113" s="16" t="s">
        <v>126</v>
      </c>
      <c r="AN113" s="16" t="s">
        <v>181</v>
      </c>
      <c r="AO113" s="16" t="s">
        <v>126</v>
      </c>
      <c r="AP113" s="16" t="s">
        <v>126</v>
      </c>
      <c r="AQ113" s="16" t="s">
        <v>181</v>
      </c>
      <c r="AR113" s="16" t="s">
        <v>181</v>
      </c>
      <c r="AS113" s="16" t="s">
        <v>65</v>
      </c>
      <c r="AT113" s="21" t="s">
        <v>66</v>
      </c>
      <c r="AU113" s="22"/>
      <c r="AV113" s="23"/>
      <c r="AW113" s="19"/>
      <c r="AX113" s="19"/>
      <c r="AY113" s="21" t="s">
        <v>71</v>
      </c>
      <c r="AZ113" s="22"/>
      <c r="BA113" s="23"/>
      <c r="BB113" s="19"/>
      <c r="BC113" s="19"/>
      <c r="BD113" s="19"/>
      <c r="BE113" s="19"/>
      <c r="BF113" s="19"/>
      <c r="BG113" s="21" t="s">
        <v>78</v>
      </c>
      <c r="BH113" s="23"/>
      <c r="BI113" s="19"/>
      <c r="BJ113" s="16" t="s">
        <v>80</v>
      </c>
      <c r="BK113" s="16" t="s">
        <v>81</v>
      </c>
      <c r="BL113" s="19"/>
      <c r="BM113" s="19"/>
      <c r="BN113" s="19"/>
      <c r="BO113" s="21" t="s">
        <v>85</v>
      </c>
      <c r="BP113" s="22"/>
      <c r="BQ113" s="22"/>
      <c r="BR113" s="23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6" t="s">
        <v>750</v>
      </c>
      <c r="CG113" s="16" t="s">
        <v>128</v>
      </c>
      <c r="CH113" s="19"/>
      <c r="CI113" s="21" t="s">
        <v>101</v>
      </c>
      <c r="CJ113" s="22"/>
      <c r="CK113" s="23"/>
      <c r="CL113" s="19"/>
      <c r="CM113" s="16" t="s">
        <v>751</v>
      </c>
      <c r="CN113" s="16" t="s">
        <v>128</v>
      </c>
      <c r="CO113" s="21" t="s">
        <v>105</v>
      </c>
      <c r="CP113" s="23"/>
      <c r="CQ113" s="21" t="s">
        <v>107</v>
      </c>
      <c r="CR113" s="22"/>
      <c r="CS113" s="23"/>
      <c r="CT113" s="19"/>
      <c r="CU113" s="19"/>
      <c r="CV113" s="16" t="s">
        <v>128</v>
      </c>
      <c r="CW113" s="19"/>
      <c r="CX113" s="21" t="s">
        <v>112</v>
      </c>
      <c r="CY113" s="22"/>
      <c r="CZ113" s="23"/>
      <c r="DA113" s="19"/>
      <c r="DB113" s="19"/>
      <c r="DC113" s="16" t="s">
        <v>145</v>
      </c>
      <c r="DD113" s="16" t="s">
        <v>129</v>
      </c>
      <c r="DE113" s="19"/>
      <c r="DF113" s="19"/>
      <c r="DG113" s="16" t="s">
        <v>752</v>
      </c>
      <c r="DH113" s="21" t="s">
        <v>753</v>
      </c>
      <c r="DI113" s="23"/>
      <c r="DJ113" s="16" t="s">
        <v>144</v>
      </c>
      <c r="DK113" s="19"/>
      <c r="DL113" s="19"/>
      <c r="DM113" s="21" t="s">
        <v>754</v>
      </c>
      <c r="DN113" s="23"/>
      <c r="DO113" s="19"/>
    </row>
    <row r="114" ht="15.75" customHeight="1">
      <c r="A114" s="15">
        <v>112.0</v>
      </c>
      <c r="B114" s="16" t="s">
        <v>755</v>
      </c>
      <c r="C114" s="17">
        <v>3.21070125004838E14</v>
      </c>
      <c r="D114" s="18">
        <v>143.0</v>
      </c>
      <c r="E114" s="16" t="s">
        <v>605</v>
      </c>
      <c r="F114" s="16" t="s">
        <v>606</v>
      </c>
      <c r="G114" s="16" t="s">
        <v>547</v>
      </c>
      <c r="H114" s="20">
        <v>44378.0</v>
      </c>
      <c r="I114" s="18">
        <v>1.0</v>
      </c>
      <c r="J114" s="19"/>
      <c r="K114" s="16" t="s">
        <v>756</v>
      </c>
      <c r="L114" s="21" t="s">
        <v>138</v>
      </c>
      <c r="M114" s="23"/>
      <c r="N114" s="19"/>
      <c r="O114" s="19"/>
      <c r="P114" s="19"/>
      <c r="Q114" s="19"/>
      <c r="R114" s="19"/>
      <c r="S114" s="19"/>
      <c r="T114" s="19"/>
      <c r="U114" s="19"/>
      <c r="V114" s="16" t="s">
        <v>271</v>
      </c>
      <c r="W114" s="16" t="s">
        <v>46</v>
      </c>
      <c r="X114" s="21" t="s">
        <v>47</v>
      </c>
      <c r="Y114" s="23"/>
      <c r="Z114" s="19"/>
      <c r="AA114" s="19"/>
      <c r="AB114" s="19"/>
      <c r="AC114" s="19"/>
      <c r="AD114" s="19"/>
      <c r="AE114" s="19"/>
      <c r="AF114" s="19"/>
      <c r="AG114" s="19"/>
      <c r="AH114" s="21" t="s">
        <v>357</v>
      </c>
      <c r="AI114" s="23"/>
      <c r="AJ114" s="16" t="s">
        <v>124</v>
      </c>
      <c r="AK114" s="16" t="s">
        <v>153</v>
      </c>
      <c r="AL114" s="16" t="s">
        <v>181</v>
      </c>
      <c r="AM114" s="16" t="s">
        <v>126</v>
      </c>
      <c r="AN114" s="16" t="s">
        <v>181</v>
      </c>
      <c r="AO114" s="16" t="s">
        <v>181</v>
      </c>
      <c r="AP114" s="16" t="s">
        <v>181</v>
      </c>
      <c r="AQ114" s="16" t="s">
        <v>181</v>
      </c>
      <c r="AR114" s="16" t="s">
        <v>181</v>
      </c>
      <c r="AS114" s="21" t="s">
        <v>65</v>
      </c>
      <c r="AT114" s="23"/>
      <c r="AU114" s="16" t="s">
        <v>67</v>
      </c>
      <c r="AV114" s="16" t="s">
        <v>68</v>
      </c>
      <c r="AW114" s="16" t="s">
        <v>69</v>
      </c>
      <c r="AX114" s="21" t="s">
        <v>70</v>
      </c>
      <c r="AY114" s="22"/>
      <c r="AZ114" s="23"/>
      <c r="BA114" s="19"/>
      <c r="BB114" s="19"/>
      <c r="BC114" s="19"/>
      <c r="BD114" s="19"/>
      <c r="BE114" s="19"/>
      <c r="BF114" s="16" t="s">
        <v>457</v>
      </c>
      <c r="BG114" s="16" t="s">
        <v>78</v>
      </c>
      <c r="BH114" s="16" t="s">
        <v>79</v>
      </c>
      <c r="BI114" s="21" t="s">
        <v>52</v>
      </c>
      <c r="BJ114" s="23"/>
      <c r="BK114" s="16" t="s">
        <v>81</v>
      </c>
      <c r="BL114" s="21" t="s">
        <v>82</v>
      </c>
      <c r="BM114" s="23"/>
      <c r="BN114" s="19"/>
      <c r="BO114" s="21" t="s">
        <v>85</v>
      </c>
      <c r="BP114" s="22"/>
      <c r="BQ114" s="22"/>
      <c r="BR114" s="23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21" t="s">
        <v>97</v>
      </c>
      <c r="CD114" s="23"/>
      <c r="CE114" s="21" t="s">
        <v>99</v>
      </c>
      <c r="CF114" s="23"/>
      <c r="CG114" s="16" t="s">
        <v>128</v>
      </c>
      <c r="CH114" s="16" t="s">
        <v>100</v>
      </c>
      <c r="CI114" s="16" t="s">
        <v>101</v>
      </c>
      <c r="CJ114" s="16" t="s">
        <v>102</v>
      </c>
      <c r="CK114" s="16" t="s">
        <v>103</v>
      </c>
      <c r="CL114" s="21" t="s">
        <v>104</v>
      </c>
      <c r="CM114" s="23"/>
      <c r="CN114" s="16" t="s">
        <v>128</v>
      </c>
      <c r="CO114" s="16" t="s">
        <v>105</v>
      </c>
      <c r="CP114" s="16" t="s">
        <v>106</v>
      </c>
      <c r="CQ114" s="16" t="s">
        <v>107</v>
      </c>
      <c r="CR114" s="16" t="s">
        <v>108</v>
      </c>
      <c r="CS114" s="16" t="s">
        <v>109</v>
      </c>
      <c r="CT114" s="21" t="s">
        <v>110</v>
      </c>
      <c r="CU114" s="23"/>
      <c r="CV114" s="16" t="s">
        <v>128</v>
      </c>
      <c r="CW114" s="16" t="s">
        <v>111</v>
      </c>
      <c r="CX114" s="16" t="s">
        <v>112</v>
      </c>
      <c r="CY114" s="21" t="s">
        <v>113</v>
      </c>
      <c r="CZ114" s="23"/>
      <c r="DA114" s="21" t="s">
        <v>115</v>
      </c>
      <c r="DB114" s="23"/>
      <c r="DC114" s="16" t="s">
        <v>129</v>
      </c>
      <c r="DD114" s="16" t="s">
        <v>129</v>
      </c>
      <c r="DE114" s="16" t="s">
        <v>129</v>
      </c>
      <c r="DF114" s="16" t="s">
        <v>129</v>
      </c>
      <c r="DG114" s="16" t="s">
        <v>757</v>
      </c>
      <c r="DH114" s="16" t="s">
        <v>758</v>
      </c>
      <c r="DI114" s="16" t="s">
        <v>759</v>
      </c>
      <c r="DJ114" s="16" t="s">
        <v>760</v>
      </c>
      <c r="DK114" s="16" t="s">
        <v>144</v>
      </c>
      <c r="DL114" s="16" t="s">
        <v>144</v>
      </c>
      <c r="DM114" s="16" t="s">
        <v>761</v>
      </c>
      <c r="DN114" s="16" t="s">
        <v>144</v>
      </c>
      <c r="DO114" s="16" t="s">
        <v>144</v>
      </c>
    </row>
    <row r="115" ht="15.75" customHeight="1">
      <c r="A115" s="15">
        <v>113.0</v>
      </c>
      <c r="B115" s="16" t="s">
        <v>762</v>
      </c>
      <c r="C115" s="17">
        <v>3.100282502618E12</v>
      </c>
      <c r="D115" s="18">
        <v>32.0</v>
      </c>
      <c r="E115" s="16" t="s">
        <v>660</v>
      </c>
      <c r="F115" s="16" t="s">
        <v>546</v>
      </c>
      <c r="G115" s="16" t="s">
        <v>547</v>
      </c>
      <c r="H115" s="19"/>
      <c r="I115" s="16"/>
      <c r="J115" s="18">
        <v>1.0</v>
      </c>
      <c r="K115" s="16" t="s">
        <v>763</v>
      </c>
      <c r="L115" s="21" t="s">
        <v>138</v>
      </c>
      <c r="M115" s="23"/>
      <c r="N115" s="19"/>
      <c r="O115" s="19"/>
      <c r="P115" s="19"/>
      <c r="Q115" s="19"/>
      <c r="R115" s="19"/>
      <c r="S115" s="19"/>
      <c r="T115" s="19"/>
      <c r="U115" s="19"/>
      <c r="V115" s="21" t="s">
        <v>138</v>
      </c>
      <c r="W115" s="23"/>
      <c r="X115" s="19"/>
      <c r="Y115" s="19"/>
      <c r="Z115" s="19"/>
      <c r="AA115" s="19"/>
      <c r="AB115" s="21" t="s">
        <v>51</v>
      </c>
      <c r="AC115" s="23"/>
      <c r="AD115" s="19"/>
      <c r="AE115" s="19"/>
      <c r="AF115" s="19"/>
      <c r="AG115" s="19"/>
      <c r="AH115" s="21" t="s">
        <v>152</v>
      </c>
      <c r="AI115" s="23"/>
      <c r="AJ115" s="16" t="s">
        <v>764</v>
      </c>
      <c r="AK115" s="16" t="s">
        <v>153</v>
      </c>
      <c r="AL115" s="16" t="s">
        <v>181</v>
      </c>
      <c r="AM115" s="16" t="s">
        <v>181</v>
      </c>
      <c r="AN115" s="16" t="s">
        <v>181</v>
      </c>
      <c r="AO115" s="16" t="s">
        <v>181</v>
      </c>
      <c r="AP115" s="16" t="s">
        <v>181</v>
      </c>
      <c r="AQ115" s="16" t="s">
        <v>181</v>
      </c>
      <c r="AR115" s="16" t="s">
        <v>181</v>
      </c>
      <c r="AS115" s="19"/>
      <c r="AT115" s="19"/>
      <c r="AU115" s="19"/>
      <c r="AV115" s="19"/>
      <c r="AW115" s="19"/>
      <c r="AX115" s="19"/>
      <c r="AY115" s="19"/>
      <c r="AZ115" s="19"/>
      <c r="BA115" s="21" t="s">
        <v>73</v>
      </c>
      <c r="BB115" s="23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6" t="s">
        <v>144</v>
      </c>
      <c r="BQ115" s="19"/>
      <c r="BR115" s="19"/>
      <c r="BS115" s="19"/>
      <c r="BT115" s="19"/>
      <c r="BU115" s="19"/>
      <c r="BV115" s="19"/>
      <c r="BW115" s="21" t="s">
        <v>92</v>
      </c>
      <c r="BX115" s="22"/>
      <c r="BY115" s="23"/>
      <c r="BZ115" s="19"/>
      <c r="CA115" s="19"/>
      <c r="CB115" s="19"/>
      <c r="CC115" s="19"/>
      <c r="CD115" s="19"/>
      <c r="CE115" s="19"/>
      <c r="CF115" s="16" t="s">
        <v>144</v>
      </c>
      <c r="CG115" s="16" t="s">
        <v>128</v>
      </c>
      <c r="CH115" s="21" t="s">
        <v>100</v>
      </c>
      <c r="CI115" s="23"/>
      <c r="CJ115" s="19"/>
      <c r="CK115" s="19"/>
      <c r="CL115" s="19"/>
      <c r="CM115" s="19"/>
      <c r="CN115" s="16" t="s">
        <v>128</v>
      </c>
      <c r="CO115" s="19"/>
      <c r="CP115" s="19"/>
      <c r="CQ115" s="19"/>
      <c r="CR115" s="19"/>
      <c r="CS115" s="21" t="s">
        <v>109</v>
      </c>
      <c r="CT115" s="23"/>
      <c r="CU115" s="19"/>
      <c r="CV115" s="16" t="s">
        <v>128</v>
      </c>
      <c r="CW115" s="19"/>
      <c r="CX115" s="19"/>
      <c r="CY115" s="19"/>
      <c r="CZ115" s="19"/>
      <c r="DA115" s="21" t="s">
        <v>115</v>
      </c>
      <c r="DB115" s="23"/>
      <c r="DC115" s="16" t="s">
        <v>602</v>
      </c>
      <c r="DD115" s="16" t="s">
        <v>602</v>
      </c>
      <c r="DE115" s="16" t="s">
        <v>602</v>
      </c>
      <c r="DF115" s="16" t="s">
        <v>602</v>
      </c>
      <c r="DG115" s="16" t="s">
        <v>765</v>
      </c>
      <c r="DH115" s="21" t="s">
        <v>766</v>
      </c>
      <c r="DI115" s="23"/>
      <c r="DJ115" s="21" t="s">
        <v>699</v>
      </c>
      <c r="DK115" s="23"/>
      <c r="DL115" s="19"/>
      <c r="DM115" s="16" t="s">
        <v>144</v>
      </c>
      <c r="DN115" s="19"/>
      <c r="DO115" s="19"/>
    </row>
    <row r="116" ht="15.75" customHeight="1">
      <c r="A116" s="15">
        <v>114.0</v>
      </c>
      <c r="B116" s="16" t="s">
        <v>767</v>
      </c>
      <c r="C116" s="17">
        <v>3.1712162503276E13</v>
      </c>
      <c r="D116" s="18">
        <v>145.0</v>
      </c>
      <c r="E116" s="16" t="s">
        <v>660</v>
      </c>
      <c r="F116" s="16" t="s">
        <v>546</v>
      </c>
      <c r="G116" s="16" t="s">
        <v>547</v>
      </c>
      <c r="H116" s="25">
        <v>43085.0</v>
      </c>
      <c r="I116" s="18">
        <v>1.0</v>
      </c>
      <c r="J116" s="19"/>
      <c r="K116" s="16" t="s">
        <v>768</v>
      </c>
      <c r="L116" s="21" t="s">
        <v>138</v>
      </c>
      <c r="M116" s="23"/>
      <c r="N116" s="19"/>
      <c r="O116" s="19"/>
      <c r="P116" s="19"/>
      <c r="Q116" s="19"/>
      <c r="R116" s="19"/>
      <c r="S116" s="19"/>
      <c r="T116" s="19"/>
      <c r="U116" s="19"/>
      <c r="V116" s="21" t="s">
        <v>674</v>
      </c>
      <c r="W116" s="23"/>
      <c r="X116" s="19"/>
      <c r="Y116" s="19"/>
      <c r="Z116" s="19"/>
      <c r="AA116" s="19"/>
      <c r="AB116" s="19"/>
      <c r="AC116" s="19"/>
      <c r="AD116" s="19"/>
      <c r="AE116" s="19"/>
      <c r="AF116" s="19"/>
      <c r="AG116" s="16" t="s">
        <v>675</v>
      </c>
      <c r="AH116" s="21" t="s">
        <v>123</v>
      </c>
      <c r="AI116" s="23"/>
      <c r="AJ116" s="16" t="s">
        <v>168</v>
      </c>
      <c r="AK116" s="16" t="s">
        <v>153</v>
      </c>
      <c r="AL116" s="16" t="s">
        <v>181</v>
      </c>
      <c r="AM116" s="16" t="s">
        <v>181</v>
      </c>
      <c r="AN116" s="16" t="s">
        <v>181</v>
      </c>
      <c r="AO116" s="16" t="s">
        <v>181</v>
      </c>
      <c r="AP116" s="16" t="s">
        <v>181</v>
      </c>
      <c r="AQ116" s="16" t="s">
        <v>181</v>
      </c>
      <c r="AR116" s="16" t="s">
        <v>181</v>
      </c>
      <c r="AS116" s="19"/>
      <c r="AT116" s="19"/>
      <c r="AU116" s="19"/>
      <c r="AV116" s="19"/>
      <c r="AW116" s="19"/>
      <c r="AX116" s="19"/>
      <c r="AY116" s="19"/>
      <c r="AZ116" s="21" t="s">
        <v>769</v>
      </c>
      <c r="BA116" s="23"/>
      <c r="BB116" s="19"/>
      <c r="BC116" s="19"/>
      <c r="BD116" s="19"/>
      <c r="BE116" s="19"/>
      <c r="BF116" s="19"/>
      <c r="BG116" s="19"/>
      <c r="BH116" s="19"/>
      <c r="BI116" s="19"/>
      <c r="BJ116" s="19"/>
      <c r="BK116" s="16" t="s">
        <v>81</v>
      </c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6" t="s">
        <v>676</v>
      </c>
      <c r="CG116" s="16" t="s">
        <v>128</v>
      </c>
      <c r="CH116" s="19"/>
      <c r="CI116" s="19"/>
      <c r="CJ116" s="19"/>
      <c r="CK116" s="19"/>
      <c r="CL116" s="21" t="s">
        <v>104</v>
      </c>
      <c r="CM116" s="23"/>
      <c r="CN116" s="16" t="s">
        <v>128</v>
      </c>
      <c r="CO116" s="19"/>
      <c r="CP116" s="19"/>
      <c r="CQ116" s="19"/>
      <c r="CR116" s="19"/>
      <c r="CS116" s="21" t="s">
        <v>109</v>
      </c>
      <c r="CT116" s="23"/>
      <c r="CU116" s="19"/>
      <c r="CV116" s="16" t="s">
        <v>128</v>
      </c>
      <c r="CW116" s="19"/>
      <c r="CX116" s="19"/>
      <c r="CY116" s="19"/>
      <c r="CZ116" s="19"/>
      <c r="DA116" s="21" t="s">
        <v>115</v>
      </c>
      <c r="DB116" s="23"/>
      <c r="DC116" s="16" t="s">
        <v>129</v>
      </c>
      <c r="DD116" s="16" t="s">
        <v>129</v>
      </c>
      <c r="DE116" s="16" t="s">
        <v>129</v>
      </c>
      <c r="DF116" s="16" t="s">
        <v>129</v>
      </c>
      <c r="DG116" s="16" t="s">
        <v>707</v>
      </c>
      <c r="DH116" s="16" t="s">
        <v>79</v>
      </c>
      <c r="DI116" s="16" t="s">
        <v>770</v>
      </c>
      <c r="DJ116" s="16" t="s">
        <v>144</v>
      </c>
      <c r="DK116" s="19"/>
      <c r="DL116" s="19"/>
      <c r="DM116" s="16" t="s">
        <v>679</v>
      </c>
      <c r="DN116" s="21" t="s">
        <v>680</v>
      </c>
      <c r="DO116" s="23"/>
    </row>
    <row r="117" ht="15.75" customHeight="1">
      <c r="A117" s="15">
        <v>115.0</v>
      </c>
      <c r="B117" s="16" t="s">
        <v>771</v>
      </c>
      <c r="C117" s="17">
        <v>3.2107082510844E13</v>
      </c>
      <c r="D117" s="18">
        <v>13.0</v>
      </c>
      <c r="E117" s="16" t="s">
        <v>660</v>
      </c>
      <c r="F117" s="16" t="s">
        <v>546</v>
      </c>
      <c r="G117" s="16" t="s">
        <v>547</v>
      </c>
      <c r="H117" s="19"/>
      <c r="I117" s="19"/>
      <c r="J117" s="18">
        <v>1.0</v>
      </c>
      <c r="K117" s="16" t="s">
        <v>772</v>
      </c>
      <c r="L117" s="21" t="s">
        <v>138</v>
      </c>
      <c r="M117" s="23"/>
      <c r="N117" s="19"/>
      <c r="O117" s="19"/>
      <c r="P117" s="19"/>
      <c r="Q117" s="19"/>
      <c r="R117" s="19"/>
      <c r="S117" s="19"/>
      <c r="T117" s="19"/>
      <c r="U117" s="19"/>
      <c r="V117" s="21" t="s">
        <v>138</v>
      </c>
      <c r="W117" s="23"/>
      <c r="X117" s="19"/>
      <c r="Y117" s="19"/>
      <c r="Z117" s="19"/>
      <c r="AA117" s="19"/>
      <c r="AB117" s="21" t="s">
        <v>51</v>
      </c>
      <c r="AC117" s="23"/>
      <c r="AD117" s="19"/>
      <c r="AE117" s="19"/>
      <c r="AF117" s="19"/>
      <c r="AG117" s="19"/>
      <c r="AH117" s="21" t="s">
        <v>152</v>
      </c>
      <c r="AI117" s="23"/>
      <c r="AJ117" s="16" t="s">
        <v>764</v>
      </c>
      <c r="AK117" s="16" t="s">
        <v>153</v>
      </c>
      <c r="AL117" s="16" t="s">
        <v>181</v>
      </c>
      <c r="AM117" s="16" t="s">
        <v>181</v>
      </c>
      <c r="AN117" s="16" t="s">
        <v>181</v>
      </c>
      <c r="AO117" s="16" t="s">
        <v>181</v>
      </c>
      <c r="AP117" s="16" t="s">
        <v>181</v>
      </c>
      <c r="AQ117" s="16" t="s">
        <v>181</v>
      </c>
      <c r="AR117" s="16" t="s">
        <v>181</v>
      </c>
      <c r="AS117" s="19"/>
      <c r="AT117" s="19"/>
      <c r="AU117" s="19"/>
      <c r="AV117" s="19"/>
      <c r="AW117" s="19"/>
      <c r="AX117" s="19"/>
      <c r="AY117" s="19"/>
      <c r="AZ117" s="16" t="s">
        <v>773</v>
      </c>
      <c r="BA117" s="19"/>
      <c r="BB117" s="19"/>
      <c r="BC117" s="19"/>
      <c r="BD117" s="19"/>
      <c r="BE117" s="19"/>
      <c r="BF117" s="16" t="s">
        <v>144</v>
      </c>
      <c r="BG117" s="19"/>
      <c r="BH117" s="19"/>
      <c r="BI117" s="19"/>
      <c r="BJ117" s="19"/>
      <c r="BK117" s="16" t="s">
        <v>81</v>
      </c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6" t="s">
        <v>144</v>
      </c>
      <c r="BY117" s="19"/>
      <c r="BZ117" s="19"/>
      <c r="CA117" s="19"/>
      <c r="CB117" s="19"/>
      <c r="CC117" s="19"/>
      <c r="CD117" s="19"/>
      <c r="CE117" s="19"/>
      <c r="CF117" s="16" t="s">
        <v>144</v>
      </c>
      <c r="CG117" s="16" t="s">
        <v>128</v>
      </c>
      <c r="CH117" s="19"/>
      <c r="CI117" s="19"/>
      <c r="CJ117" s="19"/>
      <c r="CK117" s="19"/>
      <c r="CL117" s="21" t="s">
        <v>104</v>
      </c>
      <c r="CM117" s="23"/>
      <c r="CN117" s="16" t="s">
        <v>128</v>
      </c>
      <c r="CO117" s="19"/>
      <c r="CP117" s="19"/>
      <c r="CQ117" s="19"/>
      <c r="CR117" s="19"/>
      <c r="CS117" s="21" t="s">
        <v>109</v>
      </c>
      <c r="CT117" s="23"/>
      <c r="CU117" s="19"/>
      <c r="CV117" s="16" t="s">
        <v>128</v>
      </c>
      <c r="CW117" s="19"/>
      <c r="CX117" s="19"/>
      <c r="CY117" s="19"/>
      <c r="CZ117" s="19"/>
      <c r="DA117" s="21" t="s">
        <v>115</v>
      </c>
      <c r="DB117" s="23"/>
      <c r="DC117" s="16" t="s">
        <v>602</v>
      </c>
      <c r="DD117" s="16" t="s">
        <v>602</v>
      </c>
      <c r="DE117" s="16" t="s">
        <v>602</v>
      </c>
      <c r="DF117" s="16" t="s">
        <v>602</v>
      </c>
      <c r="DG117" s="16" t="s">
        <v>774</v>
      </c>
      <c r="DH117" s="19"/>
      <c r="DI117" s="19"/>
      <c r="DJ117" s="16" t="s">
        <v>144</v>
      </c>
      <c r="DK117" s="19"/>
      <c r="DL117" s="19"/>
      <c r="DM117" s="16" t="s">
        <v>775</v>
      </c>
      <c r="DN117" s="16" t="s">
        <v>776</v>
      </c>
      <c r="DO117" s="19"/>
    </row>
    <row r="118" ht="15.75" customHeight="1">
      <c r="A118" s="15">
        <v>116.0</v>
      </c>
      <c r="B118" s="16" t="s">
        <v>777</v>
      </c>
      <c r="C118" s="17">
        <v>3.1110112501949E13</v>
      </c>
      <c r="D118" s="18">
        <v>140.0</v>
      </c>
      <c r="E118" s="16" t="s">
        <v>624</v>
      </c>
      <c r="F118" s="16" t="s">
        <v>546</v>
      </c>
      <c r="G118" s="16" t="s">
        <v>547</v>
      </c>
      <c r="H118" s="25">
        <v>40827.0</v>
      </c>
      <c r="I118" s="16"/>
      <c r="J118" s="18">
        <v>1.0</v>
      </c>
      <c r="K118" s="16" t="s">
        <v>778</v>
      </c>
      <c r="L118" s="21" t="s">
        <v>138</v>
      </c>
      <c r="M118" s="23"/>
      <c r="N118" s="19"/>
      <c r="O118" s="19"/>
      <c r="P118" s="19"/>
      <c r="Q118" s="19"/>
      <c r="R118" s="19"/>
      <c r="S118" s="19"/>
      <c r="T118" s="19"/>
      <c r="U118" s="19"/>
      <c r="V118" s="16" t="s">
        <v>127</v>
      </c>
      <c r="W118" s="16" t="s">
        <v>46</v>
      </c>
      <c r="X118" s="21" t="s">
        <v>47</v>
      </c>
      <c r="Y118" s="23"/>
      <c r="Z118" s="19"/>
      <c r="AA118" s="19"/>
      <c r="AB118" s="19"/>
      <c r="AC118" s="19"/>
      <c r="AD118" s="19"/>
      <c r="AE118" s="19"/>
      <c r="AF118" s="19"/>
      <c r="AG118" s="19"/>
      <c r="AH118" s="21" t="s">
        <v>123</v>
      </c>
      <c r="AI118" s="23"/>
      <c r="AJ118" s="16" t="s">
        <v>168</v>
      </c>
      <c r="AK118" s="16" t="s">
        <v>153</v>
      </c>
      <c r="AL118" s="16" t="s">
        <v>126</v>
      </c>
      <c r="AM118" s="16" t="s">
        <v>126</v>
      </c>
      <c r="AN118" s="16" t="s">
        <v>126</v>
      </c>
      <c r="AO118" s="16" t="s">
        <v>126</v>
      </c>
      <c r="AP118" s="16" t="s">
        <v>126</v>
      </c>
      <c r="AQ118" s="16" t="s">
        <v>126</v>
      </c>
      <c r="AR118" s="16" t="s">
        <v>126</v>
      </c>
      <c r="AS118" s="21" t="s">
        <v>65</v>
      </c>
      <c r="AT118" s="22"/>
      <c r="AU118" s="23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6" t="s">
        <v>127</v>
      </c>
      <c r="BG118" s="21" t="s">
        <v>78</v>
      </c>
      <c r="BH118" s="23"/>
      <c r="BI118" s="19"/>
      <c r="BJ118" s="19"/>
      <c r="BK118" s="16" t="s">
        <v>81</v>
      </c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6" t="s">
        <v>127</v>
      </c>
      <c r="BY118" s="19"/>
      <c r="BZ118" s="19"/>
      <c r="CA118" s="21" t="s">
        <v>95</v>
      </c>
      <c r="CB118" s="22"/>
      <c r="CC118" s="23"/>
      <c r="CD118" s="19"/>
      <c r="CE118" s="19"/>
      <c r="CF118" s="19"/>
      <c r="CG118" s="16" t="s">
        <v>128</v>
      </c>
      <c r="CH118" s="21" t="s">
        <v>100</v>
      </c>
      <c r="CI118" s="23"/>
      <c r="CJ118" s="19"/>
      <c r="CK118" s="19"/>
      <c r="CL118" s="21" t="s">
        <v>104</v>
      </c>
      <c r="CM118" s="23"/>
      <c r="CN118" s="16" t="s">
        <v>128</v>
      </c>
      <c r="CO118" s="21" t="s">
        <v>105</v>
      </c>
      <c r="CP118" s="22"/>
      <c r="CQ118" s="23"/>
      <c r="CR118" s="19"/>
      <c r="CS118" s="19"/>
      <c r="CT118" s="21" t="s">
        <v>110</v>
      </c>
      <c r="CU118" s="23"/>
      <c r="CV118" s="16" t="s">
        <v>128</v>
      </c>
      <c r="CW118" s="19"/>
      <c r="CX118" s="19"/>
      <c r="CY118" s="19"/>
      <c r="CZ118" s="19"/>
      <c r="DA118" s="21" t="s">
        <v>115</v>
      </c>
      <c r="DB118" s="23"/>
      <c r="DC118" s="16" t="s">
        <v>145</v>
      </c>
      <c r="DD118" s="16" t="s">
        <v>129</v>
      </c>
      <c r="DE118" s="19"/>
      <c r="DF118" s="19"/>
      <c r="DG118" s="21" t="s">
        <v>779</v>
      </c>
      <c r="DH118" s="23"/>
      <c r="DI118" s="19"/>
      <c r="DJ118" s="19"/>
      <c r="DK118" s="19"/>
      <c r="DL118" s="19"/>
      <c r="DM118" s="21" t="s">
        <v>780</v>
      </c>
      <c r="DN118" s="22"/>
      <c r="DO118" s="23"/>
    </row>
    <row r="119" ht="15.75" customHeight="1">
      <c r="A119" s="15">
        <v>117.0</v>
      </c>
      <c r="B119" s="16" t="s">
        <v>781</v>
      </c>
      <c r="C119" s="17">
        <v>3.1404222501271E13</v>
      </c>
      <c r="D119" s="18">
        <v>213.0</v>
      </c>
      <c r="E119" s="16" t="s">
        <v>660</v>
      </c>
      <c r="F119" s="16" t="s">
        <v>546</v>
      </c>
      <c r="G119" s="16" t="s">
        <v>547</v>
      </c>
      <c r="H119" s="19"/>
      <c r="I119" s="18">
        <v>1.0</v>
      </c>
      <c r="J119" s="19"/>
      <c r="K119" s="16" t="s">
        <v>782</v>
      </c>
      <c r="L119" s="21" t="s">
        <v>138</v>
      </c>
      <c r="M119" s="23"/>
      <c r="N119" s="19"/>
      <c r="O119" s="19"/>
      <c r="P119" s="19"/>
      <c r="Q119" s="19"/>
      <c r="R119" s="19"/>
      <c r="S119" s="19"/>
      <c r="T119" s="19"/>
      <c r="U119" s="19"/>
      <c r="V119" s="16" t="s">
        <v>138</v>
      </c>
      <c r="W119" s="16" t="s">
        <v>46</v>
      </c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21" t="s">
        <v>357</v>
      </c>
      <c r="AI119" s="23"/>
      <c r="AJ119" s="16" t="s">
        <v>663</v>
      </c>
      <c r="AK119" s="16" t="s">
        <v>153</v>
      </c>
      <c r="AL119" s="16" t="s">
        <v>181</v>
      </c>
      <c r="AM119" s="16" t="s">
        <v>181</v>
      </c>
      <c r="AN119" s="16" t="s">
        <v>181</v>
      </c>
      <c r="AO119" s="16" t="s">
        <v>181</v>
      </c>
      <c r="AP119" s="16" t="s">
        <v>181</v>
      </c>
      <c r="AQ119" s="16" t="s">
        <v>181</v>
      </c>
      <c r="AR119" s="16" t="s">
        <v>181</v>
      </c>
      <c r="AS119" s="19"/>
      <c r="AT119" s="19"/>
      <c r="AU119" s="19"/>
      <c r="AV119" s="19"/>
      <c r="AW119" s="19"/>
      <c r="AX119" s="19"/>
      <c r="AY119" s="19"/>
      <c r="AZ119" s="16" t="s">
        <v>783</v>
      </c>
      <c r="BA119" s="19"/>
      <c r="BB119" s="19"/>
      <c r="BC119" s="19"/>
      <c r="BD119" s="19"/>
      <c r="BE119" s="19"/>
      <c r="BF119" s="16" t="s">
        <v>144</v>
      </c>
      <c r="BG119" s="19"/>
      <c r="BH119" s="19"/>
      <c r="BI119" s="19"/>
      <c r="BJ119" s="19"/>
      <c r="BK119" s="16" t="s">
        <v>81</v>
      </c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6" t="s">
        <v>144</v>
      </c>
      <c r="BY119" s="19"/>
      <c r="BZ119" s="19"/>
      <c r="CA119" s="19"/>
      <c r="CB119" s="19"/>
      <c r="CC119" s="19"/>
      <c r="CD119" s="19"/>
      <c r="CE119" s="21" t="s">
        <v>99</v>
      </c>
      <c r="CF119" s="23"/>
      <c r="CG119" s="16" t="s">
        <v>128</v>
      </c>
      <c r="CH119" s="21" t="s">
        <v>100</v>
      </c>
      <c r="CI119" s="23"/>
      <c r="CJ119" s="19"/>
      <c r="CK119" s="19"/>
      <c r="CL119" s="19"/>
      <c r="CM119" s="19"/>
      <c r="CN119" s="16" t="s">
        <v>128</v>
      </c>
      <c r="CO119" s="21" t="s">
        <v>105</v>
      </c>
      <c r="CP119" s="22"/>
      <c r="CQ119" s="23"/>
      <c r="CR119" s="19"/>
      <c r="CS119" s="19"/>
      <c r="CT119" s="19"/>
      <c r="CU119" s="19"/>
      <c r="CV119" s="16" t="s">
        <v>128</v>
      </c>
      <c r="CW119" s="19"/>
      <c r="CX119" s="19"/>
      <c r="CY119" s="19"/>
      <c r="CZ119" s="19"/>
      <c r="DA119" s="21" t="s">
        <v>115</v>
      </c>
      <c r="DB119" s="23"/>
      <c r="DC119" s="16" t="s">
        <v>602</v>
      </c>
      <c r="DD119" s="16" t="s">
        <v>602</v>
      </c>
      <c r="DE119" s="16" t="s">
        <v>602</v>
      </c>
      <c r="DF119" s="16" t="s">
        <v>602</v>
      </c>
      <c r="DG119" s="21" t="s">
        <v>784</v>
      </c>
      <c r="DH119" s="23"/>
      <c r="DI119" s="19"/>
      <c r="DJ119" s="21" t="s">
        <v>699</v>
      </c>
      <c r="DK119" s="23"/>
      <c r="DL119" s="19"/>
      <c r="DM119" s="16" t="s">
        <v>144</v>
      </c>
      <c r="DN119" s="19"/>
      <c r="DO119" s="19"/>
    </row>
    <row r="120" ht="15.75" customHeight="1">
      <c r="A120" s="15">
        <v>118.0</v>
      </c>
      <c r="B120" s="16" t="s">
        <v>785</v>
      </c>
      <c r="C120" s="17">
        <v>3.1602272502945E13</v>
      </c>
      <c r="D120" s="18">
        <v>214.0</v>
      </c>
      <c r="E120" s="16" t="s">
        <v>660</v>
      </c>
      <c r="F120" s="16" t="s">
        <v>546</v>
      </c>
      <c r="G120" s="16" t="s">
        <v>547</v>
      </c>
      <c r="H120" s="20">
        <v>42427.0</v>
      </c>
      <c r="I120" s="16"/>
      <c r="J120" s="18">
        <v>1.0</v>
      </c>
      <c r="K120" s="16" t="s">
        <v>786</v>
      </c>
      <c r="L120" s="21" t="s">
        <v>138</v>
      </c>
      <c r="M120" s="23"/>
      <c r="N120" s="19"/>
      <c r="O120" s="19"/>
      <c r="P120" s="19"/>
      <c r="Q120" s="19"/>
      <c r="R120" s="19"/>
      <c r="S120" s="19"/>
      <c r="T120" s="19"/>
      <c r="U120" s="19"/>
      <c r="V120" s="16" t="s">
        <v>402</v>
      </c>
      <c r="W120" s="16" t="s">
        <v>46</v>
      </c>
      <c r="X120" s="19"/>
      <c r="Y120" s="21" t="s">
        <v>48</v>
      </c>
      <c r="Z120" s="23"/>
      <c r="AA120" s="19"/>
      <c r="AB120" s="19"/>
      <c r="AC120" s="19"/>
      <c r="AD120" s="19"/>
      <c r="AE120" s="19"/>
      <c r="AF120" s="19"/>
      <c r="AG120" s="19"/>
      <c r="AH120" s="21" t="s">
        <v>123</v>
      </c>
      <c r="AI120" s="23"/>
      <c r="AJ120" s="16" t="s">
        <v>124</v>
      </c>
      <c r="AK120" s="16" t="s">
        <v>142</v>
      </c>
      <c r="AL120" s="16" t="s">
        <v>181</v>
      </c>
      <c r="AM120" s="16" t="s">
        <v>181</v>
      </c>
      <c r="AN120" s="16" t="s">
        <v>181</v>
      </c>
      <c r="AO120" s="16" t="s">
        <v>126</v>
      </c>
      <c r="AP120" s="16" t="s">
        <v>126</v>
      </c>
      <c r="AQ120" s="16" t="s">
        <v>181</v>
      </c>
      <c r="AR120" s="16" t="s">
        <v>181</v>
      </c>
      <c r="AS120" s="21" t="s">
        <v>65</v>
      </c>
      <c r="AT120" s="22"/>
      <c r="AU120" s="23"/>
      <c r="AV120" s="19"/>
      <c r="AW120" s="19"/>
      <c r="AX120" s="19"/>
      <c r="AY120" s="21" t="s">
        <v>71</v>
      </c>
      <c r="AZ120" s="22"/>
      <c r="BA120" s="23"/>
      <c r="BB120" s="19"/>
      <c r="BC120" s="19"/>
      <c r="BD120" s="19"/>
      <c r="BE120" s="19"/>
      <c r="BF120" s="19"/>
      <c r="BG120" s="19"/>
      <c r="BH120" s="19"/>
      <c r="BI120" s="19"/>
      <c r="BJ120" s="19"/>
      <c r="BK120" s="16" t="s">
        <v>81</v>
      </c>
      <c r="BL120" s="19"/>
      <c r="BM120" s="19"/>
      <c r="BN120" s="19"/>
      <c r="BO120" s="21" t="s">
        <v>85</v>
      </c>
      <c r="BP120" s="22"/>
      <c r="BQ120" s="22"/>
      <c r="BR120" s="23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6" t="s">
        <v>144</v>
      </c>
      <c r="CG120" s="16" t="s">
        <v>128</v>
      </c>
      <c r="CH120" s="16" t="s">
        <v>100</v>
      </c>
      <c r="CI120" s="21" t="s">
        <v>101</v>
      </c>
      <c r="CJ120" s="22"/>
      <c r="CK120" s="23"/>
      <c r="CL120" s="21" t="s">
        <v>104</v>
      </c>
      <c r="CM120" s="23"/>
      <c r="CN120" s="16" t="s">
        <v>128</v>
      </c>
      <c r="CO120" s="16" t="s">
        <v>105</v>
      </c>
      <c r="CP120" s="21" t="s">
        <v>106</v>
      </c>
      <c r="CQ120" s="22"/>
      <c r="CR120" s="22"/>
      <c r="CS120" s="23"/>
      <c r="CT120" s="19"/>
      <c r="CU120" s="19"/>
      <c r="CV120" s="16" t="s">
        <v>128</v>
      </c>
      <c r="CW120" s="19"/>
      <c r="CX120" s="19"/>
      <c r="CY120" s="19"/>
      <c r="CZ120" s="19"/>
      <c r="DA120" s="21" t="s">
        <v>115</v>
      </c>
      <c r="DB120" s="23"/>
      <c r="DC120" s="16" t="s">
        <v>145</v>
      </c>
      <c r="DD120" s="16" t="s">
        <v>129</v>
      </c>
      <c r="DE120" s="16" t="s">
        <v>145</v>
      </c>
      <c r="DF120" s="16" t="s">
        <v>145</v>
      </c>
      <c r="DG120" s="16" t="s">
        <v>787</v>
      </c>
      <c r="DH120" s="21" t="s">
        <v>788</v>
      </c>
      <c r="DI120" s="23"/>
      <c r="DJ120" s="16" t="s">
        <v>144</v>
      </c>
      <c r="DK120" s="19"/>
      <c r="DL120" s="19"/>
      <c r="DM120" s="21" t="s">
        <v>670</v>
      </c>
      <c r="DN120" s="22"/>
      <c r="DO120" s="23"/>
    </row>
    <row r="121" ht="15.75" customHeight="1">
      <c r="A121" s="15">
        <v>119.0</v>
      </c>
      <c r="B121" s="16" t="s">
        <v>789</v>
      </c>
      <c r="C121" s="17">
        <v>3.1706012508806E13</v>
      </c>
      <c r="D121" s="18">
        <v>1.0</v>
      </c>
      <c r="E121" s="16" t="s">
        <v>660</v>
      </c>
      <c r="F121" s="16" t="s">
        <v>546</v>
      </c>
      <c r="G121" s="16" t="s">
        <v>547</v>
      </c>
      <c r="H121" s="20">
        <v>42887.0</v>
      </c>
      <c r="I121" s="16"/>
      <c r="J121" s="18">
        <v>1.0</v>
      </c>
      <c r="K121" s="16" t="s">
        <v>790</v>
      </c>
      <c r="L121" s="21" t="s">
        <v>138</v>
      </c>
      <c r="M121" s="23"/>
      <c r="N121" s="19"/>
      <c r="O121" s="19"/>
      <c r="P121" s="19"/>
      <c r="Q121" s="19"/>
      <c r="R121" s="19"/>
      <c r="S121" s="19"/>
      <c r="T121" s="19"/>
      <c r="U121" s="19"/>
      <c r="V121" s="21" t="s">
        <v>674</v>
      </c>
      <c r="W121" s="23"/>
      <c r="X121" s="19"/>
      <c r="Y121" s="19"/>
      <c r="Z121" s="19"/>
      <c r="AA121" s="19"/>
      <c r="AB121" s="19"/>
      <c r="AC121" s="19"/>
      <c r="AD121" s="19"/>
      <c r="AE121" s="19"/>
      <c r="AF121" s="19"/>
      <c r="AG121" s="16" t="s">
        <v>791</v>
      </c>
      <c r="AH121" s="21" t="s">
        <v>123</v>
      </c>
      <c r="AI121" s="23"/>
      <c r="AJ121" s="16" t="s">
        <v>168</v>
      </c>
      <c r="AK121" s="16" t="s">
        <v>153</v>
      </c>
      <c r="AL121" s="16" t="s">
        <v>181</v>
      </c>
      <c r="AM121" s="16" t="s">
        <v>181</v>
      </c>
      <c r="AN121" s="16" t="s">
        <v>181</v>
      </c>
      <c r="AO121" s="16" t="s">
        <v>181</v>
      </c>
      <c r="AP121" s="16" t="s">
        <v>181</v>
      </c>
      <c r="AQ121" s="16" t="s">
        <v>181</v>
      </c>
      <c r="AR121" s="16" t="s">
        <v>181</v>
      </c>
      <c r="AS121" s="19"/>
      <c r="AT121" s="19"/>
      <c r="AU121" s="19"/>
      <c r="AV121" s="19"/>
      <c r="AW121" s="19"/>
      <c r="AX121" s="19"/>
      <c r="AY121" s="19"/>
      <c r="AZ121" s="21" t="s">
        <v>792</v>
      </c>
      <c r="BA121" s="22"/>
      <c r="BB121" s="23"/>
      <c r="BC121" s="19"/>
      <c r="BD121" s="19"/>
      <c r="BE121" s="19"/>
      <c r="BF121" s="19"/>
      <c r="BG121" s="19"/>
      <c r="BH121" s="19"/>
      <c r="BI121" s="19"/>
      <c r="BJ121" s="21" t="s">
        <v>80</v>
      </c>
      <c r="BK121" s="23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6" t="s">
        <v>793</v>
      </c>
      <c r="CG121" s="16" t="s">
        <v>128</v>
      </c>
      <c r="CH121" s="19"/>
      <c r="CI121" s="19"/>
      <c r="CJ121" s="19"/>
      <c r="CK121" s="19"/>
      <c r="CL121" s="21" t="s">
        <v>104</v>
      </c>
      <c r="CM121" s="23"/>
      <c r="CN121" s="16" t="s">
        <v>128</v>
      </c>
      <c r="CO121" s="19"/>
      <c r="CP121" s="19"/>
      <c r="CQ121" s="21" t="s">
        <v>107</v>
      </c>
      <c r="CR121" s="22"/>
      <c r="CS121" s="23"/>
      <c r="CT121" s="19"/>
      <c r="CU121" s="19"/>
      <c r="CV121" s="16" t="s">
        <v>128</v>
      </c>
      <c r="CW121" s="19"/>
      <c r="CX121" s="19"/>
      <c r="CY121" s="19"/>
      <c r="CZ121" s="19"/>
      <c r="DA121" s="21" t="s">
        <v>115</v>
      </c>
      <c r="DB121" s="23"/>
      <c r="DC121" s="16" t="s">
        <v>129</v>
      </c>
      <c r="DD121" s="16" t="s">
        <v>129</v>
      </c>
      <c r="DE121" s="16" t="s">
        <v>129</v>
      </c>
      <c r="DF121" s="16" t="s">
        <v>145</v>
      </c>
      <c r="DG121" s="16" t="s">
        <v>707</v>
      </c>
      <c r="DH121" s="16" t="s">
        <v>794</v>
      </c>
      <c r="DI121" s="16" t="s">
        <v>678</v>
      </c>
      <c r="DJ121" s="21" t="s">
        <v>795</v>
      </c>
      <c r="DK121" s="22"/>
      <c r="DL121" s="23"/>
      <c r="DM121" s="16" t="s">
        <v>796</v>
      </c>
      <c r="DN121" s="21" t="s">
        <v>680</v>
      </c>
      <c r="DO121" s="23"/>
    </row>
    <row r="122" ht="15.75" customHeight="1">
      <c r="A122" s="15">
        <v>120.0</v>
      </c>
      <c r="B122" s="16" t="s">
        <v>797</v>
      </c>
      <c r="C122" s="17">
        <v>3.1401242501244E13</v>
      </c>
      <c r="D122" s="18">
        <v>86.0</v>
      </c>
      <c r="E122" s="16" t="s">
        <v>660</v>
      </c>
      <c r="F122" s="16" t="s">
        <v>546</v>
      </c>
      <c r="G122" s="16" t="s">
        <v>547</v>
      </c>
      <c r="H122" s="19"/>
      <c r="I122" s="16"/>
      <c r="J122" s="18">
        <v>1.0</v>
      </c>
      <c r="K122" s="16" t="s">
        <v>798</v>
      </c>
      <c r="L122" s="21" t="s">
        <v>138</v>
      </c>
      <c r="M122" s="23"/>
      <c r="N122" s="19"/>
      <c r="O122" s="19"/>
      <c r="P122" s="19"/>
      <c r="Q122" s="19"/>
      <c r="R122" s="19"/>
      <c r="S122" s="19"/>
      <c r="T122" s="19"/>
      <c r="U122" s="19"/>
      <c r="V122" s="16" t="s">
        <v>138</v>
      </c>
      <c r="W122" s="16" t="s">
        <v>46</v>
      </c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21" t="s">
        <v>123</v>
      </c>
      <c r="AI122" s="23"/>
      <c r="AJ122" s="16" t="s">
        <v>663</v>
      </c>
      <c r="AK122" s="16" t="s">
        <v>153</v>
      </c>
      <c r="AL122" s="16" t="s">
        <v>181</v>
      </c>
      <c r="AM122" s="16" t="s">
        <v>181</v>
      </c>
      <c r="AN122" s="16" t="s">
        <v>181</v>
      </c>
      <c r="AO122" s="16" t="s">
        <v>181</v>
      </c>
      <c r="AP122" s="16" t="s">
        <v>181</v>
      </c>
      <c r="AQ122" s="16" t="s">
        <v>181</v>
      </c>
      <c r="AR122" s="16" t="s">
        <v>181</v>
      </c>
      <c r="AS122" s="19"/>
      <c r="AT122" s="19"/>
      <c r="AU122" s="19"/>
      <c r="AV122" s="19"/>
      <c r="AW122" s="19"/>
      <c r="AX122" s="19"/>
      <c r="AY122" s="19"/>
      <c r="AZ122" s="21" t="s">
        <v>799</v>
      </c>
      <c r="BA122" s="23"/>
      <c r="BB122" s="19"/>
      <c r="BC122" s="19"/>
      <c r="BD122" s="19"/>
      <c r="BE122" s="19"/>
      <c r="BF122" s="16" t="s">
        <v>144</v>
      </c>
      <c r="BG122" s="19"/>
      <c r="BH122" s="19"/>
      <c r="BI122" s="19"/>
      <c r="BJ122" s="19"/>
      <c r="BK122" s="16" t="s">
        <v>81</v>
      </c>
      <c r="BL122" s="19"/>
      <c r="BM122" s="19"/>
      <c r="BN122" s="19"/>
      <c r="BO122" s="19"/>
      <c r="BP122" s="16" t="s">
        <v>800</v>
      </c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6" t="s">
        <v>144</v>
      </c>
      <c r="CG122" s="16" t="s">
        <v>128</v>
      </c>
      <c r="CH122" s="21" t="s">
        <v>100</v>
      </c>
      <c r="CI122" s="23"/>
      <c r="CJ122" s="19"/>
      <c r="CK122" s="19"/>
      <c r="CL122" s="19"/>
      <c r="CM122" s="19"/>
      <c r="CN122" s="16" t="s">
        <v>128</v>
      </c>
      <c r="CO122" s="21" t="s">
        <v>105</v>
      </c>
      <c r="CP122" s="22"/>
      <c r="CQ122" s="23"/>
      <c r="CR122" s="19"/>
      <c r="CS122" s="19"/>
      <c r="CT122" s="19"/>
      <c r="CU122" s="19"/>
      <c r="CV122" s="16" t="s">
        <v>128</v>
      </c>
      <c r="CW122" s="19"/>
      <c r="CX122" s="19"/>
      <c r="CY122" s="19"/>
      <c r="CZ122" s="19"/>
      <c r="DA122" s="21" t="s">
        <v>115</v>
      </c>
      <c r="DB122" s="23"/>
      <c r="DC122" s="16" t="s">
        <v>129</v>
      </c>
      <c r="DD122" s="16" t="s">
        <v>129</v>
      </c>
      <c r="DE122" s="16" t="s">
        <v>129</v>
      </c>
      <c r="DF122" s="16" t="s">
        <v>129</v>
      </c>
      <c r="DG122" s="16" t="s">
        <v>801</v>
      </c>
      <c r="DH122" s="16" t="s">
        <v>802</v>
      </c>
      <c r="DI122" s="16" t="s">
        <v>803</v>
      </c>
      <c r="DJ122" s="16" t="s">
        <v>144</v>
      </c>
      <c r="DK122" s="19"/>
      <c r="DL122" s="19"/>
      <c r="DM122" s="21" t="s">
        <v>804</v>
      </c>
      <c r="DN122" s="22"/>
      <c r="DO122" s="23"/>
    </row>
    <row r="123" ht="15.75" customHeight="1">
      <c r="A123" s="15">
        <v>121.0</v>
      </c>
      <c r="B123" s="16" t="s">
        <v>805</v>
      </c>
      <c r="C123" s="17">
        <v>3.1812122501763E13</v>
      </c>
      <c r="D123" s="18">
        <v>119.0</v>
      </c>
      <c r="E123" s="16" t="s">
        <v>624</v>
      </c>
      <c r="F123" s="16" t="s">
        <v>546</v>
      </c>
      <c r="G123" s="16" t="s">
        <v>547</v>
      </c>
      <c r="H123" s="25">
        <v>43446.0</v>
      </c>
      <c r="I123" s="16"/>
      <c r="J123" s="18">
        <v>1.0</v>
      </c>
      <c r="K123" s="16" t="s">
        <v>806</v>
      </c>
      <c r="L123" s="21" t="s">
        <v>138</v>
      </c>
      <c r="M123" s="23"/>
      <c r="N123" s="19"/>
      <c r="O123" s="19"/>
      <c r="P123" s="19"/>
      <c r="Q123" s="19"/>
      <c r="R123" s="19"/>
      <c r="S123" s="19"/>
      <c r="T123" s="19"/>
      <c r="U123" s="19"/>
      <c r="V123" s="16" t="s">
        <v>127</v>
      </c>
      <c r="W123" s="16" t="s">
        <v>46</v>
      </c>
      <c r="X123" s="21" t="s">
        <v>47</v>
      </c>
      <c r="Y123" s="23"/>
      <c r="Z123" s="19"/>
      <c r="AA123" s="19"/>
      <c r="AB123" s="19"/>
      <c r="AC123" s="19"/>
      <c r="AD123" s="19"/>
      <c r="AE123" s="19"/>
      <c r="AF123" s="19"/>
      <c r="AG123" s="19"/>
      <c r="AH123" s="21" t="s">
        <v>123</v>
      </c>
      <c r="AI123" s="23"/>
      <c r="AJ123" s="16" t="s">
        <v>168</v>
      </c>
      <c r="AK123" s="16" t="s">
        <v>153</v>
      </c>
      <c r="AL123" s="16" t="s">
        <v>126</v>
      </c>
      <c r="AM123" s="16" t="s">
        <v>126</v>
      </c>
      <c r="AN123" s="16" t="s">
        <v>126</v>
      </c>
      <c r="AO123" s="16" t="s">
        <v>126</v>
      </c>
      <c r="AP123" s="16" t="s">
        <v>126</v>
      </c>
      <c r="AQ123" s="16" t="s">
        <v>126</v>
      </c>
      <c r="AR123" s="16" t="s">
        <v>126</v>
      </c>
      <c r="AS123" s="21" t="s">
        <v>65</v>
      </c>
      <c r="AT123" s="22"/>
      <c r="AU123" s="23"/>
      <c r="AV123" s="19"/>
      <c r="AW123" s="21" t="s">
        <v>69</v>
      </c>
      <c r="AX123" s="23"/>
      <c r="AY123" s="21" t="s">
        <v>71</v>
      </c>
      <c r="AZ123" s="22"/>
      <c r="BA123" s="23"/>
      <c r="BB123" s="19"/>
      <c r="BC123" s="19"/>
      <c r="BD123" s="19"/>
      <c r="BE123" s="19"/>
      <c r="BF123" s="16" t="s">
        <v>127</v>
      </c>
      <c r="BG123" s="16" t="s">
        <v>78</v>
      </c>
      <c r="BH123" s="21" t="s">
        <v>79</v>
      </c>
      <c r="BI123" s="23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6" t="s">
        <v>127</v>
      </c>
      <c r="BY123" s="19"/>
      <c r="BZ123" s="19"/>
      <c r="CA123" s="21" t="s">
        <v>95</v>
      </c>
      <c r="CB123" s="22"/>
      <c r="CC123" s="23"/>
      <c r="CD123" s="19"/>
      <c r="CE123" s="19"/>
      <c r="CF123" s="19"/>
      <c r="CG123" s="16" t="s">
        <v>128</v>
      </c>
      <c r="CH123" s="21" t="s">
        <v>100</v>
      </c>
      <c r="CI123" s="23"/>
      <c r="CJ123" s="19"/>
      <c r="CK123" s="19"/>
      <c r="CL123" s="21" t="s">
        <v>104</v>
      </c>
      <c r="CM123" s="23"/>
      <c r="CN123" s="16" t="s">
        <v>128</v>
      </c>
      <c r="CO123" s="19"/>
      <c r="CP123" s="19"/>
      <c r="CQ123" s="19"/>
      <c r="CR123" s="21" t="s">
        <v>108</v>
      </c>
      <c r="CS123" s="23"/>
      <c r="CT123" s="19"/>
      <c r="CU123" s="19"/>
      <c r="CV123" s="16" t="s">
        <v>128</v>
      </c>
      <c r="CW123" s="19"/>
      <c r="CX123" s="19"/>
      <c r="CY123" s="19"/>
      <c r="CZ123" s="19"/>
      <c r="DA123" s="21" t="s">
        <v>115</v>
      </c>
      <c r="DB123" s="23"/>
      <c r="DC123" s="16" t="s">
        <v>145</v>
      </c>
      <c r="DD123" s="16" t="s">
        <v>129</v>
      </c>
      <c r="DE123" s="16" t="s">
        <v>129</v>
      </c>
      <c r="DF123" s="16" t="s">
        <v>129</v>
      </c>
      <c r="DG123" s="16" t="s">
        <v>807</v>
      </c>
      <c r="DH123" s="16" t="s">
        <v>626</v>
      </c>
      <c r="DI123" s="21" t="s">
        <v>808</v>
      </c>
      <c r="DJ123" s="23"/>
      <c r="DK123" s="19"/>
      <c r="DL123" s="19"/>
      <c r="DM123" s="16" t="s">
        <v>746</v>
      </c>
      <c r="DN123" s="21" t="s">
        <v>809</v>
      </c>
      <c r="DO123" s="23"/>
    </row>
    <row r="124" ht="15.75" customHeight="1">
      <c r="A124" s="15">
        <v>122.0</v>
      </c>
      <c r="B124" s="16" t="s">
        <v>810</v>
      </c>
      <c r="C124" s="17">
        <v>3.1510042501049E13</v>
      </c>
      <c r="D124" s="18">
        <v>84.0</v>
      </c>
      <c r="E124" s="16" t="s">
        <v>624</v>
      </c>
      <c r="F124" s="16" t="s">
        <v>546</v>
      </c>
      <c r="G124" s="16" t="s">
        <v>547</v>
      </c>
      <c r="H124" s="20">
        <v>42281.0</v>
      </c>
      <c r="I124" s="16"/>
      <c r="J124" s="18">
        <v>1.0</v>
      </c>
      <c r="K124" s="16" t="s">
        <v>811</v>
      </c>
      <c r="L124" s="21" t="s">
        <v>138</v>
      </c>
      <c r="M124" s="23"/>
      <c r="N124" s="19"/>
      <c r="O124" s="19"/>
      <c r="P124" s="19"/>
      <c r="Q124" s="19"/>
      <c r="R124" s="19"/>
      <c r="S124" s="19"/>
      <c r="T124" s="19"/>
      <c r="U124" s="19"/>
      <c r="V124" s="16" t="s">
        <v>127</v>
      </c>
      <c r="W124" s="16" t="s">
        <v>46</v>
      </c>
      <c r="X124" s="21" t="s">
        <v>47</v>
      </c>
      <c r="Y124" s="23"/>
      <c r="Z124" s="19"/>
      <c r="AA124" s="19"/>
      <c r="AB124" s="19"/>
      <c r="AC124" s="19"/>
      <c r="AD124" s="19"/>
      <c r="AE124" s="19"/>
      <c r="AF124" s="19"/>
      <c r="AG124" s="19"/>
      <c r="AH124" s="21" t="s">
        <v>357</v>
      </c>
      <c r="AI124" s="23"/>
      <c r="AJ124" s="16" t="s">
        <v>168</v>
      </c>
      <c r="AK124" s="16" t="s">
        <v>153</v>
      </c>
      <c r="AL124" s="16" t="s">
        <v>126</v>
      </c>
      <c r="AM124" s="16" t="s">
        <v>126</v>
      </c>
      <c r="AN124" s="16" t="s">
        <v>181</v>
      </c>
      <c r="AO124" s="16" t="s">
        <v>126</v>
      </c>
      <c r="AP124" s="16" t="s">
        <v>126</v>
      </c>
      <c r="AQ124" s="16" t="s">
        <v>126</v>
      </c>
      <c r="AR124" s="16" t="s">
        <v>126</v>
      </c>
      <c r="AS124" s="21" t="s">
        <v>65</v>
      </c>
      <c r="AT124" s="22"/>
      <c r="AU124" s="23"/>
      <c r="AV124" s="19"/>
      <c r="AW124" s="16" t="s">
        <v>69</v>
      </c>
      <c r="AX124" s="16" t="s">
        <v>70</v>
      </c>
      <c r="AY124" s="21" t="s">
        <v>71</v>
      </c>
      <c r="AZ124" s="22"/>
      <c r="BA124" s="23"/>
      <c r="BB124" s="19"/>
      <c r="BC124" s="19"/>
      <c r="BD124" s="19"/>
      <c r="BE124" s="19"/>
      <c r="BF124" s="16" t="s">
        <v>127</v>
      </c>
      <c r="BG124" s="21" t="s">
        <v>78</v>
      </c>
      <c r="BH124" s="23"/>
      <c r="BI124" s="19"/>
      <c r="BJ124" s="19"/>
      <c r="BK124" s="16" t="s">
        <v>81</v>
      </c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6" t="s">
        <v>127</v>
      </c>
      <c r="BY124" s="19"/>
      <c r="BZ124" s="19"/>
      <c r="CA124" s="19"/>
      <c r="CB124" s="19"/>
      <c r="CC124" s="19"/>
      <c r="CD124" s="19"/>
      <c r="CE124" s="19"/>
      <c r="CF124" s="16" t="s">
        <v>127</v>
      </c>
      <c r="CG124" s="16" t="s">
        <v>128</v>
      </c>
      <c r="CH124" s="21" t="s">
        <v>100</v>
      </c>
      <c r="CI124" s="23"/>
      <c r="CJ124" s="21" t="s">
        <v>102</v>
      </c>
      <c r="CK124" s="23"/>
      <c r="CL124" s="21" t="s">
        <v>104</v>
      </c>
      <c r="CM124" s="23"/>
      <c r="CN124" s="16" t="s">
        <v>128</v>
      </c>
      <c r="CO124" s="16" t="s">
        <v>105</v>
      </c>
      <c r="CP124" s="21" t="s">
        <v>106</v>
      </c>
      <c r="CQ124" s="22"/>
      <c r="CR124" s="23"/>
      <c r="CS124" s="16" t="s">
        <v>109</v>
      </c>
      <c r="CT124" s="21" t="s">
        <v>110</v>
      </c>
      <c r="CU124" s="23"/>
      <c r="CV124" s="16" t="s">
        <v>128</v>
      </c>
      <c r="CW124" s="19"/>
      <c r="CX124" s="19"/>
      <c r="CY124" s="19"/>
      <c r="CZ124" s="19"/>
      <c r="DA124" s="21" t="s">
        <v>115</v>
      </c>
      <c r="DB124" s="23"/>
      <c r="DC124" s="16" t="s">
        <v>145</v>
      </c>
      <c r="DD124" s="16" t="s">
        <v>129</v>
      </c>
      <c r="DE124" s="16" t="s">
        <v>129</v>
      </c>
      <c r="DF124" s="16" t="s">
        <v>129</v>
      </c>
      <c r="DG124" s="16" t="s">
        <v>626</v>
      </c>
      <c r="DH124" s="21" t="s">
        <v>812</v>
      </c>
      <c r="DI124" s="23"/>
      <c r="DJ124" s="19"/>
      <c r="DK124" s="19"/>
      <c r="DL124" s="19"/>
      <c r="DM124" s="16" t="s">
        <v>813</v>
      </c>
      <c r="DN124" s="21" t="s">
        <v>629</v>
      </c>
      <c r="DO124" s="23"/>
    </row>
    <row r="125" ht="15.75" customHeight="1">
      <c r="A125" s="15">
        <v>123.0</v>
      </c>
      <c r="B125" s="16" t="s">
        <v>814</v>
      </c>
      <c r="C125" s="17">
        <v>3.1606022502488E13</v>
      </c>
      <c r="D125" s="18">
        <v>50.0</v>
      </c>
      <c r="E125" s="16" t="s">
        <v>624</v>
      </c>
      <c r="F125" s="16" t="s">
        <v>546</v>
      </c>
      <c r="G125" s="16" t="s">
        <v>547</v>
      </c>
      <c r="H125" s="20">
        <v>42523.0</v>
      </c>
      <c r="I125" s="16"/>
      <c r="J125" s="18">
        <v>1.0</v>
      </c>
      <c r="K125" s="16" t="s">
        <v>815</v>
      </c>
      <c r="L125" s="21" t="s">
        <v>138</v>
      </c>
      <c r="M125" s="23"/>
      <c r="N125" s="19"/>
      <c r="O125" s="19"/>
      <c r="P125" s="19"/>
      <c r="Q125" s="19"/>
      <c r="R125" s="19"/>
      <c r="S125" s="19"/>
      <c r="T125" s="19"/>
      <c r="U125" s="19"/>
      <c r="V125" s="16" t="s">
        <v>127</v>
      </c>
      <c r="W125" s="16" t="s">
        <v>46</v>
      </c>
      <c r="X125" s="21" t="s">
        <v>47</v>
      </c>
      <c r="Y125" s="23"/>
      <c r="Z125" s="19"/>
      <c r="AA125" s="19"/>
      <c r="AB125" s="19"/>
      <c r="AC125" s="19"/>
      <c r="AD125" s="19"/>
      <c r="AE125" s="19"/>
      <c r="AF125" s="19"/>
      <c r="AG125" s="19"/>
      <c r="AH125" s="21" t="s">
        <v>357</v>
      </c>
      <c r="AI125" s="23"/>
      <c r="AJ125" s="16" t="s">
        <v>168</v>
      </c>
      <c r="AK125" s="16" t="s">
        <v>153</v>
      </c>
      <c r="AL125" s="16" t="s">
        <v>126</v>
      </c>
      <c r="AM125" s="16" t="s">
        <v>126</v>
      </c>
      <c r="AN125" s="16" t="s">
        <v>126</v>
      </c>
      <c r="AO125" s="16" t="s">
        <v>126</v>
      </c>
      <c r="AP125" s="16" t="s">
        <v>126</v>
      </c>
      <c r="AQ125" s="16" t="s">
        <v>126</v>
      </c>
      <c r="AR125" s="16" t="s">
        <v>126</v>
      </c>
      <c r="AS125" s="21" t="s">
        <v>65</v>
      </c>
      <c r="AT125" s="22"/>
      <c r="AU125" s="23"/>
      <c r="AV125" s="21" t="s">
        <v>68</v>
      </c>
      <c r="AW125" s="23"/>
      <c r="AX125" s="21" t="s">
        <v>70</v>
      </c>
      <c r="AY125" s="22"/>
      <c r="AZ125" s="23"/>
      <c r="BA125" s="19"/>
      <c r="BB125" s="19"/>
      <c r="BC125" s="19"/>
      <c r="BD125" s="19"/>
      <c r="BE125" s="19"/>
      <c r="BF125" s="16" t="s">
        <v>127</v>
      </c>
      <c r="BG125" s="21" t="s">
        <v>78</v>
      </c>
      <c r="BH125" s="23"/>
      <c r="BI125" s="19"/>
      <c r="BJ125" s="19"/>
      <c r="BK125" s="16" t="s">
        <v>81</v>
      </c>
      <c r="BL125" s="19"/>
      <c r="BM125" s="19"/>
      <c r="BN125" s="16" t="s">
        <v>84</v>
      </c>
      <c r="BO125" s="21" t="s">
        <v>85</v>
      </c>
      <c r="BP125" s="22"/>
      <c r="BQ125" s="22"/>
      <c r="BR125" s="23"/>
      <c r="BS125" s="19"/>
      <c r="BT125" s="19"/>
      <c r="BU125" s="19"/>
      <c r="BV125" s="19"/>
      <c r="BW125" s="19"/>
      <c r="BX125" s="16" t="s">
        <v>816</v>
      </c>
      <c r="BY125" s="19"/>
      <c r="BZ125" s="19"/>
      <c r="CA125" s="19"/>
      <c r="CB125" s="19"/>
      <c r="CC125" s="19"/>
      <c r="CD125" s="19"/>
      <c r="CE125" s="19"/>
      <c r="CF125" s="16" t="s">
        <v>127</v>
      </c>
      <c r="CG125" s="16" t="s">
        <v>128</v>
      </c>
      <c r="CH125" s="21" t="s">
        <v>100</v>
      </c>
      <c r="CI125" s="23"/>
      <c r="CJ125" s="19"/>
      <c r="CK125" s="19"/>
      <c r="CL125" s="21" t="s">
        <v>104</v>
      </c>
      <c r="CM125" s="23"/>
      <c r="CN125" s="16" t="s">
        <v>128</v>
      </c>
      <c r="CO125" s="16" t="s">
        <v>105</v>
      </c>
      <c r="CP125" s="21" t="s">
        <v>106</v>
      </c>
      <c r="CQ125" s="23"/>
      <c r="CR125" s="21" t="s">
        <v>108</v>
      </c>
      <c r="CS125" s="23"/>
      <c r="CT125" s="21" t="s">
        <v>110</v>
      </c>
      <c r="CU125" s="23"/>
      <c r="CV125" s="16" t="s">
        <v>128</v>
      </c>
      <c r="CW125" s="21" t="s">
        <v>111</v>
      </c>
      <c r="CX125" s="22"/>
      <c r="CY125" s="23"/>
      <c r="CZ125" s="16" t="s">
        <v>114</v>
      </c>
      <c r="DA125" s="21" t="s">
        <v>115</v>
      </c>
      <c r="DB125" s="23"/>
      <c r="DC125" s="16" t="s">
        <v>145</v>
      </c>
      <c r="DD125" s="16" t="s">
        <v>129</v>
      </c>
      <c r="DE125" s="16" t="s">
        <v>129</v>
      </c>
      <c r="DF125" s="16" t="s">
        <v>129</v>
      </c>
      <c r="DG125" s="16" t="s">
        <v>817</v>
      </c>
      <c r="DH125" s="16" t="s">
        <v>626</v>
      </c>
      <c r="DI125" s="21" t="s">
        <v>818</v>
      </c>
      <c r="DJ125" s="23"/>
      <c r="DK125" s="19"/>
      <c r="DL125" s="19"/>
      <c r="DM125" s="16" t="s">
        <v>819</v>
      </c>
      <c r="DN125" s="21" t="s">
        <v>820</v>
      </c>
      <c r="DO125" s="23"/>
    </row>
    <row r="126" ht="15.75" customHeight="1">
      <c r="A126" s="15">
        <v>124.0</v>
      </c>
      <c r="B126" s="16" t="s">
        <v>821</v>
      </c>
      <c r="C126" s="17">
        <v>3.1502062500739E13</v>
      </c>
      <c r="D126" s="18">
        <v>52.0</v>
      </c>
      <c r="E126" s="16" t="s">
        <v>595</v>
      </c>
      <c r="F126" s="16" t="s">
        <v>595</v>
      </c>
      <c r="G126" s="16" t="s">
        <v>547</v>
      </c>
      <c r="H126" s="20">
        <v>42041.0</v>
      </c>
      <c r="I126" s="18">
        <v>1.0</v>
      </c>
      <c r="J126" s="19"/>
      <c r="K126" s="16" t="s">
        <v>822</v>
      </c>
      <c r="L126" s="21" t="s">
        <v>138</v>
      </c>
      <c r="M126" s="23"/>
      <c r="N126" s="19"/>
      <c r="O126" s="19"/>
      <c r="P126" s="19"/>
      <c r="Q126" s="19"/>
      <c r="R126" s="19"/>
      <c r="S126" s="19"/>
      <c r="T126" s="19"/>
      <c r="U126" s="19"/>
      <c r="V126" s="16" t="s">
        <v>139</v>
      </c>
      <c r="W126" s="16" t="s">
        <v>46</v>
      </c>
      <c r="X126" s="16" t="s">
        <v>47</v>
      </c>
      <c r="Y126" s="21" t="s">
        <v>48</v>
      </c>
      <c r="Z126" s="23"/>
      <c r="AA126" s="19"/>
      <c r="AB126" s="19"/>
      <c r="AC126" s="19"/>
      <c r="AD126" s="19"/>
      <c r="AE126" s="19"/>
      <c r="AF126" s="19"/>
      <c r="AG126" s="19"/>
      <c r="AH126" s="21" t="s">
        <v>228</v>
      </c>
      <c r="AI126" s="23"/>
      <c r="AJ126" s="16" t="s">
        <v>124</v>
      </c>
      <c r="AK126" s="16" t="s">
        <v>153</v>
      </c>
      <c r="AL126" s="16" t="s">
        <v>597</v>
      </c>
      <c r="AM126" s="16" t="s">
        <v>126</v>
      </c>
      <c r="AN126" s="16" t="s">
        <v>598</v>
      </c>
      <c r="AO126" s="16" t="s">
        <v>143</v>
      </c>
      <c r="AP126" s="16" t="s">
        <v>597</v>
      </c>
      <c r="AQ126" s="16" t="s">
        <v>126</v>
      </c>
      <c r="AR126" s="16" t="s">
        <v>597</v>
      </c>
      <c r="AS126" s="19"/>
      <c r="AT126" s="19"/>
      <c r="AU126" s="19"/>
      <c r="AV126" s="21" t="s">
        <v>68</v>
      </c>
      <c r="AW126" s="22"/>
      <c r="AX126" s="23"/>
      <c r="AY126" s="19"/>
      <c r="AZ126" s="19"/>
      <c r="BA126" s="19"/>
      <c r="BB126" s="19"/>
      <c r="BC126" s="19"/>
      <c r="BD126" s="19"/>
      <c r="BE126" s="19"/>
      <c r="BF126" s="19"/>
      <c r="BG126" s="19"/>
      <c r="BH126" s="21" t="s">
        <v>79</v>
      </c>
      <c r="BI126" s="23"/>
      <c r="BJ126" s="19"/>
      <c r="BK126" s="16" t="s">
        <v>81</v>
      </c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21" t="s">
        <v>99</v>
      </c>
      <c r="CF126" s="23"/>
      <c r="CG126" s="16" t="s">
        <v>302</v>
      </c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6" t="s">
        <v>302</v>
      </c>
      <c r="CW126" s="19"/>
      <c r="CX126" s="19"/>
      <c r="CY126" s="19"/>
      <c r="CZ126" s="19"/>
      <c r="DA126" s="19"/>
      <c r="DB126" s="19"/>
      <c r="DC126" s="16" t="s">
        <v>602</v>
      </c>
      <c r="DD126" s="16" t="s">
        <v>129</v>
      </c>
      <c r="DE126" s="16" t="s">
        <v>145</v>
      </c>
      <c r="DF126" s="16" t="s">
        <v>129</v>
      </c>
      <c r="DG126" s="19"/>
      <c r="DH126" s="19"/>
      <c r="DI126" s="19"/>
      <c r="DJ126" s="19"/>
      <c r="DK126" s="19"/>
      <c r="DL126" s="19"/>
      <c r="DM126" s="21" t="s">
        <v>823</v>
      </c>
      <c r="DN126" s="23"/>
      <c r="DO126" s="19"/>
    </row>
    <row r="127" ht="15.75" customHeight="1">
      <c r="A127" s="15">
        <v>125.0</v>
      </c>
      <c r="B127" s="16" t="s">
        <v>824</v>
      </c>
      <c r="C127" s="17">
        <v>3.1504162503975E13</v>
      </c>
      <c r="D127" s="18">
        <v>11.0</v>
      </c>
      <c r="E127" s="16" t="s">
        <v>595</v>
      </c>
      <c r="F127" s="16" t="s">
        <v>595</v>
      </c>
      <c r="G127" s="16" t="s">
        <v>547</v>
      </c>
      <c r="H127" s="20">
        <v>42110.0</v>
      </c>
      <c r="I127" s="18">
        <v>1.0</v>
      </c>
      <c r="J127" s="19"/>
      <c r="K127" s="16" t="s">
        <v>825</v>
      </c>
      <c r="L127" s="21" t="s">
        <v>138</v>
      </c>
      <c r="M127" s="23"/>
      <c r="N127" s="19"/>
      <c r="O127" s="19"/>
      <c r="P127" s="19"/>
      <c r="Q127" s="19"/>
      <c r="R127" s="19"/>
      <c r="S127" s="19"/>
      <c r="T127" s="19"/>
      <c r="U127" s="19"/>
      <c r="V127" s="16" t="s">
        <v>139</v>
      </c>
      <c r="W127" s="19"/>
      <c r="X127" s="19"/>
      <c r="Y127" s="21" t="s">
        <v>48</v>
      </c>
      <c r="Z127" s="23"/>
      <c r="AA127" s="19"/>
      <c r="AB127" s="19"/>
      <c r="AC127" s="19"/>
      <c r="AD127" s="19"/>
      <c r="AE127" s="19"/>
      <c r="AF127" s="19"/>
      <c r="AG127" s="19"/>
      <c r="AH127" s="21" t="s">
        <v>123</v>
      </c>
      <c r="AI127" s="23"/>
      <c r="AJ127" s="16" t="s">
        <v>124</v>
      </c>
      <c r="AK127" s="16" t="s">
        <v>153</v>
      </c>
      <c r="AL127" s="16" t="s">
        <v>597</v>
      </c>
      <c r="AM127" s="16" t="s">
        <v>126</v>
      </c>
      <c r="AN127" s="16" t="s">
        <v>598</v>
      </c>
      <c r="AO127" s="16" t="s">
        <v>181</v>
      </c>
      <c r="AP127" s="16" t="s">
        <v>126</v>
      </c>
      <c r="AQ127" s="16" t="s">
        <v>181</v>
      </c>
      <c r="AR127" s="16" t="s">
        <v>597</v>
      </c>
      <c r="AS127" s="19"/>
      <c r="AT127" s="19"/>
      <c r="AU127" s="19"/>
      <c r="AV127" s="21" t="s">
        <v>68</v>
      </c>
      <c r="AW127" s="22"/>
      <c r="AX127" s="23"/>
      <c r="AY127" s="19"/>
      <c r="AZ127" s="19"/>
      <c r="BA127" s="19"/>
      <c r="BB127" s="19"/>
      <c r="BC127" s="19"/>
      <c r="BD127" s="19"/>
      <c r="BE127" s="19"/>
      <c r="BF127" s="19"/>
      <c r="BG127" s="19"/>
      <c r="BH127" s="21" t="s">
        <v>79</v>
      </c>
      <c r="BI127" s="23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21" t="s">
        <v>95</v>
      </c>
      <c r="CB127" s="22"/>
      <c r="CC127" s="23"/>
      <c r="CD127" s="19"/>
      <c r="CE127" s="19"/>
      <c r="CF127" s="19"/>
      <c r="CG127" s="16" t="s">
        <v>158</v>
      </c>
      <c r="CH127" s="19"/>
      <c r="CI127" s="19"/>
      <c r="CJ127" s="21" t="s">
        <v>102</v>
      </c>
      <c r="CK127" s="23"/>
      <c r="CL127" s="21" t="s">
        <v>104</v>
      </c>
      <c r="CM127" s="23"/>
      <c r="CN127" s="16" t="s">
        <v>302</v>
      </c>
      <c r="CO127" s="19"/>
      <c r="CP127" s="19"/>
      <c r="CQ127" s="19"/>
      <c r="CR127" s="19"/>
      <c r="CS127" s="19"/>
      <c r="CT127" s="19"/>
      <c r="CU127" s="19"/>
      <c r="CV127" s="21" t="s">
        <v>154</v>
      </c>
      <c r="CW127" s="23"/>
      <c r="CX127" s="19"/>
      <c r="CY127" s="19"/>
      <c r="CZ127" s="19"/>
      <c r="DA127" s="21" t="s">
        <v>115</v>
      </c>
      <c r="DB127" s="23"/>
      <c r="DC127" s="16" t="s">
        <v>129</v>
      </c>
      <c r="DD127" s="16" t="s">
        <v>129</v>
      </c>
      <c r="DE127" s="16" t="s">
        <v>129</v>
      </c>
      <c r="DF127" s="16" t="s">
        <v>129</v>
      </c>
      <c r="DG127" s="19"/>
      <c r="DH127" s="19"/>
      <c r="DI127" s="19"/>
      <c r="DJ127" s="19"/>
      <c r="DK127" s="19"/>
      <c r="DL127" s="19"/>
      <c r="DM127" s="21" t="s">
        <v>826</v>
      </c>
      <c r="DN127" s="22"/>
      <c r="DO127" s="23"/>
    </row>
    <row r="128" ht="15.75" customHeight="1">
      <c r="A128" s="15">
        <v>126.0</v>
      </c>
      <c r="B128" s="16" t="s">
        <v>827</v>
      </c>
      <c r="C128" s="17">
        <v>3.1802242500935E13</v>
      </c>
      <c r="D128" s="18">
        <v>38.0</v>
      </c>
      <c r="E128" s="16" t="s">
        <v>595</v>
      </c>
      <c r="F128" s="16" t="s">
        <v>595</v>
      </c>
      <c r="G128" s="16" t="s">
        <v>547</v>
      </c>
      <c r="H128" s="20">
        <v>43153.0</v>
      </c>
      <c r="I128" s="18">
        <v>1.0</v>
      </c>
      <c r="J128" s="19"/>
      <c r="K128" s="16" t="s">
        <v>828</v>
      </c>
      <c r="L128" s="21" t="s">
        <v>138</v>
      </c>
      <c r="M128" s="23"/>
      <c r="N128" s="19"/>
      <c r="O128" s="19"/>
      <c r="P128" s="19"/>
      <c r="Q128" s="19"/>
      <c r="R128" s="19"/>
      <c r="S128" s="19"/>
      <c r="T128" s="19"/>
      <c r="U128" s="19"/>
      <c r="V128" s="16" t="s">
        <v>139</v>
      </c>
      <c r="W128" s="16" t="s">
        <v>46</v>
      </c>
      <c r="X128" s="19"/>
      <c r="Y128" s="21" t="s">
        <v>48</v>
      </c>
      <c r="Z128" s="23"/>
      <c r="AA128" s="19"/>
      <c r="AB128" s="19"/>
      <c r="AC128" s="19"/>
      <c r="AD128" s="19"/>
      <c r="AE128" s="19"/>
      <c r="AF128" s="19"/>
      <c r="AG128" s="19"/>
      <c r="AH128" s="21" t="s">
        <v>123</v>
      </c>
      <c r="AI128" s="23"/>
      <c r="AJ128" s="16" t="s">
        <v>168</v>
      </c>
      <c r="AK128" s="16" t="s">
        <v>153</v>
      </c>
      <c r="AL128" s="16" t="s">
        <v>143</v>
      </c>
      <c r="AM128" s="16" t="s">
        <v>143</v>
      </c>
      <c r="AN128" s="16" t="s">
        <v>597</v>
      </c>
      <c r="AO128" s="16" t="s">
        <v>181</v>
      </c>
      <c r="AP128" s="16" t="s">
        <v>181</v>
      </c>
      <c r="AQ128" s="16" t="s">
        <v>143</v>
      </c>
      <c r="AR128" s="16" t="s">
        <v>597</v>
      </c>
      <c r="AS128" s="21" t="s">
        <v>65</v>
      </c>
      <c r="AT128" s="22"/>
      <c r="AU128" s="23"/>
      <c r="AV128" s="19"/>
      <c r="AW128" s="21" t="s">
        <v>69</v>
      </c>
      <c r="AX128" s="22"/>
      <c r="AY128" s="23"/>
      <c r="AZ128" s="19"/>
      <c r="BA128" s="19"/>
      <c r="BB128" s="19"/>
      <c r="BC128" s="19"/>
      <c r="BD128" s="19"/>
      <c r="BE128" s="21" t="s">
        <v>77</v>
      </c>
      <c r="BF128" s="22"/>
      <c r="BG128" s="22"/>
      <c r="BH128" s="23"/>
      <c r="BI128" s="19"/>
      <c r="BJ128" s="19"/>
      <c r="BK128" s="16" t="s">
        <v>81</v>
      </c>
      <c r="BL128" s="19"/>
      <c r="BM128" s="19"/>
      <c r="BN128" s="19"/>
      <c r="BO128" s="19"/>
      <c r="BP128" s="19"/>
      <c r="BQ128" s="19"/>
      <c r="BR128" s="19"/>
      <c r="BS128" s="19"/>
      <c r="BT128" s="19"/>
      <c r="BU128" s="21" t="s">
        <v>90</v>
      </c>
      <c r="BV128" s="23"/>
      <c r="BW128" s="19"/>
      <c r="BX128" s="19"/>
      <c r="BY128" s="19"/>
      <c r="BZ128" s="19"/>
      <c r="CA128" s="19"/>
      <c r="CB128" s="21" t="s">
        <v>96</v>
      </c>
      <c r="CC128" s="23"/>
      <c r="CD128" s="19"/>
      <c r="CE128" s="19"/>
      <c r="CF128" s="19"/>
      <c r="CG128" s="16" t="s">
        <v>158</v>
      </c>
      <c r="CH128" s="19"/>
      <c r="CI128" s="19"/>
      <c r="CJ128" s="19"/>
      <c r="CK128" s="19"/>
      <c r="CL128" s="21" t="s">
        <v>104</v>
      </c>
      <c r="CM128" s="23"/>
      <c r="CN128" s="16" t="s">
        <v>302</v>
      </c>
      <c r="CO128" s="19"/>
      <c r="CP128" s="19"/>
      <c r="CQ128" s="19"/>
      <c r="CR128" s="19"/>
      <c r="CS128" s="19"/>
      <c r="CT128" s="19"/>
      <c r="CU128" s="19"/>
      <c r="CV128" s="21" t="s">
        <v>154</v>
      </c>
      <c r="CW128" s="23"/>
      <c r="CX128" s="19"/>
      <c r="CY128" s="19"/>
      <c r="CZ128" s="21" t="s">
        <v>114</v>
      </c>
      <c r="DA128" s="22"/>
      <c r="DB128" s="23"/>
      <c r="DC128" s="16" t="s">
        <v>145</v>
      </c>
      <c r="DD128" s="16" t="s">
        <v>129</v>
      </c>
      <c r="DE128" s="16" t="s">
        <v>129</v>
      </c>
      <c r="DF128" s="16" t="s">
        <v>129</v>
      </c>
      <c r="DG128" s="21" t="s">
        <v>829</v>
      </c>
      <c r="DH128" s="23"/>
      <c r="DI128" s="19"/>
      <c r="DJ128" s="21" t="s">
        <v>830</v>
      </c>
      <c r="DK128" s="22"/>
      <c r="DL128" s="23"/>
      <c r="DM128" s="21" t="s">
        <v>831</v>
      </c>
      <c r="DN128" s="23"/>
      <c r="DO128" s="19"/>
    </row>
    <row r="129" ht="15.75" customHeight="1">
      <c r="A129" s="15">
        <v>127.0</v>
      </c>
      <c r="B129" s="16" t="s">
        <v>832</v>
      </c>
      <c r="C129" s="17">
        <v>3.1708172501037E13</v>
      </c>
      <c r="D129" s="18">
        <v>9.0</v>
      </c>
      <c r="E129" s="16" t="s">
        <v>595</v>
      </c>
      <c r="F129" s="16" t="s">
        <v>595</v>
      </c>
      <c r="G129" s="16" t="s">
        <v>547</v>
      </c>
      <c r="H129" s="20">
        <v>42964.0</v>
      </c>
      <c r="I129" s="18">
        <v>1.0</v>
      </c>
      <c r="J129" s="19"/>
      <c r="K129" s="16" t="s">
        <v>833</v>
      </c>
      <c r="L129" s="16" t="s">
        <v>122</v>
      </c>
      <c r="M129" s="19"/>
      <c r="N129" s="19"/>
      <c r="O129" s="19"/>
      <c r="P129" s="19"/>
      <c r="Q129" s="19"/>
      <c r="R129" s="19"/>
      <c r="S129" s="19"/>
      <c r="T129" s="16" t="s">
        <v>43</v>
      </c>
      <c r="U129" s="21" t="s">
        <v>44</v>
      </c>
      <c r="V129" s="23"/>
      <c r="W129" s="16" t="s">
        <v>46</v>
      </c>
      <c r="X129" s="16" t="s">
        <v>47</v>
      </c>
      <c r="Y129" s="21" t="s">
        <v>48</v>
      </c>
      <c r="Z129" s="23"/>
      <c r="AA129" s="19"/>
      <c r="AB129" s="19"/>
      <c r="AC129" s="19"/>
      <c r="AD129" s="19"/>
      <c r="AE129" s="19"/>
      <c r="AF129" s="19"/>
      <c r="AG129" s="19"/>
      <c r="AH129" s="21" t="s">
        <v>123</v>
      </c>
      <c r="AI129" s="23"/>
      <c r="AJ129" s="16" t="s">
        <v>449</v>
      </c>
      <c r="AK129" s="16" t="s">
        <v>125</v>
      </c>
      <c r="AL129" s="16" t="s">
        <v>126</v>
      </c>
      <c r="AM129" s="16" t="s">
        <v>126</v>
      </c>
      <c r="AN129" s="16" t="s">
        <v>126</v>
      </c>
      <c r="AO129" s="16" t="s">
        <v>143</v>
      </c>
      <c r="AP129" s="16" t="s">
        <v>143</v>
      </c>
      <c r="AQ129" s="16" t="s">
        <v>143</v>
      </c>
      <c r="AR129" s="16" t="s">
        <v>597</v>
      </c>
      <c r="AS129" s="21" t="s">
        <v>65</v>
      </c>
      <c r="AT129" s="22"/>
      <c r="AU129" s="23"/>
      <c r="AV129" s="19"/>
      <c r="AW129" s="21" t="s">
        <v>69</v>
      </c>
      <c r="AX129" s="22"/>
      <c r="AY129" s="23"/>
      <c r="AZ129" s="19"/>
      <c r="BA129" s="19"/>
      <c r="BB129" s="21" t="s">
        <v>74</v>
      </c>
      <c r="BC129" s="22"/>
      <c r="BD129" s="23"/>
      <c r="BE129" s="19"/>
      <c r="BF129" s="19"/>
      <c r="BG129" s="21" t="s">
        <v>78</v>
      </c>
      <c r="BH129" s="23"/>
      <c r="BI129" s="19"/>
      <c r="BJ129" s="19"/>
      <c r="BK129" s="16" t="s">
        <v>81</v>
      </c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21" t="s">
        <v>92</v>
      </c>
      <c r="BX129" s="22"/>
      <c r="BY129" s="23"/>
      <c r="BZ129" s="19"/>
      <c r="CA129" s="19"/>
      <c r="CB129" s="19"/>
      <c r="CC129" s="19"/>
      <c r="CD129" s="19"/>
      <c r="CE129" s="21" t="s">
        <v>99</v>
      </c>
      <c r="CF129" s="23"/>
      <c r="CG129" s="16" t="s">
        <v>158</v>
      </c>
      <c r="CH129" s="21" t="s">
        <v>100</v>
      </c>
      <c r="CI129" s="23"/>
      <c r="CJ129" s="19"/>
      <c r="CK129" s="19"/>
      <c r="CL129" s="19"/>
      <c r="CM129" s="19"/>
      <c r="CN129" s="16" t="s">
        <v>302</v>
      </c>
      <c r="CO129" s="19"/>
      <c r="CP129" s="19"/>
      <c r="CQ129" s="19"/>
      <c r="CR129" s="19"/>
      <c r="CS129" s="19"/>
      <c r="CT129" s="19"/>
      <c r="CU129" s="19"/>
      <c r="CV129" s="21" t="s">
        <v>154</v>
      </c>
      <c r="CW129" s="23"/>
      <c r="CX129" s="19"/>
      <c r="CY129" s="19"/>
      <c r="CZ129" s="19"/>
      <c r="DA129" s="19"/>
      <c r="DB129" s="19"/>
      <c r="DC129" s="16" t="s">
        <v>145</v>
      </c>
      <c r="DD129" s="16" t="s">
        <v>145</v>
      </c>
      <c r="DE129" s="16" t="s">
        <v>602</v>
      </c>
      <c r="DF129" s="16" t="s">
        <v>129</v>
      </c>
      <c r="DG129" s="21" t="s">
        <v>834</v>
      </c>
      <c r="DH129" s="22"/>
      <c r="DI129" s="23"/>
      <c r="DJ129" s="21" t="s">
        <v>830</v>
      </c>
      <c r="DK129" s="22"/>
      <c r="DL129" s="23"/>
      <c r="DM129" s="21" t="s">
        <v>826</v>
      </c>
      <c r="DN129" s="22"/>
      <c r="DO129" s="23"/>
    </row>
    <row r="130" ht="15.75" customHeight="1">
      <c r="A130" s="15">
        <v>128.0</v>
      </c>
      <c r="B130" s="16" t="s">
        <v>835</v>
      </c>
      <c r="C130" s="17">
        <v>3.2006042504378E13</v>
      </c>
      <c r="D130" s="18">
        <v>127.0</v>
      </c>
      <c r="E130" s="16" t="s">
        <v>836</v>
      </c>
      <c r="F130" s="16" t="s">
        <v>837</v>
      </c>
      <c r="G130" s="16" t="s">
        <v>547</v>
      </c>
      <c r="H130" s="20">
        <v>43986.0</v>
      </c>
      <c r="I130" s="18">
        <v>1.0</v>
      </c>
      <c r="J130" s="19"/>
      <c r="K130" s="16" t="s">
        <v>838</v>
      </c>
      <c r="L130" s="16" t="s">
        <v>122</v>
      </c>
      <c r="M130" s="19"/>
      <c r="N130" s="19"/>
      <c r="O130" s="19"/>
      <c r="P130" s="19"/>
      <c r="Q130" s="19"/>
      <c r="R130" s="19"/>
      <c r="S130" s="19"/>
      <c r="T130" s="19"/>
      <c r="U130" s="16" t="s">
        <v>44</v>
      </c>
      <c r="V130" s="18">
        <v>0.0</v>
      </c>
      <c r="W130" s="19"/>
      <c r="X130" s="21" t="s">
        <v>47</v>
      </c>
      <c r="Y130" s="23"/>
      <c r="Z130" s="19"/>
      <c r="AA130" s="19"/>
      <c r="AB130" s="19"/>
      <c r="AC130" s="19"/>
      <c r="AD130" s="19"/>
      <c r="AE130" s="19"/>
      <c r="AF130" s="19"/>
      <c r="AG130" s="18">
        <v>0.0</v>
      </c>
      <c r="AH130" s="16" t="s">
        <v>57</v>
      </c>
      <c r="AI130" s="18" t="s">
        <v>839</v>
      </c>
      <c r="AJ130" s="16" t="s">
        <v>124</v>
      </c>
      <c r="AK130" s="16" t="s">
        <v>153</v>
      </c>
      <c r="AL130" s="16" t="s">
        <v>181</v>
      </c>
      <c r="AM130" s="16" t="s">
        <v>181</v>
      </c>
      <c r="AN130" s="16" t="s">
        <v>181</v>
      </c>
      <c r="AO130" s="16" t="s">
        <v>181</v>
      </c>
      <c r="AP130" s="16" t="s">
        <v>181</v>
      </c>
      <c r="AQ130" s="16" t="s">
        <v>181</v>
      </c>
      <c r="AR130" s="16" t="s">
        <v>181</v>
      </c>
      <c r="AS130" s="21" t="s">
        <v>65</v>
      </c>
      <c r="AT130" s="23"/>
      <c r="AU130" s="16" t="s">
        <v>67</v>
      </c>
      <c r="AV130" s="16" t="s">
        <v>68</v>
      </c>
      <c r="AW130" s="21" t="s">
        <v>69</v>
      </c>
      <c r="AX130" s="22"/>
      <c r="AY130" s="23"/>
      <c r="AZ130" s="18">
        <v>0.0</v>
      </c>
      <c r="BA130" s="19"/>
      <c r="BB130" s="21" t="s">
        <v>74</v>
      </c>
      <c r="BC130" s="23"/>
      <c r="BD130" s="16" t="s">
        <v>76</v>
      </c>
      <c r="BE130" s="16" t="s">
        <v>77</v>
      </c>
      <c r="BF130" s="18">
        <v>0.0</v>
      </c>
      <c r="BG130" s="21" t="s">
        <v>78</v>
      </c>
      <c r="BH130" s="23"/>
      <c r="BI130" s="19"/>
      <c r="BJ130" s="19"/>
      <c r="BK130" s="19"/>
      <c r="BL130" s="19"/>
      <c r="BM130" s="19"/>
      <c r="BN130" s="16" t="s">
        <v>84</v>
      </c>
      <c r="BO130" s="16" t="s">
        <v>85</v>
      </c>
      <c r="BP130" s="18">
        <v>0.0</v>
      </c>
      <c r="BQ130" s="19"/>
      <c r="BR130" s="19"/>
      <c r="BS130" s="19"/>
      <c r="BT130" s="19"/>
      <c r="BU130" s="19"/>
      <c r="BV130" s="19"/>
      <c r="BW130" s="16" t="s">
        <v>92</v>
      </c>
      <c r="BX130" s="18">
        <v>0.0</v>
      </c>
      <c r="BY130" s="19"/>
      <c r="BZ130" s="19"/>
      <c r="CA130" s="19"/>
      <c r="CB130" s="21" t="s">
        <v>96</v>
      </c>
      <c r="CC130" s="23"/>
      <c r="CD130" s="19"/>
      <c r="CE130" s="19"/>
      <c r="CF130" s="18" t="s">
        <v>840</v>
      </c>
      <c r="CG130" s="16" t="s">
        <v>128</v>
      </c>
      <c r="CH130" s="21" t="s">
        <v>100</v>
      </c>
      <c r="CI130" s="23"/>
      <c r="CJ130" s="19"/>
      <c r="CK130" s="16" t="s">
        <v>103</v>
      </c>
      <c r="CL130" s="16" t="s">
        <v>104</v>
      </c>
      <c r="CM130" s="18">
        <v>0.0</v>
      </c>
      <c r="CN130" s="16" t="s">
        <v>128</v>
      </c>
      <c r="CO130" s="21" t="s">
        <v>105</v>
      </c>
      <c r="CP130" s="22"/>
      <c r="CQ130" s="23"/>
      <c r="CR130" s="21" t="s">
        <v>108</v>
      </c>
      <c r="CS130" s="23"/>
      <c r="CT130" s="16" t="s">
        <v>110</v>
      </c>
      <c r="CU130" s="18">
        <v>0.0</v>
      </c>
      <c r="CV130" s="16" t="s">
        <v>128</v>
      </c>
      <c r="CW130" s="19"/>
      <c r="CX130" s="19"/>
      <c r="CY130" s="19"/>
      <c r="CZ130" s="16" t="s">
        <v>114</v>
      </c>
      <c r="DA130" s="16" t="s">
        <v>115</v>
      </c>
      <c r="DB130" s="18">
        <v>0.0</v>
      </c>
      <c r="DC130" s="16" t="s">
        <v>129</v>
      </c>
      <c r="DD130" s="16" t="s">
        <v>129</v>
      </c>
      <c r="DE130" s="16" t="s">
        <v>129</v>
      </c>
      <c r="DF130" s="16" t="s">
        <v>129</v>
      </c>
      <c r="DG130" s="16" t="s">
        <v>841</v>
      </c>
      <c r="DH130" s="16" t="s">
        <v>842</v>
      </c>
      <c r="DI130" s="16" t="s">
        <v>843</v>
      </c>
      <c r="DJ130" s="16" t="s">
        <v>144</v>
      </c>
      <c r="DK130" s="18" t="s">
        <v>844</v>
      </c>
      <c r="DL130" s="18" t="s">
        <v>845</v>
      </c>
      <c r="DM130" s="16" t="s">
        <v>846</v>
      </c>
      <c r="DN130" s="16" t="s">
        <v>847</v>
      </c>
      <c r="DO130" s="16" t="s">
        <v>848</v>
      </c>
    </row>
    <row r="131" ht="15.75" customHeight="1">
      <c r="A131" s="15">
        <v>129.0</v>
      </c>
      <c r="B131" s="16" t="s">
        <v>849</v>
      </c>
      <c r="C131" s="17">
        <v>3.0801052500661E13</v>
      </c>
      <c r="D131" s="18">
        <v>50.0</v>
      </c>
      <c r="E131" s="16" t="s">
        <v>850</v>
      </c>
      <c r="F131" s="16" t="s">
        <v>851</v>
      </c>
      <c r="G131" s="16" t="s">
        <v>547</v>
      </c>
      <c r="H131" s="20">
        <v>39670.0</v>
      </c>
      <c r="I131" s="16"/>
      <c r="J131" s="18">
        <v>1.0</v>
      </c>
      <c r="K131" s="16" t="s">
        <v>852</v>
      </c>
      <c r="L131" s="21" t="s">
        <v>138</v>
      </c>
      <c r="M131" s="23"/>
      <c r="N131" s="19"/>
      <c r="O131" s="19"/>
      <c r="P131" s="19"/>
      <c r="Q131" s="19"/>
      <c r="R131" s="19"/>
      <c r="S131" s="19"/>
      <c r="T131" s="19"/>
      <c r="U131" s="19"/>
      <c r="V131" s="16" t="s">
        <v>853</v>
      </c>
      <c r="W131" s="16" t="s">
        <v>46</v>
      </c>
      <c r="X131" s="16" t="s">
        <v>47</v>
      </c>
      <c r="Y131" s="21" t="s">
        <v>48</v>
      </c>
      <c r="Z131" s="23"/>
      <c r="AA131" s="19"/>
      <c r="AB131" s="19"/>
      <c r="AC131" s="19"/>
      <c r="AD131" s="19"/>
      <c r="AE131" s="19"/>
      <c r="AF131" s="19"/>
      <c r="AG131" s="19"/>
      <c r="AH131" s="21" t="s">
        <v>123</v>
      </c>
      <c r="AI131" s="23"/>
      <c r="AJ131" s="16" t="s">
        <v>124</v>
      </c>
      <c r="AK131" s="16" t="s">
        <v>142</v>
      </c>
      <c r="AL131" s="16" t="s">
        <v>181</v>
      </c>
      <c r="AM131" s="16" t="s">
        <v>126</v>
      </c>
      <c r="AN131" s="16" t="s">
        <v>181</v>
      </c>
      <c r="AO131" s="16" t="s">
        <v>181</v>
      </c>
      <c r="AP131" s="16" t="s">
        <v>181</v>
      </c>
      <c r="AQ131" s="16" t="s">
        <v>181</v>
      </c>
      <c r="AR131" s="16" t="s">
        <v>181</v>
      </c>
      <c r="AS131" s="21" t="s">
        <v>65</v>
      </c>
      <c r="AT131" s="23"/>
      <c r="AU131" s="16" t="s">
        <v>67</v>
      </c>
      <c r="AV131" s="16" t="s">
        <v>68</v>
      </c>
      <c r="AW131" s="16" t="s">
        <v>69</v>
      </c>
      <c r="AX131" s="16" t="s">
        <v>70</v>
      </c>
      <c r="AY131" s="21" t="s">
        <v>71</v>
      </c>
      <c r="AZ131" s="23"/>
      <c r="BA131" s="16" t="s">
        <v>73</v>
      </c>
      <c r="BB131" s="21" t="s">
        <v>74</v>
      </c>
      <c r="BC131" s="23"/>
      <c r="BD131" s="16" t="s">
        <v>76</v>
      </c>
      <c r="BE131" s="21" t="s">
        <v>77</v>
      </c>
      <c r="BF131" s="23"/>
      <c r="BG131" s="16" t="s">
        <v>78</v>
      </c>
      <c r="BH131" s="21" t="s">
        <v>79</v>
      </c>
      <c r="BI131" s="23"/>
      <c r="BJ131" s="19"/>
      <c r="BK131" s="19"/>
      <c r="BL131" s="19"/>
      <c r="BM131" s="19"/>
      <c r="BN131" s="16" t="s">
        <v>84</v>
      </c>
      <c r="BO131" s="21" t="s">
        <v>85</v>
      </c>
      <c r="BP131" s="22"/>
      <c r="BQ131" s="22"/>
      <c r="BR131" s="23"/>
      <c r="BS131" s="19"/>
      <c r="BT131" s="19"/>
      <c r="BU131" s="16" t="s">
        <v>90</v>
      </c>
      <c r="BV131" s="16" t="s">
        <v>91</v>
      </c>
      <c r="BW131" s="21" t="s">
        <v>92</v>
      </c>
      <c r="BX131" s="22"/>
      <c r="BY131" s="23"/>
      <c r="BZ131" s="19"/>
      <c r="CA131" s="19"/>
      <c r="CB131" s="16" t="s">
        <v>96</v>
      </c>
      <c r="CC131" s="16" t="s">
        <v>97</v>
      </c>
      <c r="CD131" s="21" t="s">
        <v>98</v>
      </c>
      <c r="CE131" s="23"/>
      <c r="CF131" s="19"/>
      <c r="CG131" s="16" t="s">
        <v>128</v>
      </c>
      <c r="CH131" s="16" t="s">
        <v>100</v>
      </c>
      <c r="CI131" s="16" t="s">
        <v>101</v>
      </c>
      <c r="CJ131" s="16" t="s">
        <v>102</v>
      </c>
      <c r="CK131" s="16" t="s">
        <v>103</v>
      </c>
      <c r="CL131" s="21" t="s">
        <v>104</v>
      </c>
      <c r="CM131" s="23"/>
      <c r="CN131" s="16" t="s">
        <v>128</v>
      </c>
      <c r="CO131" s="21" t="s">
        <v>105</v>
      </c>
      <c r="CP131" s="23"/>
      <c r="CQ131" s="16" t="s">
        <v>107</v>
      </c>
      <c r="CR131" s="16" t="s">
        <v>108</v>
      </c>
      <c r="CS131" s="16" t="s">
        <v>109</v>
      </c>
      <c r="CT131" s="21" t="s">
        <v>110</v>
      </c>
      <c r="CU131" s="23"/>
      <c r="CV131" s="16" t="s">
        <v>128</v>
      </c>
      <c r="CW131" s="16" t="s">
        <v>111</v>
      </c>
      <c r="CX131" s="21" t="s">
        <v>112</v>
      </c>
      <c r="CY131" s="23"/>
      <c r="CZ131" s="16" t="s">
        <v>114</v>
      </c>
      <c r="DA131" s="21" t="s">
        <v>115</v>
      </c>
      <c r="DB131" s="23"/>
      <c r="DC131" s="16" t="s">
        <v>145</v>
      </c>
      <c r="DD131" s="16" t="s">
        <v>145</v>
      </c>
      <c r="DE131" s="16" t="s">
        <v>129</v>
      </c>
      <c r="DF131" s="16" t="s">
        <v>129</v>
      </c>
      <c r="DG131" s="16" t="s">
        <v>854</v>
      </c>
      <c r="DH131" s="16" t="s">
        <v>855</v>
      </c>
      <c r="DI131" s="19"/>
      <c r="DJ131" s="21" t="s">
        <v>856</v>
      </c>
      <c r="DK131" s="23"/>
      <c r="DL131" s="19"/>
      <c r="DM131" s="16" t="s">
        <v>857</v>
      </c>
      <c r="DN131" s="21" t="s">
        <v>858</v>
      </c>
      <c r="DO131" s="23"/>
    </row>
    <row r="132" ht="15.75" customHeight="1">
      <c r="A132" s="15">
        <v>130.0</v>
      </c>
      <c r="B132" s="16" t="s">
        <v>859</v>
      </c>
      <c r="C132" s="17">
        <v>3.1507072501433E13</v>
      </c>
      <c r="D132" s="18">
        <v>82.0</v>
      </c>
      <c r="E132" s="16" t="s">
        <v>860</v>
      </c>
      <c r="F132" s="16" t="s">
        <v>595</v>
      </c>
      <c r="G132" s="16" t="s">
        <v>547</v>
      </c>
      <c r="H132" s="20">
        <v>42192.0</v>
      </c>
      <c r="I132" s="18">
        <v>1.0</v>
      </c>
      <c r="J132" s="19"/>
      <c r="K132" s="16" t="s">
        <v>861</v>
      </c>
      <c r="L132" s="21" t="s">
        <v>138</v>
      </c>
      <c r="M132" s="23"/>
      <c r="N132" s="19"/>
      <c r="O132" s="19"/>
      <c r="P132" s="19"/>
      <c r="Q132" s="19"/>
      <c r="R132" s="19"/>
      <c r="S132" s="19"/>
      <c r="T132" s="19"/>
      <c r="U132" s="19"/>
      <c r="V132" s="16" t="s">
        <v>127</v>
      </c>
      <c r="W132" s="16" t="s">
        <v>46</v>
      </c>
      <c r="X132" s="16" t="s">
        <v>47</v>
      </c>
      <c r="Y132" s="21" t="s">
        <v>48</v>
      </c>
      <c r="Z132" s="23"/>
      <c r="AA132" s="19"/>
      <c r="AB132" s="19"/>
      <c r="AC132" s="21" t="s">
        <v>52</v>
      </c>
      <c r="AD132" s="23"/>
      <c r="AE132" s="19"/>
      <c r="AF132" s="19"/>
      <c r="AG132" s="19"/>
      <c r="AH132" s="21" t="s">
        <v>357</v>
      </c>
      <c r="AI132" s="23"/>
      <c r="AJ132" s="16" t="s">
        <v>168</v>
      </c>
      <c r="AK132" s="16" t="s">
        <v>153</v>
      </c>
      <c r="AL132" s="16" t="s">
        <v>126</v>
      </c>
      <c r="AM132" s="16" t="s">
        <v>126</v>
      </c>
      <c r="AN132" s="16" t="s">
        <v>126</v>
      </c>
      <c r="AO132" s="16" t="s">
        <v>126</v>
      </c>
      <c r="AP132" s="16" t="s">
        <v>126</v>
      </c>
      <c r="AQ132" s="16" t="s">
        <v>126</v>
      </c>
      <c r="AR132" s="16" t="s">
        <v>126</v>
      </c>
      <c r="AS132" s="21" t="s">
        <v>65</v>
      </c>
      <c r="AT132" s="22"/>
      <c r="AU132" s="23"/>
      <c r="AV132" s="19"/>
      <c r="AW132" s="16" t="s">
        <v>69</v>
      </c>
      <c r="AX132" s="21" t="s">
        <v>70</v>
      </c>
      <c r="AY132" s="22"/>
      <c r="AZ132" s="23"/>
      <c r="BA132" s="19"/>
      <c r="BB132" s="19"/>
      <c r="BC132" s="19"/>
      <c r="BD132" s="19"/>
      <c r="BE132" s="19"/>
      <c r="BF132" s="16" t="s">
        <v>127</v>
      </c>
      <c r="BG132" s="21" t="s">
        <v>78</v>
      </c>
      <c r="BH132" s="23"/>
      <c r="BI132" s="19"/>
      <c r="BJ132" s="19"/>
      <c r="BK132" s="16" t="s">
        <v>81</v>
      </c>
      <c r="BL132" s="19"/>
      <c r="BM132" s="19"/>
      <c r="BN132" s="19"/>
      <c r="BO132" s="21" t="s">
        <v>85</v>
      </c>
      <c r="BP132" s="22"/>
      <c r="BQ132" s="22"/>
      <c r="BR132" s="23"/>
      <c r="BS132" s="19"/>
      <c r="BT132" s="19"/>
      <c r="BU132" s="21" t="s">
        <v>90</v>
      </c>
      <c r="BV132" s="23"/>
      <c r="BW132" s="19"/>
      <c r="BX132" s="19"/>
      <c r="BY132" s="21" t="s">
        <v>93</v>
      </c>
      <c r="BZ132" s="22"/>
      <c r="CA132" s="23"/>
      <c r="CB132" s="19"/>
      <c r="CC132" s="19"/>
      <c r="CD132" s="19"/>
      <c r="CE132" s="19"/>
      <c r="CF132" s="19"/>
      <c r="CG132" s="16" t="s">
        <v>128</v>
      </c>
      <c r="CH132" s="19"/>
      <c r="CI132" s="21" t="s">
        <v>101</v>
      </c>
      <c r="CJ132" s="22"/>
      <c r="CK132" s="23"/>
      <c r="CL132" s="21" t="s">
        <v>104</v>
      </c>
      <c r="CM132" s="23"/>
      <c r="CN132" s="16" t="s">
        <v>128</v>
      </c>
      <c r="CO132" s="21" t="s">
        <v>105</v>
      </c>
      <c r="CP132" s="22"/>
      <c r="CQ132" s="23"/>
      <c r="CR132" s="19"/>
      <c r="CS132" s="19"/>
      <c r="CT132" s="19"/>
      <c r="CU132" s="19"/>
      <c r="CV132" s="16" t="s">
        <v>128</v>
      </c>
      <c r="CW132" s="19"/>
      <c r="CX132" s="19"/>
      <c r="CY132" s="19"/>
      <c r="CZ132" s="19"/>
      <c r="DA132" s="21" t="s">
        <v>115</v>
      </c>
      <c r="DB132" s="23"/>
      <c r="DC132" s="16" t="s">
        <v>129</v>
      </c>
      <c r="DD132" s="19"/>
      <c r="DE132" s="16" t="s">
        <v>129</v>
      </c>
      <c r="DF132" s="16" t="s">
        <v>145</v>
      </c>
      <c r="DG132" s="16" t="s">
        <v>862</v>
      </c>
      <c r="DH132" s="16" t="s">
        <v>863</v>
      </c>
      <c r="DI132" s="19"/>
      <c r="DJ132" s="21" t="s">
        <v>864</v>
      </c>
      <c r="DK132" s="22"/>
      <c r="DL132" s="23"/>
      <c r="DM132" s="16" t="s">
        <v>813</v>
      </c>
      <c r="DN132" s="21" t="s">
        <v>629</v>
      </c>
      <c r="DO132" s="23"/>
    </row>
    <row r="133" ht="15.75" customHeight="1">
      <c r="A133" s="15">
        <v>131.0</v>
      </c>
      <c r="B133" s="16" t="s">
        <v>865</v>
      </c>
      <c r="C133" s="17">
        <v>2.6704172500469E13</v>
      </c>
      <c r="D133" s="18">
        <v>155.0</v>
      </c>
      <c r="E133" s="16" t="s">
        <v>836</v>
      </c>
      <c r="F133" s="16" t="s">
        <v>837</v>
      </c>
      <c r="G133" s="16" t="s">
        <v>547</v>
      </c>
      <c r="H133" s="20">
        <v>24579.0</v>
      </c>
      <c r="I133" s="16"/>
      <c r="J133" s="18">
        <v>1.0</v>
      </c>
      <c r="K133" s="16" t="s">
        <v>865</v>
      </c>
      <c r="L133" s="21" t="s">
        <v>138</v>
      </c>
      <c r="M133" s="23"/>
      <c r="N133" s="19"/>
      <c r="O133" s="19"/>
      <c r="P133" s="19"/>
      <c r="Q133" s="19"/>
      <c r="R133" s="19"/>
      <c r="S133" s="19"/>
      <c r="T133" s="19"/>
      <c r="U133" s="19"/>
      <c r="V133" s="18">
        <v>0.0</v>
      </c>
      <c r="W133" s="19"/>
      <c r="X133" s="19"/>
      <c r="Y133" s="19"/>
      <c r="Z133" s="19"/>
      <c r="AA133" s="19"/>
      <c r="AB133" s="21" t="s">
        <v>51</v>
      </c>
      <c r="AC133" s="23"/>
      <c r="AD133" s="19"/>
      <c r="AE133" s="19"/>
      <c r="AF133" s="19"/>
      <c r="AG133" s="18" t="s">
        <v>844</v>
      </c>
      <c r="AH133" s="21" t="s">
        <v>152</v>
      </c>
      <c r="AI133" s="23"/>
      <c r="AJ133" s="16" t="s">
        <v>124</v>
      </c>
      <c r="AK133" s="16" t="s">
        <v>142</v>
      </c>
      <c r="AL133" s="16" t="s">
        <v>181</v>
      </c>
      <c r="AM133" s="16" t="s">
        <v>181</v>
      </c>
      <c r="AN133" s="16" t="s">
        <v>181</v>
      </c>
      <c r="AO133" s="16" t="s">
        <v>181</v>
      </c>
      <c r="AP133" s="16" t="s">
        <v>181</v>
      </c>
      <c r="AQ133" s="16" t="s">
        <v>181</v>
      </c>
      <c r="AR133" s="16" t="s">
        <v>181</v>
      </c>
      <c r="AS133" s="19"/>
      <c r="AT133" s="19"/>
      <c r="AU133" s="19"/>
      <c r="AV133" s="19"/>
      <c r="AW133" s="19"/>
      <c r="AX133" s="19"/>
      <c r="AY133" s="19"/>
      <c r="AZ133" s="21" t="s">
        <v>866</v>
      </c>
      <c r="BA133" s="23"/>
      <c r="BB133" s="21" t="s">
        <v>74</v>
      </c>
      <c r="BC133" s="22"/>
      <c r="BD133" s="23"/>
      <c r="BE133" s="16" t="s">
        <v>77</v>
      </c>
      <c r="BF133" s="18" t="s">
        <v>844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21" t="s">
        <v>867</v>
      </c>
      <c r="BQ133" s="22"/>
      <c r="BR133" s="23"/>
      <c r="BS133" s="19"/>
      <c r="BT133" s="19"/>
      <c r="BU133" s="19"/>
      <c r="BV133" s="19"/>
      <c r="BW133" s="16" t="s">
        <v>92</v>
      </c>
      <c r="BX133" s="18">
        <v>0.0</v>
      </c>
      <c r="BY133" s="19"/>
      <c r="BZ133" s="19"/>
      <c r="CA133" s="19"/>
      <c r="CB133" s="21" t="s">
        <v>96</v>
      </c>
      <c r="CC133" s="23"/>
      <c r="CD133" s="19"/>
      <c r="CE133" s="19"/>
      <c r="CF133" s="18" t="s">
        <v>840</v>
      </c>
      <c r="CG133" s="16" t="s">
        <v>128</v>
      </c>
      <c r="CH133" s="19"/>
      <c r="CI133" s="19"/>
      <c r="CJ133" s="19"/>
      <c r="CK133" s="19"/>
      <c r="CL133" s="16" t="s">
        <v>104</v>
      </c>
      <c r="CM133" s="18">
        <v>0.0</v>
      </c>
      <c r="CN133" s="16" t="s">
        <v>128</v>
      </c>
      <c r="CO133" s="19"/>
      <c r="CP133" s="19"/>
      <c r="CQ133" s="19"/>
      <c r="CR133" s="19"/>
      <c r="CS133" s="19"/>
      <c r="CT133" s="16" t="s">
        <v>110</v>
      </c>
      <c r="CU133" s="18" t="s">
        <v>839</v>
      </c>
      <c r="CV133" s="16" t="s">
        <v>128</v>
      </c>
      <c r="CW133" s="19"/>
      <c r="CX133" s="19"/>
      <c r="CY133" s="19"/>
      <c r="CZ133" s="16" t="s">
        <v>114</v>
      </c>
      <c r="DA133" s="16" t="s">
        <v>115</v>
      </c>
      <c r="DB133" s="18" t="s">
        <v>839</v>
      </c>
      <c r="DC133" s="16" t="s">
        <v>129</v>
      </c>
      <c r="DD133" s="16" t="s">
        <v>129</v>
      </c>
      <c r="DE133" s="16" t="s">
        <v>129</v>
      </c>
      <c r="DF133" s="16" t="s">
        <v>129</v>
      </c>
      <c r="DG133" s="16" t="s">
        <v>868</v>
      </c>
      <c r="DH133" s="18" t="s">
        <v>844</v>
      </c>
      <c r="DI133" s="18" t="s">
        <v>840</v>
      </c>
      <c r="DJ133" s="16" t="s">
        <v>144</v>
      </c>
      <c r="DK133" s="18" t="s">
        <v>844</v>
      </c>
      <c r="DL133" s="18" t="s">
        <v>845</v>
      </c>
      <c r="DM133" s="16" t="s">
        <v>869</v>
      </c>
      <c r="DN133" s="16" t="s">
        <v>870</v>
      </c>
      <c r="DO133" s="18">
        <v>0.0</v>
      </c>
    </row>
    <row r="134" ht="15.75" customHeight="1">
      <c r="A134" s="15">
        <v>132.0</v>
      </c>
      <c r="B134" s="16" t="s">
        <v>871</v>
      </c>
      <c r="C134" s="17">
        <v>3.1910152504378E13</v>
      </c>
      <c r="D134" s="18">
        <v>87.0</v>
      </c>
      <c r="E134" s="16" t="s">
        <v>836</v>
      </c>
      <c r="F134" s="16" t="s">
        <v>837</v>
      </c>
      <c r="G134" s="16" t="s">
        <v>547</v>
      </c>
      <c r="H134" s="25">
        <v>43753.0</v>
      </c>
      <c r="I134" s="18">
        <v>1.0</v>
      </c>
      <c r="J134" s="19"/>
      <c r="K134" s="16" t="s">
        <v>872</v>
      </c>
      <c r="L134" s="16" t="s">
        <v>122</v>
      </c>
      <c r="M134" s="21" t="s">
        <v>36</v>
      </c>
      <c r="N134" s="22"/>
      <c r="O134" s="22"/>
      <c r="P134" s="23"/>
      <c r="Q134" s="19"/>
      <c r="R134" s="19"/>
      <c r="S134" s="19"/>
      <c r="T134" s="19"/>
      <c r="U134" s="19"/>
      <c r="V134" s="18">
        <v>0.0</v>
      </c>
      <c r="W134" s="16" t="s">
        <v>46</v>
      </c>
      <c r="X134" s="19"/>
      <c r="Y134" s="19"/>
      <c r="Z134" s="19"/>
      <c r="AA134" s="19"/>
      <c r="AB134" s="19"/>
      <c r="AC134" s="19"/>
      <c r="AD134" s="19"/>
      <c r="AE134" s="19"/>
      <c r="AF134" s="16" t="s">
        <v>55</v>
      </c>
      <c r="AG134" s="18">
        <v>0.0</v>
      </c>
      <c r="AH134" s="21" t="s">
        <v>123</v>
      </c>
      <c r="AI134" s="23"/>
      <c r="AJ134" s="16" t="s">
        <v>243</v>
      </c>
      <c r="AK134" s="16" t="s">
        <v>142</v>
      </c>
      <c r="AL134" s="16" t="s">
        <v>126</v>
      </c>
      <c r="AM134" s="16" t="s">
        <v>126</v>
      </c>
      <c r="AN134" s="16" t="s">
        <v>126</v>
      </c>
      <c r="AO134" s="16" t="s">
        <v>181</v>
      </c>
      <c r="AP134" s="16" t="s">
        <v>181</v>
      </c>
      <c r="AQ134" s="16" t="s">
        <v>181</v>
      </c>
      <c r="AR134" s="16" t="s">
        <v>181</v>
      </c>
      <c r="AS134" s="16" t="s">
        <v>65</v>
      </c>
      <c r="AT134" s="21" t="s">
        <v>66</v>
      </c>
      <c r="AU134" s="22"/>
      <c r="AV134" s="23"/>
      <c r="AW134" s="21" t="s">
        <v>69</v>
      </c>
      <c r="AX134" s="22"/>
      <c r="AY134" s="23"/>
      <c r="AZ134" s="18" t="s">
        <v>844</v>
      </c>
      <c r="BA134" s="19"/>
      <c r="BB134" s="21" t="s">
        <v>74</v>
      </c>
      <c r="BC134" s="23"/>
      <c r="BD134" s="16" t="s">
        <v>76</v>
      </c>
      <c r="BE134" s="16" t="s">
        <v>77</v>
      </c>
      <c r="BF134" s="18">
        <v>0.0</v>
      </c>
      <c r="BG134" s="19"/>
      <c r="BH134" s="19"/>
      <c r="BI134" s="19"/>
      <c r="BJ134" s="21" t="s">
        <v>80</v>
      </c>
      <c r="BK134" s="23"/>
      <c r="BL134" s="19"/>
      <c r="BM134" s="19"/>
      <c r="BN134" s="16" t="s">
        <v>84</v>
      </c>
      <c r="BO134" s="16" t="s">
        <v>85</v>
      </c>
      <c r="BP134" s="18">
        <v>0.0</v>
      </c>
      <c r="BQ134" s="19"/>
      <c r="BR134" s="19"/>
      <c r="BS134" s="19"/>
      <c r="BT134" s="19"/>
      <c r="BU134" s="19"/>
      <c r="BV134" s="19"/>
      <c r="BW134" s="16" t="s">
        <v>92</v>
      </c>
      <c r="BX134" s="18">
        <v>0.0</v>
      </c>
      <c r="BY134" s="19"/>
      <c r="BZ134" s="19"/>
      <c r="CA134" s="19"/>
      <c r="CB134" s="21" t="s">
        <v>96</v>
      </c>
      <c r="CC134" s="23"/>
      <c r="CD134" s="19"/>
      <c r="CE134" s="19"/>
      <c r="CF134" s="18" t="s">
        <v>840</v>
      </c>
      <c r="CG134" s="16" t="s">
        <v>128</v>
      </c>
      <c r="CH134" s="19"/>
      <c r="CI134" s="19"/>
      <c r="CJ134" s="19"/>
      <c r="CK134" s="19"/>
      <c r="CL134" s="16" t="s">
        <v>104</v>
      </c>
      <c r="CM134" s="18">
        <v>0.0</v>
      </c>
      <c r="CN134" s="16" t="s">
        <v>128</v>
      </c>
      <c r="CO134" s="19"/>
      <c r="CP134" s="19"/>
      <c r="CQ134" s="19"/>
      <c r="CR134" s="21" t="s">
        <v>108</v>
      </c>
      <c r="CS134" s="23"/>
      <c r="CT134" s="19"/>
      <c r="CU134" s="18" t="s">
        <v>839</v>
      </c>
      <c r="CV134" s="16" t="s">
        <v>128</v>
      </c>
      <c r="CW134" s="19"/>
      <c r="CX134" s="19"/>
      <c r="CY134" s="19"/>
      <c r="CZ134" s="16" t="s">
        <v>114</v>
      </c>
      <c r="DA134" s="16" t="s">
        <v>115</v>
      </c>
      <c r="DB134" s="18" t="s">
        <v>844</v>
      </c>
      <c r="DC134" s="16" t="s">
        <v>129</v>
      </c>
      <c r="DD134" s="16" t="s">
        <v>129</v>
      </c>
      <c r="DE134" s="16" t="s">
        <v>129</v>
      </c>
      <c r="DF134" s="16" t="s">
        <v>129</v>
      </c>
      <c r="DG134" s="16" t="s">
        <v>841</v>
      </c>
      <c r="DH134" s="16" t="s">
        <v>873</v>
      </c>
      <c r="DI134" s="16" t="s">
        <v>874</v>
      </c>
      <c r="DJ134" s="16" t="s">
        <v>875</v>
      </c>
      <c r="DK134" s="18">
        <v>0.0</v>
      </c>
      <c r="DL134" s="18" t="s">
        <v>845</v>
      </c>
      <c r="DM134" s="16" t="s">
        <v>876</v>
      </c>
      <c r="DN134" s="16" t="s">
        <v>846</v>
      </c>
      <c r="DO134" s="19"/>
    </row>
    <row r="135" ht="15.75" customHeight="1">
      <c r="A135" s="15">
        <v>133.0</v>
      </c>
      <c r="B135" s="16" t="s">
        <v>877</v>
      </c>
      <c r="C135" s="17">
        <v>3.1401262502107E13</v>
      </c>
      <c r="D135" s="18">
        <v>110.0</v>
      </c>
      <c r="E135" s="16" t="s">
        <v>850</v>
      </c>
      <c r="F135" s="16" t="s">
        <v>851</v>
      </c>
      <c r="G135" s="16" t="s">
        <v>547</v>
      </c>
      <c r="H135" s="20">
        <v>41665.0</v>
      </c>
      <c r="I135" s="16"/>
      <c r="J135" s="18">
        <v>1.0</v>
      </c>
      <c r="K135" s="16" t="s">
        <v>878</v>
      </c>
      <c r="L135" s="21" t="s">
        <v>138</v>
      </c>
      <c r="M135" s="23"/>
      <c r="N135" s="19"/>
      <c r="O135" s="19"/>
      <c r="P135" s="19"/>
      <c r="Q135" s="19"/>
      <c r="R135" s="19"/>
      <c r="S135" s="19"/>
      <c r="T135" s="19"/>
      <c r="U135" s="19"/>
      <c r="V135" s="16" t="s">
        <v>853</v>
      </c>
      <c r="W135" s="16" t="s">
        <v>46</v>
      </c>
      <c r="X135" s="16" t="s">
        <v>47</v>
      </c>
      <c r="Y135" s="21" t="s">
        <v>48</v>
      </c>
      <c r="Z135" s="23"/>
      <c r="AA135" s="19"/>
      <c r="AB135" s="19"/>
      <c r="AC135" s="19"/>
      <c r="AD135" s="19"/>
      <c r="AE135" s="19"/>
      <c r="AF135" s="19"/>
      <c r="AG135" s="19"/>
      <c r="AH135" s="21" t="s">
        <v>123</v>
      </c>
      <c r="AI135" s="23"/>
      <c r="AJ135" s="16" t="s">
        <v>449</v>
      </c>
      <c r="AK135" s="16" t="s">
        <v>125</v>
      </c>
      <c r="AL135" s="16" t="s">
        <v>181</v>
      </c>
      <c r="AM135" s="16" t="s">
        <v>126</v>
      </c>
      <c r="AN135" s="16" t="s">
        <v>181</v>
      </c>
      <c r="AO135" s="16" t="s">
        <v>181</v>
      </c>
      <c r="AP135" s="16" t="s">
        <v>126</v>
      </c>
      <c r="AQ135" s="16" t="s">
        <v>181</v>
      </c>
      <c r="AR135" s="16" t="s">
        <v>181</v>
      </c>
      <c r="AS135" s="21" t="s">
        <v>65</v>
      </c>
      <c r="AT135" s="23"/>
      <c r="AU135" s="16" t="s">
        <v>67</v>
      </c>
      <c r="AV135" s="16" t="s">
        <v>68</v>
      </c>
      <c r="AW135" s="16" t="s">
        <v>69</v>
      </c>
      <c r="AX135" s="16" t="s">
        <v>70</v>
      </c>
      <c r="AY135" s="21" t="s">
        <v>71</v>
      </c>
      <c r="AZ135" s="23"/>
      <c r="BA135" s="16" t="s">
        <v>73</v>
      </c>
      <c r="BB135" s="21" t="s">
        <v>74</v>
      </c>
      <c r="BC135" s="23"/>
      <c r="BD135" s="16" t="s">
        <v>76</v>
      </c>
      <c r="BE135" s="21" t="s">
        <v>77</v>
      </c>
      <c r="BF135" s="23"/>
      <c r="BG135" s="16" t="s">
        <v>78</v>
      </c>
      <c r="BH135" s="16" t="s">
        <v>79</v>
      </c>
      <c r="BI135" s="21" t="s">
        <v>52</v>
      </c>
      <c r="BJ135" s="23"/>
      <c r="BK135" s="16" t="s">
        <v>81</v>
      </c>
      <c r="BL135" s="21" t="s">
        <v>82</v>
      </c>
      <c r="BM135" s="23"/>
      <c r="BN135" s="16" t="s">
        <v>84</v>
      </c>
      <c r="BO135" s="21" t="s">
        <v>85</v>
      </c>
      <c r="BP135" s="22"/>
      <c r="BQ135" s="22"/>
      <c r="BR135" s="23"/>
      <c r="BS135" s="19"/>
      <c r="BT135" s="19"/>
      <c r="BU135" s="16" t="s">
        <v>90</v>
      </c>
      <c r="BV135" s="16" t="s">
        <v>91</v>
      </c>
      <c r="BW135" s="21" t="s">
        <v>92</v>
      </c>
      <c r="BX135" s="22"/>
      <c r="BY135" s="23"/>
      <c r="BZ135" s="19"/>
      <c r="CA135" s="19"/>
      <c r="CB135" s="16" t="s">
        <v>96</v>
      </c>
      <c r="CC135" s="16" t="s">
        <v>97</v>
      </c>
      <c r="CD135" s="21" t="s">
        <v>98</v>
      </c>
      <c r="CE135" s="23"/>
      <c r="CF135" s="19"/>
      <c r="CG135" s="16" t="s">
        <v>128</v>
      </c>
      <c r="CH135" s="16" t="s">
        <v>100</v>
      </c>
      <c r="CI135" s="16" t="s">
        <v>101</v>
      </c>
      <c r="CJ135" s="16" t="s">
        <v>102</v>
      </c>
      <c r="CK135" s="16" t="s">
        <v>103</v>
      </c>
      <c r="CL135" s="21" t="s">
        <v>104</v>
      </c>
      <c r="CM135" s="23"/>
      <c r="CN135" s="16" t="s">
        <v>128</v>
      </c>
      <c r="CO135" s="21" t="s">
        <v>105</v>
      </c>
      <c r="CP135" s="23"/>
      <c r="CQ135" s="16" t="s">
        <v>107</v>
      </c>
      <c r="CR135" s="16" t="s">
        <v>108</v>
      </c>
      <c r="CS135" s="16" t="s">
        <v>109</v>
      </c>
      <c r="CT135" s="21" t="s">
        <v>110</v>
      </c>
      <c r="CU135" s="23"/>
      <c r="CV135" s="16" t="s">
        <v>128</v>
      </c>
      <c r="CW135" s="16" t="s">
        <v>111</v>
      </c>
      <c r="CX135" s="21" t="s">
        <v>112</v>
      </c>
      <c r="CY135" s="23"/>
      <c r="CZ135" s="16" t="s">
        <v>114</v>
      </c>
      <c r="DA135" s="21" t="s">
        <v>115</v>
      </c>
      <c r="DB135" s="23"/>
      <c r="DC135" s="16" t="s">
        <v>602</v>
      </c>
      <c r="DD135" s="16" t="s">
        <v>145</v>
      </c>
      <c r="DE135" s="16" t="s">
        <v>145</v>
      </c>
      <c r="DF135" s="16" t="s">
        <v>145</v>
      </c>
      <c r="DG135" s="16" t="s">
        <v>879</v>
      </c>
      <c r="DH135" s="16" t="s">
        <v>880</v>
      </c>
      <c r="DI135" s="16" t="s">
        <v>881</v>
      </c>
      <c r="DJ135" s="16" t="s">
        <v>882</v>
      </c>
      <c r="DK135" s="21" t="s">
        <v>883</v>
      </c>
      <c r="DL135" s="23"/>
      <c r="DM135" s="16" t="s">
        <v>884</v>
      </c>
      <c r="DN135" s="16" t="s">
        <v>885</v>
      </c>
      <c r="DO135" s="16" t="s">
        <v>886</v>
      </c>
    </row>
    <row r="136" ht="15.75" customHeight="1">
      <c r="A136" s="15">
        <v>134.0</v>
      </c>
      <c r="B136" s="16" t="s">
        <v>887</v>
      </c>
      <c r="C136" s="17">
        <v>3.1310162503038E13</v>
      </c>
      <c r="D136" s="18">
        <v>105.0</v>
      </c>
      <c r="E136" s="16" t="s">
        <v>888</v>
      </c>
      <c r="F136" s="16" t="s">
        <v>851</v>
      </c>
      <c r="G136" s="16" t="s">
        <v>547</v>
      </c>
      <c r="H136" s="25">
        <v>41563.0</v>
      </c>
      <c r="I136" s="18">
        <v>1.0</v>
      </c>
      <c r="J136" s="19"/>
      <c r="K136" s="16" t="s">
        <v>889</v>
      </c>
      <c r="L136" s="21" t="s">
        <v>138</v>
      </c>
      <c r="M136" s="23"/>
      <c r="N136" s="19"/>
      <c r="O136" s="19"/>
      <c r="P136" s="19"/>
      <c r="Q136" s="19"/>
      <c r="R136" s="19"/>
      <c r="S136" s="19"/>
      <c r="T136" s="19"/>
      <c r="U136" s="19"/>
      <c r="V136" s="16" t="s">
        <v>890</v>
      </c>
      <c r="W136" s="16" t="s">
        <v>46</v>
      </c>
      <c r="X136" s="19"/>
      <c r="Y136" s="21" t="s">
        <v>48</v>
      </c>
      <c r="Z136" s="23"/>
      <c r="AA136" s="19"/>
      <c r="AB136" s="19"/>
      <c r="AC136" s="19"/>
      <c r="AD136" s="19"/>
      <c r="AE136" s="19"/>
      <c r="AF136" s="19"/>
      <c r="AG136" s="19"/>
      <c r="AH136" s="21" t="s">
        <v>357</v>
      </c>
      <c r="AI136" s="23"/>
      <c r="AJ136" s="16" t="s">
        <v>243</v>
      </c>
      <c r="AK136" s="16" t="s">
        <v>142</v>
      </c>
      <c r="AL136" s="16" t="s">
        <v>143</v>
      </c>
      <c r="AM136" s="16" t="s">
        <v>126</v>
      </c>
      <c r="AN136" s="16" t="s">
        <v>126</v>
      </c>
      <c r="AO136" s="16" t="s">
        <v>126</v>
      </c>
      <c r="AP136" s="16" t="s">
        <v>181</v>
      </c>
      <c r="AQ136" s="16" t="s">
        <v>126</v>
      </c>
      <c r="AR136" s="16" t="s">
        <v>126</v>
      </c>
      <c r="AS136" s="19"/>
      <c r="AT136" s="19"/>
      <c r="AU136" s="19"/>
      <c r="AV136" s="16" t="s">
        <v>68</v>
      </c>
      <c r="AW136" s="21" t="s">
        <v>69</v>
      </c>
      <c r="AX136" s="22"/>
      <c r="AY136" s="23"/>
      <c r="AZ136" s="19"/>
      <c r="BA136" s="19"/>
      <c r="BB136" s="19"/>
      <c r="BC136" s="19"/>
      <c r="BD136" s="19"/>
      <c r="BE136" s="19"/>
      <c r="BF136" s="19"/>
      <c r="BG136" s="21" t="s">
        <v>78</v>
      </c>
      <c r="BH136" s="23"/>
      <c r="BI136" s="19"/>
      <c r="BJ136" s="19"/>
      <c r="BK136" s="19"/>
      <c r="BL136" s="19"/>
      <c r="BM136" s="19"/>
      <c r="BN136" s="16" t="s">
        <v>84</v>
      </c>
      <c r="BO136" s="21" t="s">
        <v>85</v>
      </c>
      <c r="BP136" s="22"/>
      <c r="BQ136" s="22"/>
      <c r="BR136" s="23"/>
      <c r="BS136" s="19"/>
      <c r="BT136" s="19"/>
      <c r="BU136" s="19"/>
      <c r="BV136" s="19"/>
      <c r="BW136" s="19"/>
      <c r="BX136" s="19"/>
      <c r="BY136" s="21" t="s">
        <v>93</v>
      </c>
      <c r="BZ136" s="22"/>
      <c r="CA136" s="23"/>
      <c r="CB136" s="19"/>
      <c r="CC136" s="19"/>
      <c r="CD136" s="19"/>
      <c r="CE136" s="19"/>
      <c r="CF136" s="19"/>
      <c r="CG136" s="16" t="s">
        <v>128</v>
      </c>
      <c r="CH136" s="16" t="s">
        <v>100</v>
      </c>
      <c r="CI136" s="21" t="s">
        <v>101</v>
      </c>
      <c r="CJ136" s="23"/>
      <c r="CK136" s="16" t="s">
        <v>103</v>
      </c>
      <c r="CL136" s="21" t="s">
        <v>104</v>
      </c>
      <c r="CM136" s="23"/>
      <c r="CN136" s="16" t="s">
        <v>128</v>
      </c>
      <c r="CO136" s="21" t="s">
        <v>105</v>
      </c>
      <c r="CP136" s="22"/>
      <c r="CQ136" s="23"/>
      <c r="CR136" s="21" t="s">
        <v>108</v>
      </c>
      <c r="CS136" s="23"/>
      <c r="CT136" s="21" t="s">
        <v>110</v>
      </c>
      <c r="CU136" s="23"/>
      <c r="CV136" s="16" t="s">
        <v>128</v>
      </c>
      <c r="CW136" s="21" t="s">
        <v>111</v>
      </c>
      <c r="CX136" s="22"/>
      <c r="CY136" s="23"/>
      <c r="CZ136" s="16" t="s">
        <v>114</v>
      </c>
      <c r="DA136" s="21" t="s">
        <v>115</v>
      </c>
      <c r="DB136" s="23"/>
      <c r="DC136" s="16" t="s">
        <v>145</v>
      </c>
      <c r="DD136" s="16" t="s">
        <v>145</v>
      </c>
      <c r="DE136" s="16" t="s">
        <v>145</v>
      </c>
      <c r="DF136" s="16" t="s">
        <v>145</v>
      </c>
      <c r="DG136" s="16" t="s">
        <v>891</v>
      </c>
      <c r="DH136" s="16" t="s">
        <v>892</v>
      </c>
      <c r="DI136" s="16" t="s">
        <v>893</v>
      </c>
      <c r="DJ136" s="16" t="s">
        <v>144</v>
      </c>
      <c r="DK136" s="16" t="s">
        <v>144</v>
      </c>
      <c r="DL136" s="16" t="s">
        <v>144</v>
      </c>
      <c r="DM136" s="16" t="s">
        <v>144</v>
      </c>
      <c r="DN136" s="16" t="s">
        <v>144</v>
      </c>
      <c r="DO136" s="16" t="s">
        <v>144</v>
      </c>
    </row>
    <row r="137" ht="15.75" customHeight="1">
      <c r="A137" s="15">
        <v>135.0</v>
      </c>
      <c r="B137" s="16" t="s">
        <v>894</v>
      </c>
      <c r="C137" s="17">
        <v>3.1809025504858E13</v>
      </c>
      <c r="D137" s="18">
        <v>101.0</v>
      </c>
      <c r="E137" s="16" t="s">
        <v>836</v>
      </c>
      <c r="F137" s="16" t="s">
        <v>837</v>
      </c>
      <c r="G137" s="16" t="s">
        <v>547</v>
      </c>
      <c r="H137" s="20">
        <v>43348.0</v>
      </c>
      <c r="I137" s="18">
        <v>1.0</v>
      </c>
      <c r="J137" s="19"/>
      <c r="K137" s="16" t="s">
        <v>895</v>
      </c>
      <c r="L137" s="21" t="s">
        <v>138</v>
      </c>
      <c r="M137" s="23"/>
      <c r="N137" s="19"/>
      <c r="O137" s="19"/>
      <c r="P137" s="19"/>
      <c r="Q137" s="19"/>
      <c r="R137" s="19"/>
      <c r="S137" s="19"/>
      <c r="T137" s="19"/>
      <c r="U137" s="19"/>
      <c r="V137" s="18">
        <v>0.0</v>
      </c>
      <c r="W137" s="19"/>
      <c r="X137" s="19"/>
      <c r="Y137" s="19"/>
      <c r="Z137" s="19"/>
      <c r="AA137" s="19"/>
      <c r="AB137" s="21" t="s">
        <v>51</v>
      </c>
      <c r="AC137" s="23"/>
      <c r="AD137" s="19"/>
      <c r="AE137" s="19"/>
      <c r="AF137" s="19"/>
      <c r="AG137" s="18" t="s">
        <v>839</v>
      </c>
      <c r="AH137" s="16" t="s">
        <v>57</v>
      </c>
      <c r="AI137" s="18" t="s">
        <v>844</v>
      </c>
      <c r="AJ137" s="16" t="s">
        <v>168</v>
      </c>
      <c r="AK137" s="16" t="s">
        <v>153</v>
      </c>
      <c r="AL137" s="16" t="s">
        <v>126</v>
      </c>
      <c r="AM137" s="16" t="s">
        <v>126</v>
      </c>
      <c r="AN137" s="16" t="s">
        <v>126</v>
      </c>
      <c r="AO137" s="16" t="s">
        <v>181</v>
      </c>
      <c r="AP137" s="16" t="s">
        <v>181</v>
      </c>
      <c r="AQ137" s="16" t="s">
        <v>181</v>
      </c>
      <c r="AR137" s="16" t="s">
        <v>181</v>
      </c>
      <c r="AS137" s="21" t="s">
        <v>65</v>
      </c>
      <c r="AT137" s="22"/>
      <c r="AU137" s="23"/>
      <c r="AV137" s="19"/>
      <c r="AW137" s="16" t="s">
        <v>69</v>
      </c>
      <c r="AX137" s="16" t="s">
        <v>70</v>
      </c>
      <c r="AY137" s="16" t="s">
        <v>71</v>
      </c>
      <c r="AZ137" s="18" t="s">
        <v>845</v>
      </c>
      <c r="BA137" s="19"/>
      <c r="BB137" s="21" t="s">
        <v>74</v>
      </c>
      <c r="BC137" s="23"/>
      <c r="BD137" s="16" t="s">
        <v>76</v>
      </c>
      <c r="BE137" s="16" t="s">
        <v>77</v>
      </c>
      <c r="BF137" s="18">
        <v>0.0</v>
      </c>
      <c r="BG137" s="19"/>
      <c r="BH137" s="19"/>
      <c r="BI137" s="19"/>
      <c r="BJ137" s="19"/>
      <c r="BK137" s="19"/>
      <c r="BL137" s="19"/>
      <c r="BM137" s="19"/>
      <c r="BN137" s="16" t="s">
        <v>84</v>
      </c>
      <c r="BO137" s="16" t="s">
        <v>85</v>
      </c>
      <c r="BP137" s="18">
        <v>0.0</v>
      </c>
      <c r="BQ137" s="19"/>
      <c r="BR137" s="19"/>
      <c r="BS137" s="19"/>
      <c r="BT137" s="19"/>
      <c r="BU137" s="19"/>
      <c r="BV137" s="19"/>
      <c r="BW137" s="16" t="s">
        <v>92</v>
      </c>
      <c r="BX137" s="18">
        <v>0.0</v>
      </c>
      <c r="BY137" s="19"/>
      <c r="BZ137" s="19"/>
      <c r="CA137" s="19"/>
      <c r="CB137" s="16" t="s">
        <v>96</v>
      </c>
      <c r="CC137" s="21" t="s">
        <v>97</v>
      </c>
      <c r="CD137" s="23"/>
      <c r="CE137" s="19"/>
      <c r="CF137" s="18">
        <v>0.0</v>
      </c>
      <c r="CG137" s="16" t="s">
        <v>128</v>
      </c>
      <c r="CH137" s="19"/>
      <c r="CI137" s="16" t="s">
        <v>101</v>
      </c>
      <c r="CJ137" s="16" t="s">
        <v>102</v>
      </c>
      <c r="CK137" s="16" t="s">
        <v>103</v>
      </c>
      <c r="CL137" s="16" t="s">
        <v>104</v>
      </c>
      <c r="CM137" s="18">
        <v>0.0</v>
      </c>
      <c r="CN137" s="16" t="s">
        <v>128</v>
      </c>
      <c r="CO137" s="21" t="s">
        <v>105</v>
      </c>
      <c r="CP137" s="22"/>
      <c r="CQ137" s="23"/>
      <c r="CR137" s="16" t="s">
        <v>108</v>
      </c>
      <c r="CS137" s="16" t="s">
        <v>109</v>
      </c>
      <c r="CT137" s="16" t="s">
        <v>110</v>
      </c>
      <c r="CU137" s="18">
        <v>0.0</v>
      </c>
      <c r="CV137" s="21" t="s">
        <v>154</v>
      </c>
      <c r="CW137" s="23"/>
      <c r="CX137" s="19"/>
      <c r="CY137" s="19"/>
      <c r="CZ137" s="16" t="s">
        <v>114</v>
      </c>
      <c r="DA137" s="16" t="s">
        <v>115</v>
      </c>
      <c r="DB137" s="18" t="s">
        <v>839</v>
      </c>
      <c r="DC137" s="16" t="s">
        <v>129</v>
      </c>
      <c r="DD137" s="16" t="s">
        <v>129</v>
      </c>
      <c r="DE137" s="16" t="s">
        <v>129</v>
      </c>
      <c r="DF137" s="16" t="s">
        <v>129</v>
      </c>
      <c r="DG137" s="16" t="s">
        <v>896</v>
      </c>
      <c r="DH137" s="16" t="s">
        <v>897</v>
      </c>
      <c r="DI137" s="16" t="s">
        <v>843</v>
      </c>
      <c r="DJ137" s="16" t="s">
        <v>144</v>
      </c>
      <c r="DK137" s="18" t="s">
        <v>844</v>
      </c>
      <c r="DL137" s="18" t="s">
        <v>845</v>
      </c>
      <c r="DM137" s="16" t="s">
        <v>876</v>
      </c>
      <c r="DN137" s="18" t="s">
        <v>845</v>
      </c>
      <c r="DO137" s="18">
        <v>0.0</v>
      </c>
    </row>
    <row r="138" ht="15.75" customHeight="1">
      <c r="A138" s="15">
        <v>136.0</v>
      </c>
      <c r="B138" s="16" t="s">
        <v>898</v>
      </c>
      <c r="C138" s="26">
        <v>3.1403232500382E13</v>
      </c>
      <c r="D138" s="18">
        <v>8.0</v>
      </c>
      <c r="E138" s="16" t="s">
        <v>836</v>
      </c>
      <c r="F138" s="16" t="s">
        <v>837</v>
      </c>
      <c r="G138" s="16" t="s">
        <v>547</v>
      </c>
      <c r="H138" s="20">
        <v>41721.0</v>
      </c>
      <c r="I138" s="18">
        <v>1.0</v>
      </c>
      <c r="J138" s="19"/>
      <c r="K138" s="16" t="s">
        <v>899</v>
      </c>
      <c r="L138" s="21" t="s">
        <v>138</v>
      </c>
      <c r="M138" s="23"/>
      <c r="N138" s="19"/>
      <c r="O138" s="19"/>
      <c r="P138" s="19"/>
      <c r="Q138" s="19"/>
      <c r="R138" s="19"/>
      <c r="S138" s="19"/>
      <c r="T138" s="19"/>
      <c r="U138" s="19"/>
      <c r="V138" s="18">
        <v>0.0</v>
      </c>
      <c r="W138" s="19"/>
      <c r="X138" s="19"/>
      <c r="Y138" s="19"/>
      <c r="Z138" s="19"/>
      <c r="AA138" s="19"/>
      <c r="AB138" s="21" t="s">
        <v>51</v>
      </c>
      <c r="AC138" s="23"/>
      <c r="AD138" s="19"/>
      <c r="AE138" s="19"/>
      <c r="AF138" s="19"/>
      <c r="AG138" s="18">
        <v>0.0</v>
      </c>
      <c r="AH138" s="16" t="s">
        <v>57</v>
      </c>
      <c r="AI138" s="18">
        <v>0.0</v>
      </c>
      <c r="AJ138" s="16" t="s">
        <v>168</v>
      </c>
      <c r="AK138" s="16" t="s">
        <v>153</v>
      </c>
      <c r="AL138" s="16" t="s">
        <v>181</v>
      </c>
      <c r="AM138" s="16" t="s">
        <v>181</v>
      </c>
      <c r="AN138" s="16" t="s">
        <v>181</v>
      </c>
      <c r="AO138" s="16" t="s">
        <v>181</v>
      </c>
      <c r="AP138" s="16" t="s">
        <v>181</v>
      </c>
      <c r="AQ138" s="16" t="s">
        <v>181</v>
      </c>
      <c r="AR138" s="16" t="s">
        <v>181</v>
      </c>
      <c r="AS138" s="21" t="s">
        <v>65</v>
      </c>
      <c r="AT138" s="22"/>
      <c r="AU138" s="23"/>
      <c r="AV138" s="19"/>
      <c r="AW138" s="16" t="s">
        <v>69</v>
      </c>
      <c r="AX138" s="16" t="s">
        <v>70</v>
      </c>
      <c r="AY138" s="16" t="s">
        <v>71</v>
      </c>
      <c r="AZ138" s="18">
        <v>0.0</v>
      </c>
      <c r="BA138" s="21" t="s">
        <v>73</v>
      </c>
      <c r="BB138" s="23"/>
      <c r="BC138" s="19"/>
      <c r="BD138" s="16" t="s">
        <v>76</v>
      </c>
      <c r="BE138" s="16" t="s">
        <v>77</v>
      </c>
      <c r="BF138" s="18" t="s">
        <v>844</v>
      </c>
      <c r="BG138" s="19"/>
      <c r="BH138" s="19"/>
      <c r="BI138" s="19"/>
      <c r="BJ138" s="19"/>
      <c r="BK138" s="19"/>
      <c r="BL138" s="19"/>
      <c r="BM138" s="19"/>
      <c r="BN138" s="16" t="s">
        <v>84</v>
      </c>
      <c r="BO138" s="16" t="s">
        <v>85</v>
      </c>
      <c r="BP138" s="18">
        <v>0.0</v>
      </c>
      <c r="BQ138" s="19"/>
      <c r="BR138" s="19"/>
      <c r="BS138" s="19"/>
      <c r="BT138" s="19"/>
      <c r="BU138" s="19"/>
      <c r="BV138" s="19"/>
      <c r="BW138" s="16" t="s">
        <v>92</v>
      </c>
      <c r="BX138" s="18">
        <v>0.0</v>
      </c>
      <c r="BY138" s="19"/>
      <c r="BZ138" s="19"/>
      <c r="CA138" s="19"/>
      <c r="CB138" s="16" t="s">
        <v>96</v>
      </c>
      <c r="CC138" s="21" t="s">
        <v>97</v>
      </c>
      <c r="CD138" s="23"/>
      <c r="CE138" s="19"/>
      <c r="CF138" s="18" t="s">
        <v>839</v>
      </c>
      <c r="CG138" s="16" t="s">
        <v>128</v>
      </c>
      <c r="CH138" s="21" t="s">
        <v>100</v>
      </c>
      <c r="CI138" s="23"/>
      <c r="CJ138" s="16" t="s">
        <v>102</v>
      </c>
      <c r="CK138" s="16" t="s">
        <v>103</v>
      </c>
      <c r="CL138" s="16" t="s">
        <v>104</v>
      </c>
      <c r="CM138" s="18" t="s">
        <v>839</v>
      </c>
      <c r="CN138" s="16" t="s">
        <v>128</v>
      </c>
      <c r="CO138" s="19"/>
      <c r="CP138" s="16" t="s">
        <v>106</v>
      </c>
      <c r="CQ138" s="16" t="s">
        <v>107</v>
      </c>
      <c r="CR138" s="16" t="s">
        <v>108</v>
      </c>
      <c r="CS138" s="16" t="s">
        <v>109</v>
      </c>
      <c r="CT138" s="16" t="s">
        <v>110</v>
      </c>
      <c r="CU138" s="18" t="s">
        <v>839</v>
      </c>
      <c r="CV138" s="16" t="s">
        <v>128</v>
      </c>
      <c r="CW138" s="19"/>
      <c r="CX138" s="16" t="s">
        <v>112</v>
      </c>
      <c r="CY138" s="16" t="s">
        <v>113</v>
      </c>
      <c r="CZ138" s="16" t="s">
        <v>114</v>
      </c>
      <c r="DA138" s="16" t="s">
        <v>115</v>
      </c>
      <c r="DB138" s="18" t="s">
        <v>844</v>
      </c>
      <c r="DC138" s="16" t="s">
        <v>129</v>
      </c>
      <c r="DD138" s="16" t="s">
        <v>129</v>
      </c>
      <c r="DE138" s="16" t="s">
        <v>129</v>
      </c>
      <c r="DF138" s="16" t="s">
        <v>129</v>
      </c>
      <c r="DG138" s="16" t="s">
        <v>896</v>
      </c>
      <c r="DH138" s="16" t="s">
        <v>900</v>
      </c>
      <c r="DI138" s="16" t="s">
        <v>843</v>
      </c>
      <c r="DJ138" s="16" t="s">
        <v>144</v>
      </c>
      <c r="DK138" s="18" t="s">
        <v>844</v>
      </c>
      <c r="DL138" s="18" t="s">
        <v>845</v>
      </c>
      <c r="DM138" s="16" t="s">
        <v>876</v>
      </c>
      <c r="DN138" s="16" t="s">
        <v>901</v>
      </c>
      <c r="DO138" s="16" t="s">
        <v>902</v>
      </c>
    </row>
    <row r="139" ht="15.75" customHeight="1">
      <c r="A139" s="15">
        <v>137.0</v>
      </c>
      <c r="B139" s="16" t="s">
        <v>903</v>
      </c>
      <c r="C139" s="17">
        <v>3.1103192501212E13</v>
      </c>
      <c r="D139" s="18">
        <v>13.0</v>
      </c>
      <c r="E139" s="16" t="s">
        <v>860</v>
      </c>
      <c r="F139" s="16" t="s">
        <v>595</v>
      </c>
      <c r="G139" s="16" t="s">
        <v>547</v>
      </c>
      <c r="H139" s="20">
        <v>40621.0</v>
      </c>
      <c r="I139" s="18">
        <v>1.0</v>
      </c>
      <c r="J139" s="19"/>
      <c r="K139" s="16" t="s">
        <v>904</v>
      </c>
      <c r="L139" s="21" t="s">
        <v>138</v>
      </c>
      <c r="M139" s="23"/>
      <c r="N139" s="19"/>
      <c r="O139" s="19"/>
      <c r="P139" s="19"/>
      <c r="Q139" s="19"/>
      <c r="R139" s="19"/>
      <c r="S139" s="19"/>
      <c r="T139" s="19"/>
      <c r="U139" s="19"/>
      <c r="V139" s="16" t="s">
        <v>127</v>
      </c>
      <c r="W139" s="16" t="s">
        <v>46</v>
      </c>
      <c r="X139" s="16" t="s">
        <v>47</v>
      </c>
      <c r="Y139" s="21" t="s">
        <v>48</v>
      </c>
      <c r="Z139" s="23"/>
      <c r="AA139" s="19"/>
      <c r="AB139" s="19"/>
      <c r="AC139" s="19"/>
      <c r="AD139" s="19"/>
      <c r="AE139" s="19"/>
      <c r="AF139" s="19"/>
      <c r="AG139" s="19"/>
      <c r="AH139" s="21" t="s">
        <v>123</v>
      </c>
      <c r="AI139" s="23"/>
      <c r="AJ139" s="16" t="s">
        <v>168</v>
      </c>
      <c r="AK139" s="16" t="s">
        <v>153</v>
      </c>
      <c r="AL139" s="16" t="s">
        <v>126</v>
      </c>
      <c r="AM139" s="16" t="s">
        <v>126</v>
      </c>
      <c r="AN139" s="16" t="s">
        <v>126</v>
      </c>
      <c r="AO139" s="16" t="s">
        <v>126</v>
      </c>
      <c r="AP139" s="16" t="s">
        <v>126</v>
      </c>
      <c r="AQ139" s="16" t="s">
        <v>126</v>
      </c>
      <c r="AR139" s="16" t="s">
        <v>126</v>
      </c>
      <c r="AS139" s="21" t="s">
        <v>65</v>
      </c>
      <c r="AT139" s="22"/>
      <c r="AU139" s="23"/>
      <c r="AV139" s="19"/>
      <c r="AW139" s="16" t="s">
        <v>69</v>
      </c>
      <c r="AX139" s="21" t="s">
        <v>70</v>
      </c>
      <c r="AY139" s="22"/>
      <c r="AZ139" s="23"/>
      <c r="BA139" s="19"/>
      <c r="BB139" s="19"/>
      <c r="BC139" s="19"/>
      <c r="BD139" s="19"/>
      <c r="BE139" s="19"/>
      <c r="BF139" s="16" t="s">
        <v>127</v>
      </c>
      <c r="BG139" s="21" t="s">
        <v>78</v>
      </c>
      <c r="BH139" s="23"/>
      <c r="BI139" s="19"/>
      <c r="BJ139" s="19"/>
      <c r="BK139" s="19"/>
      <c r="BL139" s="19"/>
      <c r="BM139" s="19"/>
      <c r="BN139" s="19"/>
      <c r="BO139" s="21" t="s">
        <v>85</v>
      </c>
      <c r="BP139" s="22"/>
      <c r="BQ139" s="22"/>
      <c r="BR139" s="23"/>
      <c r="BS139" s="19"/>
      <c r="BT139" s="19"/>
      <c r="BU139" s="19"/>
      <c r="BV139" s="19"/>
      <c r="BW139" s="19"/>
      <c r="BX139" s="16" t="s">
        <v>127</v>
      </c>
      <c r="BY139" s="19"/>
      <c r="BZ139" s="19"/>
      <c r="CA139" s="19"/>
      <c r="CB139" s="19"/>
      <c r="CC139" s="19"/>
      <c r="CD139" s="19"/>
      <c r="CE139" s="19"/>
      <c r="CF139" s="16" t="s">
        <v>127</v>
      </c>
      <c r="CG139" s="16" t="s">
        <v>128</v>
      </c>
      <c r="CH139" s="16" t="s">
        <v>100</v>
      </c>
      <c r="CI139" s="16" t="s">
        <v>101</v>
      </c>
      <c r="CJ139" s="21" t="s">
        <v>102</v>
      </c>
      <c r="CK139" s="23"/>
      <c r="CL139" s="21" t="s">
        <v>104</v>
      </c>
      <c r="CM139" s="23"/>
      <c r="CN139" s="16" t="s">
        <v>128</v>
      </c>
      <c r="CO139" s="16" t="s">
        <v>105</v>
      </c>
      <c r="CP139" s="21" t="s">
        <v>106</v>
      </c>
      <c r="CQ139" s="23"/>
      <c r="CR139" s="21" t="s">
        <v>108</v>
      </c>
      <c r="CS139" s="23"/>
      <c r="CT139" s="19"/>
      <c r="CU139" s="19"/>
      <c r="CV139" s="16" t="s">
        <v>128</v>
      </c>
      <c r="CW139" s="19"/>
      <c r="CX139" s="21" t="s">
        <v>112</v>
      </c>
      <c r="CY139" s="22"/>
      <c r="CZ139" s="23"/>
      <c r="DA139" s="21" t="s">
        <v>115</v>
      </c>
      <c r="DB139" s="22"/>
      <c r="DC139" s="23"/>
      <c r="DD139" s="16" t="s">
        <v>129</v>
      </c>
      <c r="DE139" s="16" t="s">
        <v>145</v>
      </c>
      <c r="DF139" s="16" t="s">
        <v>145</v>
      </c>
      <c r="DG139" s="16" t="s">
        <v>905</v>
      </c>
      <c r="DH139" s="21" t="s">
        <v>906</v>
      </c>
      <c r="DI139" s="22"/>
      <c r="DJ139" s="23"/>
      <c r="DK139" s="19"/>
      <c r="DL139" s="19"/>
      <c r="DM139" s="21" t="s">
        <v>907</v>
      </c>
      <c r="DN139" s="22"/>
      <c r="DO139" s="23"/>
    </row>
    <row r="140" ht="15.75" customHeight="1">
      <c r="A140" s="15">
        <v>138.0</v>
      </c>
      <c r="B140" s="16" t="s">
        <v>908</v>
      </c>
      <c r="C140" s="17">
        <v>3.1503026501006E13</v>
      </c>
      <c r="D140" s="18">
        <v>107.0</v>
      </c>
      <c r="E140" s="16" t="s">
        <v>888</v>
      </c>
      <c r="F140" s="16" t="s">
        <v>851</v>
      </c>
      <c r="G140" s="16" t="s">
        <v>547</v>
      </c>
      <c r="H140" s="20">
        <v>42089.0</v>
      </c>
      <c r="I140" s="16"/>
      <c r="J140" s="18">
        <v>1.0</v>
      </c>
      <c r="K140" s="16" t="s">
        <v>909</v>
      </c>
      <c r="L140" s="21" t="s">
        <v>138</v>
      </c>
      <c r="M140" s="23"/>
      <c r="N140" s="19"/>
      <c r="O140" s="19"/>
      <c r="P140" s="19"/>
      <c r="Q140" s="19"/>
      <c r="R140" s="19"/>
      <c r="S140" s="19"/>
      <c r="T140" s="19"/>
      <c r="U140" s="19"/>
      <c r="V140" s="16" t="s">
        <v>910</v>
      </c>
      <c r="W140" s="16" t="s">
        <v>46</v>
      </c>
      <c r="X140" s="19"/>
      <c r="Y140" s="19"/>
      <c r="Z140" s="19"/>
      <c r="AA140" s="19"/>
      <c r="AB140" s="19"/>
      <c r="AC140" s="19"/>
      <c r="AD140" s="19"/>
      <c r="AE140" s="19"/>
      <c r="AF140" s="19"/>
      <c r="AG140" s="16" t="s">
        <v>770</v>
      </c>
      <c r="AH140" s="21" t="s">
        <v>228</v>
      </c>
      <c r="AI140" s="23"/>
      <c r="AJ140" s="16" t="s">
        <v>449</v>
      </c>
      <c r="AK140" s="16" t="s">
        <v>142</v>
      </c>
      <c r="AL140" s="16" t="s">
        <v>181</v>
      </c>
      <c r="AM140" s="16" t="s">
        <v>126</v>
      </c>
      <c r="AN140" s="16" t="s">
        <v>181</v>
      </c>
      <c r="AO140" s="16" t="s">
        <v>181</v>
      </c>
      <c r="AP140" s="16" t="s">
        <v>181</v>
      </c>
      <c r="AQ140" s="16" t="s">
        <v>181</v>
      </c>
      <c r="AR140" s="16" t="s">
        <v>181</v>
      </c>
      <c r="AS140" s="19"/>
      <c r="AT140" s="19"/>
      <c r="AU140" s="19"/>
      <c r="AV140" s="21" t="s">
        <v>68</v>
      </c>
      <c r="AW140" s="22"/>
      <c r="AX140" s="23"/>
      <c r="AY140" s="19"/>
      <c r="AZ140" s="21" t="s">
        <v>911</v>
      </c>
      <c r="BA140" s="23"/>
      <c r="BB140" s="19"/>
      <c r="BC140" s="19"/>
      <c r="BD140" s="19"/>
      <c r="BE140" s="19"/>
      <c r="BF140" s="19"/>
      <c r="BG140" s="19"/>
      <c r="BH140" s="19"/>
      <c r="BI140" s="19"/>
      <c r="BJ140" s="19"/>
      <c r="BK140" s="16" t="s">
        <v>81</v>
      </c>
      <c r="BL140" s="19"/>
      <c r="BM140" s="19"/>
      <c r="BN140" s="19"/>
      <c r="BO140" s="21" t="s">
        <v>85</v>
      </c>
      <c r="BP140" s="22"/>
      <c r="BQ140" s="22"/>
      <c r="BR140" s="23"/>
      <c r="BS140" s="19"/>
      <c r="BT140" s="19"/>
      <c r="BU140" s="19"/>
      <c r="BV140" s="19"/>
      <c r="BW140" s="19"/>
      <c r="BX140" s="19"/>
      <c r="BY140" s="19"/>
      <c r="BZ140" s="21" t="s">
        <v>94</v>
      </c>
      <c r="CA140" s="22"/>
      <c r="CB140" s="23"/>
      <c r="CC140" s="21" t="s">
        <v>97</v>
      </c>
      <c r="CD140" s="23"/>
      <c r="CE140" s="19"/>
      <c r="CF140" s="19"/>
      <c r="CG140" s="16" t="s">
        <v>128</v>
      </c>
      <c r="CH140" s="21" t="s">
        <v>100</v>
      </c>
      <c r="CI140" s="23"/>
      <c r="CJ140" s="21" t="s">
        <v>102</v>
      </c>
      <c r="CK140" s="22"/>
      <c r="CL140" s="23"/>
      <c r="CM140" s="19"/>
      <c r="CN140" s="16" t="s">
        <v>128</v>
      </c>
      <c r="CO140" s="21" t="s">
        <v>105</v>
      </c>
      <c r="CP140" s="22"/>
      <c r="CQ140" s="23"/>
      <c r="CR140" s="19"/>
      <c r="CS140" s="16" t="s">
        <v>109</v>
      </c>
      <c r="CT140" s="21" t="s">
        <v>110</v>
      </c>
      <c r="CU140" s="22"/>
      <c r="CV140" s="22"/>
      <c r="CW140" s="23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</row>
    <row r="141" ht="15.75" customHeight="1">
      <c r="A141" s="15">
        <v>139.0</v>
      </c>
      <c r="B141" s="16" t="s">
        <v>912</v>
      </c>
      <c r="C141" s="26">
        <v>3.1403232500382E13</v>
      </c>
      <c r="D141" s="18">
        <v>146.0</v>
      </c>
      <c r="E141" s="16" t="s">
        <v>836</v>
      </c>
      <c r="F141" s="16" t="s">
        <v>837</v>
      </c>
      <c r="G141" s="16" t="s">
        <v>547</v>
      </c>
      <c r="H141" s="20">
        <v>41721.0</v>
      </c>
      <c r="I141" s="16"/>
      <c r="J141" s="18">
        <v>1.0</v>
      </c>
      <c r="K141" s="16" t="s">
        <v>913</v>
      </c>
      <c r="L141" s="21" t="s">
        <v>138</v>
      </c>
      <c r="M141" s="23"/>
      <c r="N141" s="19"/>
      <c r="O141" s="19"/>
      <c r="P141" s="19"/>
      <c r="Q141" s="19"/>
      <c r="R141" s="19"/>
      <c r="S141" s="19"/>
      <c r="T141" s="19"/>
      <c r="U141" s="19"/>
      <c r="V141" s="18">
        <v>0.0</v>
      </c>
      <c r="W141" s="16" t="s">
        <v>46</v>
      </c>
      <c r="X141" s="19"/>
      <c r="Y141" s="19"/>
      <c r="Z141" s="19"/>
      <c r="AA141" s="16" t="s">
        <v>50</v>
      </c>
      <c r="AB141" s="19"/>
      <c r="AC141" s="19"/>
      <c r="AD141" s="19"/>
      <c r="AE141" s="19"/>
      <c r="AF141" s="16" t="s">
        <v>55</v>
      </c>
      <c r="AG141" s="18">
        <v>0.0</v>
      </c>
      <c r="AH141" s="16" t="s">
        <v>57</v>
      </c>
      <c r="AI141" s="18">
        <v>0.0</v>
      </c>
      <c r="AJ141" s="16" t="s">
        <v>124</v>
      </c>
      <c r="AK141" s="16" t="s">
        <v>153</v>
      </c>
      <c r="AL141" s="16" t="s">
        <v>126</v>
      </c>
      <c r="AM141" s="16" t="s">
        <v>126</v>
      </c>
      <c r="AN141" s="16" t="s">
        <v>181</v>
      </c>
      <c r="AO141" s="16" t="s">
        <v>181</v>
      </c>
      <c r="AP141" s="16" t="s">
        <v>181</v>
      </c>
      <c r="AQ141" s="16" t="s">
        <v>181</v>
      </c>
      <c r="AR141" s="16" t="s">
        <v>181</v>
      </c>
      <c r="AS141" s="21" t="s">
        <v>65</v>
      </c>
      <c r="AT141" s="22"/>
      <c r="AU141" s="23"/>
      <c r="AV141" s="19"/>
      <c r="AW141" s="21" t="s">
        <v>69</v>
      </c>
      <c r="AX141" s="23"/>
      <c r="AY141" s="16" t="s">
        <v>71</v>
      </c>
      <c r="AZ141" s="18" t="s">
        <v>839</v>
      </c>
      <c r="BA141" s="16" t="s">
        <v>73</v>
      </c>
      <c r="BB141" s="21" t="s">
        <v>74</v>
      </c>
      <c r="BC141" s="22"/>
      <c r="BD141" s="23"/>
      <c r="BE141" s="16" t="s">
        <v>77</v>
      </c>
      <c r="BF141" s="18" t="s">
        <v>839</v>
      </c>
      <c r="BG141" s="19"/>
      <c r="BH141" s="19"/>
      <c r="BI141" s="19"/>
      <c r="BJ141" s="19"/>
      <c r="BK141" s="16" t="s">
        <v>81</v>
      </c>
      <c r="BL141" s="19"/>
      <c r="BM141" s="19"/>
      <c r="BN141" s="16" t="s">
        <v>84</v>
      </c>
      <c r="BO141" s="16" t="s">
        <v>85</v>
      </c>
      <c r="BP141" s="18" t="s">
        <v>844</v>
      </c>
      <c r="BQ141" s="19"/>
      <c r="BR141" s="19"/>
      <c r="BS141" s="19"/>
      <c r="BT141" s="19"/>
      <c r="BU141" s="19"/>
      <c r="BV141" s="16" t="s">
        <v>91</v>
      </c>
      <c r="BW141" s="16" t="s">
        <v>92</v>
      </c>
      <c r="BX141" s="18">
        <v>0.0</v>
      </c>
      <c r="BY141" s="19"/>
      <c r="BZ141" s="19"/>
      <c r="CA141" s="19"/>
      <c r="CB141" s="16" t="s">
        <v>96</v>
      </c>
      <c r="CC141" s="21" t="s">
        <v>97</v>
      </c>
      <c r="CD141" s="23"/>
      <c r="CE141" s="19"/>
      <c r="CF141" s="18">
        <v>0.0</v>
      </c>
      <c r="CG141" s="16" t="s">
        <v>128</v>
      </c>
      <c r="CH141" s="16" t="s">
        <v>100</v>
      </c>
      <c r="CI141" s="21" t="s">
        <v>101</v>
      </c>
      <c r="CJ141" s="23"/>
      <c r="CK141" s="16" t="s">
        <v>103</v>
      </c>
      <c r="CL141" s="16" t="s">
        <v>104</v>
      </c>
      <c r="CM141" s="18">
        <v>0.0</v>
      </c>
      <c r="CN141" s="16" t="s">
        <v>128</v>
      </c>
      <c r="CO141" s="21" t="s">
        <v>105</v>
      </c>
      <c r="CP141" s="22"/>
      <c r="CQ141" s="23"/>
      <c r="CR141" s="16" t="s">
        <v>108</v>
      </c>
      <c r="CS141" s="16" t="s">
        <v>109</v>
      </c>
      <c r="CT141" s="16" t="s">
        <v>110</v>
      </c>
      <c r="CU141" s="18">
        <v>0.0</v>
      </c>
      <c r="CV141" s="16" t="s">
        <v>128</v>
      </c>
      <c r="CW141" s="19"/>
      <c r="CX141" s="21" t="s">
        <v>112</v>
      </c>
      <c r="CY141" s="22"/>
      <c r="CZ141" s="23"/>
      <c r="DA141" s="16" t="s">
        <v>115</v>
      </c>
      <c r="DB141" s="18" t="s">
        <v>844</v>
      </c>
      <c r="DC141" s="16" t="s">
        <v>129</v>
      </c>
      <c r="DD141" s="16" t="s">
        <v>129</v>
      </c>
      <c r="DE141" s="16" t="s">
        <v>129</v>
      </c>
      <c r="DF141" s="16" t="s">
        <v>129</v>
      </c>
      <c r="DG141" s="16" t="s">
        <v>841</v>
      </c>
      <c r="DH141" s="16" t="s">
        <v>873</v>
      </c>
      <c r="DI141" s="16" t="s">
        <v>914</v>
      </c>
      <c r="DJ141" s="16" t="s">
        <v>915</v>
      </c>
      <c r="DK141" s="18" t="s">
        <v>844</v>
      </c>
      <c r="DL141" s="18" t="s">
        <v>845</v>
      </c>
      <c r="DM141" s="16" t="s">
        <v>876</v>
      </c>
      <c r="DN141" s="16" t="s">
        <v>916</v>
      </c>
      <c r="DO141" s="18">
        <v>0.0</v>
      </c>
    </row>
    <row r="142" ht="15.75" customHeight="1">
      <c r="A142" s="15">
        <v>140.0</v>
      </c>
      <c r="B142" s="16" t="s">
        <v>917</v>
      </c>
      <c r="C142" s="17">
        <v>3.0706032501766E13</v>
      </c>
      <c r="D142" s="18">
        <v>164.0</v>
      </c>
      <c r="E142" s="16" t="s">
        <v>836</v>
      </c>
      <c r="F142" s="16" t="s">
        <v>837</v>
      </c>
      <c r="G142" s="16" t="s">
        <v>547</v>
      </c>
      <c r="H142" s="20">
        <v>39236.0</v>
      </c>
      <c r="I142" s="16"/>
      <c r="J142" s="18">
        <v>1.0</v>
      </c>
      <c r="K142" s="16" t="s">
        <v>918</v>
      </c>
      <c r="L142" s="21" t="s">
        <v>138</v>
      </c>
      <c r="M142" s="23"/>
      <c r="N142" s="19"/>
      <c r="O142" s="19"/>
      <c r="P142" s="19"/>
      <c r="Q142" s="19"/>
      <c r="R142" s="19"/>
      <c r="S142" s="19"/>
      <c r="T142" s="19"/>
      <c r="U142" s="19"/>
      <c r="V142" s="21" t="s">
        <v>919</v>
      </c>
      <c r="W142" s="22"/>
      <c r="X142" s="22"/>
      <c r="Y142" s="23"/>
      <c r="Z142" s="19"/>
      <c r="AA142" s="19"/>
      <c r="AB142" s="21" t="s">
        <v>51</v>
      </c>
      <c r="AC142" s="23"/>
      <c r="AD142" s="19"/>
      <c r="AE142" s="19"/>
      <c r="AF142" s="19"/>
      <c r="AG142" s="19"/>
      <c r="AH142" s="16" t="s">
        <v>57</v>
      </c>
      <c r="AI142" s="18">
        <v>0.0</v>
      </c>
      <c r="AJ142" s="16" t="s">
        <v>764</v>
      </c>
      <c r="AK142" s="16" t="s">
        <v>920</v>
      </c>
      <c r="AL142" s="16" t="s">
        <v>126</v>
      </c>
      <c r="AM142" s="16" t="s">
        <v>126</v>
      </c>
      <c r="AN142" s="16" t="s">
        <v>181</v>
      </c>
      <c r="AO142" s="16" t="s">
        <v>181</v>
      </c>
      <c r="AP142" s="16" t="s">
        <v>181</v>
      </c>
      <c r="AQ142" s="16" t="s">
        <v>126</v>
      </c>
      <c r="AR142" s="16" t="s">
        <v>126</v>
      </c>
      <c r="AS142" s="19"/>
      <c r="AT142" s="19"/>
      <c r="AU142" s="19"/>
      <c r="AV142" s="19"/>
      <c r="AW142" s="16" t="s">
        <v>69</v>
      </c>
      <c r="AX142" s="16" t="s">
        <v>70</v>
      </c>
      <c r="AY142" s="16" t="s">
        <v>71</v>
      </c>
      <c r="AZ142" s="18">
        <v>0.0</v>
      </c>
      <c r="BA142" s="16" t="s">
        <v>73</v>
      </c>
      <c r="BB142" s="21" t="s">
        <v>74</v>
      </c>
      <c r="BC142" s="23"/>
      <c r="BD142" s="16" t="s">
        <v>76</v>
      </c>
      <c r="BE142" s="16" t="s">
        <v>77</v>
      </c>
      <c r="BF142" s="18" t="s">
        <v>844</v>
      </c>
      <c r="BG142" s="19"/>
      <c r="BH142" s="19"/>
      <c r="BI142" s="19"/>
      <c r="BJ142" s="19"/>
      <c r="BK142" s="16" t="s">
        <v>81</v>
      </c>
      <c r="BL142" s="19"/>
      <c r="BM142" s="19"/>
      <c r="BN142" s="16" t="s">
        <v>84</v>
      </c>
      <c r="BO142" s="16" t="s">
        <v>85</v>
      </c>
      <c r="BP142" s="18">
        <v>0.0</v>
      </c>
      <c r="BQ142" s="19"/>
      <c r="BR142" s="19"/>
      <c r="BS142" s="19"/>
      <c r="BT142" s="19"/>
      <c r="BU142" s="19"/>
      <c r="BV142" s="19"/>
      <c r="BW142" s="16" t="s">
        <v>92</v>
      </c>
      <c r="BX142" s="18">
        <v>0.0</v>
      </c>
      <c r="BY142" s="19"/>
      <c r="BZ142" s="19"/>
      <c r="CA142" s="19"/>
      <c r="CB142" s="16" t="s">
        <v>96</v>
      </c>
      <c r="CC142" s="21" t="s">
        <v>97</v>
      </c>
      <c r="CD142" s="23"/>
      <c r="CE142" s="19"/>
      <c r="CF142" s="18" t="s">
        <v>839</v>
      </c>
      <c r="CG142" s="16" t="s">
        <v>158</v>
      </c>
      <c r="CH142" s="19"/>
      <c r="CI142" s="19"/>
      <c r="CJ142" s="21" t="s">
        <v>102</v>
      </c>
      <c r="CK142" s="23"/>
      <c r="CL142" s="16" t="s">
        <v>104</v>
      </c>
      <c r="CM142" s="18">
        <v>0.0</v>
      </c>
      <c r="CN142" s="16" t="s">
        <v>128</v>
      </c>
      <c r="CO142" s="19"/>
      <c r="CP142" s="21" t="s">
        <v>106</v>
      </c>
      <c r="CQ142" s="23"/>
      <c r="CR142" s="21" t="s">
        <v>108</v>
      </c>
      <c r="CS142" s="23"/>
      <c r="CT142" s="16" t="s">
        <v>110</v>
      </c>
      <c r="CU142" s="18">
        <v>0.0</v>
      </c>
      <c r="CV142" s="21" t="s">
        <v>154</v>
      </c>
      <c r="CW142" s="23"/>
      <c r="CX142" s="19"/>
      <c r="CY142" s="19"/>
      <c r="CZ142" s="16" t="s">
        <v>114</v>
      </c>
      <c r="DA142" s="16" t="s">
        <v>115</v>
      </c>
      <c r="DB142" s="18">
        <v>0.0</v>
      </c>
      <c r="DC142" s="16" t="s">
        <v>129</v>
      </c>
      <c r="DD142" s="16" t="s">
        <v>129</v>
      </c>
      <c r="DE142" s="16" t="s">
        <v>129</v>
      </c>
      <c r="DF142" s="16" t="s">
        <v>129</v>
      </c>
      <c r="DG142" s="16" t="s">
        <v>896</v>
      </c>
      <c r="DH142" s="16" t="s">
        <v>921</v>
      </c>
      <c r="DI142" s="16" t="s">
        <v>843</v>
      </c>
      <c r="DJ142" s="16" t="s">
        <v>144</v>
      </c>
      <c r="DK142" s="18" t="s">
        <v>844</v>
      </c>
      <c r="DL142" s="18" t="s">
        <v>845</v>
      </c>
      <c r="DM142" s="16" t="s">
        <v>876</v>
      </c>
      <c r="DN142" s="18" t="s">
        <v>845</v>
      </c>
      <c r="DO142" s="18">
        <v>0.0</v>
      </c>
    </row>
    <row r="143" ht="15.75" customHeight="1">
      <c r="A143" s="15">
        <v>141.0</v>
      </c>
      <c r="B143" s="16" t="s">
        <v>922</v>
      </c>
      <c r="C143" s="17">
        <v>3.1111152501824E13</v>
      </c>
      <c r="D143" s="18">
        <v>23.0</v>
      </c>
      <c r="E143" s="16" t="s">
        <v>836</v>
      </c>
      <c r="F143" s="16" t="s">
        <v>837</v>
      </c>
      <c r="G143" s="16" t="s">
        <v>547</v>
      </c>
      <c r="H143" s="25">
        <v>40862.0</v>
      </c>
      <c r="I143" s="16"/>
      <c r="J143" s="18">
        <v>1.0</v>
      </c>
      <c r="K143" s="16" t="s">
        <v>923</v>
      </c>
      <c r="L143" s="21" t="s">
        <v>138</v>
      </c>
      <c r="M143" s="23"/>
      <c r="N143" s="19"/>
      <c r="O143" s="19"/>
      <c r="P143" s="19"/>
      <c r="Q143" s="19"/>
      <c r="R143" s="19"/>
      <c r="S143" s="19"/>
      <c r="T143" s="19"/>
      <c r="U143" s="19"/>
      <c r="V143" s="18">
        <v>0.0</v>
      </c>
      <c r="W143" s="19"/>
      <c r="X143" s="19"/>
      <c r="Y143" s="21" t="s">
        <v>48</v>
      </c>
      <c r="Z143" s="23"/>
      <c r="AA143" s="19"/>
      <c r="AB143" s="19"/>
      <c r="AC143" s="19"/>
      <c r="AD143" s="19"/>
      <c r="AE143" s="19"/>
      <c r="AF143" s="16" t="s">
        <v>55</v>
      </c>
      <c r="AG143" s="18">
        <v>0.0</v>
      </c>
      <c r="AH143" s="16" t="s">
        <v>57</v>
      </c>
      <c r="AI143" s="18">
        <v>0.0</v>
      </c>
      <c r="AJ143" s="16" t="s">
        <v>168</v>
      </c>
      <c r="AK143" s="16" t="s">
        <v>153</v>
      </c>
      <c r="AL143" s="16" t="s">
        <v>126</v>
      </c>
      <c r="AM143" s="16" t="s">
        <v>181</v>
      </c>
      <c r="AN143" s="16" t="s">
        <v>181</v>
      </c>
      <c r="AO143" s="16" t="s">
        <v>181</v>
      </c>
      <c r="AP143" s="16" t="s">
        <v>181</v>
      </c>
      <c r="AQ143" s="16" t="s">
        <v>181</v>
      </c>
      <c r="AR143" s="16" t="s">
        <v>181</v>
      </c>
      <c r="AS143" s="21" t="s">
        <v>65</v>
      </c>
      <c r="AT143" s="22"/>
      <c r="AU143" s="23"/>
      <c r="AV143" s="19"/>
      <c r="AW143" s="16" t="s">
        <v>69</v>
      </c>
      <c r="AX143" s="16" t="s">
        <v>70</v>
      </c>
      <c r="AY143" s="16" t="s">
        <v>71</v>
      </c>
      <c r="AZ143" s="18" t="s">
        <v>844</v>
      </c>
      <c r="BA143" s="16" t="s">
        <v>73</v>
      </c>
      <c r="BB143" s="21" t="s">
        <v>74</v>
      </c>
      <c r="BC143" s="23"/>
      <c r="BD143" s="16" t="s">
        <v>76</v>
      </c>
      <c r="BE143" s="16" t="s">
        <v>77</v>
      </c>
      <c r="BF143" s="18">
        <v>0.0</v>
      </c>
      <c r="BG143" s="19"/>
      <c r="BH143" s="19"/>
      <c r="BI143" s="19"/>
      <c r="BJ143" s="19"/>
      <c r="BK143" s="16" t="s">
        <v>81</v>
      </c>
      <c r="BL143" s="19"/>
      <c r="BM143" s="19"/>
      <c r="BN143" s="19"/>
      <c r="BO143" s="19"/>
      <c r="BP143" s="18">
        <v>0.0</v>
      </c>
      <c r="BQ143" s="19"/>
      <c r="BR143" s="19"/>
      <c r="BS143" s="21" t="s">
        <v>88</v>
      </c>
      <c r="BT143" s="23"/>
      <c r="BU143" s="19"/>
      <c r="BV143" s="19"/>
      <c r="BW143" s="16" t="s">
        <v>92</v>
      </c>
      <c r="BX143" s="18">
        <v>0.0</v>
      </c>
      <c r="BY143" s="19"/>
      <c r="BZ143" s="19"/>
      <c r="CA143" s="19"/>
      <c r="CB143" s="16" t="s">
        <v>96</v>
      </c>
      <c r="CC143" s="21" t="s">
        <v>97</v>
      </c>
      <c r="CD143" s="23"/>
      <c r="CE143" s="19"/>
      <c r="CF143" s="18">
        <v>0.0</v>
      </c>
      <c r="CG143" s="16" t="s">
        <v>158</v>
      </c>
      <c r="CH143" s="16" t="s">
        <v>100</v>
      </c>
      <c r="CI143" s="21" t="s">
        <v>101</v>
      </c>
      <c r="CJ143" s="22"/>
      <c r="CK143" s="23"/>
      <c r="CL143" s="16" t="s">
        <v>104</v>
      </c>
      <c r="CM143" s="18" t="s">
        <v>844</v>
      </c>
      <c r="CN143" s="16" t="s">
        <v>128</v>
      </c>
      <c r="CO143" s="19"/>
      <c r="CP143" s="21" t="s">
        <v>106</v>
      </c>
      <c r="CQ143" s="23"/>
      <c r="CR143" s="21" t="s">
        <v>108</v>
      </c>
      <c r="CS143" s="23"/>
      <c r="CT143" s="19"/>
      <c r="CU143" s="18">
        <v>0.0</v>
      </c>
      <c r="CV143" s="21" t="s">
        <v>154</v>
      </c>
      <c r="CW143" s="23"/>
      <c r="CX143" s="19"/>
      <c r="CY143" s="19"/>
      <c r="CZ143" s="19"/>
      <c r="DA143" s="16" t="s">
        <v>115</v>
      </c>
      <c r="DB143" s="18" t="s">
        <v>844</v>
      </c>
      <c r="DC143" s="16" t="s">
        <v>129</v>
      </c>
      <c r="DD143" s="16" t="s">
        <v>129</v>
      </c>
      <c r="DE143" s="16" t="s">
        <v>129</v>
      </c>
      <c r="DF143" s="16" t="s">
        <v>129</v>
      </c>
      <c r="DG143" s="16" t="s">
        <v>841</v>
      </c>
      <c r="DH143" s="16" t="s">
        <v>842</v>
      </c>
      <c r="DI143" s="16" t="s">
        <v>843</v>
      </c>
      <c r="DJ143" s="16" t="s">
        <v>144</v>
      </c>
      <c r="DK143" s="18" t="s">
        <v>844</v>
      </c>
      <c r="DL143" s="18" t="s">
        <v>845</v>
      </c>
      <c r="DM143" s="16" t="s">
        <v>876</v>
      </c>
      <c r="DN143" s="18" t="s">
        <v>844</v>
      </c>
      <c r="DO143" s="18">
        <v>0.0</v>
      </c>
    </row>
    <row r="144" ht="15.75" customHeight="1">
      <c r="A144" s="15">
        <v>142.0</v>
      </c>
      <c r="B144" s="16" t="s">
        <v>924</v>
      </c>
      <c r="C144" s="17">
        <v>3.0169042503641E13</v>
      </c>
      <c r="D144" s="18">
        <v>36.0</v>
      </c>
      <c r="E144" s="16" t="s">
        <v>836</v>
      </c>
      <c r="F144" s="16" t="s">
        <v>837</v>
      </c>
      <c r="G144" s="16" t="s">
        <v>547</v>
      </c>
      <c r="H144" s="20">
        <v>42617.0</v>
      </c>
      <c r="I144" s="16"/>
      <c r="J144" s="18">
        <v>1.0</v>
      </c>
      <c r="K144" s="16" t="s">
        <v>924</v>
      </c>
      <c r="L144" s="16" t="s">
        <v>122</v>
      </c>
      <c r="M144" s="21" t="s">
        <v>36</v>
      </c>
      <c r="N144" s="22"/>
      <c r="O144" s="22"/>
      <c r="P144" s="23"/>
      <c r="Q144" s="19"/>
      <c r="R144" s="19"/>
      <c r="S144" s="19"/>
      <c r="T144" s="19"/>
      <c r="U144" s="19"/>
      <c r="V144" s="18">
        <v>0.0</v>
      </c>
      <c r="W144" s="19"/>
      <c r="X144" s="21" t="s">
        <v>47</v>
      </c>
      <c r="Y144" s="23"/>
      <c r="Z144" s="19"/>
      <c r="AA144" s="16" t="s">
        <v>50</v>
      </c>
      <c r="AB144" s="19"/>
      <c r="AC144" s="19"/>
      <c r="AD144" s="19"/>
      <c r="AE144" s="19"/>
      <c r="AF144" s="19"/>
      <c r="AG144" s="18">
        <v>0.0</v>
      </c>
      <c r="AH144" s="16" t="s">
        <v>57</v>
      </c>
      <c r="AI144" s="18">
        <v>0.0</v>
      </c>
      <c r="AJ144" s="16" t="s">
        <v>124</v>
      </c>
      <c r="AK144" s="16" t="s">
        <v>142</v>
      </c>
      <c r="AL144" s="16" t="s">
        <v>181</v>
      </c>
      <c r="AM144" s="16" t="s">
        <v>126</v>
      </c>
      <c r="AN144" s="16" t="s">
        <v>126</v>
      </c>
      <c r="AO144" s="16" t="s">
        <v>181</v>
      </c>
      <c r="AP144" s="16" t="s">
        <v>181</v>
      </c>
      <c r="AQ144" s="16" t="s">
        <v>181</v>
      </c>
      <c r="AR144" s="16" t="s">
        <v>181</v>
      </c>
      <c r="AS144" s="21" t="s">
        <v>65</v>
      </c>
      <c r="AT144" s="22"/>
      <c r="AU144" s="23"/>
      <c r="AV144" s="19"/>
      <c r="AW144" s="16" t="s">
        <v>69</v>
      </c>
      <c r="AX144" s="21" t="s">
        <v>70</v>
      </c>
      <c r="AY144" s="23"/>
      <c r="AZ144" s="18" t="s">
        <v>839</v>
      </c>
      <c r="BA144" s="21" t="s">
        <v>73</v>
      </c>
      <c r="BB144" s="23"/>
      <c r="BC144" s="19"/>
      <c r="BD144" s="19"/>
      <c r="BE144" s="16" t="s">
        <v>77</v>
      </c>
      <c r="BF144" s="18" t="s">
        <v>844</v>
      </c>
      <c r="BG144" s="21" t="s">
        <v>78</v>
      </c>
      <c r="BH144" s="23"/>
      <c r="BI144" s="19"/>
      <c r="BJ144" s="19"/>
      <c r="BK144" s="19"/>
      <c r="BL144" s="19"/>
      <c r="BM144" s="19"/>
      <c r="BN144" s="16" t="s">
        <v>84</v>
      </c>
      <c r="BO144" s="16" t="s">
        <v>85</v>
      </c>
      <c r="BP144" s="18">
        <v>0.0</v>
      </c>
      <c r="BQ144" s="19"/>
      <c r="BR144" s="19"/>
      <c r="BS144" s="19"/>
      <c r="BT144" s="19"/>
      <c r="BU144" s="19"/>
      <c r="BV144" s="19"/>
      <c r="BW144" s="16" t="s">
        <v>92</v>
      </c>
      <c r="BX144" s="18">
        <v>0.0</v>
      </c>
      <c r="BY144" s="19"/>
      <c r="BZ144" s="19"/>
      <c r="CA144" s="19"/>
      <c r="CB144" s="21" t="s">
        <v>96</v>
      </c>
      <c r="CC144" s="23"/>
      <c r="CD144" s="19"/>
      <c r="CE144" s="19"/>
      <c r="CF144" s="18" t="s">
        <v>839</v>
      </c>
      <c r="CG144" s="16" t="s">
        <v>128</v>
      </c>
      <c r="CH144" s="16" t="s">
        <v>100</v>
      </c>
      <c r="CI144" s="21" t="s">
        <v>101</v>
      </c>
      <c r="CJ144" s="23"/>
      <c r="CK144" s="16" t="s">
        <v>103</v>
      </c>
      <c r="CL144" s="16" t="s">
        <v>104</v>
      </c>
      <c r="CM144" s="18" t="s">
        <v>839</v>
      </c>
      <c r="CN144" s="16" t="s">
        <v>128</v>
      </c>
      <c r="CO144" s="16" t="s">
        <v>105</v>
      </c>
      <c r="CP144" s="21" t="s">
        <v>106</v>
      </c>
      <c r="CQ144" s="23"/>
      <c r="CR144" s="16" t="s">
        <v>108</v>
      </c>
      <c r="CS144" s="16" t="s">
        <v>109</v>
      </c>
      <c r="CT144" s="16" t="s">
        <v>110</v>
      </c>
      <c r="CU144" s="18">
        <v>0.0</v>
      </c>
      <c r="CV144" s="21" t="s">
        <v>154</v>
      </c>
      <c r="CW144" s="23"/>
      <c r="CX144" s="19"/>
      <c r="CY144" s="21" t="s">
        <v>113</v>
      </c>
      <c r="CZ144" s="23"/>
      <c r="DA144" s="16" t="s">
        <v>115</v>
      </c>
      <c r="DB144" s="18" t="s">
        <v>844</v>
      </c>
      <c r="DC144" s="16" t="s">
        <v>129</v>
      </c>
      <c r="DD144" s="16" t="s">
        <v>129</v>
      </c>
      <c r="DE144" s="16" t="s">
        <v>129</v>
      </c>
      <c r="DF144" s="16" t="s">
        <v>129</v>
      </c>
      <c r="DG144" s="16" t="s">
        <v>841</v>
      </c>
      <c r="DH144" s="16" t="s">
        <v>925</v>
      </c>
      <c r="DI144" s="16" t="s">
        <v>926</v>
      </c>
      <c r="DJ144" s="16" t="s">
        <v>144</v>
      </c>
      <c r="DK144" s="18" t="s">
        <v>844</v>
      </c>
      <c r="DL144" s="18" t="s">
        <v>845</v>
      </c>
      <c r="DM144" s="16" t="s">
        <v>876</v>
      </c>
      <c r="DN144" s="16" t="s">
        <v>927</v>
      </c>
      <c r="DO144" s="18">
        <v>0.0</v>
      </c>
    </row>
    <row r="145" ht="15.75" customHeight="1">
      <c r="A145" s="15">
        <v>143.0</v>
      </c>
      <c r="B145" s="16" t="s">
        <v>928</v>
      </c>
      <c r="C145" s="17">
        <v>3.2001012509683E13</v>
      </c>
      <c r="D145" s="18">
        <v>139.0</v>
      </c>
      <c r="E145" s="16" t="s">
        <v>836</v>
      </c>
      <c r="F145" s="16" t="s">
        <v>837</v>
      </c>
      <c r="G145" s="16" t="s">
        <v>547</v>
      </c>
      <c r="H145" s="20">
        <v>43831.0</v>
      </c>
      <c r="I145" s="16"/>
      <c r="J145" s="18">
        <v>1.0</v>
      </c>
      <c r="K145" s="16" t="s">
        <v>929</v>
      </c>
      <c r="L145" s="16" t="s">
        <v>122</v>
      </c>
      <c r="M145" s="21" t="s">
        <v>36</v>
      </c>
      <c r="N145" s="22"/>
      <c r="O145" s="22"/>
      <c r="P145" s="23"/>
      <c r="Q145" s="19"/>
      <c r="R145" s="19"/>
      <c r="S145" s="19"/>
      <c r="T145" s="19"/>
      <c r="U145" s="19"/>
      <c r="V145" s="18">
        <v>0.0</v>
      </c>
      <c r="W145" s="19"/>
      <c r="X145" s="19"/>
      <c r="Y145" s="21" t="s">
        <v>48</v>
      </c>
      <c r="Z145" s="23"/>
      <c r="AA145" s="19"/>
      <c r="AB145" s="19"/>
      <c r="AC145" s="19"/>
      <c r="AD145" s="19"/>
      <c r="AE145" s="19"/>
      <c r="AF145" s="19"/>
      <c r="AG145" s="18">
        <v>0.0</v>
      </c>
      <c r="AH145" s="21" t="s">
        <v>123</v>
      </c>
      <c r="AI145" s="23"/>
      <c r="AJ145" s="16" t="s">
        <v>124</v>
      </c>
      <c r="AK145" s="16" t="s">
        <v>142</v>
      </c>
      <c r="AL145" s="16" t="s">
        <v>126</v>
      </c>
      <c r="AM145" s="16" t="s">
        <v>126</v>
      </c>
      <c r="AN145" s="16" t="s">
        <v>126</v>
      </c>
      <c r="AO145" s="16" t="s">
        <v>126</v>
      </c>
      <c r="AP145" s="16" t="s">
        <v>126</v>
      </c>
      <c r="AQ145" s="16" t="s">
        <v>126</v>
      </c>
      <c r="AR145" s="16" t="s">
        <v>126</v>
      </c>
      <c r="AS145" s="21" t="s">
        <v>65</v>
      </c>
      <c r="AT145" s="22"/>
      <c r="AU145" s="23"/>
      <c r="AV145" s="16" t="s">
        <v>68</v>
      </c>
      <c r="AW145" s="16" t="s">
        <v>69</v>
      </c>
      <c r="AX145" s="16" t="s">
        <v>70</v>
      </c>
      <c r="AY145" s="16" t="s">
        <v>71</v>
      </c>
      <c r="AZ145" s="18">
        <v>0.0</v>
      </c>
      <c r="BA145" s="21" t="s">
        <v>73</v>
      </c>
      <c r="BB145" s="23"/>
      <c r="BC145" s="19"/>
      <c r="BD145" s="16" t="s">
        <v>76</v>
      </c>
      <c r="BE145" s="16" t="s">
        <v>77</v>
      </c>
      <c r="BF145" s="18">
        <v>0.0</v>
      </c>
      <c r="BG145" s="19"/>
      <c r="BH145" s="19"/>
      <c r="BI145" s="19"/>
      <c r="BJ145" s="19"/>
      <c r="BK145" s="16" t="s">
        <v>81</v>
      </c>
      <c r="BL145" s="19"/>
      <c r="BM145" s="19"/>
      <c r="BN145" s="16" t="s">
        <v>84</v>
      </c>
      <c r="BO145" s="16" t="s">
        <v>85</v>
      </c>
      <c r="BP145" s="18" t="s">
        <v>844</v>
      </c>
      <c r="BQ145" s="19"/>
      <c r="BR145" s="19"/>
      <c r="BS145" s="19"/>
      <c r="BT145" s="19"/>
      <c r="BU145" s="19"/>
      <c r="BV145" s="19"/>
      <c r="BW145" s="16" t="s">
        <v>92</v>
      </c>
      <c r="BX145" s="18">
        <v>0.0</v>
      </c>
      <c r="BY145" s="19"/>
      <c r="BZ145" s="19"/>
      <c r="CA145" s="19"/>
      <c r="CB145" s="21" t="s">
        <v>96</v>
      </c>
      <c r="CC145" s="23"/>
      <c r="CD145" s="19"/>
      <c r="CE145" s="19"/>
      <c r="CF145" s="18">
        <v>0.0</v>
      </c>
      <c r="CG145" s="16" t="s">
        <v>128</v>
      </c>
      <c r="CH145" s="16" t="s">
        <v>100</v>
      </c>
      <c r="CI145" s="16" t="s">
        <v>101</v>
      </c>
      <c r="CJ145" s="21" t="s">
        <v>102</v>
      </c>
      <c r="CK145" s="23"/>
      <c r="CL145" s="16" t="s">
        <v>104</v>
      </c>
      <c r="CM145" s="18">
        <v>0.0</v>
      </c>
      <c r="CN145" s="16" t="s">
        <v>128</v>
      </c>
      <c r="CO145" s="16" t="s">
        <v>105</v>
      </c>
      <c r="CP145" s="21" t="s">
        <v>106</v>
      </c>
      <c r="CQ145" s="23"/>
      <c r="CR145" s="16" t="s">
        <v>108</v>
      </c>
      <c r="CS145" s="16" t="s">
        <v>109</v>
      </c>
      <c r="CT145" s="16" t="s">
        <v>110</v>
      </c>
      <c r="CU145" s="18" t="s">
        <v>839</v>
      </c>
      <c r="CV145" s="16" t="s">
        <v>128</v>
      </c>
      <c r="CW145" s="21" t="s">
        <v>111</v>
      </c>
      <c r="CX145" s="22"/>
      <c r="CY145" s="23"/>
      <c r="CZ145" s="16" t="s">
        <v>114</v>
      </c>
      <c r="DA145" s="16" t="s">
        <v>115</v>
      </c>
      <c r="DB145" s="18">
        <v>0.0</v>
      </c>
      <c r="DC145" s="16" t="s">
        <v>129</v>
      </c>
      <c r="DD145" s="16" t="s">
        <v>129</v>
      </c>
      <c r="DE145" s="16" t="s">
        <v>129</v>
      </c>
      <c r="DF145" s="16" t="s">
        <v>129</v>
      </c>
      <c r="DG145" s="16" t="s">
        <v>841</v>
      </c>
      <c r="DH145" s="16" t="s">
        <v>873</v>
      </c>
      <c r="DI145" s="16" t="s">
        <v>914</v>
      </c>
      <c r="DJ145" s="16" t="s">
        <v>915</v>
      </c>
      <c r="DK145" s="18" t="s">
        <v>844</v>
      </c>
      <c r="DL145" s="18" t="s">
        <v>845</v>
      </c>
      <c r="DM145" s="16" t="s">
        <v>930</v>
      </c>
      <c r="DN145" s="18" t="s">
        <v>845</v>
      </c>
      <c r="DO145" s="18">
        <v>0.0</v>
      </c>
    </row>
    <row r="146" ht="15.75" customHeight="1">
      <c r="A146" s="15">
        <v>144.0</v>
      </c>
      <c r="B146" s="16" t="s">
        <v>931</v>
      </c>
      <c r="C146" s="17">
        <v>3.1710102503266E13</v>
      </c>
      <c r="D146" s="18">
        <v>138.0</v>
      </c>
      <c r="E146" s="16" t="s">
        <v>836</v>
      </c>
      <c r="F146" s="16" t="s">
        <v>837</v>
      </c>
      <c r="G146" s="16" t="s">
        <v>547</v>
      </c>
      <c r="H146" s="25">
        <v>43018.0</v>
      </c>
      <c r="I146" s="16"/>
      <c r="J146" s="18">
        <v>1.0</v>
      </c>
      <c r="K146" s="16" t="s">
        <v>929</v>
      </c>
      <c r="L146" s="21" t="s">
        <v>138</v>
      </c>
      <c r="M146" s="23"/>
      <c r="N146" s="19"/>
      <c r="O146" s="19"/>
      <c r="P146" s="19"/>
      <c r="Q146" s="19"/>
      <c r="R146" s="19"/>
      <c r="S146" s="19"/>
      <c r="T146" s="19"/>
      <c r="U146" s="19"/>
      <c r="V146" s="16" t="s">
        <v>932</v>
      </c>
      <c r="W146" s="16" t="s">
        <v>46</v>
      </c>
      <c r="X146" s="19"/>
      <c r="Y146" s="21" t="s">
        <v>48</v>
      </c>
      <c r="Z146" s="23"/>
      <c r="AA146" s="16" t="s">
        <v>50</v>
      </c>
      <c r="AB146" s="19"/>
      <c r="AC146" s="19"/>
      <c r="AD146" s="19"/>
      <c r="AE146" s="19"/>
      <c r="AF146" s="16" t="s">
        <v>55</v>
      </c>
      <c r="AG146" s="18">
        <v>0.0</v>
      </c>
      <c r="AH146" s="16" t="s">
        <v>57</v>
      </c>
      <c r="AI146" s="18" t="s">
        <v>844</v>
      </c>
      <c r="AJ146" s="16" t="s">
        <v>168</v>
      </c>
      <c r="AK146" s="16" t="s">
        <v>153</v>
      </c>
      <c r="AL146" s="16" t="s">
        <v>126</v>
      </c>
      <c r="AM146" s="16" t="s">
        <v>126</v>
      </c>
      <c r="AN146" s="16" t="s">
        <v>181</v>
      </c>
      <c r="AO146" s="16" t="s">
        <v>181</v>
      </c>
      <c r="AP146" s="16" t="s">
        <v>181</v>
      </c>
      <c r="AQ146" s="16" t="s">
        <v>181</v>
      </c>
      <c r="AR146" s="16" t="s">
        <v>181</v>
      </c>
      <c r="AS146" s="21" t="s">
        <v>65</v>
      </c>
      <c r="AT146" s="22"/>
      <c r="AU146" s="23"/>
      <c r="AV146" s="19"/>
      <c r="AW146" s="16" t="s">
        <v>69</v>
      </c>
      <c r="AX146" s="16" t="s">
        <v>70</v>
      </c>
      <c r="AY146" s="16" t="s">
        <v>71</v>
      </c>
      <c r="AZ146" s="18">
        <v>0.0</v>
      </c>
      <c r="BA146" s="21" t="s">
        <v>73</v>
      </c>
      <c r="BB146" s="23"/>
      <c r="BC146" s="19"/>
      <c r="BD146" s="16" t="s">
        <v>76</v>
      </c>
      <c r="BE146" s="16" t="s">
        <v>77</v>
      </c>
      <c r="BF146" s="18" t="s">
        <v>844</v>
      </c>
      <c r="BG146" s="19"/>
      <c r="BH146" s="19"/>
      <c r="BI146" s="19"/>
      <c r="BJ146" s="19"/>
      <c r="BK146" s="16" t="s">
        <v>81</v>
      </c>
      <c r="BL146" s="19"/>
      <c r="BM146" s="19"/>
      <c r="BN146" s="16" t="s">
        <v>84</v>
      </c>
      <c r="BO146" s="16" t="s">
        <v>85</v>
      </c>
      <c r="BP146" s="18" t="s">
        <v>844</v>
      </c>
      <c r="BQ146" s="19"/>
      <c r="BR146" s="19"/>
      <c r="BS146" s="19"/>
      <c r="BT146" s="19"/>
      <c r="BU146" s="16" t="s">
        <v>90</v>
      </c>
      <c r="BV146" s="16" t="s">
        <v>91</v>
      </c>
      <c r="BW146" s="16" t="s">
        <v>92</v>
      </c>
      <c r="BX146" s="18" t="s">
        <v>845</v>
      </c>
      <c r="BY146" s="19"/>
      <c r="BZ146" s="19"/>
      <c r="CA146" s="19"/>
      <c r="CB146" s="16" t="s">
        <v>96</v>
      </c>
      <c r="CC146" s="21" t="s">
        <v>97</v>
      </c>
      <c r="CD146" s="23"/>
      <c r="CE146" s="19"/>
      <c r="CF146" s="18">
        <v>0.0</v>
      </c>
      <c r="CG146" s="16" t="s">
        <v>128</v>
      </c>
      <c r="CH146" s="21" t="s">
        <v>100</v>
      </c>
      <c r="CI146" s="23"/>
      <c r="CJ146" s="16" t="s">
        <v>102</v>
      </c>
      <c r="CK146" s="16" t="s">
        <v>103</v>
      </c>
      <c r="CL146" s="16" t="s">
        <v>104</v>
      </c>
      <c r="CM146" s="18">
        <v>0.0</v>
      </c>
      <c r="CN146" s="16" t="s">
        <v>128</v>
      </c>
      <c r="CO146" s="16" t="s">
        <v>105</v>
      </c>
      <c r="CP146" s="21" t="s">
        <v>106</v>
      </c>
      <c r="CQ146" s="23"/>
      <c r="CR146" s="21" t="s">
        <v>108</v>
      </c>
      <c r="CS146" s="23"/>
      <c r="CT146" s="16" t="s">
        <v>110</v>
      </c>
      <c r="CU146" s="18">
        <v>0.0</v>
      </c>
      <c r="CV146" s="21" t="s">
        <v>154</v>
      </c>
      <c r="CW146" s="23"/>
      <c r="CX146" s="19"/>
      <c r="CY146" s="21" t="s">
        <v>113</v>
      </c>
      <c r="CZ146" s="23"/>
      <c r="DA146" s="16" t="s">
        <v>115</v>
      </c>
      <c r="DB146" s="18" t="s">
        <v>844</v>
      </c>
      <c r="DC146" s="16" t="s">
        <v>129</v>
      </c>
      <c r="DD146" s="16" t="s">
        <v>129</v>
      </c>
      <c r="DE146" s="16" t="s">
        <v>129</v>
      </c>
      <c r="DF146" s="16" t="s">
        <v>129</v>
      </c>
      <c r="DG146" s="16" t="s">
        <v>841</v>
      </c>
      <c r="DH146" s="16" t="s">
        <v>933</v>
      </c>
      <c r="DI146" s="16" t="s">
        <v>934</v>
      </c>
      <c r="DJ146" s="16" t="s">
        <v>144</v>
      </c>
      <c r="DK146" s="18" t="s">
        <v>844</v>
      </c>
      <c r="DL146" s="18" t="s">
        <v>845</v>
      </c>
      <c r="DM146" s="16" t="s">
        <v>876</v>
      </c>
      <c r="DN146" s="16" t="s">
        <v>935</v>
      </c>
      <c r="DO146" s="16" t="s">
        <v>902</v>
      </c>
    </row>
    <row r="147" ht="15.75" customHeight="1">
      <c r="A147" s="15">
        <v>145.0</v>
      </c>
      <c r="B147" s="16" t="s">
        <v>936</v>
      </c>
      <c r="C147" s="17">
        <v>3.1009012502775E13</v>
      </c>
      <c r="D147" s="18">
        <v>148.0</v>
      </c>
      <c r="E147" s="16" t="s">
        <v>836</v>
      </c>
      <c r="F147" s="16" t="s">
        <v>837</v>
      </c>
      <c r="G147" s="16" t="s">
        <v>547</v>
      </c>
      <c r="H147" s="20">
        <v>41153.0</v>
      </c>
      <c r="I147" s="18">
        <v>1.0</v>
      </c>
      <c r="J147" s="19"/>
      <c r="K147" s="16" t="s">
        <v>937</v>
      </c>
      <c r="L147" s="16" t="s">
        <v>138</v>
      </c>
      <c r="M147" s="21" t="s">
        <v>36</v>
      </c>
      <c r="N147" s="22"/>
      <c r="O147" s="22"/>
      <c r="P147" s="23"/>
      <c r="Q147" s="19"/>
      <c r="R147" s="19"/>
      <c r="S147" s="19"/>
      <c r="T147" s="19"/>
      <c r="U147" s="19"/>
      <c r="V147" s="18">
        <v>0.0</v>
      </c>
      <c r="W147" s="19"/>
      <c r="X147" s="19"/>
      <c r="Y147" s="21" t="s">
        <v>48</v>
      </c>
      <c r="Z147" s="23"/>
      <c r="AA147" s="19"/>
      <c r="AB147" s="19"/>
      <c r="AC147" s="19"/>
      <c r="AD147" s="19"/>
      <c r="AE147" s="19"/>
      <c r="AF147" s="19"/>
      <c r="AG147" s="18" t="s">
        <v>839</v>
      </c>
      <c r="AH147" s="16" t="s">
        <v>57</v>
      </c>
      <c r="AI147" s="18">
        <v>0.0</v>
      </c>
      <c r="AJ147" s="16" t="s">
        <v>243</v>
      </c>
      <c r="AK147" s="16" t="s">
        <v>153</v>
      </c>
      <c r="AL147" s="16" t="s">
        <v>126</v>
      </c>
      <c r="AM147" s="16" t="s">
        <v>181</v>
      </c>
      <c r="AN147" s="16" t="s">
        <v>126</v>
      </c>
      <c r="AO147" s="16" t="s">
        <v>126</v>
      </c>
      <c r="AP147" s="16" t="s">
        <v>181</v>
      </c>
      <c r="AQ147" s="16" t="s">
        <v>181</v>
      </c>
      <c r="AR147" s="16" t="s">
        <v>181</v>
      </c>
      <c r="AS147" s="21" t="s">
        <v>65</v>
      </c>
      <c r="AT147" s="22"/>
      <c r="AU147" s="23"/>
      <c r="AV147" s="19"/>
      <c r="AW147" s="16" t="s">
        <v>69</v>
      </c>
      <c r="AX147" s="16" t="s">
        <v>70</v>
      </c>
      <c r="AY147" s="16" t="s">
        <v>71</v>
      </c>
      <c r="AZ147" s="18" t="s">
        <v>844</v>
      </c>
      <c r="BA147" s="16" t="s">
        <v>73</v>
      </c>
      <c r="BB147" s="21" t="s">
        <v>74</v>
      </c>
      <c r="BC147" s="23"/>
      <c r="BD147" s="16" t="s">
        <v>76</v>
      </c>
      <c r="BE147" s="16" t="s">
        <v>77</v>
      </c>
      <c r="BF147" s="18" t="s">
        <v>844</v>
      </c>
      <c r="BG147" s="19"/>
      <c r="BH147" s="19"/>
      <c r="BI147" s="19"/>
      <c r="BJ147" s="19"/>
      <c r="BK147" s="16" t="s">
        <v>81</v>
      </c>
      <c r="BL147" s="19"/>
      <c r="BM147" s="19"/>
      <c r="BN147" s="16" t="s">
        <v>84</v>
      </c>
      <c r="BO147" s="16" t="s">
        <v>85</v>
      </c>
      <c r="BP147" s="18">
        <v>0.0</v>
      </c>
      <c r="BQ147" s="19"/>
      <c r="BR147" s="19"/>
      <c r="BS147" s="19"/>
      <c r="BT147" s="19"/>
      <c r="BU147" s="19"/>
      <c r="BV147" s="16" t="s">
        <v>91</v>
      </c>
      <c r="BW147" s="16" t="s">
        <v>92</v>
      </c>
      <c r="BX147" s="18">
        <v>0.0</v>
      </c>
      <c r="BY147" s="19"/>
      <c r="BZ147" s="19"/>
      <c r="CA147" s="19"/>
      <c r="CB147" s="21" t="s">
        <v>96</v>
      </c>
      <c r="CC147" s="23"/>
      <c r="CD147" s="19"/>
      <c r="CE147" s="16" t="s">
        <v>99</v>
      </c>
      <c r="CF147" s="18" t="s">
        <v>839</v>
      </c>
      <c r="CG147" s="16" t="s">
        <v>128</v>
      </c>
      <c r="CH147" s="21" t="s">
        <v>100</v>
      </c>
      <c r="CI147" s="23"/>
      <c r="CJ147" s="16" t="s">
        <v>102</v>
      </c>
      <c r="CK147" s="16" t="s">
        <v>103</v>
      </c>
      <c r="CL147" s="16" t="s">
        <v>104</v>
      </c>
      <c r="CM147" s="18">
        <v>0.0</v>
      </c>
      <c r="CN147" s="16" t="s">
        <v>128</v>
      </c>
      <c r="CO147" s="21" t="s">
        <v>105</v>
      </c>
      <c r="CP147" s="22"/>
      <c r="CQ147" s="23"/>
      <c r="CR147" s="21" t="s">
        <v>108</v>
      </c>
      <c r="CS147" s="23"/>
      <c r="CT147" s="16" t="s">
        <v>110</v>
      </c>
      <c r="CU147" s="18">
        <v>0.0</v>
      </c>
      <c r="CV147" s="16" t="s">
        <v>154</v>
      </c>
      <c r="CW147" s="21" t="s">
        <v>111</v>
      </c>
      <c r="CX147" s="23"/>
      <c r="CY147" s="16" t="s">
        <v>113</v>
      </c>
      <c r="CZ147" s="16" t="s">
        <v>114</v>
      </c>
      <c r="DA147" s="16" t="s">
        <v>115</v>
      </c>
      <c r="DB147" s="18">
        <v>0.0</v>
      </c>
      <c r="DC147" s="16" t="s">
        <v>129</v>
      </c>
      <c r="DD147" s="16" t="s">
        <v>129</v>
      </c>
      <c r="DE147" s="16" t="s">
        <v>129</v>
      </c>
      <c r="DF147" s="16" t="s">
        <v>129</v>
      </c>
      <c r="DG147" s="16" t="s">
        <v>841</v>
      </c>
      <c r="DH147" s="16" t="s">
        <v>842</v>
      </c>
      <c r="DI147" s="16" t="s">
        <v>843</v>
      </c>
      <c r="DJ147" s="16" t="s">
        <v>915</v>
      </c>
      <c r="DK147" s="18" t="s">
        <v>844</v>
      </c>
      <c r="DL147" s="18" t="s">
        <v>845</v>
      </c>
      <c r="DM147" s="16" t="s">
        <v>144</v>
      </c>
      <c r="DN147" s="18" t="s">
        <v>844</v>
      </c>
      <c r="DO147" s="18" t="s">
        <v>845</v>
      </c>
    </row>
    <row r="148" ht="15.75" customHeight="1">
      <c r="A148" s="15">
        <v>146.0</v>
      </c>
      <c r="B148" s="16" t="s">
        <v>938</v>
      </c>
      <c r="C148" s="17">
        <v>3.1208292500783E13</v>
      </c>
      <c r="D148" s="18">
        <v>88.0</v>
      </c>
      <c r="E148" s="16" t="s">
        <v>939</v>
      </c>
      <c r="F148" s="16" t="s">
        <v>546</v>
      </c>
      <c r="G148" s="16" t="s">
        <v>547</v>
      </c>
      <c r="H148" s="20">
        <v>41150.0</v>
      </c>
      <c r="I148" s="16"/>
      <c r="J148" s="18">
        <v>1.0</v>
      </c>
      <c r="K148" s="16" t="s">
        <v>940</v>
      </c>
      <c r="L148" s="21" t="s">
        <v>138</v>
      </c>
      <c r="M148" s="23"/>
      <c r="N148" s="19"/>
      <c r="O148" s="19"/>
      <c r="P148" s="19"/>
      <c r="Q148" s="19"/>
      <c r="R148" s="19"/>
      <c r="S148" s="19"/>
      <c r="T148" s="19"/>
      <c r="U148" s="19"/>
      <c r="V148" s="16" t="s">
        <v>139</v>
      </c>
      <c r="W148" s="19"/>
      <c r="X148" s="19"/>
      <c r="Y148" s="21" t="s">
        <v>48</v>
      </c>
      <c r="Z148" s="23"/>
      <c r="AA148" s="19"/>
      <c r="AB148" s="19"/>
      <c r="AC148" s="19"/>
      <c r="AD148" s="19"/>
      <c r="AE148" s="19"/>
      <c r="AF148" s="19"/>
      <c r="AG148" s="19"/>
      <c r="AH148" s="21" t="s">
        <v>123</v>
      </c>
      <c r="AI148" s="23"/>
      <c r="AJ148" s="16" t="s">
        <v>124</v>
      </c>
      <c r="AK148" s="16" t="s">
        <v>153</v>
      </c>
      <c r="AL148" s="16" t="s">
        <v>181</v>
      </c>
      <c r="AM148" s="16" t="s">
        <v>181</v>
      </c>
      <c r="AN148" s="16" t="s">
        <v>181</v>
      </c>
      <c r="AO148" s="16" t="s">
        <v>126</v>
      </c>
      <c r="AP148" s="16" t="s">
        <v>126</v>
      </c>
      <c r="AQ148" s="16" t="s">
        <v>126</v>
      </c>
      <c r="AR148" s="16" t="s">
        <v>181</v>
      </c>
      <c r="AS148" s="19"/>
      <c r="AT148" s="19"/>
      <c r="AU148" s="19"/>
      <c r="AV148" s="21" t="s">
        <v>68</v>
      </c>
      <c r="AW148" s="22"/>
      <c r="AX148" s="23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6" t="s">
        <v>81</v>
      </c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6" t="s">
        <v>941</v>
      </c>
      <c r="CG148" s="16" t="s">
        <v>128</v>
      </c>
      <c r="CH148" s="16" t="s">
        <v>100</v>
      </c>
      <c r="CI148" s="21" t="s">
        <v>101</v>
      </c>
      <c r="CJ148" s="22"/>
      <c r="CK148" s="23"/>
      <c r="CL148" s="21" t="s">
        <v>104</v>
      </c>
      <c r="CM148" s="23"/>
      <c r="CN148" s="16" t="s">
        <v>128</v>
      </c>
      <c r="CO148" s="16" t="s">
        <v>105</v>
      </c>
      <c r="CP148" s="21" t="s">
        <v>106</v>
      </c>
      <c r="CQ148" s="23"/>
      <c r="CR148" s="21" t="s">
        <v>108</v>
      </c>
      <c r="CS148" s="23"/>
      <c r="CT148" s="19"/>
      <c r="CU148" s="19"/>
      <c r="CV148" s="16" t="s">
        <v>128</v>
      </c>
      <c r="CW148" s="21" t="s">
        <v>111</v>
      </c>
      <c r="CX148" s="22"/>
      <c r="CY148" s="23"/>
      <c r="CZ148" s="19"/>
      <c r="DA148" s="21" t="s">
        <v>115</v>
      </c>
      <c r="DB148" s="23"/>
      <c r="DC148" s="16" t="s">
        <v>129</v>
      </c>
      <c r="DD148" s="16" t="s">
        <v>129</v>
      </c>
      <c r="DE148" s="16" t="s">
        <v>129</v>
      </c>
      <c r="DF148" s="16" t="s">
        <v>129</v>
      </c>
      <c r="DG148" s="16" t="s">
        <v>942</v>
      </c>
      <c r="DH148" s="16" t="s">
        <v>943</v>
      </c>
      <c r="DI148" s="16" t="s">
        <v>944</v>
      </c>
      <c r="DJ148" s="16" t="s">
        <v>144</v>
      </c>
      <c r="DK148" s="19"/>
      <c r="DL148" s="19"/>
      <c r="DM148" s="21" t="s">
        <v>945</v>
      </c>
      <c r="DN148" s="23"/>
      <c r="DO148" s="19"/>
    </row>
    <row r="149" ht="15.75" customHeight="1">
      <c r="A149" s="15">
        <v>147.0</v>
      </c>
      <c r="B149" s="16" t="s">
        <v>946</v>
      </c>
      <c r="C149" s="17">
        <v>3.1701112500622E13</v>
      </c>
      <c r="D149" s="18">
        <v>66.0</v>
      </c>
      <c r="E149" s="16" t="s">
        <v>836</v>
      </c>
      <c r="F149" s="16" t="s">
        <v>837</v>
      </c>
      <c r="G149" s="16" t="s">
        <v>547</v>
      </c>
      <c r="H149" s="20">
        <v>40550.0</v>
      </c>
      <c r="I149" s="16"/>
      <c r="J149" s="18">
        <v>1.0</v>
      </c>
      <c r="K149" s="16" t="s">
        <v>947</v>
      </c>
      <c r="L149" s="21" t="s">
        <v>138</v>
      </c>
      <c r="M149" s="23"/>
      <c r="N149" s="19"/>
      <c r="O149" s="19"/>
      <c r="P149" s="19"/>
      <c r="Q149" s="19"/>
      <c r="R149" s="19"/>
      <c r="S149" s="19"/>
      <c r="T149" s="19"/>
      <c r="U149" s="19"/>
      <c r="V149" s="21" t="s">
        <v>932</v>
      </c>
      <c r="W149" s="22"/>
      <c r="X149" s="23"/>
      <c r="Y149" s="19"/>
      <c r="Z149" s="19"/>
      <c r="AA149" s="19"/>
      <c r="AB149" s="21" t="s">
        <v>51</v>
      </c>
      <c r="AC149" s="23"/>
      <c r="AD149" s="19"/>
      <c r="AE149" s="19"/>
      <c r="AF149" s="19"/>
      <c r="AG149" s="18">
        <v>0.0</v>
      </c>
      <c r="AH149" s="16" t="s">
        <v>57</v>
      </c>
      <c r="AI149" s="18">
        <v>0.0</v>
      </c>
      <c r="AJ149" s="16" t="s">
        <v>124</v>
      </c>
      <c r="AK149" s="16" t="s">
        <v>142</v>
      </c>
      <c r="AL149" s="16" t="s">
        <v>181</v>
      </c>
      <c r="AM149" s="16" t="s">
        <v>181</v>
      </c>
      <c r="AN149" s="16" t="s">
        <v>181</v>
      </c>
      <c r="AO149" s="16" t="s">
        <v>126</v>
      </c>
      <c r="AP149" s="16" t="s">
        <v>181</v>
      </c>
      <c r="AQ149" s="16" t="s">
        <v>181</v>
      </c>
      <c r="AR149" s="16" t="s">
        <v>181</v>
      </c>
      <c r="AS149" s="21" t="s">
        <v>65</v>
      </c>
      <c r="AT149" s="22"/>
      <c r="AU149" s="23"/>
      <c r="AV149" s="19"/>
      <c r="AW149" s="16" t="s">
        <v>69</v>
      </c>
      <c r="AX149" s="16" t="s">
        <v>70</v>
      </c>
      <c r="AY149" s="16" t="s">
        <v>71</v>
      </c>
      <c r="AZ149" s="18">
        <v>0.0</v>
      </c>
      <c r="BA149" s="21" t="s">
        <v>73</v>
      </c>
      <c r="BB149" s="23"/>
      <c r="BC149" s="19"/>
      <c r="BD149" s="16" t="s">
        <v>76</v>
      </c>
      <c r="BE149" s="16" t="s">
        <v>77</v>
      </c>
      <c r="BF149" s="18">
        <v>0.0</v>
      </c>
      <c r="BG149" s="19"/>
      <c r="BH149" s="19"/>
      <c r="BI149" s="19"/>
      <c r="BJ149" s="19"/>
      <c r="BK149" s="19"/>
      <c r="BL149" s="19"/>
      <c r="BM149" s="19"/>
      <c r="BN149" s="16" t="s">
        <v>84</v>
      </c>
      <c r="BO149" s="16" t="s">
        <v>85</v>
      </c>
      <c r="BP149" s="18">
        <v>0.0</v>
      </c>
      <c r="BQ149" s="19"/>
      <c r="BR149" s="19"/>
      <c r="BS149" s="19"/>
      <c r="BT149" s="19"/>
      <c r="BU149" s="19"/>
      <c r="BV149" s="19"/>
      <c r="BW149" s="16" t="s">
        <v>92</v>
      </c>
      <c r="BX149" s="18" t="s">
        <v>844</v>
      </c>
      <c r="BY149" s="19"/>
      <c r="BZ149" s="19"/>
      <c r="CA149" s="19"/>
      <c r="CB149" s="21" t="s">
        <v>96</v>
      </c>
      <c r="CC149" s="23"/>
      <c r="CD149" s="19"/>
      <c r="CE149" s="19"/>
      <c r="CF149" s="18">
        <v>0.0</v>
      </c>
      <c r="CG149" s="16" t="s">
        <v>128</v>
      </c>
      <c r="CH149" s="16" t="s">
        <v>100</v>
      </c>
      <c r="CI149" s="16" t="s">
        <v>101</v>
      </c>
      <c r="CJ149" s="21" t="s">
        <v>102</v>
      </c>
      <c r="CK149" s="23"/>
      <c r="CL149" s="16" t="s">
        <v>104</v>
      </c>
      <c r="CM149" s="18">
        <v>0.0</v>
      </c>
      <c r="CN149" s="16" t="s">
        <v>128</v>
      </c>
      <c r="CO149" s="19"/>
      <c r="CP149" s="19"/>
      <c r="CQ149" s="19"/>
      <c r="CR149" s="21" t="s">
        <v>108</v>
      </c>
      <c r="CS149" s="23"/>
      <c r="CT149" s="19"/>
      <c r="CU149" s="18">
        <v>0.0</v>
      </c>
      <c r="CV149" s="16" t="s">
        <v>128</v>
      </c>
      <c r="CW149" s="19"/>
      <c r="CX149" s="19"/>
      <c r="CY149" s="16" t="s">
        <v>113</v>
      </c>
      <c r="CZ149" s="16" t="s">
        <v>114</v>
      </c>
      <c r="DA149" s="16" t="s">
        <v>115</v>
      </c>
      <c r="DB149" s="18">
        <v>0.0</v>
      </c>
      <c r="DC149" s="16" t="s">
        <v>129</v>
      </c>
      <c r="DD149" s="16" t="s">
        <v>129</v>
      </c>
      <c r="DE149" s="16" t="s">
        <v>129</v>
      </c>
      <c r="DF149" s="16" t="s">
        <v>129</v>
      </c>
      <c r="DG149" s="16" t="s">
        <v>896</v>
      </c>
      <c r="DH149" s="16" t="s">
        <v>921</v>
      </c>
      <c r="DI149" s="16" t="s">
        <v>843</v>
      </c>
      <c r="DJ149" s="16" t="s">
        <v>915</v>
      </c>
      <c r="DK149" s="18" t="s">
        <v>844</v>
      </c>
      <c r="DL149" s="18" t="s">
        <v>845</v>
      </c>
      <c r="DM149" s="16" t="s">
        <v>876</v>
      </c>
      <c r="DN149" s="18" t="s">
        <v>845</v>
      </c>
      <c r="DO149" s="18">
        <v>0.0</v>
      </c>
    </row>
    <row r="150" ht="15.75" customHeight="1">
      <c r="A150" s="15">
        <v>148.0</v>
      </c>
      <c r="B150" s="16" t="s">
        <v>948</v>
      </c>
      <c r="C150" s="17">
        <v>3.1801152500557E13</v>
      </c>
      <c r="D150" s="18">
        <v>32.0</v>
      </c>
      <c r="E150" s="16" t="s">
        <v>836</v>
      </c>
      <c r="F150" s="16" t="s">
        <v>837</v>
      </c>
      <c r="G150" s="16" t="s">
        <v>547</v>
      </c>
      <c r="H150" s="25">
        <v>38700.0</v>
      </c>
      <c r="I150" s="18">
        <v>1.0</v>
      </c>
      <c r="J150" s="19"/>
      <c r="K150" s="16" t="s">
        <v>947</v>
      </c>
      <c r="L150" s="21" t="s">
        <v>138</v>
      </c>
      <c r="M150" s="23"/>
      <c r="N150" s="19"/>
      <c r="O150" s="19"/>
      <c r="P150" s="19"/>
      <c r="Q150" s="19"/>
      <c r="R150" s="19"/>
      <c r="S150" s="19"/>
      <c r="T150" s="19"/>
      <c r="U150" s="19"/>
      <c r="V150" s="16" t="s">
        <v>932</v>
      </c>
      <c r="W150" s="16" t="s">
        <v>46</v>
      </c>
      <c r="X150" s="19"/>
      <c r="Y150" s="19"/>
      <c r="Z150" s="19"/>
      <c r="AA150" s="19"/>
      <c r="AB150" s="19"/>
      <c r="AC150" s="19"/>
      <c r="AD150" s="19"/>
      <c r="AE150" s="19"/>
      <c r="AF150" s="19"/>
      <c r="AG150" s="18" t="s">
        <v>839</v>
      </c>
      <c r="AH150" s="16" t="s">
        <v>57</v>
      </c>
      <c r="AI150" s="18">
        <v>0.0</v>
      </c>
      <c r="AJ150" s="16" t="s">
        <v>449</v>
      </c>
      <c r="AK150" s="16" t="s">
        <v>142</v>
      </c>
      <c r="AL150" s="16" t="s">
        <v>181</v>
      </c>
      <c r="AM150" s="16" t="s">
        <v>181</v>
      </c>
      <c r="AN150" s="16" t="s">
        <v>181</v>
      </c>
      <c r="AO150" s="16" t="s">
        <v>181</v>
      </c>
      <c r="AP150" s="16" t="s">
        <v>181</v>
      </c>
      <c r="AQ150" s="16" t="s">
        <v>181</v>
      </c>
      <c r="AR150" s="16" t="s">
        <v>181</v>
      </c>
      <c r="AS150" s="21" t="s">
        <v>65</v>
      </c>
      <c r="AT150" s="23"/>
      <c r="AU150" s="16" t="s">
        <v>67</v>
      </c>
      <c r="AV150" s="16" t="s">
        <v>68</v>
      </c>
      <c r="AW150" s="16" t="s">
        <v>69</v>
      </c>
      <c r="AX150" s="16" t="s">
        <v>70</v>
      </c>
      <c r="AY150" s="16" t="s">
        <v>71</v>
      </c>
      <c r="AZ150" s="18" t="s">
        <v>844</v>
      </c>
      <c r="BA150" s="21" t="s">
        <v>73</v>
      </c>
      <c r="BB150" s="23"/>
      <c r="BC150" s="16" t="s">
        <v>75</v>
      </c>
      <c r="BD150" s="16" t="s">
        <v>76</v>
      </c>
      <c r="BE150" s="16" t="s">
        <v>77</v>
      </c>
      <c r="BF150" s="18">
        <v>0.0</v>
      </c>
      <c r="BG150" s="19"/>
      <c r="BH150" s="19"/>
      <c r="BI150" s="19"/>
      <c r="BJ150" s="19"/>
      <c r="BK150" s="16" t="s">
        <v>81</v>
      </c>
      <c r="BL150" s="19"/>
      <c r="BM150" s="19"/>
      <c r="BN150" s="19"/>
      <c r="BO150" s="16" t="s">
        <v>85</v>
      </c>
      <c r="BP150" s="16" t="s">
        <v>949</v>
      </c>
      <c r="BQ150" s="19"/>
      <c r="BR150" s="19"/>
      <c r="BS150" s="19"/>
      <c r="BT150" s="19"/>
      <c r="BU150" s="16" t="s">
        <v>90</v>
      </c>
      <c r="BV150" s="16" t="s">
        <v>91</v>
      </c>
      <c r="BW150" s="16" t="s">
        <v>92</v>
      </c>
      <c r="BX150" s="18">
        <v>0.0</v>
      </c>
      <c r="BY150" s="19"/>
      <c r="BZ150" s="19"/>
      <c r="CA150" s="19"/>
      <c r="CB150" s="21" t="s">
        <v>96</v>
      </c>
      <c r="CC150" s="23"/>
      <c r="CD150" s="19"/>
      <c r="CE150" s="19"/>
      <c r="CF150" s="18" t="s">
        <v>839</v>
      </c>
      <c r="CG150" s="16" t="s">
        <v>128</v>
      </c>
      <c r="CH150" s="16" t="s">
        <v>100</v>
      </c>
      <c r="CI150" s="16" t="s">
        <v>101</v>
      </c>
      <c r="CJ150" s="16" t="s">
        <v>102</v>
      </c>
      <c r="CK150" s="16" t="s">
        <v>103</v>
      </c>
      <c r="CL150" s="16" t="s">
        <v>104</v>
      </c>
      <c r="CM150" s="18">
        <v>0.0</v>
      </c>
      <c r="CN150" s="16" t="s">
        <v>128</v>
      </c>
      <c r="CO150" s="16" t="s">
        <v>105</v>
      </c>
      <c r="CP150" s="21" t="s">
        <v>106</v>
      </c>
      <c r="CQ150" s="23"/>
      <c r="CR150" s="16" t="s">
        <v>108</v>
      </c>
      <c r="CS150" s="21" t="s">
        <v>109</v>
      </c>
      <c r="CT150" s="23"/>
      <c r="CU150" s="18">
        <v>0.0</v>
      </c>
      <c r="CV150" s="21" t="s">
        <v>154</v>
      </c>
      <c r="CW150" s="23"/>
      <c r="CX150" s="19"/>
      <c r="CY150" s="16" t="s">
        <v>113</v>
      </c>
      <c r="CZ150" s="16" t="s">
        <v>114</v>
      </c>
      <c r="DA150" s="16" t="s">
        <v>115</v>
      </c>
      <c r="DB150" s="18" t="s">
        <v>839</v>
      </c>
      <c r="DC150" s="16" t="s">
        <v>129</v>
      </c>
      <c r="DD150" s="16" t="s">
        <v>129</v>
      </c>
      <c r="DE150" s="16" t="s">
        <v>129</v>
      </c>
      <c r="DF150" s="16" t="s">
        <v>129</v>
      </c>
      <c r="DG150" s="16" t="s">
        <v>841</v>
      </c>
      <c r="DH150" s="16" t="s">
        <v>897</v>
      </c>
      <c r="DI150" s="16" t="s">
        <v>843</v>
      </c>
      <c r="DJ150" s="16" t="s">
        <v>144</v>
      </c>
      <c r="DK150" s="18" t="s">
        <v>844</v>
      </c>
      <c r="DL150" s="18" t="s">
        <v>845</v>
      </c>
      <c r="DM150" s="16" t="s">
        <v>876</v>
      </c>
      <c r="DN150" s="16" t="s">
        <v>901</v>
      </c>
      <c r="DO150" s="16" t="s">
        <v>902</v>
      </c>
    </row>
    <row r="151" ht="15.75" customHeight="1">
      <c r="A151" s="15">
        <v>149.0</v>
      </c>
      <c r="B151" s="16" t="s">
        <v>950</v>
      </c>
      <c r="C151" s="17">
        <v>3.2003252501186E13</v>
      </c>
      <c r="D151" s="18">
        <v>135.0</v>
      </c>
      <c r="E151" s="16" t="s">
        <v>939</v>
      </c>
      <c r="F151" s="16" t="s">
        <v>546</v>
      </c>
      <c r="G151" s="16" t="s">
        <v>547</v>
      </c>
      <c r="H151" s="20">
        <v>43915.0</v>
      </c>
      <c r="I151" s="16"/>
      <c r="J151" s="18">
        <v>1.0</v>
      </c>
      <c r="K151" s="16" t="s">
        <v>951</v>
      </c>
      <c r="L151" s="21" t="s">
        <v>138</v>
      </c>
      <c r="M151" s="23"/>
      <c r="N151" s="19"/>
      <c r="O151" s="19"/>
      <c r="P151" s="19"/>
      <c r="Q151" s="19"/>
      <c r="R151" s="19"/>
      <c r="S151" s="19"/>
      <c r="T151" s="19"/>
      <c r="U151" s="19"/>
      <c r="V151" s="16" t="s">
        <v>127</v>
      </c>
      <c r="W151" s="16" t="s">
        <v>46</v>
      </c>
      <c r="X151" s="21" t="s">
        <v>47</v>
      </c>
      <c r="Y151" s="23"/>
      <c r="Z151" s="19"/>
      <c r="AA151" s="19"/>
      <c r="AB151" s="19"/>
      <c r="AC151" s="19"/>
      <c r="AD151" s="19"/>
      <c r="AE151" s="19"/>
      <c r="AF151" s="19"/>
      <c r="AG151" s="19"/>
      <c r="AH151" s="21" t="s">
        <v>123</v>
      </c>
      <c r="AI151" s="23"/>
      <c r="AJ151" s="16" t="s">
        <v>168</v>
      </c>
      <c r="AK151" s="16" t="s">
        <v>153</v>
      </c>
      <c r="AL151" s="16" t="s">
        <v>126</v>
      </c>
      <c r="AM151" s="16" t="s">
        <v>126</v>
      </c>
      <c r="AN151" s="16" t="s">
        <v>181</v>
      </c>
      <c r="AO151" s="16" t="s">
        <v>126</v>
      </c>
      <c r="AP151" s="16" t="s">
        <v>181</v>
      </c>
      <c r="AQ151" s="16" t="s">
        <v>181</v>
      </c>
      <c r="AR151" s="16" t="s">
        <v>181</v>
      </c>
      <c r="AS151" s="21" t="s">
        <v>65</v>
      </c>
      <c r="AT151" s="22"/>
      <c r="AU151" s="23"/>
      <c r="AV151" s="19"/>
      <c r="AW151" s="16" t="s">
        <v>69</v>
      </c>
      <c r="AX151" s="16" t="s">
        <v>70</v>
      </c>
      <c r="AY151" s="21" t="s">
        <v>71</v>
      </c>
      <c r="AZ151" s="22"/>
      <c r="BA151" s="23"/>
      <c r="BB151" s="19"/>
      <c r="BC151" s="19"/>
      <c r="BD151" s="19"/>
      <c r="BE151" s="19"/>
      <c r="BF151" s="19"/>
      <c r="BG151" s="21" t="s">
        <v>78</v>
      </c>
      <c r="BH151" s="23"/>
      <c r="BI151" s="19"/>
      <c r="BJ151" s="19"/>
      <c r="BK151" s="16" t="s">
        <v>81</v>
      </c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6" t="s">
        <v>127</v>
      </c>
      <c r="BY151" s="19"/>
      <c r="BZ151" s="19"/>
      <c r="CA151" s="19"/>
      <c r="CB151" s="19"/>
      <c r="CC151" s="19"/>
      <c r="CD151" s="19"/>
      <c r="CE151" s="19"/>
      <c r="CF151" s="16" t="s">
        <v>127</v>
      </c>
      <c r="CG151" s="16" t="s">
        <v>128</v>
      </c>
      <c r="CH151" s="16" t="s">
        <v>100</v>
      </c>
      <c r="CI151" s="16" t="s">
        <v>101</v>
      </c>
      <c r="CJ151" s="21" t="s">
        <v>102</v>
      </c>
      <c r="CK151" s="23"/>
      <c r="CL151" s="21" t="s">
        <v>104</v>
      </c>
      <c r="CM151" s="23"/>
      <c r="CN151" s="16" t="s">
        <v>128</v>
      </c>
      <c r="CO151" s="21" t="s">
        <v>105</v>
      </c>
      <c r="CP151" s="22"/>
      <c r="CQ151" s="23"/>
      <c r="CR151" s="21" t="s">
        <v>108</v>
      </c>
      <c r="CS151" s="23"/>
      <c r="CT151" s="21" t="s">
        <v>110</v>
      </c>
      <c r="CU151" s="23"/>
      <c r="CV151" s="16" t="s">
        <v>128</v>
      </c>
      <c r="CW151" s="19"/>
      <c r="CX151" s="21" t="s">
        <v>112</v>
      </c>
      <c r="CY151" s="22"/>
      <c r="CZ151" s="23"/>
      <c r="DA151" s="21" t="s">
        <v>115</v>
      </c>
      <c r="DB151" s="23"/>
      <c r="DC151" s="16" t="s">
        <v>145</v>
      </c>
      <c r="DD151" s="16" t="s">
        <v>145</v>
      </c>
      <c r="DE151" s="16" t="s">
        <v>129</v>
      </c>
      <c r="DF151" s="16" t="s">
        <v>145</v>
      </c>
      <c r="DG151" s="16" t="s">
        <v>952</v>
      </c>
      <c r="DH151" s="21" t="s">
        <v>953</v>
      </c>
      <c r="DI151" s="23"/>
      <c r="DJ151" s="21" t="s">
        <v>954</v>
      </c>
      <c r="DK151" s="22"/>
      <c r="DL151" s="23"/>
      <c r="DM151" s="21" t="s">
        <v>955</v>
      </c>
      <c r="DN151" s="22"/>
      <c r="DO151" s="23"/>
    </row>
    <row r="152" ht="15.75" customHeight="1">
      <c r="A152" s="15">
        <v>150.0</v>
      </c>
      <c r="B152" s="16" t="s">
        <v>956</v>
      </c>
      <c r="C152" s="17">
        <v>3.1806242502062E13</v>
      </c>
      <c r="D152" s="18">
        <v>191.0</v>
      </c>
      <c r="E152" s="16" t="s">
        <v>957</v>
      </c>
      <c r="F152" s="16" t="s">
        <v>546</v>
      </c>
      <c r="G152" s="16" t="s">
        <v>547</v>
      </c>
      <c r="H152" s="20">
        <v>43275.0</v>
      </c>
      <c r="I152" s="16"/>
      <c r="J152" s="18">
        <v>1.0</v>
      </c>
      <c r="K152" s="16" t="s">
        <v>958</v>
      </c>
      <c r="L152" s="21" t="s">
        <v>138</v>
      </c>
      <c r="M152" s="23"/>
      <c r="N152" s="19"/>
      <c r="O152" s="19"/>
      <c r="P152" s="19"/>
      <c r="Q152" s="19"/>
      <c r="R152" s="19"/>
      <c r="S152" s="19"/>
      <c r="T152" s="19"/>
      <c r="U152" s="19"/>
      <c r="V152" s="21" t="s">
        <v>959</v>
      </c>
      <c r="W152" s="23"/>
      <c r="X152" s="19"/>
      <c r="Y152" s="21" t="s">
        <v>48</v>
      </c>
      <c r="Z152" s="23"/>
      <c r="AA152" s="19"/>
      <c r="AB152" s="19"/>
      <c r="AC152" s="19"/>
      <c r="AD152" s="19"/>
      <c r="AE152" s="19"/>
      <c r="AF152" s="19"/>
      <c r="AG152" s="19"/>
      <c r="AH152" s="21" t="s">
        <v>123</v>
      </c>
      <c r="AI152" s="23"/>
      <c r="AJ152" s="16" t="s">
        <v>124</v>
      </c>
      <c r="AK152" s="16" t="s">
        <v>153</v>
      </c>
      <c r="AL152" s="16" t="s">
        <v>126</v>
      </c>
      <c r="AM152" s="16" t="s">
        <v>126</v>
      </c>
      <c r="AN152" s="16" t="s">
        <v>181</v>
      </c>
      <c r="AO152" s="16" t="s">
        <v>126</v>
      </c>
      <c r="AP152" s="16" t="s">
        <v>181</v>
      </c>
      <c r="AQ152" s="16" t="s">
        <v>126</v>
      </c>
      <c r="AR152" s="16" t="s">
        <v>181</v>
      </c>
      <c r="AS152" s="16" t="s">
        <v>65</v>
      </c>
      <c r="AT152" s="16" t="s">
        <v>66</v>
      </c>
      <c r="AU152" s="16" t="s">
        <v>67</v>
      </c>
      <c r="AV152" s="16" t="s">
        <v>68</v>
      </c>
      <c r="AW152" s="21" t="s">
        <v>69</v>
      </c>
      <c r="AX152" s="22"/>
      <c r="AY152" s="23"/>
      <c r="AZ152" s="19"/>
      <c r="BA152" s="19"/>
      <c r="BB152" s="19"/>
      <c r="BC152" s="19"/>
      <c r="BD152" s="19"/>
      <c r="BE152" s="19"/>
      <c r="BF152" s="19"/>
      <c r="BG152" s="21" t="s">
        <v>78</v>
      </c>
      <c r="BH152" s="23"/>
      <c r="BI152" s="19"/>
      <c r="BJ152" s="19"/>
      <c r="BK152" s="16" t="s">
        <v>81</v>
      </c>
      <c r="BL152" s="19"/>
      <c r="BM152" s="19"/>
      <c r="BN152" s="16" t="s">
        <v>84</v>
      </c>
      <c r="BO152" s="21" t="s">
        <v>85</v>
      </c>
      <c r="BP152" s="22"/>
      <c r="BQ152" s="22"/>
      <c r="BR152" s="23"/>
      <c r="BS152" s="19"/>
      <c r="BT152" s="19"/>
      <c r="BU152" s="19"/>
      <c r="BV152" s="19"/>
      <c r="BW152" s="19"/>
      <c r="BX152" s="19"/>
      <c r="BY152" s="19"/>
      <c r="BZ152" s="19"/>
      <c r="CA152" s="21" t="s">
        <v>95</v>
      </c>
      <c r="CB152" s="22"/>
      <c r="CC152" s="23"/>
      <c r="CD152" s="19"/>
      <c r="CE152" s="19"/>
      <c r="CF152" s="19"/>
      <c r="CG152" s="16" t="s">
        <v>128</v>
      </c>
      <c r="CH152" s="16" t="s">
        <v>100</v>
      </c>
      <c r="CI152" s="21" t="s">
        <v>101</v>
      </c>
      <c r="CJ152" s="23"/>
      <c r="CK152" s="16" t="s">
        <v>103</v>
      </c>
      <c r="CL152" s="21" t="s">
        <v>104</v>
      </c>
      <c r="CM152" s="23"/>
      <c r="CN152" s="16" t="s">
        <v>128</v>
      </c>
      <c r="CO152" s="21" t="s">
        <v>105</v>
      </c>
      <c r="CP152" s="22"/>
      <c r="CQ152" s="23"/>
      <c r="CR152" s="21" t="s">
        <v>108</v>
      </c>
      <c r="CS152" s="23"/>
      <c r="CT152" s="21" t="s">
        <v>110</v>
      </c>
      <c r="CU152" s="23"/>
      <c r="CV152" s="16" t="s">
        <v>128</v>
      </c>
      <c r="CW152" s="19"/>
      <c r="CX152" s="21" t="s">
        <v>112</v>
      </c>
      <c r="CY152" s="23"/>
      <c r="CZ152" s="16" t="s">
        <v>114</v>
      </c>
      <c r="DA152" s="21" t="s">
        <v>115</v>
      </c>
      <c r="DB152" s="23"/>
      <c r="DC152" s="16" t="s">
        <v>145</v>
      </c>
      <c r="DD152" s="16" t="s">
        <v>129</v>
      </c>
      <c r="DE152" s="16" t="s">
        <v>129</v>
      </c>
      <c r="DF152" s="16" t="s">
        <v>145</v>
      </c>
      <c r="DG152" s="16" t="s">
        <v>893</v>
      </c>
      <c r="DH152" s="16" t="s">
        <v>960</v>
      </c>
      <c r="DI152" s="16" t="s">
        <v>961</v>
      </c>
      <c r="DJ152" s="16" t="s">
        <v>144</v>
      </c>
      <c r="DK152" s="16" t="s">
        <v>144</v>
      </c>
      <c r="DL152" s="16" t="s">
        <v>144</v>
      </c>
      <c r="DM152" s="16" t="s">
        <v>144</v>
      </c>
      <c r="DN152" s="16" t="s">
        <v>144</v>
      </c>
      <c r="DO152" s="16" t="s">
        <v>962</v>
      </c>
    </row>
    <row r="153" ht="15.75" customHeight="1">
      <c r="A153" s="15">
        <v>151.0</v>
      </c>
      <c r="B153" s="16" t="s">
        <v>963</v>
      </c>
      <c r="C153" s="17">
        <v>3.1502062502391E13</v>
      </c>
      <c r="D153" s="18">
        <v>112.0</v>
      </c>
      <c r="E153" s="16" t="s">
        <v>957</v>
      </c>
      <c r="F153" s="16" t="s">
        <v>546</v>
      </c>
      <c r="G153" s="16" t="s">
        <v>547</v>
      </c>
      <c r="H153" s="20">
        <v>42041.0</v>
      </c>
      <c r="I153" s="18">
        <v>1.0</v>
      </c>
      <c r="J153" s="19"/>
      <c r="K153" s="16" t="s">
        <v>964</v>
      </c>
      <c r="L153" s="21" t="s">
        <v>138</v>
      </c>
      <c r="M153" s="23"/>
      <c r="N153" s="19"/>
      <c r="O153" s="19"/>
      <c r="P153" s="19"/>
      <c r="Q153" s="19"/>
      <c r="R153" s="19"/>
      <c r="S153" s="19"/>
      <c r="T153" s="19"/>
      <c r="U153" s="19"/>
      <c r="V153" s="16" t="s">
        <v>910</v>
      </c>
      <c r="W153" s="16" t="s">
        <v>46</v>
      </c>
      <c r="X153" s="16" t="s">
        <v>47</v>
      </c>
      <c r="Y153" s="21" t="s">
        <v>48</v>
      </c>
      <c r="Z153" s="23"/>
      <c r="AA153" s="19"/>
      <c r="AB153" s="19"/>
      <c r="AC153" s="19"/>
      <c r="AD153" s="19"/>
      <c r="AE153" s="19"/>
      <c r="AF153" s="19"/>
      <c r="AG153" s="19"/>
      <c r="AH153" s="21" t="s">
        <v>123</v>
      </c>
      <c r="AI153" s="23"/>
      <c r="AJ153" s="16" t="s">
        <v>168</v>
      </c>
      <c r="AK153" s="16" t="s">
        <v>153</v>
      </c>
      <c r="AL153" s="16" t="s">
        <v>181</v>
      </c>
      <c r="AM153" s="16" t="s">
        <v>181</v>
      </c>
      <c r="AN153" s="16" t="s">
        <v>181</v>
      </c>
      <c r="AO153" s="16" t="s">
        <v>181</v>
      </c>
      <c r="AP153" s="16" t="s">
        <v>181</v>
      </c>
      <c r="AQ153" s="16" t="s">
        <v>181</v>
      </c>
      <c r="AR153" s="16" t="s">
        <v>181</v>
      </c>
      <c r="AS153" s="21" t="s">
        <v>65</v>
      </c>
      <c r="AT153" s="22"/>
      <c r="AU153" s="23"/>
      <c r="AV153" s="21" t="s">
        <v>68</v>
      </c>
      <c r="AW153" s="23"/>
      <c r="AX153" s="21" t="s">
        <v>70</v>
      </c>
      <c r="AY153" s="22"/>
      <c r="AZ153" s="23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21" t="s">
        <v>82</v>
      </c>
      <c r="BM153" s="23"/>
      <c r="BN153" s="21" t="s">
        <v>84</v>
      </c>
      <c r="BO153" s="22"/>
      <c r="BP153" s="23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21" t="s">
        <v>96</v>
      </c>
      <c r="CC153" s="23"/>
      <c r="CD153" s="19"/>
      <c r="CE153" s="19"/>
      <c r="CF153" s="19"/>
      <c r="CG153" s="16" t="s">
        <v>128</v>
      </c>
      <c r="CH153" s="16" t="s">
        <v>100</v>
      </c>
      <c r="CI153" s="21" t="s">
        <v>101</v>
      </c>
      <c r="CJ153" s="22"/>
      <c r="CK153" s="23"/>
      <c r="CL153" s="21" t="s">
        <v>104</v>
      </c>
      <c r="CM153" s="23"/>
      <c r="CN153" s="16" t="s">
        <v>128</v>
      </c>
      <c r="CO153" s="16" t="s">
        <v>105</v>
      </c>
      <c r="CP153" s="21" t="s">
        <v>106</v>
      </c>
      <c r="CQ153" s="22"/>
      <c r="CR153" s="23"/>
      <c r="CS153" s="21" t="s">
        <v>109</v>
      </c>
      <c r="CT153" s="23"/>
      <c r="CU153" s="19"/>
      <c r="CV153" s="16" t="s">
        <v>128</v>
      </c>
      <c r="CW153" s="21" t="s">
        <v>111</v>
      </c>
      <c r="CX153" s="22"/>
      <c r="CY153" s="23"/>
      <c r="CZ153" s="16" t="s">
        <v>114</v>
      </c>
      <c r="DA153" s="21" t="s">
        <v>115</v>
      </c>
      <c r="DB153" s="23"/>
      <c r="DC153" s="16" t="s">
        <v>129</v>
      </c>
      <c r="DD153" s="16" t="s">
        <v>129</v>
      </c>
      <c r="DE153" s="16" t="s">
        <v>129</v>
      </c>
      <c r="DF153" s="16" t="s">
        <v>129</v>
      </c>
      <c r="DG153" s="16" t="s">
        <v>965</v>
      </c>
      <c r="DH153" s="21" t="s">
        <v>966</v>
      </c>
      <c r="DI153" s="23"/>
      <c r="DJ153" s="16" t="s">
        <v>144</v>
      </c>
      <c r="DK153" s="19"/>
      <c r="DL153" s="19"/>
      <c r="DM153" s="21" t="s">
        <v>967</v>
      </c>
      <c r="DN153" s="23"/>
      <c r="DO153" s="19"/>
    </row>
    <row r="154" ht="15.75" customHeight="1">
      <c r="A154" s="15">
        <v>152.0</v>
      </c>
      <c r="B154" s="16" t="s">
        <v>968</v>
      </c>
      <c r="C154" s="17">
        <v>3.1404022503059E13</v>
      </c>
      <c r="D154" s="18">
        <v>91.0</v>
      </c>
      <c r="E154" s="16" t="s">
        <v>836</v>
      </c>
      <c r="F154" s="16" t="s">
        <v>837</v>
      </c>
      <c r="G154" s="16" t="s">
        <v>547</v>
      </c>
      <c r="H154" s="20">
        <v>38039.0</v>
      </c>
      <c r="I154" s="16"/>
      <c r="J154" s="18">
        <v>1.0</v>
      </c>
      <c r="K154" s="16" t="s">
        <v>969</v>
      </c>
      <c r="L154" s="21" t="s">
        <v>138</v>
      </c>
      <c r="M154" s="23"/>
      <c r="N154" s="19"/>
      <c r="O154" s="19"/>
      <c r="P154" s="19"/>
      <c r="Q154" s="19"/>
      <c r="R154" s="19"/>
      <c r="S154" s="19"/>
      <c r="T154" s="19"/>
      <c r="U154" s="19"/>
      <c r="V154" s="16" t="s">
        <v>932</v>
      </c>
      <c r="W154" s="16" t="s">
        <v>46</v>
      </c>
      <c r="X154" s="21" t="s">
        <v>47</v>
      </c>
      <c r="Y154" s="23"/>
      <c r="Z154" s="19"/>
      <c r="AA154" s="16" t="s">
        <v>50</v>
      </c>
      <c r="AB154" s="19"/>
      <c r="AC154" s="19"/>
      <c r="AD154" s="19"/>
      <c r="AE154" s="19"/>
      <c r="AF154" s="16" t="s">
        <v>55</v>
      </c>
      <c r="AG154" s="18">
        <v>0.0</v>
      </c>
      <c r="AH154" s="16" t="s">
        <v>57</v>
      </c>
      <c r="AI154" s="18" t="s">
        <v>839</v>
      </c>
      <c r="AJ154" s="16" t="s">
        <v>168</v>
      </c>
      <c r="AK154" s="16" t="s">
        <v>153</v>
      </c>
      <c r="AL154" s="16" t="s">
        <v>181</v>
      </c>
      <c r="AM154" s="16" t="s">
        <v>181</v>
      </c>
      <c r="AN154" s="16" t="s">
        <v>181</v>
      </c>
      <c r="AO154" s="16" t="s">
        <v>181</v>
      </c>
      <c r="AP154" s="16" t="s">
        <v>181</v>
      </c>
      <c r="AQ154" s="16" t="s">
        <v>181</v>
      </c>
      <c r="AR154" s="16" t="s">
        <v>181</v>
      </c>
      <c r="AS154" s="21" t="s">
        <v>65</v>
      </c>
      <c r="AT154" s="23"/>
      <c r="AU154" s="16" t="s">
        <v>67</v>
      </c>
      <c r="AV154" s="16" t="s">
        <v>68</v>
      </c>
      <c r="AW154" s="16" t="s">
        <v>69</v>
      </c>
      <c r="AX154" s="16" t="s">
        <v>70</v>
      </c>
      <c r="AY154" s="16" t="s">
        <v>71</v>
      </c>
      <c r="AZ154" s="18">
        <v>0.0</v>
      </c>
      <c r="BA154" s="19"/>
      <c r="BB154" s="21" t="s">
        <v>74</v>
      </c>
      <c r="BC154" s="22"/>
      <c r="BD154" s="23"/>
      <c r="BE154" s="16" t="s">
        <v>77</v>
      </c>
      <c r="BF154" s="18">
        <v>0.0</v>
      </c>
      <c r="BG154" s="21" t="s">
        <v>78</v>
      </c>
      <c r="BH154" s="23"/>
      <c r="BI154" s="19"/>
      <c r="BJ154" s="19"/>
      <c r="BK154" s="19"/>
      <c r="BL154" s="19"/>
      <c r="BM154" s="19"/>
      <c r="BN154" s="16" t="s">
        <v>84</v>
      </c>
      <c r="BO154" s="16" t="s">
        <v>85</v>
      </c>
      <c r="BP154" s="18">
        <v>0.0</v>
      </c>
      <c r="BQ154" s="19"/>
      <c r="BR154" s="19"/>
      <c r="BS154" s="19"/>
      <c r="BT154" s="19"/>
      <c r="BU154" s="19"/>
      <c r="BV154" s="16" t="s">
        <v>91</v>
      </c>
      <c r="BW154" s="16" t="s">
        <v>92</v>
      </c>
      <c r="BX154" s="21" t="s">
        <v>970</v>
      </c>
      <c r="BY154" s="22"/>
      <c r="BZ154" s="22"/>
      <c r="CA154" s="23"/>
      <c r="CB154" s="16" t="s">
        <v>96</v>
      </c>
      <c r="CC154" s="16" t="s">
        <v>97</v>
      </c>
      <c r="CD154" s="16" t="s">
        <v>98</v>
      </c>
      <c r="CE154" s="16" t="s">
        <v>99</v>
      </c>
      <c r="CF154" s="18">
        <v>0.0</v>
      </c>
      <c r="CG154" s="16" t="s">
        <v>128</v>
      </c>
      <c r="CH154" s="19"/>
      <c r="CI154" s="16" t="s">
        <v>101</v>
      </c>
      <c r="CJ154" s="16" t="s">
        <v>102</v>
      </c>
      <c r="CK154" s="16" t="s">
        <v>103</v>
      </c>
      <c r="CL154" s="16" t="s">
        <v>104</v>
      </c>
      <c r="CM154" s="18">
        <v>0.0</v>
      </c>
      <c r="CN154" s="16" t="s">
        <v>128</v>
      </c>
      <c r="CO154" s="16" t="s">
        <v>105</v>
      </c>
      <c r="CP154" s="16" t="s">
        <v>106</v>
      </c>
      <c r="CQ154" s="16" t="s">
        <v>107</v>
      </c>
      <c r="CR154" s="16" t="s">
        <v>108</v>
      </c>
      <c r="CS154" s="16" t="s">
        <v>109</v>
      </c>
      <c r="CT154" s="16" t="s">
        <v>110</v>
      </c>
      <c r="CU154" s="18">
        <v>0.0</v>
      </c>
      <c r="CV154" s="21" t="s">
        <v>154</v>
      </c>
      <c r="CW154" s="23"/>
      <c r="CX154" s="19"/>
      <c r="CY154" s="21" t="s">
        <v>113</v>
      </c>
      <c r="CZ154" s="22"/>
      <c r="DA154" s="23"/>
      <c r="DB154" s="18" t="s">
        <v>844</v>
      </c>
      <c r="DC154" s="16" t="s">
        <v>129</v>
      </c>
      <c r="DD154" s="16" t="s">
        <v>129</v>
      </c>
      <c r="DE154" s="16" t="s">
        <v>129</v>
      </c>
      <c r="DF154" s="16" t="s">
        <v>129</v>
      </c>
      <c r="DG154" s="16" t="s">
        <v>841</v>
      </c>
      <c r="DH154" s="16" t="s">
        <v>873</v>
      </c>
      <c r="DI154" s="16" t="s">
        <v>843</v>
      </c>
      <c r="DJ154" s="16" t="s">
        <v>971</v>
      </c>
      <c r="DK154" s="18" t="s">
        <v>844</v>
      </c>
      <c r="DL154" s="18" t="s">
        <v>845</v>
      </c>
      <c r="DM154" s="16" t="s">
        <v>876</v>
      </c>
      <c r="DN154" s="18" t="s">
        <v>844</v>
      </c>
      <c r="DO154" s="18" t="s">
        <v>845</v>
      </c>
    </row>
    <row r="155" ht="15.75" customHeight="1">
      <c r="A155" s="15">
        <v>153.0</v>
      </c>
      <c r="B155" s="16" t="s">
        <v>972</v>
      </c>
      <c r="C155" s="17">
        <v>3.1502062502375E13</v>
      </c>
      <c r="D155" s="18">
        <v>22.0</v>
      </c>
      <c r="E155" s="16" t="s">
        <v>957</v>
      </c>
      <c r="F155" s="16" t="s">
        <v>546</v>
      </c>
      <c r="G155" s="16" t="s">
        <v>547</v>
      </c>
      <c r="H155" s="20">
        <v>42041.0</v>
      </c>
      <c r="I155" s="18">
        <v>1.0</v>
      </c>
      <c r="J155" s="19"/>
      <c r="K155" s="16" t="s">
        <v>964</v>
      </c>
      <c r="L155" s="21" t="s">
        <v>138</v>
      </c>
      <c r="M155" s="23"/>
      <c r="N155" s="19"/>
      <c r="O155" s="19"/>
      <c r="P155" s="19"/>
      <c r="Q155" s="19"/>
      <c r="R155" s="19"/>
      <c r="S155" s="19"/>
      <c r="T155" s="19"/>
      <c r="U155" s="19"/>
      <c r="V155" s="16" t="s">
        <v>910</v>
      </c>
      <c r="W155" s="16" t="s">
        <v>46</v>
      </c>
      <c r="X155" s="16" t="s">
        <v>47</v>
      </c>
      <c r="Y155" s="21" t="s">
        <v>48</v>
      </c>
      <c r="Z155" s="23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" t="s">
        <v>168</v>
      </c>
      <c r="AK155" s="16" t="s">
        <v>153</v>
      </c>
      <c r="AL155" s="16" t="s">
        <v>181</v>
      </c>
      <c r="AM155" s="16" t="s">
        <v>181</v>
      </c>
      <c r="AN155" s="16" t="s">
        <v>181</v>
      </c>
      <c r="AO155" s="16" t="s">
        <v>181</v>
      </c>
      <c r="AP155" s="16" t="s">
        <v>181</v>
      </c>
      <c r="AQ155" s="16" t="s">
        <v>181</v>
      </c>
      <c r="AR155" s="16" t="s">
        <v>181</v>
      </c>
      <c r="AS155" s="21" t="s">
        <v>65</v>
      </c>
      <c r="AT155" s="22"/>
      <c r="AU155" s="23"/>
      <c r="AV155" s="16" t="s">
        <v>68</v>
      </c>
      <c r="AW155" s="21" t="s">
        <v>69</v>
      </c>
      <c r="AX155" s="22"/>
      <c r="AY155" s="23"/>
      <c r="AZ155" s="19"/>
      <c r="BA155" s="19"/>
      <c r="BB155" s="19"/>
      <c r="BC155" s="19"/>
      <c r="BD155" s="19"/>
      <c r="BE155" s="19"/>
      <c r="BF155" s="19"/>
      <c r="BG155" s="16" t="s">
        <v>78</v>
      </c>
      <c r="BH155" s="21" t="s">
        <v>79</v>
      </c>
      <c r="BI155" s="23"/>
      <c r="BJ155" s="19"/>
      <c r="BK155" s="19"/>
      <c r="BL155" s="21" t="s">
        <v>82</v>
      </c>
      <c r="BM155" s="23"/>
      <c r="BN155" s="19"/>
      <c r="BO155" s="21" t="s">
        <v>85</v>
      </c>
      <c r="BP155" s="22"/>
      <c r="BQ155" s="22"/>
      <c r="BR155" s="23"/>
      <c r="BS155" s="19"/>
      <c r="BT155" s="19"/>
      <c r="BU155" s="19"/>
      <c r="BV155" s="19"/>
      <c r="BW155" s="19"/>
      <c r="BX155" s="19"/>
      <c r="BY155" s="19"/>
      <c r="BZ155" s="19"/>
      <c r="CA155" s="19"/>
      <c r="CB155" s="21" t="s">
        <v>96</v>
      </c>
      <c r="CC155" s="23"/>
      <c r="CD155" s="19"/>
      <c r="CE155" s="19"/>
      <c r="CF155" s="19"/>
      <c r="CG155" s="16" t="s">
        <v>128</v>
      </c>
      <c r="CH155" s="16" t="s">
        <v>100</v>
      </c>
      <c r="CI155" s="21" t="s">
        <v>101</v>
      </c>
      <c r="CJ155" s="22"/>
      <c r="CK155" s="23"/>
      <c r="CL155" s="21" t="s">
        <v>104</v>
      </c>
      <c r="CM155" s="23"/>
      <c r="CN155" s="16" t="s">
        <v>128</v>
      </c>
      <c r="CO155" s="21" t="s">
        <v>105</v>
      </c>
      <c r="CP155" s="22"/>
      <c r="CQ155" s="23"/>
      <c r="CR155" s="19"/>
      <c r="CS155" s="21" t="s">
        <v>109</v>
      </c>
      <c r="CT155" s="23"/>
      <c r="CU155" s="19"/>
      <c r="CV155" s="16" t="s">
        <v>128</v>
      </c>
      <c r="CW155" s="21" t="s">
        <v>111</v>
      </c>
      <c r="CX155" s="23"/>
      <c r="CY155" s="21" t="s">
        <v>113</v>
      </c>
      <c r="CZ155" s="22"/>
      <c r="DA155" s="23"/>
      <c r="DB155" s="19"/>
      <c r="DC155" s="16" t="s">
        <v>129</v>
      </c>
      <c r="DD155" s="16" t="s">
        <v>129</v>
      </c>
      <c r="DE155" s="16" t="s">
        <v>129</v>
      </c>
      <c r="DF155" s="16" t="s">
        <v>129</v>
      </c>
      <c r="DG155" s="16" t="s">
        <v>973</v>
      </c>
      <c r="DH155" s="16" t="s">
        <v>974</v>
      </c>
      <c r="DI155" s="16" t="s">
        <v>975</v>
      </c>
      <c r="DJ155" s="16" t="s">
        <v>127</v>
      </c>
      <c r="DK155" s="19"/>
      <c r="DL155" s="19"/>
      <c r="DM155" s="21" t="s">
        <v>967</v>
      </c>
      <c r="DN155" s="23"/>
      <c r="DO155" s="19"/>
    </row>
    <row r="156" ht="15.75" customHeight="1">
      <c r="A156" s="15">
        <v>154.0</v>
      </c>
      <c r="B156" s="16" t="s">
        <v>976</v>
      </c>
      <c r="C156" s="17">
        <v>3.2201152500707E13</v>
      </c>
      <c r="D156" s="18">
        <v>219.0</v>
      </c>
      <c r="E156" s="16" t="s">
        <v>977</v>
      </c>
      <c r="F156" s="16" t="s">
        <v>546</v>
      </c>
      <c r="G156" s="16" t="s">
        <v>547</v>
      </c>
      <c r="H156" s="20">
        <v>44576.0</v>
      </c>
      <c r="I156" s="16"/>
      <c r="J156" s="18">
        <v>1.0</v>
      </c>
      <c r="K156" s="16" t="s">
        <v>978</v>
      </c>
      <c r="L156" s="21" t="s">
        <v>138</v>
      </c>
      <c r="M156" s="23"/>
      <c r="N156" s="19"/>
      <c r="O156" s="19"/>
      <c r="P156" s="19"/>
      <c r="Q156" s="19"/>
      <c r="R156" s="19"/>
      <c r="S156" s="19"/>
      <c r="T156" s="19"/>
      <c r="U156" s="19"/>
      <c r="V156" s="16" t="s">
        <v>890</v>
      </c>
      <c r="W156" s="16" t="s">
        <v>46</v>
      </c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21" t="s">
        <v>123</v>
      </c>
      <c r="AI156" s="23"/>
      <c r="AJ156" s="16" t="s">
        <v>124</v>
      </c>
      <c r="AK156" s="16" t="s">
        <v>153</v>
      </c>
      <c r="AL156" s="16" t="s">
        <v>126</v>
      </c>
      <c r="AM156" s="16" t="s">
        <v>126</v>
      </c>
      <c r="AN156" s="16" t="s">
        <v>181</v>
      </c>
      <c r="AO156" s="16" t="s">
        <v>126</v>
      </c>
      <c r="AP156" s="16" t="s">
        <v>181</v>
      </c>
      <c r="AQ156" s="16" t="s">
        <v>181</v>
      </c>
      <c r="AR156" s="16" t="s">
        <v>126</v>
      </c>
      <c r="AS156" s="21" t="s">
        <v>65</v>
      </c>
      <c r="AT156" s="22"/>
      <c r="AU156" s="23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21" t="s">
        <v>78</v>
      </c>
      <c r="BH156" s="23"/>
      <c r="BI156" s="19"/>
      <c r="BJ156" s="21" t="s">
        <v>80</v>
      </c>
      <c r="BK156" s="23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21" t="s">
        <v>94</v>
      </c>
      <c r="CA156" s="22"/>
      <c r="CB156" s="23"/>
      <c r="CC156" s="19"/>
      <c r="CD156" s="19"/>
      <c r="CE156" s="19"/>
      <c r="CF156" s="19"/>
      <c r="CG156" s="16" t="s">
        <v>128</v>
      </c>
      <c r="CH156" s="16" t="s">
        <v>100</v>
      </c>
      <c r="CI156" s="21" t="s">
        <v>101</v>
      </c>
      <c r="CJ156" s="22"/>
      <c r="CK156" s="23"/>
      <c r="CL156" s="21" t="s">
        <v>104</v>
      </c>
      <c r="CM156" s="23"/>
      <c r="CN156" s="16" t="s">
        <v>128</v>
      </c>
      <c r="CO156" s="21" t="s">
        <v>105</v>
      </c>
      <c r="CP156" s="22"/>
      <c r="CQ156" s="23"/>
      <c r="CR156" s="16" t="s">
        <v>108</v>
      </c>
      <c r="CS156" s="16" t="s">
        <v>109</v>
      </c>
      <c r="CT156" s="21" t="s">
        <v>110</v>
      </c>
      <c r="CU156" s="23"/>
      <c r="CV156" s="16" t="s">
        <v>128</v>
      </c>
      <c r="CW156" s="19"/>
      <c r="CX156" s="19"/>
      <c r="CY156" s="19"/>
      <c r="CZ156" s="16" t="s">
        <v>114</v>
      </c>
      <c r="DA156" s="21" t="s">
        <v>115</v>
      </c>
      <c r="DB156" s="23"/>
      <c r="DC156" s="16" t="s">
        <v>145</v>
      </c>
      <c r="DD156" s="16" t="s">
        <v>129</v>
      </c>
      <c r="DE156" s="16" t="s">
        <v>129</v>
      </c>
      <c r="DF156" s="16" t="s">
        <v>145</v>
      </c>
      <c r="DG156" s="16" t="s">
        <v>979</v>
      </c>
      <c r="DH156" s="16" t="s">
        <v>980</v>
      </c>
      <c r="DI156" s="16" t="s">
        <v>981</v>
      </c>
      <c r="DJ156" s="16" t="s">
        <v>144</v>
      </c>
      <c r="DK156" s="16" t="s">
        <v>144</v>
      </c>
      <c r="DL156" s="16" t="s">
        <v>144</v>
      </c>
      <c r="DM156" s="16" t="s">
        <v>144</v>
      </c>
      <c r="DN156" s="16" t="s">
        <v>144</v>
      </c>
      <c r="DO156" s="16" t="s">
        <v>144</v>
      </c>
    </row>
    <row r="157" ht="15.75" customHeight="1">
      <c r="A157" s="15">
        <v>155.0</v>
      </c>
      <c r="B157" s="16" t="s">
        <v>982</v>
      </c>
      <c r="C157" s="17">
        <v>3.0803262501345E13</v>
      </c>
      <c r="D157" s="18">
        <v>99.0</v>
      </c>
      <c r="E157" s="16" t="s">
        <v>939</v>
      </c>
      <c r="F157" s="16" t="s">
        <v>546</v>
      </c>
      <c r="G157" s="16" t="s">
        <v>547</v>
      </c>
      <c r="H157" s="20">
        <v>39533.0</v>
      </c>
      <c r="I157" s="16"/>
      <c r="J157" s="18">
        <v>1.0</v>
      </c>
      <c r="K157" s="16" t="s">
        <v>983</v>
      </c>
      <c r="L157" s="21" t="s">
        <v>138</v>
      </c>
      <c r="M157" s="23"/>
      <c r="N157" s="19"/>
      <c r="O157" s="19"/>
      <c r="P157" s="19"/>
      <c r="Q157" s="19"/>
      <c r="R157" s="19"/>
      <c r="S157" s="19"/>
      <c r="T157" s="19"/>
      <c r="U157" s="19"/>
      <c r="V157" s="16" t="s">
        <v>127</v>
      </c>
      <c r="W157" s="16" t="s">
        <v>46</v>
      </c>
      <c r="X157" s="19"/>
      <c r="Y157" s="21" t="s">
        <v>48</v>
      </c>
      <c r="Z157" s="23"/>
      <c r="AA157" s="19"/>
      <c r="AB157" s="19"/>
      <c r="AC157" s="19"/>
      <c r="AD157" s="19"/>
      <c r="AE157" s="19"/>
      <c r="AF157" s="19"/>
      <c r="AG157" s="19"/>
      <c r="AH157" s="21" t="s">
        <v>123</v>
      </c>
      <c r="AI157" s="23"/>
      <c r="AJ157" s="16" t="s">
        <v>168</v>
      </c>
      <c r="AK157" s="16" t="s">
        <v>153</v>
      </c>
      <c r="AL157" s="16" t="s">
        <v>126</v>
      </c>
      <c r="AM157" s="16" t="s">
        <v>126</v>
      </c>
      <c r="AN157" s="16" t="s">
        <v>126</v>
      </c>
      <c r="AO157" s="16" t="s">
        <v>126</v>
      </c>
      <c r="AP157" s="16" t="s">
        <v>126</v>
      </c>
      <c r="AQ157" s="16" t="s">
        <v>126</v>
      </c>
      <c r="AR157" s="16" t="s">
        <v>126</v>
      </c>
      <c r="AS157" s="19"/>
      <c r="AT157" s="19"/>
      <c r="AU157" s="19"/>
      <c r="AV157" s="21" t="s">
        <v>68</v>
      </c>
      <c r="AW157" s="22"/>
      <c r="AX157" s="23"/>
      <c r="AY157" s="21" t="s">
        <v>71</v>
      </c>
      <c r="AZ157" s="22"/>
      <c r="BA157" s="23"/>
      <c r="BB157" s="19"/>
      <c r="BC157" s="19"/>
      <c r="BD157" s="19"/>
      <c r="BE157" s="19"/>
      <c r="BF157" s="19"/>
      <c r="BG157" s="19"/>
      <c r="BH157" s="19"/>
      <c r="BI157" s="21" t="s">
        <v>52</v>
      </c>
      <c r="BJ157" s="23"/>
      <c r="BK157" s="16" t="s">
        <v>81</v>
      </c>
      <c r="BL157" s="19"/>
      <c r="BM157" s="19"/>
      <c r="BN157" s="19"/>
      <c r="BO157" s="21" t="s">
        <v>85</v>
      </c>
      <c r="BP157" s="22"/>
      <c r="BQ157" s="22"/>
      <c r="BR157" s="23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6" t="s">
        <v>127</v>
      </c>
      <c r="CG157" s="16" t="s">
        <v>128</v>
      </c>
      <c r="CH157" s="21" t="s">
        <v>100</v>
      </c>
      <c r="CI157" s="23"/>
      <c r="CJ157" s="19"/>
      <c r="CK157" s="16" t="s">
        <v>103</v>
      </c>
      <c r="CL157" s="21" t="s">
        <v>104</v>
      </c>
      <c r="CM157" s="23"/>
      <c r="CN157" s="16" t="s">
        <v>128</v>
      </c>
      <c r="CO157" s="16" t="s">
        <v>105</v>
      </c>
      <c r="CP157" s="16" t="s">
        <v>106</v>
      </c>
      <c r="CQ157" s="16" t="s">
        <v>107</v>
      </c>
      <c r="CR157" s="16" t="s">
        <v>108</v>
      </c>
      <c r="CS157" s="16" t="s">
        <v>109</v>
      </c>
      <c r="CT157" s="21" t="s">
        <v>110</v>
      </c>
      <c r="CU157" s="23"/>
      <c r="CV157" s="16" t="s">
        <v>128</v>
      </c>
      <c r="CW157" s="19"/>
      <c r="CX157" s="19"/>
      <c r="CY157" s="19"/>
      <c r="CZ157" s="16" t="s">
        <v>114</v>
      </c>
      <c r="DA157" s="21" t="s">
        <v>115</v>
      </c>
      <c r="DB157" s="22"/>
      <c r="DC157" s="23"/>
      <c r="DD157" s="16" t="s">
        <v>145</v>
      </c>
      <c r="DE157" s="16" t="s">
        <v>145</v>
      </c>
      <c r="DF157" s="16" t="s">
        <v>145</v>
      </c>
      <c r="DG157" s="16" t="s">
        <v>984</v>
      </c>
      <c r="DH157" s="21" t="s">
        <v>985</v>
      </c>
      <c r="DI157" s="23"/>
      <c r="DJ157" s="19"/>
      <c r="DK157" s="19"/>
      <c r="DL157" s="19"/>
      <c r="DM157" s="21" t="s">
        <v>986</v>
      </c>
      <c r="DN157" s="22"/>
      <c r="DO157" s="23"/>
    </row>
    <row r="158" ht="15.75" customHeight="1">
      <c r="A158" s="15">
        <v>156.0</v>
      </c>
      <c r="B158" s="16" t="s">
        <v>987</v>
      </c>
      <c r="C158" s="17">
        <v>3.1205122503185E13</v>
      </c>
      <c r="D158" s="18">
        <v>16.0</v>
      </c>
      <c r="E158" s="16" t="s">
        <v>957</v>
      </c>
      <c r="F158" s="16" t="s">
        <v>546</v>
      </c>
      <c r="G158" s="16" t="s">
        <v>547</v>
      </c>
      <c r="H158" s="20">
        <v>41041.0</v>
      </c>
      <c r="I158" s="16"/>
      <c r="J158" s="18">
        <v>1.0</v>
      </c>
      <c r="K158" s="16" t="s">
        <v>988</v>
      </c>
      <c r="L158" s="21" t="s">
        <v>138</v>
      </c>
      <c r="M158" s="23"/>
      <c r="N158" s="19"/>
      <c r="O158" s="19"/>
      <c r="P158" s="19"/>
      <c r="Q158" s="19"/>
      <c r="R158" s="19"/>
      <c r="S158" s="19"/>
      <c r="T158" s="19"/>
      <c r="U158" s="19"/>
      <c r="V158" s="16" t="s">
        <v>910</v>
      </c>
      <c r="W158" s="16" t="s">
        <v>46</v>
      </c>
      <c r="X158" s="16" t="s">
        <v>47</v>
      </c>
      <c r="Y158" s="21" t="s">
        <v>48</v>
      </c>
      <c r="Z158" s="23"/>
      <c r="AA158" s="19"/>
      <c r="AB158" s="19"/>
      <c r="AC158" s="19"/>
      <c r="AD158" s="19"/>
      <c r="AE158" s="19"/>
      <c r="AF158" s="19"/>
      <c r="AG158" s="19"/>
      <c r="AH158" s="21" t="s">
        <v>123</v>
      </c>
      <c r="AI158" s="23"/>
      <c r="AJ158" s="16" t="s">
        <v>124</v>
      </c>
      <c r="AK158" s="16" t="s">
        <v>153</v>
      </c>
      <c r="AL158" s="16" t="s">
        <v>181</v>
      </c>
      <c r="AM158" s="16" t="s">
        <v>181</v>
      </c>
      <c r="AN158" s="16" t="s">
        <v>181</v>
      </c>
      <c r="AO158" s="16" t="s">
        <v>181</v>
      </c>
      <c r="AP158" s="16" t="s">
        <v>181</v>
      </c>
      <c r="AQ158" s="16" t="s">
        <v>181</v>
      </c>
      <c r="AR158" s="16" t="s">
        <v>181</v>
      </c>
      <c r="AS158" s="21" t="s">
        <v>65</v>
      </c>
      <c r="AT158" s="22"/>
      <c r="AU158" s="23"/>
      <c r="AV158" s="21" t="s">
        <v>68</v>
      </c>
      <c r="AW158" s="23"/>
      <c r="AX158" s="21" t="s">
        <v>70</v>
      </c>
      <c r="AY158" s="22"/>
      <c r="AZ158" s="23"/>
      <c r="BA158" s="19"/>
      <c r="BB158" s="19"/>
      <c r="BC158" s="19"/>
      <c r="BD158" s="19"/>
      <c r="BE158" s="19"/>
      <c r="BF158" s="19"/>
      <c r="BG158" s="21" t="s">
        <v>78</v>
      </c>
      <c r="BH158" s="23"/>
      <c r="BI158" s="21" t="s">
        <v>52</v>
      </c>
      <c r="BJ158" s="23"/>
      <c r="BK158" s="19"/>
      <c r="BL158" s="19"/>
      <c r="BM158" s="19"/>
      <c r="BN158" s="19"/>
      <c r="BO158" s="21" t="s">
        <v>85</v>
      </c>
      <c r="BP158" s="22"/>
      <c r="BQ158" s="22"/>
      <c r="BR158" s="23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21" t="s">
        <v>99</v>
      </c>
      <c r="CF158" s="23"/>
      <c r="CG158" s="16" t="s">
        <v>128</v>
      </c>
      <c r="CH158" s="21" t="s">
        <v>100</v>
      </c>
      <c r="CI158" s="23"/>
      <c r="CJ158" s="19"/>
      <c r="CK158" s="19"/>
      <c r="CL158" s="21" t="s">
        <v>104</v>
      </c>
      <c r="CM158" s="23"/>
      <c r="CN158" s="16" t="s">
        <v>128</v>
      </c>
      <c r="CO158" s="21" t="s">
        <v>105</v>
      </c>
      <c r="CP158" s="22"/>
      <c r="CQ158" s="23"/>
      <c r="CR158" s="19"/>
      <c r="CS158" s="21" t="s">
        <v>109</v>
      </c>
      <c r="CT158" s="23"/>
      <c r="CU158" s="19"/>
      <c r="CV158" s="16" t="s">
        <v>128</v>
      </c>
      <c r="CW158" s="19"/>
      <c r="CX158" s="19"/>
      <c r="CY158" s="19"/>
      <c r="CZ158" s="21" t="s">
        <v>114</v>
      </c>
      <c r="DA158" s="22"/>
      <c r="DB158" s="23"/>
      <c r="DC158" s="16" t="s">
        <v>129</v>
      </c>
      <c r="DD158" s="16" t="s">
        <v>129</v>
      </c>
      <c r="DE158" s="16" t="s">
        <v>129</v>
      </c>
      <c r="DF158" s="16" t="s">
        <v>129</v>
      </c>
      <c r="DG158" s="16" t="s">
        <v>989</v>
      </c>
      <c r="DH158" s="21" t="s">
        <v>966</v>
      </c>
      <c r="DI158" s="23"/>
      <c r="DJ158" s="16" t="s">
        <v>127</v>
      </c>
      <c r="DK158" s="19"/>
      <c r="DL158" s="19"/>
      <c r="DM158" s="16" t="s">
        <v>144</v>
      </c>
      <c r="DN158" s="19"/>
      <c r="DO158" s="19"/>
    </row>
    <row r="159" ht="15.75" customHeight="1">
      <c r="A159" s="15">
        <v>157.0</v>
      </c>
      <c r="B159" s="16" t="s">
        <v>990</v>
      </c>
      <c r="C159" s="17">
        <v>3.1507012302589E13</v>
      </c>
      <c r="D159" s="18">
        <v>141.0</v>
      </c>
      <c r="E159" s="16" t="s">
        <v>991</v>
      </c>
      <c r="F159" s="16" t="s">
        <v>606</v>
      </c>
      <c r="G159" s="16" t="s">
        <v>547</v>
      </c>
      <c r="H159" s="20">
        <v>42186.0</v>
      </c>
      <c r="I159" s="16"/>
      <c r="J159" s="18">
        <v>1.0</v>
      </c>
      <c r="K159" s="16" t="s">
        <v>992</v>
      </c>
      <c r="L159" s="21" t="s">
        <v>138</v>
      </c>
      <c r="M159" s="23"/>
      <c r="N159" s="19"/>
      <c r="O159" s="19"/>
      <c r="P159" s="19"/>
      <c r="Q159" s="19"/>
      <c r="R159" s="19"/>
      <c r="S159" s="19"/>
      <c r="T159" s="19"/>
      <c r="U159" s="19"/>
      <c r="V159" s="21" t="s">
        <v>993</v>
      </c>
      <c r="W159" s="23"/>
      <c r="X159" s="19"/>
      <c r="Y159" s="21" t="s">
        <v>48</v>
      </c>
      <c r="Z159" s="23"/>
      <c r="AA159" s="16" t="s">
        <v>50</v>
      </c>
      <c r="AB159" s="19"/>
      <c r="AC159" s="19"/>
      <c r="AD159" s="19"/>
      <c r="AE159" s="19"/>
      <c r="AF159" s="19"/>
      <c r="AG159" s="19"/>
      <c r="AH159" s="21" t="s">
        <v>123</v>
      </c>
      <c r="AI159" s="23"/>
      <c r="AJ159" s="16" t="s">
        <v>124</v>
      </c>
      <c r="AK159" s="16" t="s">
        <v>142</v>
      </c>
      <c r="AL159" s="16" t="s">
        <v>126</v>
      </c>
      <c r="AM159" s="16" t="s">
        <v>126</v>
      </c>
      <c r="AN159" s="16" t="s">
        <v>126</v>
      </c>
      <c r="AO159" s="16" t="s">
        <v>126</v>
      </c>
      <c r="AP159" s="16" t="s">
        <v>126</v>
      </c>
      <c r="AQ159" s="16" t="s">
        <v>126</v>
      </c>
      <c r="AR159" s="16" t="s">
        <v>126</v>
      </c>
      <c r="AS159" s="19"/>
      <c r="AT159" s="19"/>
      <c r="AU159" s="16" t="s">
        <v>67</v>
      </c>
      <c r="AV159" s="21" t="s">
        <v>68</v>
      </c>
      <c r="AW159" s="22"/>
      <c r="AX159" s="23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21" t="s">
        <v>82</v>
      </c>
      <c r="BM159" s="23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6" t="s">
        <v>96</v>
      </c>
      <c r="CC159" s="21" t="s">
        <v>97</v>
      </c>
      <c r="CD159" s="23"/>
      <c r="CE159" s="19"/>
      <c r="CF159" s="19"/>
      <c r="CG159" s="16" t="s">
        <v>128</v>
      </c>
      <c r="CH159" s="19"/>
      <c r="CI159" s="19"/>
      <c r="CJ159" s="21" t="s">
        <v>102</v>
      </c>
      <c r="CK159" s="22"/>
      <c r="CL159" s="23"/>
      <c r="CM159" s="19"/>
      <c r="CN159" s="16" t="s">
        <v>128</v>
      </c>
      <c r="CO159" s="19"/>
      <c r="CP159" s="19"/>
      <c r="CQ159" s="19"/>
      <c r="CR159" s="21" t="s">
        <v>108</v>
      </c>
      <c r="CS159" s="23"/>
      <c r="CT159" s="21" t="s">
        <v>110</v>
      </c>
      <c r="CU159" s="23"/>
      <c r="CV159" s="16" t="s">
        <v>128</v>
      </c>
      <c r="CW159" s="21" t="s">
        <v>111</v>
      </c>
      <c r="CX159" s="22"/>
      <c r="CY159" s="23"/>
      <c r="CZ159" s="19"/>
      <c r="DA159" s="21" t="s">
        <v>115</v>
      </c>
      <c r="DB159" s="23"/>
      <c r="DC159" s="16" t="s">
        <v>129</v>
      </c>
      <c r="DD159" s="16" t="s">
        <v>129</v>
      </c>
      <c r="DE159" s="16" t="s">
        <v>129</v>
      </c>
      <c r="DF159" s="16" t="s">
        <v>602</v>
      </c>
      <c r="DG159" s="21" t="s">
        <v>994</v>
      </c>
      <c r="DH159" s="22"/>
      <c r="DI159" s="23"/>
      <c r="DJ159" s="16" t="s">
        <v>995</v>
      </c>
      <c r="DK159" s="21" t="s">
        <v>996</v>
      </c>
      <c r="DL159" s="23"/>
      <c r="DM159" s="21" t="s">
        <v>997</v>
      </c>
      <c r="DN159" s="23"/>
      <c r="DO159" s="19"/>
    </row>
    <row r="160" ht="15.75" customHeight="1">
      <c r="A160" s="15">
        <v>158.0</v>
      </c>
      <c r="B160" s="16" t="s">
        <v>998</v>
      </c>
      <c r="C160" s="17">
        <v>3.2008062501459E13</v>
      </c>
      <c r="D160" s="18">
        <v>98.0</v>
      </c>
      <c r="E160" s="16" t="s">
        <v>957</v>
      </c>
      <c r="F160" s="16" t="s">
        <v>546</v>
      </c>
      <c r="G160" s="16" t="s">
        <v>547</v>
      </c>
      <c r="H160" s="20">
        <v>44049.0</v>
      </c>
      <c r="I160" s="18">
        <v>1.0</v>
      </c>
      <c r="J160" s="19"/>
      <c r="K160" s="16" t="s">
        <v>999</v>
      </c>
      <c r="L160" s="21" t="s">
        <v>138</v>
      </c>
      <c r="M160" s="23"/>
      <c r="N160" s="19"/>
      <c r="O160" s="19"/>
      <c r="P160" s="19"/>
      <c r="Q160" s="19"/>
      <c r="R160" s="19"/>
      <c r="S160" s="19"/>
      <c r="T160" s="19"/>
      <c r="U160" s="19"/>
      <c r="V160" s="21" t="s">
        <v>890</v>
      </c>
      <c r="W160" s="23"/>
      <c r="X160" s="21" t="s">
        <v>47</v>
      </c>
      <c r="Y160" s="23"/>
      <c r="Z160" s="19"/>
      <c r="AA160" s="19"/>
      <c r="AB160" s="19"/>
      <c r="AC160" s="19"/>
      <c r="AD160" s="19"/>
      <c r="AE160" s="19"/>
      <c r="AF160" s="19"/>
      <c r="AG160" s="19"/>
      <c r="AH160" s="21" t="s">
        <v>123</v>
      </c>
      <c r="AI160" s="23"/>
      <c r="AJ160" s="16" t="s">
        <v>168</v>
      </c>
      <c r="AK160" s="16" t="s">
        <v>153</v>
      </c>
      <c r="AL160" s="16" t="s">
        <v>126</v>
      </c>
      <c r="AM160" s="16" t="s">
        <v>181</v>
      </c>
      <c r="AN160" s="16" t="s">
        <v>126</v>
      </c>
      <c r="AO160" s="16" t="s">
        <v>126</v>
      </c>
      <c r="AP160" s="16" t="s">
        <v>181</v>
      </c>
      <c r="AQ160" s="16" t="s">
        <v>126</v>
      </c>
      <c r="AR160" s="16" t="s">
        <v>126</v>
      </c>
      <c r="AS160" s="21" t="s">
        <v>65</v>
      </c>
      <c r="AT160" s="22"/>
      <c r="AU160" s="23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21" t="s">
        <v>78</v>
      </c>
      <c r="BH160" s="23"/>
      <c r="BI160" s="19"/>
      <c r="BJ160" s="19"/>
      <c r="BK160" s="19"/>
      <c r="BL160" s="19"/>
      <c r="BM160" s="19"/>
      <c r="BN160" s="19"/>
      <c r="BO160" s="21" t="s">
        <v>85</v>
      </c>
      <c r="BP160" s="22"/>
      <c r="BQ160" s="22"/>
      <c r="BR160" s="23"/>
      <c r="BS160" s="19"/>
      <c r="BT160" s="19"/>
      <c r="BU160" s="19"/>
      <c r="BV160" s="19"/>
      <c r="BW160" s="19"/>
      <c r="BX160" s="19"/>
      <c r="BY160" s="21" t="s">
        <v>93</v>
      </c>
      <c r="BZ160" s="22"/>
      <c r="CA160" s="23"/>
      <c r="CB160" s="19"/>
      <c r="CC160" s="19"/>
      <c r="CD160" s="19"/>
      <c r="CE160" s="19"/>
      <c r="CF160" s="19"/>
      <c r="CG160" s="16" t="s">
        <v>128</v>
      </c>
      <c r="CH160" s="16" t="s">
        <v>100</v>
      </c>
      <c r="CI160" s="21" t="s">
        <v>101</v>
      </c>
      <c r="CJ160" s="22"/>
      <c r="CK160" s="23"/>
      <c r="CL160" s="21" t="s">
        <v>104</v>
      </c>
      <c r="CM160" s="23"/>
      <c r="CN160" s="16" t="s">
        <v>128</v>
      </c>
      <c r="CO160" s="21" t="s">
        <v>105</v>
      </c>
      <c r="CP160" s="22"/>
      <c r="CQ160" s="23"/>
      <c r="CR160" s="21" t="s">
        <v>108</v>
      </c>
      <c r="CS160" s="23"/>
      <c r="CT160" s="21" t="s">
        <v>110</v>
      </c>
      <c r="CU160" s="23"/>
      <c r="CV160" s="16" t="s">
        <v>128</v>
      </c>
      <c r="CW160" s="19"/>
      <c r="CX160" s="21" t="s">
        <v>112</v>
      </c>
      <c r="CY160" s="23"/>
      <c r="CZ160" s="16" t="s">
        <v>114</v>
      </c>
      <c r="DA160" s="21" t="s">
        <v>115</v>
      </c>
      <c r="DB160" s="23"/>
      <c r="DC160" s="16" t="s">
        <v>129</v>
      </c>
      <c r="DD160" s="16" t="s">
        <v>129</v>
      </c>
      <c r="DE160" s="16" t="s">
        <v>129</v>
      </c>
      <c r="DF160" s="16" t="s">
        <v>145</v>
      </c>
      <c r="DG160" s="16" t="s">
        <v>1000</v>
      </c>
      <c r="DH160" s="16" t="s">
        <v>893</v>
      </c>
      <c r="DI160" s="16" t="s">
        <v>1001</v>
      </c>
      <c r="DJ160" s="16" t="s">
        <v>144</v>
      </c>
      <c r="DK160" s="16" t="s">
        <v>144</v>
      </c>
      <c r="DL160" s="16" t="s">
        <v>144</v>
      </c>
      <c r="DM160" s="16" t="s">
        <v>144</v>
      </c>
      <c r="DN160" s="16" t="s">
        <v>144</v>
      </c>
      <c r="DO160" s="16" t="s">
        <v>144</v>
      </c>
    </row>
    <row r="161" ht="15.75" customHeight="1">
      <c r="A161" s="15">
        <v>159.0</v>
      </c>
      <c r="B161" s="16" t="s">
        <v>1002</v>
      </c>
      <c r="C161" s="17">
        <v>3.1780102505044E13</v>
      </c>
      <c r="D161" s="18">
        <v>14.0</v>
      </c>
      <c r="E161" s="16" t="s">
        <v>957</v>
      </c>
      <c r="F161" s="16" t="s">
        <v>546</v>
      </c>
      <c r="G161" s="16" t="s">
        <v>547</v>
      </c>
      <c r="H161" s="20">
        <v>42957.0</v>
      </c>
      <c r="I161" s="16"/>
      <c r="J161" s="18">
        <v>1.0</v>
      </c>
      <c r="K161" s="16" t="s">
        <v>1003</v>
      </c>
      <c r="L161" s="21" t="s">
        <v>138</v>
      </c>
      <c r="M161" s="23"/>
      <c r="N161" s="19"/>
      <c r="O161" s="19"/>
      <c r="P161" s="19"/>
      <c r="Q161" s="19"/>
      <c r="R161" s="19"/>
      <c r="S161" s="19"/>
      <c r="T161" s="19"/>
      <c r="U161" s="19"/>
      <c r="V161" s="21" t="s">
        <v>910</v>
      </c>
      <c r="W161" s="23"/>
      <c r="X161" s="16" t="s">
        <v>47</v>
      </c>
      <c r="Y161" s="21" t="s">
        <v>48</v>
      </c>
      <c r="Z161" s="23"/>
      <c r="AA161" s="19"/>
      <c r="AB161" s="19"/>
      <c r="AC161" s="19"/>
      <c r="AD161" s="19"/>
      <c r="AE161" s="19"/>
      <c r="AF161" s="19"/>
      <c r="AG161" s="19"/>
      <c r="AH161" s="21" t="s">
        <v>123</v>
      </c>
      <c r="AI161" s="23"/>
      <c r="AJ161" s="16" t="s">
        <v>124</v>
      </c>
      <c r="AK161" s="16" t="s">
        <v>153</v>
      </c>
      <c r="AL161" s="16" t="s">
        <v>181</v>
      </c>
      <c r="AM161" s="16" t="s">
        <v>181</v>
      </c>
      <c r="AN161" s="16" t="s">
        <v>181</v>
      </c>
      <c r="AO161" s="16" t="s">
        <v>181</v>
      </c>
      <c r="AP161" s="16" t="s">
        <v>181</v>
      </c>
      <c r="AQ161" s="16" t="s">
        <v>181</v>
      </c>
      <c r="AR161" s="16" t="s">
        <v>181</v>
      </c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6" t="s">
        <v>81</v>
      </c>
      <c r="BL161" s="16" t="s">
        <v>82</v>
      </c>
      <c r="BM161" s="21" t="s">
        <v>83</v>
      </c>
      <c r="BN161" s="22"/>
      <c r="BO161" s="23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21" t="s">
        <v>99</v>
      </c>
      <c r="CF161" s="23"/>
      <c r="CG161" s="16" t="s">
        <v>128</v>
      </c>
      <c r="CH161" s="16" t="s">
        <v>100</v>
      </c>
      <c r="CI161" s="21" t="s">
        <v>101</v>
      </c>
      <c r="CJ161" s="22"/>
      <c r="CK161" s="23"/>
      <c r="CL161" s="19"/>
      <c r="CM161" s="19"/>
      <c r="CN161" s="16" t="s">
        <v>128</v>
      </c>
      <c r="CO161" s="21" t="s">
        <v>105</v>
      </c>
      <c r="CP161" s="22"/>
      <c r="CQ161" s="23"/>
      <c r="CR161" s="19"/>
      <c r="CS161" s="16" t="s">
        <v>109</v>
      </c>
      <c r="CT161" s="21" t="s">
        <v>110</v>
      </c>
      <c r="CU161" s="23"/>
      <c r="CV161" s="16" t="s">
        <v>128</v>
      </c>
      <c r="CW161" s="19"/>
      <c r="CX161" s="19"/>
      <c r="CY161" s="16" t="s">
        <v>113</v>
      </c>
      <c r="CZ161" s="21" t="s">
        <v>114</v>
      </c>
      <c r="DA161" s="22"/>
      <c r="DB161" s="23"/>
      <c r="DC161" s="16" t="s">
        <v>129</v>
      </c>
      <c r="DD161" s="16" t="s">
        <v>129</v>
      </c>
      <c r="DE161" s="16" t="s">
        <v>129</v>
      </c>
      <c r="DF161" s="16" t="s">
        <v>129</v>
      </c>
      <c r="DG161" s="16" t="s">
        <v>965</v>
      </c>
      <c r="DH161" s="21" t="s">
        <v>1004</v>
      </c>
      <c r="DI161" s="23"/>
      <c r="DJ161" s="16" t="s">
        <v>144</v>
      </c>
      <c r="DK161" s="19"/>
      <c r="DL161" s="19"/>
      <c r="DM161" s="16" t="s">
        <v>144</v>
      </c>
      <c r="DN161" s="19"/>
      <c r="DO161" s="19"/>
    </row>
    <row r="162" ht="15.75" customHeight="1">
      <c r="A162" s="15">
        <v>160.0</v>
      </c>
      <c r="B162" s="16" t="s">
        <v>1005</v>
      </c>
      <c r="C162" s="17">
        <v>3.0902272501821E13</v>
      </c>
      <c r="D162" s="18">
        <v>127.0</v>
      </c>
      <c r="E162" s="16" t="s">
        <v>939</v>
      </c>
      <c r="F162" s="16" t="s">
        <v>546</v>
      </c>
      <c r="G162" s="16" t="s">
        <v>547</v>
      </c>
      <c r="H162" s="20">
        <v>39871.0</v>
      </c>
      <c r="I162" s="16"/>
      <c r="J162" s="18">
        <v>1.0</v>
      </c>
      <c r="K162" s="16" t="s">
        <v>1006</v>
      </c>
      <c r="L162" s="16" t="s">
        <v>122</v>
      </c>
      <c r="M162" s="19"/>
      <c r="N162" s="19"/>
      <c r="O162" s="19"/>
      <c r="P162" s="19"/>
      <c r="Q162" s="19"/>
      <c r="R162" s="19"/>
      <c r="S162" s="19"/>
      <c r="T162" s="19"/>
      <c r="U162" s="19"/>
      <c r="V162" s="21" t="s">
        <v>1007</v>
      </c>
      <c r="W162" s="22"/>
      <c r="X162" s="23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</row>
    <row r="163" ht="15.75" customHeight="1">
      <c r="A163" s="15">
        <v>161.0</v>
      </c>
      <c r="B163" s="16" t="s">
        <v>1008</v>
      </c>
      <c r="C163" s="17">
        <v>3.22022502416E11</v>
      </c>
      <c r="D163" s="18">
        <v>156.0</v>
      </c>
      <c r="E163" s="16" t="s">
        <v>939</v>
      </c>
      <c r="F163" s="16" t="s">
        <v>546</v>
      </c>
      <c r="G163" s="16" t="s">
        <v>547</v>
      </c>
      <c r="H163" s="20">
        <v>44617.0</v>
      </c>
      <c r="I163" s="18">
        <v>1.0</v>
      </c>
      <c r="J163" s="19"/>
      <c r="K163" s="16" t="s">
        <v>1009</v>
      </c>
      <c r="L163" s="16" t="s">
        <v>122</v>
      </c>
      <c r="M163" s="19"/>
      <c r="N163" s="19"/>
      <c r="O163" s="19"/>
      <c r="P163" s="19"/>
      <c r="Q163" s="19"/>
      <c r="R163" s="19"/>
      <c r="S163" s="19"/>
      <c r="T163" s="21" t="s">
        <v>43</v>
      </c>
      <c r="U163" s="23"/>
      <c r="V163" s="21" t="s">
        <v>1010</v>
      </c>
      <c r="W163" s="23"/>
      <c r="X163" s="21" t="s">
        <v>47</v>
      </c>
      <c r="Y163" s="23"/>
      <c r="Z163" s="19"/>
      <c r="AA163" s="16" t="s">
        <v>50</v>
      </c>
      <c r="AB163" s="19"/>
      <c r="AC163" s="19"/>
      <c r="AD163" s="19"/>
      <c r="AE163" s="19"/>
      <c r="AF163" s="19"/>
      <c r="AG163" s="16" t="s">
        <v>1011</v>
      </c>
      <c r="AH163" s="21" t="s">
        <v>123</v>
      </c>
      <c r="AI163" s="23"/>
      <c r="AJ163" s="16" t="s">
        <v>124</v>
      </c>
      <c r="AK163" s="16" t="s">
        <v>142</v>
      </c>
      <c r="AL163" s="16" t="s">
        <v>181</v>
      </c>
      <c r="AM163" s="16" t="s">
        <v>143</v>
      </c>
      <c r="AN163" s="16" t="s">
        <v>181</v>
      </c>
      <c r="AO163" s="16" t="s">
        <v>181</v>
      </c>
      <c r="AP163" s="16" t="s">
        <v>126</v>
      </c>
      <c r="AQ163" s="16" t="s">
        <v>181</v>
      </c>
      <c r="AR163" s="16" t="s">
        <v>143</v>
      </c>
      <c r="AS163" s="16" t="s">
        <v>65</v>
      </c>
      <c r="AT163" s="21" t="s">
        <v>66</v>
      </c>
      <c r="AU163" s="22"/>
      <c r="AV163" s="23"/>
      <c r="AW163" s="21" t="s">
        <v>69</v>
      </c>
      <c r="AX163" s="23"/>
      <c r="AY163" s="16" t="s">
        <v>71</v>
      </c>
      <c r="AZ163" s="16" t="s">
        <v>1012</v>
      </c>
      <c r="BA163" s="16" t="s">
        <v>73</v>
      </c>
      <c r="BB163" s="21" t="s">
        <v>74</v>
      </c>
      <c r="BC163" s="23"/>
      <c r="BD163" s="16" t="s">
        <v>76</v>
      </c>
      <c r="BE163" s="21" t="s">
        <v>77</v>
      </c>
      <c r="BF163" s="23"/>
      <c r="BG163" s="16" t="s">
        <v>78</v>
      </c>
      <c r="BH163" s="16" t="s">
        <v>79</v>
      </c>
      <c r="BI163" s="21" t="s">
        <v>52</v>
      </c>
      <c r="BJ163" s="23"/>
      <c r="BK163" s="19"/>
      <c r="BL163" s="19"/>
      <c r="BM163" s="19"/>
      <c r="BN163" s="16" t="s">
        <v>84</v>
      </c>
      <c r="BO163" s="21" t="s">
        <v>85</v>
      </c>
      <c r="BP163" s="22"/>
      <c r="BQ163" s="22"/>
      <c r="BR163" s="23"/>
      <c r="BS163" s="19"/>
      <c r="BT163" s="19"/>
      <c r="BU163" s="21" t="s">
        <v>90</v>
      </c>
      <c r="BV163" s="23"/>
      <c r="BW163" s="21" t="s">
        <v>92</v>
      </c>
      <c r="BX163" s="23"/>
      <c r="BY163" s="21" t="s">
        <v>93</v>
      </c>
      <c r="BZ163" s="22"/>
      <c r="CA163" s="23"/>
      <c r="CB163" s="16" t="s">
        <v>96</v>
      </c>
      <c r="CC163" s="21" t="s">
        <v>97</v>
      </c>
      <c r="CD163" s="23"/>
      <c r="CE163" s="21" t="s">
        <v>99</v>
      </c>
      <c r="CF163" s="23"/>
      <c r="CG163" s="16" t="s">
        <v>128</v>
      </c>
      <c r="CH163" s="16" t="s">
        <v>100</v>
      </c>
      <c r="CI163" s="16" t="s">
        <v>101</v>
      </c>
      <c r="CJ163" s="21" t="s">
        <v>102</v>
      </c>
      <c r="CK163" s="23"/>
      <c r="CL163" s="21" t="s">
        <v>104</v>
      </c>
      <c r="CM163" s="23"/>
      <c r="CN163" s="16" t="s">
        <v>128</v>
      </c>
      <c r="CO163" s="21" t="s">
        <v>105</v>
      </c>
      <c r="CP163" s="23"/>
      <c r="CQ163" s="16" t="s">
        <v>107</v>
      </c>
      <c r="CR163" s="16" t="s">
        <v>108</v>
      </c>
      <c r="CS163" s="16" t="s">
        <v>109</v>
      </c>
      <c r="CT163" s="21" t="s">
        <v>110</v>
      </c>
      <c r="CU163" s="23"/>
      <c r="CV163" s="16" t="s">
        <v>128</v>
      </c>
      <c r="CW163" s="19"/>
      <c r="CX163" s="21" t="s">
        <v>112</v>
      </c>
      <c r="CY163" s="23"/>
      <c r="CZ163" s="16" t="s">
        <v>114</v>
      </c>
      <c r="DA163" s="21" t="s">
        <v>115</v>
      </c>
      <c r="DB163" s="23"/>
      <c r="DC163" s="16" t="s">
        <v>129</v>
      </c>
      <c r="DD163" s="16" t="s">
        <v>129</v>
      </c>
      <c r="DE163" s="16" t="s">
        <v>129</v>
      </c>
      <c r="DF163" s="16" t="s">
        <v>129</v>
      </c>
      <c r="DG163" s="16" t="s">
        <v>1013</v>
      </c>
      <c r="DH163" s="16" t="s">
        <v>1014</v>
      </c>
      <c r="DI163" s="16" t="s">
        <v>1015</v>
      </c>
      <c r="DJ163" s="21" t="s">
        <v>1016</v>
      </c>
      <c r="DK163" s="23"/>
      <c r="DL163" s="19"/>
      <c r="DM163" s="16" t="s">
        <v>1017</v>
      </c>
      <c r="DN163" s="16" t="s">
        <v>1018</v>
      </c>
      <c r="DO163" s="19"/>
    </row>
    <row r="164" ht="15.75" customHeight="1">
      <c r="A164" s="15">
        <v>162.0</v>
      </c>
      <c r="B164" s="16" t="s">
        <v>1019</v>
      </c>
      <c r="C164" s="17">
        <v>3.0509142500986E13</v>
      </c>
      <c r="D164" s="18">
        <v>132.0</v>
      </c>
      <c r="E164" s="16" t="s">
        <v>991</v>
      </c>
      <c r="F164" s="16" t="s">
        <v>606</v>
      </c>
      <c r="G164" s="16" t="s">
        <v>547</v>
      </c>
      <c r="H164" s="20">
        <v>38609.0</v>
      </c>
      <c r="I164" s="16"/>
      <c r="J164" s="18">
        <v>1.0</v>
      </c>
      <c r="K164" s="16" t="s">
        <v>992</v>
      </c>
      <c r="L164" s="21" t="s">
        <v>138</v>
      </c>
      <c r="M164" s="23"/>
      <c r="N164" s="19"/>
      <c r="O164" s="19"/>
      <c r="P164" s="19"/>
      <c r="Q164" s="19"/>
      <c r="R164" s="19"/>
      <c r="S164" s="19"/>
      <c r="T164" s="19"/>
      <c r="U164" s="19"/>
      <c r="V164" s="21" t="s">
        <v>993</v>
      </c>
      <c r="W164" s="23"/>
      <c r="X164" s="16" t="s">
        <v>47</v>
      </c>
      <c r="Y164" s="21" t="s">
        <v>48</v>
      </c>
      <c r="Z164" s="23"/>
      <c r="AA164" s="16" t="s">
        <v>50</v>
      </c>
      <c r="AB164" s="19"/>
      <c r="AC164" s="19"/>
      <c r="AD164" s="19"/>
      <c r="AE164" s="19"/>
      <c r="AF164" s="19"/>
      <c r="AG164" s="19"/>
      <c r="AH164" s="21" t="s">
        <v>228</v>
      </c>
      <c r="AI164" s="23"/>
      <c r="AJ164" s="16" t="s">
        <v>124</v>
      </c>
      <c r="AK164" s="16" t="s">
        <v>142</v>
      </c>
      <c r="AL164" s="16" t="s">
        <v>181</v>
      </c>
      <c r="AM164" s="16" t="s">
        <v>126</v>
      </c>
      <c r="AN164" s="16" t="s">
        <v>126</v>
      </c>
      <c r="AO164" s="16" t="s">
        <v>126</v>
      </c>
      <c r="AP164" s="16" t="s">
        <v>143</v>
      </c>
      <c r="AQ164" s="16" t="s">
        <v>126</v>
      </c>
      <c r="AR164" s="16" t="s">
        <v>126</v>
      </c>
      <c r="AS164" s="19"/>
      <c r="AT164" s="19"/>
      <c r="AU164" s="16" t="s">
        <v>67</v>
      </c>
      <c r="AV164" s="21" t="s">
        <v>68</v>
      </c>
      <c r="AW164" s="22"/>
      <c r="AX164" s="23"/>
      <c r="AY164" s="21" t="s">
        <v>71</v>
      </c>
      <c r="AZ164" s="22"/>
      <c r="BA164" s="23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21" t="s">
        <v>82</v>
      </c>
      <c r="BM164" s="23"/>
      <c r="BN164" s="19"/>
      <c r="BO164" s="21" t="s">
        <v>85</v>
      </c>
      <c r="BP164" s="22"/>
      <c r="BQ164" s="22"/>
      <c r="BR164" s="23"/>
      <c r="BS164" s="19"/>
      <c r="BT164" s="19"/>
      <c r="BU164" s="21" t="s">
        <v>90</v>
      </c>
      <c r="BV164" s="23"/>
      <c r="BW164" s="21" t="s">
        <v>92</v>
      </c>
      <c r="BX164" s="22"/>
      <c r="BY164" s="23"/>
      <c r="BZ164" s="19"/>
      <c r="CA164" s="19"/>
      <c r="CB164" s="16" t="s">
        <v>96</v>
      </c>
      <c r="CC164" s="21" t="s">
        <v>97</v>
      </c>
      <c r="CD164" s="23"/>
      <c r="CE164" s="19"/>
      <c r="CF164" s="19"/>
      <c r="CG164" s="16" t="s">
        <v>128</v>
      </c>
      <c r="CH164" s="19"/>
      <c r="CI164" s="19"/>
      <c r="CJ164" s="21" t="s">
        <v>102</v>
      </c>
      <c r="CK164" s="22"/>
      <c r="CL164" s="23"/>
      <c r="CM164" s="19"/>
      <c r="CN164" s="16" t="s">
        <v>128</v>
      </c>
      <c r="CO164" s="21" t="s">
        <v>105</v>
      </c>
      <c r="CP164" s="22"/>
      <c r="CQ164" s="23"/>
      <c r="CR164" s="19"/>
      <c r="CS164" s="19"/>
      <c r="CT164" s="21" t="s">
        <v>110</v>
      </c>
      <c r="CU164" s="23"/>
      <c r="CV164" s="16" t="s">
        <v>128</v>
      </c>
      <c r="CW164" s="21" t="s">
        <v>111</v>
      </c>
      <c r="CX164" s="22"/>
      <c r="CY164" s="23"/>
      <c r="CZ164" s="19"/>
      <c r="DA164" s="19"/>
      <c r="DB164" s="19"/>
      <c r="DC164" s="16" t="s">
        <v>145</v>
      </c>
      <c r="DD164" s="16" t="s">
        <v>145</v>
      </c>
      <c r="DE164" s="16" t="s">
        <v>145</v>
      </c>
      <c r="DF164" s="19"/>
      <c r="DG164" s="16" t="s">
        <v>628</v>
      </c>
      <c r="DH164" s="21" t="s">
        <v>1020</v>
      </c>
      <c r="DI164" s="23"/>
      <c r="DJ164" s="16" t="s">
        <v>995</v>
      </c>
      <c r="DK164" s="21" t="s">
        <v>1021</v>
      </c>
      <c r="DL164" s="23"/>
      <c r="DM164" s="21" t="s">
        <v>1022</v>
      </c>
      <c r="DN164" s="23"/>
      <c r="DO164" s="19"/>
    </row>
    <row r="165" ht="15.75" customHeight="1">
      <c r="A165" s="15">
        <v>163.0</v>
      </c>
      <c r="B165" s="16" t="s">
        <v>1023</v>
      </c>
      <c r="C165" s="17">
        <v>3.1907162500248E13</v>
      </c>
      <c r="D165" s="18">
        <v>154.0</v>
      </c>
      <c r="E165" s="16" t="s">
        <v>939</v>
      </c>
      <c r="F165" s="16" t="s">
        <v>546</v>
      </c>
      <c r="G165" s="16" t="s">
        <v>547</v>
      </c>
      <c r="H165" s="20">
        <v>43662.0</v>
      </c>
      <c r="I165" s="16"/>
      <c r="J165" s="18">
        <v>1.0</v>
      </c>
      <c r="K165" s="16" t="s">
        <v>1024</v>
      </c>
      <c r="L165" s="21" t="s">
        <v>138</v>
      </c>
      <c r="M165" s="23"/>
      <c r="N165" s="19"/>
      <c r="O165" s="19"/>
      <c r="P165" s="19"/>
      <c r="Q165" s="19"/>
      <c r="R165" s="19"/>
      <c r="S165" s="19"/>
      <c r="T165" s="19"/>
      <c r="U165" s="19"/>
      <c r="V165" s="16" t="s">
        <v>127</v>
      </c>
      <c r="W165" s="16" t="s">
        <v>46</v>
      </c>
      <c r="X165" s="21" t="s">
        <v>47</v>
      </c>
      <c r="Y165" s="23"/>
      <c r="Z165" s="19"/>
      <c r="AA165" s="19"/>
      <c r="AB165" s="19"/>
      <c r="AC165" s="19"/>
      <c r="AD165" s="19"/>
      <c r="AE165" s="19"/>
      <c r="AF165" s="19"/>
      <c r="AG165" s="19"/>
      <c r="AH165" s="21" t="s">
        <v>123</v>
      </c>
      <c r="AI165" s="23"/>
      <c r="AJ165" s="16" t="s">
        <v>168</v>
      </c>
      <c r="AK165" s="16" t="s">
        <v>153</v>
      </c>
      <c r="AL165" s="16" t="s">
        <v>126</v>
      </c>
      <c r="AM165" s="16" t="s">
        <v>126</v>
      </c>
      <c r="AN165" s="16" t="s">
        <v>181</v>
      </c>
      <c r="AO165" s="16" t="s">
        <v>126</v>
      </c>
      <c r="AP165" s="16" t="s">
        <v>181</v>
      </c>
      <c r="AQ165" s="16" t="s">
        <v>126</v>
      </c>
      <c r="AR165" s="16" t="s">
        <v>126</v>
      </c>
      <c r="AS165" s="21" t="s">
        <v>65</v>
      </c>
      <c r="AT165" s="22"/>
      <c r="AU165" s="23"/>
      <c r="AV165" s="19"/>
      <c r="AW165" s="16" t="s">
        <v>69</v>
      </c>
      <c r="AX165" s="16" t="s">
        <v>70</v>
      </c>
      <c r="AY165" s="21" t="s">
        <v>71</v>
      </c>
      <c r="AZ165" s="22"/>
      <c r="BA165" s="23"/>
      <c r="BB165" s="19"/>
      <c r="BC165" s="19"/>
      <c r="BD165" s="19"/>
      <c r="BE165" s="19"/>
      <c r="BF165" s="19"/>
      <c r="BG165" s="21" t="s">
        <v>78</v>
      </c>
      <c r="BH165" s="23"/>
      <c r="BI165" s="21" t="s">
        <v>52</v>
      </c>
      <c r="BJ165" s="23"/>
      <c r="BK165" s="16" t="s">
        <v>81</v>
      </c>
      <c r="BL165" s="19"/>
      <c r="BM165" s="19"/>
      <c r="BN165" s="19"/>
      <c r="BO165" s="21" t="s">
        <v>85</v>
      </c>
      <c r="BP165" s="22"/>
      <c r="BQ165" s="22"/>
      <c r="BR165" s="23"/>
      <c r="BS165" s="19"/>
      <c r="BT165" s="19"/>
      <c r="BU165" s="19"/>
      <c r="BV165" s="19"/>
      <c r="BW165" s="19"/>
      <c r="BX165" s="19"/>
      <c r="BY165" s="19"/>
      <c r="BZ165" s="19"/>
      <c r="CA165" s="21" t="s">
        <v>95</v>
      </c>
      <c r="CB165" s="22"/>
      <c r="CC165" s="23"/>
      <c r="CD165" s="19"/>
      <c r="CE165" s="19"/>
      <c r="CF165" s="19"/>
      <c r="CG165" s="16" t="s">
        <v>128</v>
      </c>
      <c r="CH165" s="16" t="s">
        <v>100</v>
      </c>
      <c r="CI165" s="16" t="s">
        <v>101</v>
      </c>
      <c r="CJ165" s="21" t="s">
        <v>102</v>
      </c>
      <c r="CK165" s="23"/>
      <c r="CL165" s="21" t="s">
        <v>104</v>
      </c>
      <c r="CM165" s="23"/>
      <c r="CN165" s="16" t="s">
        <v>128</v>
      </c>
      <c r="CO165" s="16" t="s">
        <v>105</v>
      </c>
      <c r="CP165" s="16" t="s">
        <v>106</v>
      </c>
      <c r="CQ165" s="16" t="s">
        <v>107</v>
      </c>
      <c r="CR165" s="16" t="s">
        <v>108</v>
      </c>
      <c r="CS165" s="16" t="s">
        <v>109</v>
      </c>
      <c r="CT165" s="21" t="s">
        <v>110</v>
      </c>
      <c r="CU165" s="23"/>
      <c r="CV165" s="16" t="s">
        <v>128</v>
      </c>
      <c r="CW165" s="19"/>
      <c r="CX165" s="21" t="s">
        <v>112</v>
      </c>
      <c r="CY165" s="22"/>
      <c r="CZ165" s="23"/>
      <c r="DA165" s="21" t="s">
        <v>115</v>
      </c>
      <c r="DB165" s="23"/>
      <c r="DC165" s="16" t="s">
        <v>129</v>
      </c>
      <c r="DD165" s="16" t="s">
        <v>145</v>
      </c>
      <c r="DE165" s="16" t="s">
        <v>145</v>
      </c>
      <c r="DF165" s="16" t="s">
        <v>145</v>
      </c>
      <c r="DG165" s="16" t="s">
        <v>1025</v>
      </c>
      <c r="DH165" s="16" t="s">
        <v>1026</v>
      </c>
      <c r="DI165" s="21" t="s">
        <v>1027</v>
      </c>
      <c r="DJ165" s="23"/>
      <c r="DK165" s="19"/>
      <c r="DL165" s="19"/>
      <c r="DM165" s="21" t="s">
        <v>629</v>
      </c>
      <c r="DN165" s="23"/>
      <c r="DO165" s="19"/>
    </row>
    <row r="166" ht="15.75" customHeight="1">
      <c r="A166" s="15">
        <v>164.0</v>
      </c>
      <c r="B166" s="16" t="s">
        <v>1028</v>
      </c>
      <c r="C166" s="17">
        <v>3.0412025001442E13</v>
      </c>
      <c r="D166" s="18">
        <v>60.0</v>
      </c>
      <c r="E166" s="16" t="s">
        <v>957</v>
      </c>
      <c r="F166" s="16" t="s">
        <v>546</v>
      </c>
      <c r="G166" s="16" t="s">
        <v>547</v>
      </c>
      <c r="H166" s="20">
        <v>38006.0</v>
      </c>
      <c r="I166" s="16"/>
      <c r="J166" s="18">
        <v>1.0</v>
      </c>
      <c r="K166" s="16" t="s">
        <v>1029</v>
      </c>
      <c r="L166" s="21" t="s">
        <v>138</v>
      </c>
      <c r="M166" s="23"/>
      <c r="N166" s="19"/>
      <c r="O166" s="19"/>
      <c r="P166" s="19"/>
      <c r="Q166" s="19"/>
      <c r="R166" s="19"/>
      <c r="S166" s="19"/>
      <c r="T166" s="19"/>
      <c r="U166" s="19"/>
      <c r="V166" s="21" t="s">
        <v>1030</v>
      </c>
      <c r="W166" s="22"/>
      <c r="X166" s="23"/>
      <c r="Y166" s="19"/>
      <c r="Z166" s="19"/>
      <c r="AA166" s="19"/>
      <c r="AB166" s="19"/>
      <c r="AC166" s="21" t="s">
        <v>52</v>
      </c>
      <c r="AD166" s="23"/>
      <c r="AE166" s="16" t="s">
        <v>54</v>
      </c>
      <c r="AF166" s="21" t="s">
        <v>55</v>
      </c>
      <c r="AG166" s="23"/>
      <c r="AH166" s="21" t="s">
        <v>123</v>
      </c>
      <c r="AI166" s="23"/>
      <c r="AJ166" s="16" t="s">
        <v>124</v>
      </c>
      <c r="AK166" s="16" t="s">
        <v>153</v>
      </c>
      <c r="AL166" s="16" t="s">
        <v>126</v>
      </c>
      <c r="AM166" s="16" t="s">
        <v>126</v>
      </c>
      <c r="AN166" s="16" t="s">
        <v>126</v>
      </c>
      <c r="AO166" s="16" t="s">
        <v>181</v>
      </c>
      <c r="AP166" s="16" t="s">
        <v>181</v>
      </c>
      <c r="AQ166" s="16" t="s">
        <v>126</v>
      </c>
      <c r="AR166" s="16" t="s">
        <v>126</v>
      </c>
      <c r="AS166" s="19"/>
      <c r="AT166" s="19"/>
      <c r="AU166" s="19"/>
      <c r="AV166" s="19"/>
      <c r="AW166" s="19"/>
      <c r="AX166" s="19"/>
      <c r="AY166" s="19"/>
      <c r="AZ166" s="19"/>
      <c r="BA166" s="21" t="s">
        <v>73</v>
      </c>
      <c r="BB166" s="23"/>
      <c r="BC166" s="16" t="s">
        <v>75</v>
      </c>
      <c r="BD166" s="16" t="s">
        <v>76</v>
      </c>
      <c r="BE166" s="21" t="s">
        <v>77</v>
      </c>
      <c r="BF166" s="22"/>
      <c r="BG166" s="22"/>
      <c r="BH166" s="23"/>
      <c r="BI166" s="19"/>
      <c r="BJ166" s="19"/>
      <c r="BK166" s="19"/>
      <c r="BL166" s="19"/>
      <c r="BM166" s="19"/>
      <c r="BN166" s="19"/>
      <c r="BO166" s="19"/>
      <c r="BP166" s="19"/>
      <c r="BQ166" s="21" t="s">
        <v>86</v>
      </c>
      <c r="BR166" s="22"/>
      <c r="BS166" s="23"/>
      <c r="BT166" s="19"/>
      <c r="BU166" s="21" t="s">
        <v>90</v>
      </c>
      <c r="BV166" s="23"/>
      <c r="BW166" s="21" t="s">
        <v>92</v>
      </c>
      <c r="BX166" s="23"/>
      <c r="BY166" s="21" t="s">
        <v>93</v>
      </c>
      <c r="BZ166" s="22"/>
      <c r="CA166" s="23"/>
      <c r="CB166" s="19"/>
      <c r="CC166" s="19"/>
      <c r="CD166" s="19"/>
      <c r="CE166" s="19"/>
      <c r="CF166" s="19"/>
      <c r="CG166" s="16" t="s">
        <v>128</v>
      </c>
      <c r="CH166" s="19"/>
      <c r="CI166" s="19"/>
      <c r="CJ166" s="19"/>
      <c r="CK166" s="19"/>
      <c r="CL166" s="21" t="s">
        <v>104</v>
      </c>
      <c r="CM166" s="23"/>
      <c r="CN166" s="16" t="s">
        <v>128</v>
      </c>
      <c r="CO166" s="16" t="s">
        <v>105</v>
      </c>
      <c r="CP166" s="16" t="s">
        <v>106</v>
      </c>
      <c r="CQ166" s="16" t="s">
        <v>107</v>
      </c>
      <c r="CR166" s="16" t="s">
        <v>108</v>
      </c>
      <c r="CS166" s="16" t="s">
        <v>109</v>
      </c>
      <c r="CT166" s="21" t="s">
        <v>110</v>
      </c>
      <c r="CU166" s="23"/>
      <c r="CV166" s="16" t="s">
        <v>128</v>
      </c>
      <c r="CW166" s="19"/>
      <c r="CX166" s="16" t="s">
        <v>112</v>
      </c>
      <c r="CY166" s="21" t="s">
        <v>113</v>
      </c>
      <c r="CZ166" s="23"/>
      <c r="DA166" s="21" t="s">
        <v>115</v>
      </c>
      <c r="DB166" s="23"/>
      <c r="DC166" s="16" t="s">
        <v>145</v>
      </c>
      <c r="DD166" s="16" t="s">
        <v>129</v>
      </c>
      <c r="DE166" s="16" t="s">
        <v>129</v>
      </c>
      <c r="DF166" s="16" t="s">
        <v>145</v>
      </c>
      <c r="DG166" s="16" t="s">
        <v>1031</v>
      </c>
      <c r="DH166" s="16" t="s">
        <v>589</v>
      </c>
      <c r="DI166" s="16" t="s">
        <v>1032</v>
      </c>
      <c r="DJ166" s="16" t="s">
        <v>144</v>
      </c>
      <c r="DK166" s="16" t="s">
        <v>144</v>
      </c>
      <c r="DL166" s="16" t="s">
        <v>144</v>
      </c>
      <c r="DM166" s="16" t="s">
        <v>1033</v>
      </c>
      <c r="DN166" s="16" t="s">
        <v>144</v>
      </c>
      <c r="DO166" s="16" t="s">
        <v>144</v>
      </c>
    </row>
    <row r="167" ht="15.75" customHeight="1">
      <c r="A167" s="15">
        <v>165.0</v>
      </c>
      <c r="B167" s="16" t="s">
        <v>1034</v>
      </c>
      <c r="C167" s="17">
        <v>3.140408252213E12</v>
      </c>
      <c r="D167" s="18">
        <v>3.0</v>
      </c>
      <c r="E167" s="16" t="s">
        <v>957</v>
      </c>
      <c r="F167" s="16" t="s">
        <v>546</v>
      </c>
      <c r="G167" s="16" t="s">
        <v>547</v>
      </c>
      <c r="H167" s="20">
        <v>41737.0</v>
      </c>
      <c r="I167" s="18">
        <v>1.0</v>
      </c>
      <c r="J167" s="19"/>
      <c r="K167" s="16" t="s">
        <v>1035</v>
      </c>
      <c r="L167" s="21" t="s">
        <v>138</v>
      </c>
      <c r="M167" s="23"/>
      <c r="N167" s="19"/>
      <c r="O167" s="19"/>
      <c r="P167" s="19"/>
      <c r="Q167" s="19"/>
      <c r="R167" s="19"/>
      <c r="S167" s="19"/>
      <c r="T167" s="19"/>
      <c r="U167" s="19"/>
      <c r="V167" s="16" t="s">
        <v>910</v>
      </c>
      <c r="W167" s="16" t="s">
        <v>46</v>
      </c>
      <c r="X167" s="16" t="s">
        <v>47</v>
      </c>
      <c r="Y167" s="21" t="s">
        <v>48</v>
      </c>
      <c r="Z167" s="23"/>
      <c r="AA167" s="19"/>
      <c r="AB167" s="19"/>
      <c r="AC167" s="19"/>
      <c r="AD167" s="19"/>
      <c r="AE167" s="19"/>
      <c r="AF167" s="19"/>
      <c r="AG167" s="19"/>
      <c r="AH167" s="21" t="s">
        <v>123</v>
      </c>
      <c r="AI167" s="23"/>
      <c r="AJ167" s="16" t="s">
        <v>168</v>
      </c>
      <c r="AK167" s="16" t="s">
        <v>153</v>
      </c>
      <c r="AL167" s="16" t="s">
        <v>181</v>
      </c>
      <c r="AM167" s="16" t="s">
        <v>181</v>
      </c>
      <c r="AN167" s="16" t="s">
        <v>181</v>
      </c>
      <c r="AO167" s="16" t="s">
        <v>181</v>
      </c>
      <c r="AP167" s="16" t="s">
        <v>181</v>
      </c>
      <c r="AQ167" s="16" t="s">
        <v>181</v>
      </c>
      <c r="AR167" s="16" t="s">
        <v>181</v>
      </c>
      <c r="AS167" s="21" t="s">
        <v>65</v>
      </c>
      <c r="AT167" s="23"/>
      <c r="AU167" s="16" t="s">
        <v>67</v>
      </c>
      <c r="AV167" s="16" t="s">
        <v>68</v>
      </c>
      <c r="AW167" s="16" t="s">
        <v>69</v>
      </c>
      <c r="AX167" s="21" t="s">
        <v>70</v>
      </c>
      <c r="AY167" s="22"/>
      <c r="AZ167" s="23"/>
      <c r="BA167" s="19"/>
      <c r="BB167" s="19"/>
      <c r="BC167" s="19"/>
      <c r="BD167" s="19"/>
      <c r="BE167" s="19"/>
      <c r="BF167" s="19"/>
      <c r="BG167" s="21" t="s">
        <v>78</v>
      </c>
      <c r="BH167" s="23"/>
      <c r="BI167" s="19"/>
      <c r="BJ167" s="19"/>
      <c r="BK167" s="16" t="s">
        <v>81</v>
      </c>
      <c r="BL167" s="16" t="s">
        <v>82</v>
      </c>
      <c r="BM167" s="21" t="s">
        <v>83</v>
      </c>
      <c r="BN167" s="22"/>
      <c r="BO167" s="23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21" t="s">
        <v>99</v>
      </c>
      <c r="CF167" s="23"/>
      <c r="CG167" s="16" t="s">
        <v>128</v>
      </c>
      <c r="CH167" s="19"/>
      <c r="CI167" s="21" t="s">
        <v>101</v>
      </c>
      <c r="CJ167" s="23"/>
      <c r="CK167" s="16" t="s">
        <v>103</v>
      </c>
      <c r="CL167" s="21" t="s">
        <v>104</v>
      </c>
      <c r="CM167" s="23"/>
      <c r="CN167" s="16" t="s">
        <v>128</v>
      </c>
      <c r="CO167" s="16" t="s">
        <v>105</v>
      </c>
      <c r="CP167" s="21" t="s">
        <v>106</v>
      </c>
      <c r="CQ167" s="22"/>
      <c r="CR167" s="23"/>
      <c r="CS167" s="21" t="s">
        <v>109</v>
      </c>
      <c r="CT167" s="23"/>
      <c r="CU167" s="19"/>
      <c r="CV167" s="16" t="s">
        <v>128</v>
      </c>
      <c r="CW167" s="19"/>
      <c r="CX167" s="21" t="s">
        <v>112</v>
      </c>
      <c r="CY167" s="23"/>
      <c r="CZ167" s="21" t="s">
        <v>114</v>
      </c>
      <c r="DA167" s="22"/>
      <c r="DB167" s="23"/>
      <c r="DC167" s="16" t="s">
        <v>129</v>
      </c>
      <c r="DD167" s="16" t="s">
        <v>129</v>
      </c>
      <c r="DE167" s="16" t="s">
        <v>129</v>
      </c>
      <c r="DF167" s="16" t="s">
        <v>129</v>
      </c>
      <c r="DG167" s="16" t="s">
        <v>1036</v>
      </c>
      <c r="DH167" s="16" t="s">
        <v>1037</v>
      </c>
      <c r="DI167" s="19"/>
      <c r="DJ167" s="16" t="s">
        <v>144</v>
      </c>
      <c r="DK167" s="19"/>
      <c r="DL167" s="19"/>
      <c r="DM167" s="16" t="s">
        <v>144</v>
      </c>
      <c r="DN167" s="19"/>
      <c r="DO167" s="19"/>
    </row>
    <row r="168" ht="15.75" customHeight="1">
      <c r="A168" s="15">
        <v>166.0</v>
      </c>
      <c r="B168" s="16" t="s">
        <v>1038</v>
      </c>
      <c r="C168" s="17">
        <v>3.1805222500423E13</v>
      </c>
      <c r="D168" s="18">
        <v>112.0</v>
      </c>
      <c r="E168" s="16" t="s">
        <v>991</v>
      </c>
      <c r="F168" s="16" t="s">
        <v>606</v>
      </c>
      <c r="G168" s="16" t="s">
        <v>547</v>
      </c>
      <c r="H168" s="20">
        <v>43242.0</v>
      </c>
      <c r="I168" s="16"/>
      <c r="J168" s="18">
        <v>1.0</v>
      </c>
      <c r="K168" s="16" t="s">
        <v>1039</v>
      </c>
      <c r="L168" s="21" t="s">
        <v>138</v>
      </c>
      <c r="M168" s="23"/>
      <c r="N168" s="19"/>
      <c r="O168" s="19"/>
      <c r="P168" s="19"/>
      <c r="Q168" s="19"/>
      <c r="R168" s="19"/>
      <c r="S168" s="19"/>
      <c r="T168" s="19"/>
      <c r="U168" s="19"/>
      <c r="V168" s="16" t="s">
        <v>993</v>
      </c>
      <c r="W168" s="16" t="s">
        <v>46</v>
      </c>
      <c r="X168" s="21" t="s">
        <v>47</v>
      </c>
      <c r="Y168" s="23"/>
      <c r="Z168" s="19"/>
      <c r="AA168" s="16" t="s">
        <v>50</v>
      </c>
      <c r="AB168" s="19"/>
      <c r="AC168" s="19"/>
      <c r="AD168" s="19"/>
      <c r="AE168" s="19"/>
      <c r="AF168" s="19"/>
      <c r="AG168" s="19"/>
      <c r="AH168" s="21" t="s">
        <v>228</v>
      </c>
      <c r="AI168" s="23"/>
      <c r="AJ168" s="16" t="s">
        <v>124</v>
      </c>
      <c r="AK168" s="16" t="s">
        <v>142</v>
      </c>
      <c r="AL168" s="16" t="s">
        <v>126</v>
      </c>
      <c r="AM168" s="16" t="s">
        <v>126</v>
      </c>
      <c r="AN168" s="16" t="s">
        <v>126</v>
      </c>
      <c r="AO168" s="16" t="s">
        <v>126</v>
      </c>
      <c r="AP168" s="16" t="s">
        <v>126</v>
      </c>
      <c r="AQ168" s="16" t="s">
        <v>126</v>
      </c>
      <c r="AR168" s="16" t="s">
        <v>126</v>
      </c>
      <c r="AS168" s="19"/>
      <c r="AT168" s="19"/>
      <c r="AU168" s="19"/>
      <c r="AV168" s="19"/>
      <c r="AW168" s="19"/>
      <c r="AX168" s="19"/>
      <c r="AY168" s="16" t="s">
        <v>71</v>
      </c>
      <c r="AZ168" s="21" t="s">
        <v>1040</v>
      </c>
      <c r="BA168" s="22"/>
      <c r="BB168" s="23"/>
      <c r="BC168" s="19"/>
      <c r="BD168" s="19"/>
      <c r="BE168" s="19"/>
      <c r="BF168" s="19"/>
      <c r="BG168" s="21" t="s">
        <v>78</v>
      </c>
      <c r="BH168" s="23"/>
      <c r="BI168" s="19"/>
      <c r="BJ168" s="19"/>
      <c r="BK168" s="19"/>
      <c r="BL168" s="19"/>
      <c r="BM168" s="21" t="s">
        <v>83</v>
      </c>
      <c r="BN168" s="22"/>
      <c r="BO168" s="23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21" t="s">
        <v>96</v>
      </c>
      <c r="CC168" s="23"/>
      <c r="CD168" s="19"/>
      <c r="CE168" s="19"/>
      <c r="CF168" s="19"/>
      <c r="CG168" s="16" t="s">
        <v>128</v>
      </c>
      <c r="CH168" s="19"/>
      <c r="CI168" s="19"/>
      <c r="CJ168" s="21" t="s">
        <v>102</v>
      </c>
      <c r="CK168" s="23"/>
      <c r="CL168" s="21" t="s">
        <v>104</v>
      </c>
      <c r="CM168" s="23"/>
      <c r="CN168" s="16" t="s">
        <v>128</v>
      </c>
      <c r="CO168" s="16" t="s">
        <v>105</v>
      </c>
      <c r="CP168" s="21" t="s">
        <v>106</v>
      </c>
      <c r="CQ168" s="23"/>
      <c r="CR168" s="16" t="s">
        <v>108</v>
      </c>
      <c r="CS168" s="21" t="s">
        <v>109</v>
      </c>
      <c r="CT168" s="23"/>
      <c r="CU168" s="19"/>
      <c r="CV168" s="16" t="s">
        <v>128</v>
      </c>
      <c r="CW168" s="19"/>
      <c r="CX168" s="19"/>
      <c r="CY168" s="19"/>
      <c r="CZ168" s="19"/>
      <c r="DA168" s="21" t="s">
        <v>115</v>
      </c>
      <c r="DB168" s="23"/>
      <c r="DC168" s="16" t="s">
        <v>129</v>
      </c>
      <c r="DD168" s="16" t="s">
        <v>129</v>
      </c>
      <c r="DE168" s="16" t="s">
        <v>129</v>
      </c>
      <c r="DF168" s="16" t="s">
        <v>145</v>
      </c>
      <c r="DG168" s="21" t="s">
        <v>1041</v>
      </c>
      <c r="DH168" s="23"/>
      <c r="DI168" s="19"/>
      <c r="DJ168" s="19"/>
      <c r="DK168" s="19"/>
      <c r="DL168" s="19"/>
      <c r="DM168" s="21" t="s">
        <v>1042</v>
      </c>
      <c r="DN168" s="22"/>
      <c r="DO168" s="23"/>
    </row>
    <row r="169" ht="15.75" customHeight="1">
      <c r="A169" s="15">
        <v>167.0</v>
      </c>
      <c r="B169" s="16" t="s">
        <v>1043</v>
      </c>
      <c r="C169" s="17">
        <v>3.20100301102603E14</v>
      </c>
      <c r="D169" s="18">
        <v>203.0</v>
      </c>
      <c r="E169" s="16" t="s">
        <v>991</v>
      </c>
      <c r="F169" s="16" t="s">
        <v>606</v>
      </c>
      <c r="G169" s="16" t="s">
        <v>547</v>
      </c>
      <c r="H169" s="20">
        <v>44107.0</v>
      </c>
      <c r="I169" s="16"/>
      <c r="J169" s="18">
        <v>1.0</v>
      </c>
      <c r="K169" s="16" t="s">
        <v>1044</v>
      </c>
      <c r="L169" s="21" t="s">
        <v>138</v>
      </c>
      <c r="M169" s="23"/>
      <c r="N169" s="19"/>
      <c r="O169" s="19"/>
      <c r="P169" s="19"/>
      <c r="Q169" s="19"/>
      <c r="R169" s="19"/>
      <c r="S169" s="19"/>
      <c r="T169" s="19"/>
      <c r="U169" s="19"/>
      <c r="V169" s="16" t="s">
        <v>993</v>
      </c>
      <c r="W169" s="16" t="s">
        <v>46</v>
      </c>
      <c r="X169" s="21" t="s">
        <v>47</v>
      </c>
      <c r="Y169" s="23"/>
      <c r="Z169" s="19"/>
      <c r="AA169" s="16" t="s">
        <v>50</v>
      </c>
      <c r="AB169" s="19"/>
      <c r="AC169" s="19"/>
      <c r="AD169" s="19"/>
      <c r="AE169" s="19"/>
      <c r="AF169" s="19"/>
      <c r="AG169" s="19"/>
      <c r="AH169" s="21" t="s">
        <v>123</v>
      </c>
      <c r="AI169" s="23"/>
      <c r="AJ169" s="16" t="s">
        <v>124</v>
      </c>
      <c r="AK169" s="16" t="s">
        <v>153</v>
      </c>
      <c r="AL169" s="16" t="s">
        <v>126</v>
      </c>
      <c r="AM169" s="16" t="s">
        <v>126</v>
      </c>
      <c r="AN169" s="16" t="s">
        <v>126</v>
      </c>
      <c r="AO169" s="16" t="s">
        <v>126</v>
      </c>
      <c r="AP169" s="16" t="s">
        <v>126</v>
      </c>
      <c r="AQ169" s="16" t="s">
        <v>126</v>
      </c>
      <c r="AR169" s="16" t="s">
        <v>143</v>
      </c>
      <c r="AS169" s="21" t="s">
        <v>65</v>
      </c>
      <c r="AT169" s="22"/>
      <c r="AU169" s="23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21" t="s">
        <v>78</v>
      </c>
      <c r="BH169" s="23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21" t="s">
        <v>97</v>
      </c>
      <c r="CD169" s="23"/>
      <c r="CE169" s="19"/>
      <c r="CF169" s="16" t="s">
        <v>1045</v>
      </c>
      <c r="CG169" s="16" t="s">
        <v>128</v>
      </c>
      <c r="CH169" s="21" t="s">
        <v>100</v>
      </c>
      <c r="CI169" s="23"/>
      <c r="CJ169" s="19"/>
      <c r="CK169" s="19"/>
      <c r="CL169" s="21" t="s">
        <v>104</v>
      </c>
      <c r="CM169" s="23"/>
      <c r="CN169" s="16" t="s">
        <v>128</v>
      </c>
      <c r="CO169" s="21" t="s">
        <v>105</v>
      </c>
      <c r="CP169" s="22"/>
      <c r="CQ169" s="23"/>
      <c r="CR169" s="16" t="s">
        <v>108</v>
      </c>
      <c r="CS169" s="16" t="s">
        <v>109</v>
      </c>
      <c r="CT169" s="21" t="s">
        <v>110</v>
      </c>
      <c r="CU169" s="23"/>
      <c r="CV169" s="16" t="s">
        <v>128</v>
      </c>
      <c r="CW169" s="19"/>
      <c r="CX169" s="21" t="s">
        <v>112</v>
      </c>
      <c r="CY169" s="22"/>
      <c r="CZ169" s="23"/>
      <c r="DA169" s="21" t="s">
        <v>115</v>
      </c>
      <c r="DB169" s="22"/>
      <c r="DC169" s="22"/>
      <c r="DD169" s="23"/>
      <c r="DE169" s="16" t="s">
        <v>602</v>
      </c>
      <c r="DF169" s="16" t="s">
        <v>602</v>
      </c>
      <c r="DG169" s="21" t="s">
        <v>994</v>
      </c>
      <c r="DH169" s="22"/>
      <c r="DI169" s="23"/>
      <c r="DJ169" s="16" t="s">
        <v>1046</v>
      </c>
      <c r="DK169" s="21" t="s">
        <v>1047</v>
      </c>
      <c r="DL169" s="23"/>
      <c r="DM169" s="16" t="s">
        <v>997</v>
      </c>
      <c r="DN169" s="21" t="s">
        <v>1048</v>
      </c>
      <c r="DO169" s="23"/>
    </row>
    <row r="170" ht="15.75" customHeight="1">
      <c r="A170" s="15">
        <v>168.0</v>
      </c>
      <c r="B170" s="16" t="s">
        <v>1049</v>
      </c>
      <c r="C170" s="17">
        <v>3.1301112500357E13</v>
      </c>
      <c r="D170" s="18">
        <v>2.0</v>
      </c>
      <c r="E170" s="16" t="s">
        <v>991</v>
      </c>
      <c r="F170" s="16" t="s">
        <v>606</v>
      </c>
      <c r="G170" s="16" t="s">
        <v>547</v>
      </c>
      <c r="H170" s="20">
        <v>41285.0</v>
      </c>
      <c r="I170" s="18">
        <v>1.0</v>
      </c>
      <c r="J170" s="19"/>
      <c r="K170" s="16" t="s">
        <v>1044</v>
      </c>
      <c r="L170" s="21" t="s">
        <v>138</v>
      </c>
      <c r="M170" s="23"/>
      <c r="N170" s="19"/>
      <c r="O170" s="19"/>
      <c r="P170" s="19"/>
      <c r="Q170" s="19"/>
      <c r="R170" s="19"/>
      <c r="S170" s="19"/>
      <c r="T170" s="19"/>
      <c r="U170" s="19"/>
      <c r="V170" s="16" t="s">
        <v>993</v>
      </c>
      <c r="W170" s="16" t="s">
        <v>46</v>
      </c>
      <c r="X170" s="21" t="s">
        <v>47</v>
      </c>
      <c r="Y170" s="23"/>
      <c r="Z170" s="19"/>
      <c r="AA170" s="16" t="s">
        <v>50</v>
      </c>
      <c r="AB170" s="19"/>
      <c r="AC170" s="19"/>
      <c r="AD170" s="19"/>
      <c r="AE170" s="19"/>
      <c r="AF170" s="19"/>
      <c r="AG170" s="19"/>
      <c r="AH170" s="21" t="s">
        <v>123</v>
      </c>
      <c r="AI170" s="23"/>
      <c r="AJ170" s="16" t="s">
        <v>168</v>
      </c>
      <c r="AK170" s="16" t="s">
        <v>153</v>
      </c>
      <c r="AL170" s="16" t="s">
        <v>126</v>
      </c>
      <c r="AM170" s="16" t="s">
        <v>126</v>
      </c>
      <c r="AN170" s="16" t="s">
        <v>126</v>
      </c>
      <c r="AO170" s="16" t="s">
        <v>126</v>
      </c>
      <c r="AP170" s="16" t="s">
        <v>143</v>
      </c>
      <c r="AQ170" s="16" t="s">
        <v>126</v>
      </c>
      <c r="AR170" s="16" t="s">
        <v>143</v>
      </c>
      <c r="AS170" s="19"/>
      <c r="AT170" s="19"/>
      <c r="AU170" s="19"/>
      <c r="AV170" s="19"/>
      <c r="AW170" s="19"/>
      <c r="AX170" s="19"/>
      <c r="AY170" s="19"/>
      <c r="AZ170" s="19"/>
      <c r="BA170" s="21" t="s">
        <v>73</v>
      </c>
      <c r="BB170" s="23"/>
      <c r="BC170" s="19"/>
      <c r="BD170" s="19"/>
      <c r="BE170" s="19"/>
      <c r="BF170" s="21" t="s">
        <v>1050</v>
      </c>
      <c r="BG170" s="22"/>
      <c r="BH170" s="22"/>
      <c r="BI170" s="23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21" t="s">
        <v>90</v>
      </c>
      <c r="BV170" s="23"/>
      <c r="BW170" s="21" t="s">
        <v>92</v>
      </c>
      <c r="BX170" s="22"/>
      <c r="BY170" s="23"/>
      <c r="BZ170" s="19"/>
      <c r="CA170" s="19"/>
      <c r="CB170" s="19"/>
      <c r="CC170" s="21" t="s">
        <v>97</v>
      </c>
      <c r="CD170" s="23"/>
      <c r="CE170" s="19"/>
      <c r="CF170" s="16" t="s">
        <v>1045</v>
      </c>
      <c r="CG170" s="16" t="s">
        <v>128</v>
      </c>
      <c r="CH170" s="19"/>
      <c r="CI170" s="19"/>
      <c r="CJ170" s="21" t="s">
        <v>102</v>
      </c>
      <c r="CK170" s="22"/>
      <c r="CL170" s="23"/>
      <c r="CM170" s="19"/>
      <c r="CN170" s="16" t="s">
        <v>128</v>
      </c>
      <c r="CO170" s="21" t="s">
        <v>105</v>
      </c>
      <c r="CP170" s="23"/>
      <c r="CQ170" s="16" t="s">
        <v>107</v>
      </c>
      <c r="CR170" s="21" t="s">
        <v>108</v>
      </c>
      <c r="CS170" s="23"/>
      <c r="CT170" s="21" t="s">
        <v>110</v>
      </c>
      <c r="CU170" s="23"/>
      <c r="CV170" s="16" t="s">
        <v>128</v>
      </c>
      <c r="CW170" s="21" t="s">
        <v>111</v>
      </c>
      <c r="CX170" s="22"/>
      <c r="CY170" s="23"/>
      <c r="CZ170" s="19"/>
      <c r="DA170" s="21" t="s">
        <v>115</v>
      </c>
      <c r="DB170" s="23"/>
      <c r="DC170" s="16" t="s">
        <v>129</v>
      </c>
      <c r="DD170" s="16" t="s">
        <v>145</v>
      </c>
      <c r="DE170" s="16" t="s">
        <v>129</v>
      </c>
      <c r="DF170" s="16" t="s">
        <v>602</v>
      </c>
      <c r="DG170" s="16" t="s">
        <v>1051</v>
      </c>
      <c r="DH170" s="21" t="s">
        <v>116</v>
      </c>
      <c r="DI170" s="23"/>
      <c r="DJ170" s="21" t="s">
        <v>1052</v>
      </c>
      <c r="DK170" s="22"/>
      <c r="DL170" s="23"/>
      <c r="DM170" s="16" t="s">
        <v>1053</v>
      </c>
      <c r="DN170" s="21" t="s">
        <v>1048</v>
      </c>
      <c r="DO170" s="23"/>
    </row>
    <row r="171" ht="15.75" customHeight="1">
      <c r="A171" s="15">
        <v>169.0</v>
      </c>
      <c r="B171" s="16" t="s">
        <v>1054</v>
      </c>
      <c r="C171" s="17">
        <v>3.1712022504787E13</v>
      </c>
      <c r="D171" s="18">
        <v>76.0</v>
      </c>
      <c r="E171" s="16" t="s">
        <v>1055</v>
      </c>
      <c r="F171" s="16" t="s">
        <v>1056</v>
      </c>
      <c r="G171" s="16" t="s">
        <v>547</v>
      </c>
      <c r="H171" s="20">
        <v>43606.0</v>
      </c>
      <c r="I171" s="16"/>
      <c r="J171" s="18">
        <v>1.0</v>
      </c>
      <c r="K171" s="16" t="s">
        <v>1057</v>
      </c>
      <c r="L171" s="21" t="s">
        <v>138</v>
      </c>
      <c r="M171" s="23"/>
      <c r="N171" s="19"/>
      <c r="O171" s="19"/>
      <c r="P171" s="19"/>
      <c r="Q171" s="19"/>
      <c r="R171" s="19"/>
      <c r="S171" s="19"/>
      <c r="T171" s="19"/>
      <c r="U171" s="19"/>
      <c r="V171" s="18" t="s">
        <v>839</v>
      </c>
      <c r="W171" s="16" t="s">
        <v>46</v>
      </c>
      <c r="X171" s="19"/>
      <c r="Y171" s="19"/>
      <c r="Z171" s="19"/>
      <c r="AA171" s="16" t="s">
        <v>50</v>
      </c>
      <c r="AB171" s="19"/>
      <c r="AC171" s="19"/>
      <c r="AD171" s="19"/>
      <c r="AE171" s="19"/>
      <c r="AF171" s="21" t="s">
        <v>55</v>
      </c>
      <c r="AG171" s="23"/>
      <c r="AH171" s="21" t="s">
        <v>123</v>
      </c>
      <c r="AI171" s="23"/>
      <c r="AJ171" s="16" t="s">
        <v>124</v>
      </c>
      <c r="AK171" s="16" t="s">
        <v>142</v>
      </c>
      <c r="AL171" s="16" t="s">
        <v>181</v>
      </c>
      <c r="AM171" s="16" t="s">
        <v>181</v>
      </c>
      <c r="AN171" s="16" t="s">
        <v>126</v>
      </c>
      <c r="AO171" s="16" t="s">
        <v>181</v>
      </c>
      <c r="AP171" s="16" t="s">
        <v>181</v>
      </c>
      <c r="AQ171" s="16" t="s">
        <v>181</v>
      </c>
      <c r="AR171" s="16" t="s">
        <v>181</v>
      </c>
      <c r="AS171" s="21" t="s">
        <v>65</v>
      </c>
      <c r="AT171" s="22"/>
      <c r="AU171" s="23"/>
      <c r="AV171" s="19"/>
      <c r="AW171" s="16" t="s">
        <v>69</v>
      </c>
      <c r="AX171" s="16" t="s">
        <v>70</v>
      </c>
      <c r="AY171" s="21" t="s">
        <v>71</v>
      </c>
      <c r="AZ171" s="22"/>
      <c r="BA171" s="23"/>
      <c r="BB171" s="19"/>
      <c r="BC171" s="19"/>
      <c r="BD171" s="19"/>
      <c r="BE171" s="19"/>
      <c r="BF171" s="18" t="s">
        <v>844</v>
      </c>
      <c r="BG171" s="21" t="s">
        <v>78</v>
      </c>
      <c r="BH171" s="23"/>
      <c r="BI171" s="19"/>
      <c r="BJ171" s="19"/>
      <c r="BK171" s="16" t="s">
        <v>81</v>
      </c>
      <c r="BL171" s="19"/>
      <c r="BM171" s="19"/>
      <c r="BN171" s="16" t="s">
        <v>84</v>
      </c>
      <c r="BO171" s="21" t="s">
        <v>85</v>
      </c>
      <c r="BP171" s="22"/>
      <c r="BQ171" s="22"/>
      <c r="BR171" s="23"/>
      <c r="BS171" s="19"/>
      <c r="BT171" s="19"/>
      <c r="BU171" s="19"/>
      <c r="BV171" s="19"/>
      <c r="BW171" s="19"/>
      <c r="BX171" s="18" t="s">
        <v>839</v>
      </c>
      <c r="BY171" s="19"/>
      <c r="BZ171" s="19"/>
      <c r="CA171" s="19"/>
      <c r="CB171" s="19"/>
      <c r="CC171" s="19"/>
      <c r="CD171" s="19"/>
      <c r="CE171" s="19"/>
      <c r="CF171" s="16" t="s">
        <v>144</v>
      </c>
      <c r="CG171" s="16" t="s">
        <v>128</v>
      </c>
      <c r="CH171" s="19"/>
      <c r="CI171" s="21" t="s">
        <v>101</v>
      </c>
      <c r="CJ171" s="22"/>
      <c r="CK171" s="23"/>
      <c r="CL171" s="19"/>
      <c r="CM171" s="19"/>
      <c r="CN171" s="16" t="s">
        <v>128</v>
      </c>
      <c r="CO171" s="21" t="s">
        <v>105</v>
      </c>
      <c r="CP171" s="22"/>
      <c r="CQ171" s="23"/>
      <c r="CR171" s="19"/>
      <c r="CS171" s="21" t="s">
        <v>109</v>
      </c>
      <c r="CT171" s="23"/>
      <c r="CU171" s="19"/>
      <c r="CV171" s="16" t="s">
        <v>128</v>
      </c>
      <c r="CW171" s="19"/>
      <c r="CX171" s="19"/>
      <c r="CY171" s="19"/>
      <c r="CZ171" s="16" t="s">
        <v>114</v>
      </c>
      <c r="DA171" s="21" t="s">
        <v>115</v>
      </c>
      <c r="DB171" s="23"/>
      <c r="DC171" s="16" t="s">
        <v>129</v>
      </c>
      <c r="DD171" s="16" t="s">
        <v>129</v>
      </c>
      <c r="DE171" s="16" t="s">
        <v>129</v>
      </c>
      <c r="DF171" s="16" t="s">
        <v>129</v>
      </c>
      <c r="DG171" s="16" t="s">
        <v>1058</v>
      </c>
      <c r="DH171" s="21" t="s">
        <v>1059</v>
      </c>
      <c r="DI171" s="23"/>
      <c r="DJ171" s="16" t="s">
        <v>144</v>
      </c>
      <c r="DK171" s="19"/>
      <c r="DL171" s="19"/>
      <c r="DM171" s="16" t="s">
        <v>1060</v>
      </c>
      <c r="DN171" s="21" t="s">
        <v>1061</v>
      </c>
      <c r="DO171" s="23"/>
    </row>
    <row r="172" ht="15.75" customHeight="1">
      <c r="A172" s="15">
        <v>170.0</v>
      </c>
      <c r="B172" s="16" t="s">
        <v>1062</v>
      </c>
      <c r="C172" s="17">
        <v>3.2012082500138E13</v>
      </c>
      <c r="D172" s="18">
        <v>155.0</v>
      </c>
      <c r="E172" s="16" t="s">
        <v>991</v>
      </c>
      <c r="F172" s="16" t="s">
        <v>606</v>
      </c>
      <c r="G172" s="16" t="s">
        <v>547</v>
      </c>
      <c r="H172" s="20">
        <v>44173.0</v>
      </c>
      <c r="I172" s="18">
        <v>1.0</v>
      </c>
      <c r="J172" s="19"/>
      <c r="K172" s="16" t="s">
        <v>1063</v>
      </c>
      <c r="L172" s="21" t="s">
        <v>138</v>
      </c>
      <c r="M172" s="23"/>
      <c r="N172" s="19"/>
      <c r="O172" s="19"/>
      <c r="P172" s="19"/>
      <c r="Q172" s="19"/>
      <c r="R172" s="19"/>
      <c r="S172" s="19"/>
      <c r="T172" s="19"/>
      <c r="U172" s="19"/>
      <c r="V172" s="16" t="s">
        <v>993</v>
      </c>
      <c r="W172" s="16" t="s">
        <v>46</v>
      </c>
      <c r="X172" s="21" t="s">
        <v>47</v>
      </c>
      <c r="Y172" s="23"/>
      <c r="Z172" s="19"/>
      <c r="AA172" s="16" t="s">
        <v>50</v>
      </c>
      <c r="AB172" s="19"/>
      <c r="AC172" s="19"/>
      <c r="AD172" s="19"/>
      <c r="AE172" s="19"/>
      <c r="AF172" s="19"/>
      <c r="AG172" s="19"/>
      <c r="AH172" s="21" t="s">
        <v>123</v>
      </c>
      <c r="AI172" s="23"/>
      <c r="AJ172" s="16" t="s">
        <v>124</v>
      </c>
      <c r="AK172" s="16" t="s">
        <v>153</v>
      </c>
      <c r="AL172" s="16" t="s">
        <v>181</v>
      </c>
      <c r="AM172" s="16" t="s">
        <v>181</v>
      </c>
      <c r="AN172" s="16" t="s">
        <v>181</v>
      </c>
      <c r="AO172" s="16" t="s">
        <v>126</v>
      </c>
      <c r="AP172" s="16" t="s">
        <v>126</v>
      </c>
      <c r="AQ172" s="16" t="s">
        <v>126</v>
      </c>
      <c r="AR172" s="16" t="s">
        <v>126</v>
      </c>
      <c r="AS172" s="21" t="s">
        <v>65</v>
      </c>
      <c r="AT172" s="22"/>
      <c r="AU172" s="23"/>
      <c r="AV172" s="19"/>
      <c r="AW172" s="19"/>
      <c r="AX172" s="19"/>
      <c r="AY172" s="19"/>
      <c r="AZ172" s="21" t="s">
        <v>1064</v>
      </c>
      <c r="BA172" s="23"/>
      <c r="BB172" s="19"/>
      <c r="BC172" s="19"/>
      <c r="BD172" s="19"/>
      <c r="BE172" s="19"/>
      <c r="BF172" s="19"/>
      <c r="BG172" s="16" t="s">
        <v>78</v>
      </c>
      <c r="BH172" s="21" t="s">
        <v>79</v>
      </c>
      <c r="BI172" s="23"/>
      <c r="BJ172" s="19"/>
      <c r="BK172" s="19"/>
      <c r="BL172" s="19"/>
      <c r="BM172" s="19"/>
      <c r="BN172" s="19"/>
      <c r="BO172" s="21" t="s">
        <v>85</v>
      </c>
      <c r="BP172" s="22"/>
      <c r="BQ172" s="22"/>
      <c r="BR172" s="23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6" t="s">
        <v>144</v>
      </c>
      <c r="CG172" s="16" t="s">
        <v>128</v>
      </c>
      <c r="CH172" s="19"/>
      <c r="CI172" s="19"/>
      <c r="CJ172" s="21" t="s">
        <v>102</v>
      </c>
      <c r="CK172" s="22"/>
      <c r="CL172" s="23"/>
      <c r="CM172" s="19"/>
      <c r="CN172" s="16" t="s">
        <v>128</v>
      </c>
      <c r="CO172" s="21" t="s">
        <v>105</v>
      </c>
      <c r="CP172" s="22"/>
      <c r="CQ172" s="23"/>
      <c r="CR172" s="19"/>
      <c r="CS172" s="21" t="s">
        <v>109</v>
      </c>
      <c r="CT172" s="23"/>
      <c r="CU172" s="19"/>
      <c r="CV172" s="16" t="s">
        <v>128</v>
      </c>
      <c r="CW172" s="21" t="s">
        <v>111</v>
      </c>
      <c r="CX172" s="22"/>
      <c r="CY172" s="23"/>
      <c r="CZ172" s="19"/>
      <c r="DA172" s="21" t="s">
        <v>115</v>
      </c>
      <c r="DB172" s="23"/>
      <c r="DC172" s="16" t="s">
        <v>145</v>
      </c>
      <c r="DD172" s="16" t="s">
        <v>145</v>
      </c>
      <c r="DE172" s="19"/>
      <c r="DF172" s="16" t="s">
        <v>602</v>
      </c>
      <c r="DG172" s="21" t="s">
        <v>1065</v>
      </c>
      <c r="DH172" s="23"/>
      <c r="DI172" s="19"/>
      <c r="DJ172" s="19"/>
      <c r="DK172" s="19"/>
      <c r="DL172" s="19"/>
      <c r="DM172" s="21" t="s">
        <v>1066</v>
      </c>
      <c r="DN172" s="22"/>
      <c r="DO172" s="23"/>
    </row>
    <row r="173" ht="15.75" customHeight="1">
      <c r="A173" s="15">
        <v>171.0</v>
      </c>
      <c r="B173" s="16" t="s">
        <v>1067</v>
      </c>
      <c r="C173" s="17">
        <v>3.1806092501747E13</v>
      </c>
      <c r="D173" s="18">
        <v>160.0</v>
      </c>
      <c r="E173" s="16" t="s">
        <v>1068</v>
      </c>
      <c r="F173" s="16" t="s">
        <v>837</v>
      </c>
      <c r="G173" s="16" t="s">
        <v>547</v>
      </c>
      <c r="H173" s="20">
        <v>43267.0</v>
      </c>
      <c r="I173" s="16"/>
      <c r="J173" s="18">
        <v>1.0</v>
      </c>
      <c r="K173" s="16" t="s">
        <v>1069</v>
      </c>
      <c r="L173" s="21" t="s">
        <v>138</v>
      </c>
      <c r="M173" s="23"/>
      <c r="N173" s="19"/>
      <c r="O173" s="19"/>
      <c r="P173" s="19"/>
      <c r="Q173" s="19"/>
      <c r="R173" s="19"/>
      <c r="S173" s="19"/>
      <c r="T173" s="19"/>
      <c r="U173" s="19"/>
      <c r="V173" s="21" t="s">
        <v>932</v>
      </c>
      <c r="W173" s="22"/>
      <c r="X173" s="23"/>
      <c r="Y173" s="21" t="s">
        <v>48</v>
      </c>
      <c r="Z173" s="23"/>
      <c r="AA173" s="19"/>
      <c r="AB173" s="19"/>
      <c r="AC173" s="19"/>
      <c r="AD173" s="19"/>
      <c r="AE173" s="19"/>
      <c r="AF173" s="19"/>
      <c r="AG173" s="18" t="s">
        <v>844</v>
      </c>
      <c r="AH173" s="16" t="s">
        <v>57</v>
      </c>
      <c r="AI173" s="18">
        <v>0.0</v>
      </c>
      <c r="AJ173" s="16" t="s">
        <v>124</v>
      </c>
      <c r="AK173" s="16" t="s">
        <v>142</v>
      </c>
      <c r="AL173" s="16" t="s">
        <v>126</v>
      </c>
      <c r="AM173" s="16" t="s">
        <v>126</v>
      </c>
      <c r="AN173" s="16" t="s">
        <v>181</v>
      </c>
      <c r="AO173" s="16" t="s">
        <v>181</v>
      </c>
      <c r="AP173" s="16" t="s">
        <v>181</v>
      </c>
      <c r="AQ173" s="16" t="s">
        <v>181</v>
      </c>
      <c r="AR173" s="16" t="s">
        <v>181</v>
      </c>
      <c r="AS173" s="21" t="s">
        <v>65</v>
      </c>
      <c r="AT173" s="23"/>
      <c r="AU173" s="16" t="s">
        <v>67</v>
      </c>
      <c r="AV173" s="16" t="s">
        <v>68</v>
      </c>
      <c r="AW173" s="16" t="s">
        <v>69</v>
      </c>
      <c r="AX173" s="16" t="s">
        <v>70</v>
      </c>
      <c r="AY173" s="16" t="s">
        <v>71</v>
      </c>
      <c r="AZ173" s="18" t="s">
        <v>844</v>
      </c>
      <c r="BA173" s="21" t="s">
        <v>73</v>
      </c>
      <c r="BB173" s="23"/>
      <c r="BC173" s="21" t="s">
        <v>75</v>
      </c>
      <c r="BD173" s="23"/>
      <c r="BE173" s="16" t="s">
        <v>77</v>
      </c>
      <c r="BF173" s="18" t="s">
        <v>839</v>
      </c>
      <c r="BG173" s="19"/>
      <c r="BH173" s="19"/>
      <c r="BI173" s="19"/>
      <c r="BJ173" s="19"/>
      <c r="BK173" s="16" t="s">
        <v>81</v>
      </c>
      <c r="BL173" s="19"/>
      <c r="BM173" s="19"/>
      <c r="BN173" s="21" t="s">
        <v>84</v>
      </c>
      <c r="BO173" s="23"/>
      <c r="BP173" s="18" t="s">
        <v>839</v>
      </c>
      <c r="BQ173" s="19"/>
      <c r="BR173" s="19"/>
      <c r="BS173" s="19"/>
      <c r="BT173" s="19"/>
      <c r="BU173" s="19"/>
      <c r="BV173" s="19"/>
      <c r="BW173" s="16" t="s">
        <v>92</v>
      </c>
      <c r="BX173" s="18">
        <v>0.0</v>
      </c>
      <c r="BY173" s="19"/>
      <c r="BZ173" s="19"/>
      <c r="CA173" s="19"/>
      <c r="CB173" s="21" t="s">
        <v>96</v>
      </c>
      <c r="CC173" s="23"/>
      <c r="CD173" s="19"/>
      <c r="CE173" s="19"/>
      <c r="CF173" s="18">
        <v>0.0</v>
      </c>
      <c r="CG173" s="16" t="s">
        <v>128</v>
      </c>
      <c r="CH173" s="16" t="s">
        <v>100</v>
      </c>
      <c r="CI173" s="16" t="s">
        <v>101</v>
      </c>
      <c r="CJ173" s="16" t="s">
        <v>102</v>
      </c>
      <c r="CK173" s="16" t="s">
        <v>103</v>
      </c>
      <c r="CL173" s="16" t="s">
        <v>104</v>
      </c>
      <c r="CM173" s="18">
        <v>0.0</v>
      </c>
      <c r="CN173" s="16" t="s">
        <v>128</v>
      </c>
      <c r="CO173" s="16" t="s">
        <v>105</v>
      </c>
      <c r="CP173" s="21" t="s">
        <v>106</v>
      </c>
      <c r="CQ173" s="23"/>
      <c r="CR173" s="21" t="s">
        <v>108</v>
      </c>
      <c r="CS173" s="23"/>
      <c r="CT173" s="16" t="s">
        <v>110</v>
      </c>
      <c r="CU173" s="18" t="s">
        <v>839</v>
      </c>
      <c r="CV173" s="21" t="s">
        <v>154</v>
      </c>
      <c r="CW173" s="23"/>
      <c r="CX173" s="19"/>
      <c r="CY173" s="19"/>
      <c r="CZ173" s="21" t="s">
        <v>114</v>
      </c>
      <c r="DA173" s="23"/>
      <c r="DB173" s="18" t="s">
        <v>844</v>
      </c>
      <c r="DC173" s="16" t="s">
        <v>129</v>
      </c>
      <c r="DD173" s="16" t="s">
        <v>129</v>
      </c>
      <c r="DE173" s="16" t="s">
        <v>129</v>
      </c>
      <c r="DF173" s="16" t="s">
        <v>129</v>
      </c>
      <c r="DG173" s="16" t="s">
        <v>841</v>
      </c>
      <c r="DH173" s="16" t="s">
        <v>842</v>
      </c>
      <c r="DI173" s="16" t="s">
        <v>914</v>
      </c>
      <c r="DJ173" s="16" t="s">
        <v>1070</v>
      </c>
      <c r="DK173" s="18" t="s">
        <v>844</v>
      </c>
      <c r="DL173" s="18" t="s">
        <v>845</v>
      </c>
      <c r="DM173" s="16" t="s">
        <v>1071</v>
      </c>
      <c r="DN173" s="16" t="s">
        <v>901</v>
      </c>
      <c r="DO173" s="18">
        <v>0.0</v>
      </c>
    </row>
    <row r="174" ht="15.75" customHeight="1">
      <c r="A174" s="15">
        <v>172.0</v>
      </c>
      <c r="B174" s="16" t="s">
        <v>1072</v>
      </c>
      <c r="C174" s="17">
        <v>3.1711212504159E13</v>
      </c>
      <c r="D174" s="18">
        <v>220.0</v>
      </c>
      <c r="E174" s="16" t="s">
        <v>1055</v>
      </c>
      <c r="F174" s="16" t="s">
        <v>1056</v>
      </c>
      <c r="G174" s="16" t="s">
        <v>547</v>
      </c>
      <c r="H174" s="25">
        <v>43060.0</v>
      </c>
      <c r="I174" s="18">
        <v>1.0</v>
      </c>
      <c r="J174" s="19"/>
      <c r="K174" s="16" t="s">
        <v>1073</v>
      </c>
      <c r="L174" s="21" t="s">
        <v>138</v>
      </c>
      <c r="M174" s="23"/>
      <c r="N174" s="19"/>
      <c r="O174" s="19"/>
      <c r="P174" s="19"/>
      <c r="Q174" s="19"/>
      <c r="R174" s="19"/>
      <c r="S174" s="19"/>
      <c r="T174" s="19"/>
      <c r="U174" s="19"/>
      <c r="V174" s="18" t="s">
        <v>839</v>
      </c>
      <c r="W174" s="16" t="s">
        <v>46</v>
      </c>
      <c r="X174" s="19"/>
      <c r="Y174" s="19"/>
      <c r="Z174" s="19"/>
      <c r="AA174" s="16" t="s">
        <v>50</v>
      </c>
      <c r="AB174" s="19"/>
      <c r="AC174" s="19"/>
      <c r="AD174" s="19"/>
      <c r="AE174" s="19"/>
      <c r="AF174" s="19"/>
      <c r="AG174" s="19"/>
      <c r="AH174" s="21" t="s">
        <v>123</v>
      </c>
      <c r="AI174" s="23"/>
      <c r="AJ174" s="16" t="s">
        <v>124</v>
      </c>
      <c r="AK174" s="16" t="s">
        <v>142</v>
      </c>
      <c r="AL174" s="16" t="s">
        <v>181</v>
      </c>
      <c r="AM174" s="16" t="s">
        <v>181</v>
      </c>
      <c r="AN174" s="16" t="s">
        <v>181</v>
      </c>
      <c r="AO174" s="16" t="s">
        <v>126</v>
      </c>
      <c r="AP174" s="16" t="s">
        <v>126</v>
      </c>
      <c r="AQ174" s="16" t="s">
        <v>181</v>
      </c>
      <c r="AR174" s="16" t="s">
        <v>181</v>
      </c>
      <c r="AS174" s="21" t="s">
        <v>65</v>
      </c>
      <c r="AT174" s="22"/>
      <c r="AU174" s="23"/>
      <c r="AV174" s="19"/>
      <c r="AW174" s="19"/>
      <c r="AX174" s="16" t="s">
        <v>70</v>
      </c>
      <c r="AY174" s="16" t="s">
        <v>71</v>
      </c>
      <c r="AZ174" s="21" t="s">
        <v>1074</v>
      </c>
      <c r="BA174" s="23"/>
      <c r="BB174" s="19"/>
      <c r="BC174" s="19"/>
      <c r="BD174" s="19"/>
      <c r="BE174" s="19"/>
      <c r="BF174" s="18" t="s">
        <v>844</v>
      </c>
      <c r="BG174" s="21" t="s">
        <v>78</v>
      </c>
      <c r="BH174" s="23"/>
      <c r="BI174" s="19"/>
      <c r="BJ174" s="19"/>
      <c r="BK174" s="19"/>
      <c r="BL174" s="19"/>
      <c r="BM174" s="19"/>
      <c r="BN174" s="19"/>
      <c r="BO174" s="21" t="s">
        <v>85</v>
      </c>
      <c r="BP174" s="22"/>
      <c r="BQ174" s="22"/>
      <c r="BR174" s="23"/>
      <c r="BS174" s="21" t="s">
        <v>88</v>
      </c>
      <c r="BT174" s="23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6" t="s">
        <v>144</v>
      </c>
      <c r="CG174" s="16" t="s">
        <v>128</v>
      </c>
      <c r="CH174" s="19"/>
      <c r="CI174" s="21" t="s">
        <v>101</v>
      </c>
      <c r="CJ174" s="22"/>
      <c r="CK174" s="23"/>
      <c r="CL174" s="19"/>
      <c r="CM174" s="19"/>
      <c r="CN174" s="16" t="s">
        <v>128</v>
      </c>
      <c r="CO174" s="21" t="s">
        <v>105</v>
      </c>
      <c r="CP174" s="22"/>
      <c r="CQ174" s="23"/>
      <c r="CR174" s="19"/>
      <c r="CS174" s="19"/>
      <c r="CT174" s="21" t="s">
        <v>110</v>
      </c>
      <c r="CU174" s="23"/>
      <c r="CV174" s="16" t="s">
        <v>128</v>
      </c>
      <c r="CW174" s="19"/>
      <c r="CX174" s="21" t="s">
        <v>112</v>
      </c>
      <c r="CY174" s="23"/>
      <c r="CZ174" s="21" t="s">
        <v>114</v>
      </c>
      <c r="DA174" s="22"/>
      <c r="DB174" s="23"/>
      <c r="DC174" s="16" t="s">
        <v>129</v>
      </c>
      <c r="DD174" s="16" t="s">
        <v>129</v>
      </c>
      <c r="DE174" s="16" t="s">
        <v>129</v>
      </c>
      <c r="DF174" s="16" t="s">
        <v>129</v>
      </c>
      <c r="DG174" s="16" t="s">
        <v>1058</v>
      </c>
      <c r="DH174" s="21" t="s">
        <v>1075</v>
      </c>
      <c r="DI174" s="23"/>
      <c r="DJ174" s="16" t="s">
        <v>144</v>
      </c>
      <c r="DK174" s="19"/>
      <c r="DL174" s="19"/>
      <c r="DM174" s="16" t="s">
        <v>1060</v>
      </c>
      <c r="DN174" s="21" t="s">
        <v>1061</v>
      </c>
      <c r="DO174" s="23"/>
    </row>
    <row r="175" ht="15.75" customHeight="1">
      <c r="A175" s="15">
        <v>173.0</v>
      </c>
      <c r="B175" s="16" t="s">
        <v>1076</v>
      </c>
      <c r="C175" s="17">
        <v>3.21121313250176E15</v>
      </c>
      <c r="D175" s="18">
        <v>233.0</v>
      </c>
      <c r="E175" s="16" t="s">
        <v>991</v>
      </c>
      <c r="F175" s="16" t="s">
        <v>606</v>
      </c>
      <c r="G175" s="16" t="s">
        <v>547</v>
      </c>
      <c r="H175" s="25">
        <v>44543.0</v>
      </c>
      <c r="I175" s="18">
        <v>1.0</v>
      </c>
      <c r="J175" s="19"/>
      <c r="K175" s="16" t="s">
        <v>1077</v>
      </c>
      <c r="L175" s="21" t="s">
        <v>138</v>
      </c>
      <c r="M175" s="23"/>
      <c r="N175" s="19"/>
      <c r="O175" s="19"/>
      <c r="P175" s="19"/>
      <c r="Q175" s="19"/>
      <c r="R175" s="19"/>
      <c r="S175" s="19"/>
      <c r="T175" s="19"/>
      <c r="U175" s="19"/>
      <c r="V175" s="21" t="s">
        <v>993</v>
      </c>
      <c r="W175" s="23"/>
      <c r="X175" s="21" t="s">
        <v>47</v>
      </c>
      <c r="Y175" s="23"/>
      <c r="Z175" s="19"/>
      <c r="AA175" s="16" t="s">
        <v>50</v>
      </c>
      <c r="AB175" s="19"/>
      <c r="AC175" s="19"/>
      <c r="AD175" s="19"/>
      <c r="AE175" s="19"/>
      <c r="AF175" s="19"/>
      <c r="AG175" s="19"/>
      <c r="AH175" s="21" t="s">
        <v>357</v>
      </c>
      <c r="AI175" s="23"/>
      <c r="AJ175" s="16" t="s">
        <v>449</v>
      </c>
      <c r="AK175" s="16" t="s">
        <v>125</v>
      </c>
      <c r="AL175" s="16" t="s">
        <v>126</v>
      </c>
      <c r="AM175" s="16" t="s">
        <v>126</v>
      </c>
      <c r="AN175" s="16" t="s">
        <v>181</v>
      </c>
      <c r="AO175" s="16" t="s">
        <v>126</v>
      </c>
      <c r="AP175" s="16" t="s">
        <v>126</v>
      </c>
      <c r="AQ175" s="16" t="s">
        <v>181</v>
      </c>
      <c r="AR175" s="16" t="s">
        <v>143</v>
      </c>
      <c r="AS175" s="21" t="s">
        <v>65</v>
      </c>
      <c r="AT175" s="22"/>
      <c r="AU175" s="23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21" t="s">
        <v>78</v>
      </c>
      <c r="BH175" s="23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6" t="s">
        <v>144</v>
      </c>
      <c r="CG175" s="16" t="s">
        <v>128</v>
      </c>
      <c r="CH175" s="21" t="s">
        <v>100</v>
      </c>
      <c r="CI175" s="23"/>
      <c r="CJ175" s="21" t="s">
        <v>102</v>
      </c>
      <c r="CK175" s="23"/>
      <c r="CL175" s="21" t="s">
        <v>104</v>
      </c>
      <c r="CM175" s="23"/>
      <c r="CN175" s="16" t="s">
        <v>128</v>
      </c>
      <c r="CO175" s="16" t="s">
        <v>105</v>
      </c>
      <c r="CP175" s="16" t="s">
        <v>106</v>
      </c>
      <c r="CQ175" s="16" t="s">
        <v>107</v>
      </c>
      <c r="CR175" s="21" t="s">
        <v>108</v>
      </c>
      <c r="CS175" s="23"/>
      <c r="CT175" s="19"/>
      <c r="CU175" s="19"/>
      <c r="CV175" s="16" t="s">
        <v>128</v>
      </c>
      <c r="CW175" s="21" t="s">
        <v>111</v>
      </c>
      <c r="CX175" s="22"/>
      <c r="CY175" s="23"/>
      <c r="CZ175" s="19"/>
      <c r="DA175" s="21" t="s">
        <v>115</v>
      </c>
      <c r="DB175" s="23"/>
      <c r="DC175" s="16" t="s">
        <v>145</v>
      </c>
      <c r="DD175" s="16" t="s">
        <v>129</v>
      </c>
      <c r="DE175" s="16" t="s">
        <v>129</v>
      </c>
      <c r="DF175" s="16" t="s">
        <v>145</v>
      </c>
      <c r="DG175" s="16" t="s">
        <v>1078</v>
      </c>
      <c r="DH175" s="21" t="s">
        <v>1079</v>
      </c>
      <c r="DI175" s="22"/>
      <c r="DJ175" s="23"/>
      <c r="DK175" s="19"/>
      <c r="DL175" s="19"/>
      <c r="DM175" s="21" t="s">
        <v>1080</v>
      </c>
      <c r="DN175" s="22"/>
      <c r="DO175" s="23"/>
    </row>
    <row r="176" ht="15.75" customHeight="1">
      <c r="A176" s="15">
        <v>174.0</v>
      </c>
      <c r="B176" s="16" t="s">
        <v>1081</v>
      </c>
      <c r="C176" s="17">
        <v>2.8907092502016E13</v>
      </c>
      <c r="D176" s="18">
        <v>109.0</v>
      </c>
      <c r="E176" s="16" t="s">
        <v>1082</v>
      </c>
      <c r="F176" s="16" t="s">
        <v>1056</v>
      </c>
      <c r="G176" s="16" t="s">
        <v>547</v>
      </c>
      <c r="H176" s="25">
        <v>43097.0</v>
      </c>
      <c r="I176" s="18">
        <v>1.0</v>
      </c>
      <c r="J176" s="19"/>
      <c r="K176" s="16" t="s">
        <v>1083</v>
      </c>
      <c r="L176" s="21" t="s">
        <v>138</v>
      </c>
      <c r="M176" s="23"/>
      <c r="N176" s="19"/>
      <c r="O176" s="19"/>
      <c r="P176" s="19"/>
      <c r="Q176" s="19"/>
      <c r="R176" s="19"/>
      <c r="S176" s="19"/>
      <c r="T176" s="19"/>
      <c r="U176" s="19"/>
      <c r="V176" s="18" t="s">
        <v>839</v>
      </c>
      <c r="W176" s="16" t="s">
        <v>46</v>
      </c>
      <c r="X176" s="19"/>
      <c r="Y176" s="21" t="s">
        <v>48</v>
      </c>
      <c r="Z176" s="23"/>
      <c r="AA176" s="16" t="s">
        <v>50</v>
      </c>
      <c r="AB176" s="19"/>
      <c r="AC176" s="19"/>
      <c r="AD176" s="19"/>
      <c r="AE176" s="19"/>
      <c r="AF176" s="19"/>
      <c r="AG176" s="19"/>
      <c r="AH176" s="21" t="s">
        <v>123</v>
      </c>
      <c r="AI176" s="23"/>
      <c r="AJ176" s="16" t="s">
        <v>168</v>
      </c>
      <c r="AK176" s="16" t="s">
        <v>153</v>
      </c>
      <c r="AL176" s="16" t="s">
        <v>181</v>
      </c>
      <c r="AM176" s="16" t="s">
        <v>181</v>
      </c>
      <c r="AN176" s="16" t="s">
        <v>181</v>
      </c>
      <c r="AO176" s="16" t="s">
        <v>181</v>
      </c>
      <c r="AP176" s="16" t="s">
        <v>181</v>
      </c>
      <c r="AQ176" s="16" t="s">
        <v>181</v>
      </c>
      <c r="AR176" s="16" t="s">
        <v>126</v>
      </c>
      <c r="AS176" s="21" t="s">
        <v>65</v>
      </c>
      <c r="AT176" s="22"/>
      <c r="AU176" s="23"/>
      <c r="AV176" s="19"/>
      <c r="AW176" s="19"/>
      <c r="AX176" s="21" t="s">
        <v>70</v>
      </c>
      <c r="AY176" s="23"/>
      <c r="AZ176" s="21" t="s">
        <v>1074</v>
      </c>
      <c r="BA176" s="23"/>
      <c r="BB176" s="19"/>
      <c r="BC176" s="19"/>
      <c r="BD176" s="19"/>
      <c r="BE176" s="19"/>
      <c r="BF176" s="18" t="s">
        <v>844</v>
      </c>
      <c r="BG176" s="21" t="s">
        <v>78</v>
      </c>
      <c r="BH176" s="23"/>
      <c r="BI176" s="19"/>
      <c r="BJ176" s="19"/>
      <c r="BK176" s="19"/>
      <c r="BL176" s="19"/>
      <c r="BM176" s="19"/>
      <c r="BN176" s="21" t="s">
        <v>84</v>
      </c>
      <c r="BO176" s="22"/>
      <c r="BP176" s="23"/>
      <c r="BQ176" s="19"/>
      <c r="BR176" s="19"/>
      <c r="BS176" s="19"/>
      <c r="BT176" s="19"/>
      <c r="BU176" s="19"/>
      <c r="BV176" s="19"/>
      <c r="BW176" s="19"/>
      <c r="BX176" s="18" t="s">
        <v>839</v>
      </c>
      <c r="BY176" s="19"/>
      <c r="BZ176" s="19"/>
      <c r="CA176" s="19"/>
      <c r="CB176" s="19"/>
      <c r="CC176" s="19"/>
      <c r="CD176" s="19"/>
      <c r="CE176" s="19"/>
      <c r="CF176" s="16" t="s">
        <v>144</v>
      </c>
      <c r="CG176" s="16" t="s">
        <v>128</v>
      </c>
      <c r="CH176" s="21" t="s">
        <v>100</v>
      </c>
      <c r="CI176" s="23"/>
      <c r="CJ176" s="21" t="s">
        <v>102</v>
      </c>
      <c r="CK176" s="22"/>
      <c r="CL176" s="23"/>
      <c r="CM176" s="19"/>
      <c r="CN176" s="16" t="s">
        <v>128</v>
      </c>
      <c r="CO176" s="21" t="s">
        <v>105</v>
      </c>
      <c r="CP176" s="22"/>
      <c r="CQ176" s="23"/>
      <c r="CR176" s="19"/>
      <c r="CS176" s="19"/>
      <c r="CT176" s="19"/>
      <c r="CU176" s="19"/>
      <c r="CV176" s="16" t="s">
        <v>128</v>
      </c>
      <c r="CW176" s="19"/>
      <c r="CX176" s="19"/>
      <c r="CY176" s="19"/>
      <c r="CZ176" s="16" t="s">
        <v>114</v>
      </c>
      <c r="DA176" s="21" t="s">
        <v>115</v>
      </c>
      <c r="DB176" s="23"/>
      <c r="DC176" s="16" t="s">
        <v>129</v>
      </c>
      <c r="DD176" s="16" t="s">
        <v>129</v>
      </c>
      <c r="DE176" s="16" t="s">
        <v>129</v>
      </c>
      <c r="DF176" s="16" t="s">
        <v>129</v>
      </c>
      <c r="DG176" s="21" t="s">
        <v>1058</v>
      </c>
      <c r="DH176" s="23"/>
      <c r="DI176" s="19"/>
      <c r="DJ176" s="16" t="s">
        <v>144</v>
      </c>
      <c r="DK176" s="19"/>
      <c r="DL176" s="19"/>
      <c r="DM176" s="16" t="s">
        <v>1060</v>
      </c>
      <c r="DN176" s="21" t="s">
        <v>1061</v>
      </c>
      <c r="DO176" s="23"/>
    </row>
    <row r="177" ht="15.75" customHeight="1">
      <c r="A177" s="15">
        <v>175.0</v>
      </c>
      <c r="B177" s="16" t="s">
        <v>1084</v>
      </c>
      <c r="C177" s="17">
        <v>3.1706012503103E13</v>
      </c>
      <c r="D177" s="18">
        <v>136.0</v>
      </c>
      <c r="E177" s="16" t="s">
        <v>1068</v>
      </c>
      <c r="F177" s="16" t="s">
        <v>837</v>
      </c>
      <c r="G177" s="16" t="s">
        <v>547</v>
      </c>
      <c r="H177" s="20">
        <v>42887.0</v>
      </c>
      <c r="I177" s="16"/>
      <c r="J177" s="18">
        <v>1.0</v>
      </c>
      <c r="K177" s="16" t="s">
        <v>1085</v>
      </c>
      <c r="L177" s="21" t="s">
        <v>138</v>
      </c>
      <c r="M177" s="23"/>
      <c r="N177" s="19"/>
      <c r="O177" s="19"/>
      <c r="P177" s="19"/>
      <c r="Q177" s="19"/>
      <c r="R177" s="19"/>
      <c r="S177" s="19"/>
      <c r="T177" s="19"/>
      <c r="U177" s="19"/>
      <c r="V177" s="21" t="s">
        <v>932</v>
      </c>
      <c r="W177" s="22"/>
      <c r="X177" s="23"/>
      <c r="Y177" s="19"/>
      <c r="Z177" s="19"/>
      <c r="AA177" s="16" t="s">
        <v>50</v>
      </c>
      <c r="AB177" s="19"/>
      <c r="AC177" s="21" t="s">
        <v>52</v>
      </c>
      <c r="AD177" s="23"/>
      <c r="AE177" s="19"/>
      <c r="AF177" s="19"/>
      <c r="AG177" s="18" t="s">
        <v>839</v>
      </c>
      <c r="AH177" s="16" t="s">
        <v>57</v>
      </c>
      <c r="AI177" s="18" t="s">
        <v>839</v>
      </c>
      <c r="AJ177" s="16" t="s">
        <v>124</v>
      </c>
      <c r="AK177" s="16" t="s">
        <v>142</v>
      </c>
      <c r="AL177" s="16" t="s">
        <v>126</v>
      </c>
      <c r="AM177" s="16" t="s">
        <v>126</v>
      </c>
      <c r="AN177" s="16" t="s">
        <v>126</v>
      </c>
      <c r="AO177" s="16" t="s">
        <v>126</v>
      </c>
      <c r="AP177" s="16" t="s">
        <v>126</v>
      </c>
      <c r="AQ177" s="16" t="s">
        <v>126</v>
      </c>
      <c r="AR177" s="16" t="s">
        <v>181</v>
      </c>
      <c r="AS177" s="21" t="s">
        <v>65</v>
      </c>
      <c r="AT177" s="22"/>
      <c r="AU177" s="23"/>
      <c r="AV177" s="19"/>
      <c r="AW177" s="16" t="s">
        <v>69</v>
      </c>
      <c r="AX177" s="16" t="s">
        <v>70</v>
      </c>
      <c r="AY177" s="16" t="s">
        <v>71</v>
      </c>
      <c r="AZ177" s="18">
        <v>0.0</v>
      </c>
      <c r="BA177" s="16" t="s">
        <v>73</v>
      </c>
      <c r="BB177" s="21" t="s">
        <v>74</v>
      </c>
      <c r="BC177" s="22"/>
      <c r="BD177" s="23"/>
      <c r="BE177" s="16" t="s">
        <v>77</v>
      </c>
      <c r="BF177" s="18">
        <v>0.0</v>
      </c>
      <c r="BG177" s="19"/>
      <c r="BH177" s="19"/>
      <c r="BI177" s="21" t="s">
        <v>52</v>
      </c>
      <c r="BJ177" s="23"/>
      <c r="BK177" s="19"/>
      <c r="BL177" s="19"/>
      <c r="BM177" s="19"/>
      <c r="BN177" s="21" t="s">
        <v>84</v>
      </c>
      <c r="BO177" s="23"/>
      <c r="BP177" s="18">
        <v>0.0</v>
      </c>
      <c r="BQ177" s="19"/>
      <c r="BR177" s="19"/>
      <c r="BS177" s="19"/>
      <c r="BT177" s="19"/>
      <c r="BU177" s="19"/>
      <c r="BV177" s="19"/>
      <c r="BW177" s="16" t="s">
        <v>92</v>
      </c>
      <c r="BX177" s="18">
        <v>0.0</v>
      </c>
      <c r="BY177" s="19"/>
      <c r="BZ177" s="19"/>
      <c r="CA177" s="19"/>
      <c r="CB177" s="16" t="s">
        <v>96</v>
      </c>
      <c r="CC177" s="16" t="s">
        <v>97</v>
      </c>
      <c r="CD177" s="21" t="s">
        <v>98</v>
      </c>
      <c r="CE177" s="23"/>
      <c r="CF177" s="18" t="s">
        <v>839</v>
      </c>
      <c r="CG177" s="16" t="s">
        <v>128</v>
      </c>
      <c r="CH177" s="16" t="s">
        <v>100</v>
      </c>
      <c r="CI177" s="21" t="s">
        <v>101</v>
      </c>
      <c r="CJ177" s="22"/>
      <c r="CK177" s="23"/>
      <c r="CL177" s="16" t="s">
        <v>104</v>
      </c>
      <c r="CM177" s="18">
        <v>0.0</v>
      </c>
      <c r="CN177" s="16" t="s">
        <v>128</v>
      </c>
      <c r="CO177" s="16" t="s">
        <v>105</v>
      </c>
      <c r="CP177" s="16" t="s">
        <v>106</v>
      </c>
      <c r="CQ177" s="16" t="s">
        <v>107</v>
      </c>
      <c r="CR177" s="16" t="s">
        <v>108</v>
      </c>
      <c r="CS177" s="16" t="s">
        <v>109</v>
      </c>
      <c r="CT177" s="16" t="s">
        <v>110</v>
      </c>
      <c r="CU177" s="18">
        <v>0.0</v>
      </c>
      <c r="CV177" s="21" t="s">
        <v>154</v>
      </c>
      <c r="CW177" s="23"/>
      <c r="CX177" s="19"/>
      <c r="CY177" s="19"/>
      <c r="CZ177" s="21" t="s">
        <v>114</v>
      </c>
      <c r="DA177" s="23"/>
      <c r="DB177" s="18" t="s">
        <v>844</v>
      </c>
      <c r="DC177" s="16" t="s">
        <v>129</v>
      </c>
      <c r="DD177" s="16" t="s">
        <v>129</v>
      </c>
      <c r="DE177" s="16" t="s">
        <v>129</v>
      </c>
      <c r="DF177" s="16" t="s">
        <v>129</v>
      </c>
      <c r="DG177" s="16" t="s">
        <v>896</v>
      </c>
      <c r="DH177" s="16" t="s">
        <v>1086</v>
      </c>
      <c r="DI177" s="16" t="s">
        <v>1087</v>
      </c>
      <c r="DJ177" s="16" t="s">
        <v>144</v>
      </c>
      <c r="DK177" s="18" t="s">
        <v>844</v>
      </c>
      <c r="DL177" s="18" t="s">
        <v>845</v>
      </c>
      <c r="DM177" s="16" t="s">
        <v>1088</v>
      </c>
      <c r="DN177" s="16" t="s">
        <v>1089</v>
      </c>
      <c r="DO177" s="18">
        <v>0.0</v>
      </c>
    </row>
    <row r="178" ht="15.75" customHeight="1">
      <c r="A178" s="15">
        <v>176.0</v>
      </c>
      <c r="B178" s="16" t="s">
        <v>1090</v>
      </c>
      <c r="C178" s="17">
        <v>3.200101525087E12</v>
      </c>
      <c r="D178" s="18">
        <v>158.0</v>
      </c>
      <c r="E178" s="16" t="s">
        <v>991</v>
      </c>
      <c r="F178" s="16" t="s">
        <v>606</v>
      </c>
      <c r="G178" s="16" t="s">
        <v>547</v>
      </c>
      <c r="H178" s="20">
        <v>43845.0</v>
      </c>
      <c r="I178" s="18">
        <v>1.0</v>
      </c>
      <c r="J178" s="19"/>
      <c r="K178" s="16" t="s">
        <v>1091</v>
      </c>
      <c r="L178" s="16" t="s">
        <v>122</v>
      </c>
      <c r="M178" s="19"/>
      <c r="N178" s="19"/>
      <c r="O178" s="19"/>
      <c r="P178" s="19"/>
      <c r="Q178" s="19"/>
      <c r="R178" s="19"/>
      <c r="S178" s="19"/>
      <c r="T178" s="21" t="s">
        <v>43</v>
      </c>
      <c r="U178" s="23"/>
      <c r="V178" s="16" t="s">
        <v>1092</v>
      </c>
      <c r="W178" s="19"/>
      <c r="X178" s="16" t="s">
        <v>47</v>
      </c>
      <c r="Y178" s="21" t="s">
        <v>48</v>
      </c>
      <c r="Z178" s="23"/>
      <c r="AA178" s="16" t="s">
        <v>50</v>
      </c>
      <c r="AB178" s="19"/>
      <c r="AC178" s="19"/>
      <c r="AD178" s="19"/>
      <c r="AE178" s="19"/>
      <c r="AF178" s="19"/>
      <c r="AG178" s="19"/>
      <c r="AH178" s="21" t="s">
        <v>123</v>
      </c>
      <c r="AI178" s="23"/>
      <c r="AJ178" s="16" t="s">
        <v>168</v>
      </c>
      <c r="AK178" s="16" t="s">
        <v>153</v>
      </c>
      <c r="AL178" s="16" t="s">
        <v>181</v>
      </c>
      <c r="AM178" s="16" t="s">
        <v>181</v>
      </c>
      <c r="AN178" s="16" t="s">
        <v>181</v>
      </c>
      <c r="AO178" s="16" t="s">
        <v>181</v>
      </c>
      <c r="AP178" s="16" t="s">
        <v>181</v>
      </c>
      <c r="AQ178" s="16" t="s">
        <v>181</v>
      </c>
      <c r="AR178" s="16" t="s">
        <v>126</v>
      </c>
      <c r="AS178" s="21" t="s">
        <v>65</v>
      </c>
      <c r="AT178" s="22"/>
      <c r="AU178" s="23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6" t="s">
        <v>78</v>
      </c>
      <c r="BH178" s="21" t="s">
        <v>79</v>
      </c>
      <c r="BI178" s="23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6" t="s">
        <v>144</v>
      </c>
      <c r="CG178" s="16" t="s">
        <v>128</v>
      </c>
      <c r="CH178" s="19"/>
      <c r="CI178" s="19"/>
      <c r="CJ178" s="19"/>
      <c r="CK178" s="19"/>
      <c r="CL178" s="21" t="s">
        <v>104</v>
      </c>
      <c r="CM178" s="23"/>
      <c r="CN178" s="16" t="s">
        <v>128</v>
      </c>
      <c r="CO178" s="21" t="s">
        <v>105</v>
      </c>
      <c r="CP178" s="22"/>
      <c r="CQ178" s="23"/>
      <c r="CR178" s="21" t="s">
        <v>108</v>
      </c>
      <c r="CS178" s="23"/>
      <c r="CT178" s="19"/>
      <c r="CU178" s="19"/>
      <c r="CV178" s="16" t="s">
        <v>128</v>
      </c>
      <c r="CW178" s="21" t="s">
        <v>111</v>
      </c>
      <c r="CX178" s="22"/>
      <c r="CY178" s="23"/>
      <c r="CZ178" s="19"/>
      <c r="DA178" s="21" t="s">
        <v>115</v>
      </c>
      <c r="DB178" s="23"/>
      <c r="DC178" s="16" t="s">
        <v>129</v>
      </c>
      <c r="DD178" s="16" t="s">
        <v>129</v>
      </c>
      <c r="DE178" s="16" t="s">
        <v>129</v>
      </c>
      <c r="DF178" s="16" t="s">
        <v>129</v>
      </c>
      <c r="DG178" s="16" t="s">
        <v>628</v>
      </c>
      <c r="DH178" s="21" t="s">
        <v>1020</v>
      </c>
      <c r="DI178" s="23"/>
      <c r="DJ178" s="16" t="s">
        <v>1093</v>
      </c>
      <c r="DK178" s="19"/>
      <c r="DL178" s="19"/>
      <c r="DM178" s="21" t="s">
        <v>1094</v>
      </c>
      <c r="DN178" s="23"/>
      <c r="DO178" s="19"/>
    </row>
    <row r="179" ht="15.75" customHeight="1">
      <c r="A179" s="15">
        <v>177.0</v>
      </c>
      <c r="B179" s="16" t="s">
        <v>1095</v>
      </c>
      <c r="C179" s="17">
        <v>3.1712302503301E13</v>
      </c>
      <c r="D179" s="18">
        <v>113.0</v>
      </c>
      <c r="E179" s="16" t="s">
        <v>1082</v>
      </c>
      <c r="F179" s="16" t="s">
        <v>1056</v>
      </c>
      <c r="G179" s="16" t="s">
        <v>547</v>
      </c>
      <c r="H179" s="25">
        <v>43099.0</v>
      </c>
      <c r="I179" s="16"/>
      <c r="J179" s="18">
        <v>1.0</v>
      </c>
      <c r="K179" s="16" t="s">
        <v>1096</v>
      </c>
      <c r="L179" s="21" t="s">
        <v>138</v>
      </c>
      <c r="M179" s="23"/>
      <c r="N179" s="19"/>
      <c r="O179" s="19"/>
      <c r="P179" s="19"/>
      <c r="Q179" s="19"/>
      <c r="R179" s="19"/>
      <c r="S179" s="19"/>
      <c r="T179" s="19"/>
      <c r="U179" s="19"/>
      <c r="V179" s="18" t="s">
        <v>839</v>
      </c>
      <c r="W179" s="16" t="s">
        <v>46</v>
      </c>
      <c r="X179" s="21" t="s">
        <v>47</v>
      </c>
      <c r="Y179" s="23"/>
      <c r="Z179" s="19"/>
      <c r="AA179" s="16" t="s">
        <v>50</v>
      </c>
      <c r="AB179" s="19"/>
      <c r="AC179" s="19"/>
      <c r="AD179" s="19"/>
      <c r="AE179" s="19"/>
      <c r="AF179" s="19"/>
      <c r="AG179" s="19"/>
      <c r="AH179" s="21" t="s">
        <v>123</v>
      </c>
      <c r="AI179" s="23"/>
      <c r="AJ179" s="16" t="s">
        <v>168</v>
      </c>
      <c r="AK179" s="16" t="s">
        <v>153</v>
      </c>
      <c r="AL179" s="16" t="s">
        <v>181</v>
      </c>
      <c r="AM179" s="16" t="s">
        <v>181</v>
      </c>
      <c r="AN179" s="16" t="s">
        <v>181</v>
      </c>
      <c r="AO179" s="16" t="s">
        <v>181</v>
      </c>
      <c r="AP179" s="16" t="s">
        <v>181</v>
      </c>
      <c r="AQ179" s="16" t="s">
        <v>181</v>
      </c>
      <c r="AR179" s="16" t="s">
        <v>126</v>
      </c>
      <c r="AS179" s="21" t="s">
        <v>65</v>
      </c>
      <c r="AT179" s="22"/>
      <c r="AU179" s="23"/>
      <c r="AV179" s="19"/>
      <c r="AW179" s="19"/>
      <c r="AX179" s="19"/>
      <c r="AY179" s="19"/>
      <c r="AZ179" s="21" t="s">
        <v>1074</v>
      </c>
      <c r="BA179" s="23"/>
      <c r="BB179" s="19"/>
      <c r="BC179" s="19"/>
      <c r="BD179" s="19"/>
      <c r="BE179" s="19"/>
      <c r="BF179" s="18" t="s">
        <v>844</v>
      </c>
      <c r="BG179" s="21" t="s">
        <v>78</v>
      </c>
      <c r="BH179" s="23"/>
      <c r="BI179" s="19"/>
      <c r="BJ179" s="19"/>
      <c r="BK179" s="19"/>
      <c r="BL179" s="19"/>
      <c r="BM179" s="19"/>
      <c r="BN179" s="19"/>
      <c r="BO179" s="21" t="s">
        <v>85</v>
      </c>
      <c r="BP179" s="22"/>
      <c r="BQ179" s="22"/>
      <c r="BR179" s="23"/>
      <c r="BS179" s="19"/>
      <c r="BT179" s="19"/>
      <c r="BU179" s="19"/>
      <c r="BV179" s="19"/>
      <c r="BW179" s="19"/>
      <c r="BX179" s="18" t="s">
        <v>839</v>
      </c>
      <c r="BY179" s="19"/>
      <c r="BZ179" s="19"/>
      <c r="CA179" s="19"/>
      <c r="CB179" s="19"/>
      <c r="CC179" s="21" t="s">
        <v>97</v>
      </c>
      <c r="CD179" s="23"/>
      <c r="CE179" s="19"/>
      <c r="CF179" s="19"/>
      <c r="CG179" s="16" t="s">
        <v>128</v>
      </c>
      <c r="CH179" s="21" t="s">
        <v>100</v>
      </c>
      <c r="CI179" s="23"/>
      <c r="CJ179" s="21" t="s">
        <v>102</v>
      </c>
      <c r="CK179" s="22"/>
      <c r="CL179" s="23"/>
      <c r="CM179" s="19"/>
      <c r="CN179" s="16" t="s">
        <v>128</v>
      </c>
      <c r="CO179" s="21" t="s">
        <v>105</v>
      </c>
      <c r="CP179" s="22"/>
      <c r="CQ179" s="23"/>
      <c r="CR179" s="19"/>
      <c r="CS179" s="19"/>
      <c r="CT179" s="19"/>
      <c r="CU179" s="19"/>
      <c r="CV179" s="16" t="s">
        <v>128</v>
      </c>
      <c r="CW179" s="19"/>
      <c r="CX179" s="21" t="s">
        <v>112</v>
      </c>
      <c r="CY179" s="23"/>
      <c r="CZ179" s="21" t="s">
        <v>114</v>
      </c>
      <c r="DA179" s="22"/>
      <c r="DB179" s="23"/>
      <c r="DC179" s="16" t="s">
        <v>129</v>
      </c>
      <c r="DD179" s="16" t="s">
        <v>129</v>
      </c>
      <c r="DE179" s="16" t="s">
        <v>129</v>
      </c>
      <c r="DF179" s="16" t="s">
        <v>129</v>
      </c>
      <c r="DG179" s="16" t="s">
        <v>1058</v>
      </c>
      <c r="DH179" s="21" t="s">
        <v>1097</v>
      </c>
      <c r="DI179" s="23"/>
      <c r="DJ179" s="16" t="s">
        <v>144</v>
      </c>
      <c r="DK179" s="19"/>
      <c r="DL179" s="19"/>
      <c r="DM179" s="21" t="s">
        <v>1060</v>
      </c>
      <c r="DN179" s="23"/>
      <c r="DO179" s="19"/>
    </row>
    <row r="180" ht="15.75" customHeight="1">
      <c r="A180" s="15">
        <v>178.0</v>
      </c>
      <c r="B180" s="16" t="s">
        <v>1098</v>
      </c>
      <c r="C180" s="17">
        <v>3.1903032503606E13</v>
      </c>
      <c r="D180" s="18">
        <v>42.0</v>
      </c>
      <c r="E180" s="16" t="s">
        <v>1068</v>
      </c>
      <c r="F180" s="16" t="s">
        <v>837</v>
      </c>
      <c r="G180" s="16" t="s">
        <v>547</v>
      </c>
      <c r="H180" s="20">
        <v>43527.0</v>
      </c>
      <c r="I180" s="16"/>
      <c r="J180" s="18">
        <v>1.0</v>
      </c>
      <c r="K180" s="16" t="s">
        <v>1099</v>
      </c>
      <c r="L180" s="21" t="s">
        <v>138</v>
      </c>
      <c r="M180" s="23"/>
      <c r="N180" s="19"/>
      <c r="O180" s="19"/>
      <c r="P180" s="19"/>
      <c r="Q180" s="19"/>
      <c r="R180" s="19"/>
      <c r="S180" s="19"/>
      <c r="T180" s="19"/>
      <c r="U180" s="19"/>
      <c r="V180" s="16" t="s">
        <v>932</v>
      </c>
      <c r="W180" s="16" t="s">
        <v>46</v>
      </c>
      <c r="X180" s="21" t="s">
        <v>47</v>
      </c>
      <c r="Y180" s="23"/>
      <c r="Z180" s="19"/>
      <c r="AA180" s="16" t="s">
        <v>50</v>
      </c>
      <c r="AB180" s="19"/>
      <c r="AC180" s="19"/>
      <c r="AD180" s="19"/>
      <c r="AE180" s="19"/>
      <c r="AF180" s="16" t="s">
        <v>55</v>
      </c>
      <c r="AG180" s="18" t="s">
        <v>844</v>
      </c>
      <c r="AH180" s="16" t="s">
        <v>57</v>
      </c>
      <c r="AI180" s="18" t="s">
        <v>839</v>
      </c>
      <c r="AJ180" s="16" t="s">
        <v>168</v>
      </c>
      <c r="AK180" s="16" t="s">
        <v>153</v>
      </c>
      <c r="AL180" s="16" t="s">
        <v>181</v>
      </c>
      <c r="AM180" s="16" t="s">
        <v>181</v>
      </c>
      <c r="AN180" s="16" t="s">
        <v>181</v>
      </c>
      <c r="AO180" s="16" t="s">
        <v>181</v>
      </c>
      <c r="AP180" s="16" t="s">
        <v>181</v>
      </c>
      <c r="AQ180" s="16" t="s">
        <v>181</v>
      </c>
      <c r="AR180" s="16" t="s">
        <v>126</v>
      </c>
      <c r="AS180" s="21" t="s">
        <v>65</v>
      </c>
      <c r="AT180" s="22"/>
      <c r="AU180" s="23"/>
      <c r="AV180" s="19"/>
      <c r="AW180" s="16" t="s">
        <v>69</v>
      </c>
      <c r="AX180" s="16" t="s">
        <v>70</v>
      </c>
      <c r="AY180" s="16" t="s">
        <v>71</v>
      </c>
      <c r="AZ180" s="18">
        <v>0.0</v>
      </c>
      <c r="BA180" s="16" t="s">
        <v>73</v>
      </c>
      <c r="BB180" s="21" t="s">
        <v>74</v>
      </c>
      <c r="BC180" s="23"/>
      <c r="BD180" s="16" t="s">
        <v>76</v>
      </c>
      <c r="BE180" s="16" t="s">
        <v>77</v>
      </c>
      <c r="BF180" s="18" t="s">
        <v>844</v>
      </c>
      <c r="BG180" s="21" t="s">
        <v>78</v>
      </c>
      <c r="BH180" s="23"/>
      <c r="BI180" s="19"/>
      <c r="BJ180" s="19"/>
      <c r="BK180" s="16" t="s">
        <v>81</v>
      </c>
      <c r="BL180" s="19"/>
      <c r="BM180" s="19"/>
      <c r="BN180" s="16" t="s">
        <v>84</v>
      </c>
      <c r="BO180" s="16" t="s">
        <v>85</v>
      </c>
      <c r="BP180" s="18">
        <v>0.0</v>
      </c>
      <c r="BQ180" s="19"/>
      <c r="BR180" s="19"/>
      <c r="BS180" s="19"/>
      <c r="BT180" s="19"/>
      <c r="BU180" s="19"/>
      <c r="BV180" s="19"/>
      <c r="BW180" s="16" t="s">
        <v>92</v>
      </c>
      <c r="BX180" s="18">
        <v>0.0</v>
      </c>
      <c r="BY180" s="19"/>
      <c r="BZ180" s="19"/>
      <c r="CA180" s="19"/>
      <c r="CB180" s="21" t="s">
        <v>96</v>
      </c>
      <c r="CC180" s="23"/>
      <c r="CD180" s="19"/>
      <c r="CE180" s="19"/>
      <c r="CF180" s="18" t="s">
        <v>839</v>
      </c>
      <c r="CG180" s="16" t="s">
        <v>128</v>
      </c>
      <c r="CH180" s="16" t="s">
        <v>100</v>
      </c>
      <c r="CI180" s="16" t="s">
        <v>101</v>
      </c>
      <c r="CJ180" s="16" t="s">
        <v>102</v>
      </c>
      <c r="CK180" s="16" t="s">
        <v>103</v>
      </c>
      <c r="CL180" s="16" t="s">
        <v>104</v>
      </c>
      <c r="CM180" s="18">
        <v>0.0</v>
      </c>
      <c r="CN180" s="16" t="s">
        <v>128</v>
      </c>
      <c r="CO180" s="16" t="s">
        <v>105</v>
      </c>
      <c r="CP180" s="16" t="s">
        <v>106</v>
      </c>
      <c r="CQ180" s="16" t="s">
        <v>107</v>
      </c>
      <c r="CR180" s="16" t="s">
        <v>108</v>
      </c>
      <c r="CS180" s="16" t="s">
        <v>109</v>
      </c>
      <c r="CT180" s="16" t="s">
        <v>110</v>
      </c>
      <c r="CU180" s="18">
        <v>0.0</v>
      </c>
      <c r="CV180" s="16" t="s">
        <v>154</v>
      </c>
      <c r="CW180" s="21" t="s">
        <v>111</v>
      </c>
      <c r="CX180" s="22"/>
      <c r="CY180" s="23"/>
      <c r="CZ180" s="16" t="s">
        <v>114</v>
      </c>
      <c r="DA180" s="16" t="s">
        <v>115</v>
      </c>
      <c r="DB180" s="18" t="s">
        <v>844</v>
      </c>
      <c r="DC180" s="16" t="s">
        <v>129</v>
      </c>
      <c r="DD180" s="16" t="s">
        <v>129</v>
      </c>
      <c r="DE180" s="16" t="s">
        <v>129</v>
      </c>
      <c r="DF180" s="16" t="s">
        <v>129</v>
      </c>
      <c r="DG180" s="16" t="s">
        <v>841</v>
      </c>
      <c r="DH180" s="16" t="s">
        <v>842</v>
      </c>
      <c r="DI180" s="16" t="s">
        <v>914</v>
      </c>
      <c r="DJ180" s="16" t="s">
        <v>915</v>
      </c>
      <c r="DK180" s="16" t="s">
        <v>1071</v>
      </c>
      <c r="DL180" s="18" t="s">
        <v>845</v>
      </c>
      <c r="DM180" s="16" t="s">
        <v>876</v>
      </c>
      <c r="DN180" s="16" t="s">
        <v>901</v>
      </c>
      <c r="DO180" s="16" t="s">
        <v>1088</v>
      </c>
    </row>
    <row r="181" ht="15.75" customHeight="1">
      <c r="A181" s="15">
        <v>179.0</v>
      </c>
      <c r="B181" s="16" t="s">
        <v>1100</v>
      </c>
      <c r="C181" s="17">
        <v>3.1700130500319E13</v>
      </c>
      <c r="D181" s="18">
        <v>16.0</v>
      </c>
      <c r="E181" s="16" t="s">
        <v>1055</v>
      </c>
      <c r="F181" s="16" t="s">
        <v>1056</v>
      </c>
      <c r="G181" s="16" t="s">
        <v>547</v>
      </c>
      <c r="H181" s="20">
        <v>42765.0</v>
      </c>
      <c r="I181" s="18">
        <v>1.0</v>
      </c>
      <c r="J181" s="19"/>
      <c r="K181" s="16" t="s">
        <v>1101</v>
      </c>
      <c r="L181" s="21" t="s">
        <v>138</v>
      </c>
      <c r="M181" s="23"/>
      <c r="N181" s="19"/>
      <c r="O181" s="19"/>
      <c r="P181" s="19"/>
      <c r="Q181" s="19"/>
      <c r="R181" s="19"/>
      <c r="S181" s="19"/>
      <c r="T181" s="19"/>
      <c r="U181" s="19"/>
      <c r="V181" s="18" t="s">
        <v>839</v>
      </c>
      <c r="W181" s="16" t="s">
        <v>46</v>
      </c>
      <c r="X181" s="21" t="s">
        <v>47</v>
      </c>
      <c r="Y181" s="23"/>
      <c r="Z181" s="19"/>
      <c r="AA181" s="16" t="s">
        <v>50</v>
      </c>
      <c r="AB181" s="19"/>
      <c r="AC181" s="19"/>
      <c r="AD181" s="19"/>
      <c r="AE181" s="19"/>
      <c r="AF181" s="21" t="s">
        <v>55</v>
      </c>
      <c r="AG181" s="23"/>
      <c r="AH181" s="21" t="s">
        <v>123</v>
      </c>
      <c r="AI181" s="23"/>
      <c r="AJ181" s="16" t="s">
        <v>168</v>
      </c>
      <c r="AK181" s="16" t="s">
        <v>153</v>
      </c>
      <c r="AL181" s="16" t="s">
        <v>181</v>
      </c>
      <c r="AM181" s="16" t="s">
        <v>181</v>
      </c>
      <c r="AN181" s="16" t="s">
        <v>181</v>
      </c>
      <c r="AO181" s="16" t="s">
        <v>126</v>
      </c>
      <c r="AP181" s="16" t="s">
        <v>181</v>
      </c>
      <c r="AQ181" s="16" t="s">
        <v>181</v>
      </c>
      <c r="AR181" s="16" t="s">
        <v>126</v>
      </c>
      <c r="AS181" s="21" t="s">
        <v>65</v>
      </c>
      <c r="AT181" s="22"/>
      <c r="AU181" s="23"/>
      <c r="AV181" s="21" t="s">
        <v>68</v>
      </c>
      <c r="AW181" s="22"/>
      <c r="AX181" s="23"/>
      <c r="AY181" s="19"/>
      <c r="AZ181" s="19"/>
      <c r="BA181" s="19"/>
      <c r="BB181" s="19"/>
      <c r="BC181" s="19"/>
      <c r="BD181" s="19"/>
      <c r="BE181" s="19"/>
      <c r="BF181" s="18" t="s">
        <v>844</v>
      </c>
      <c r="BG181" s="21" t="s">
        <v>78</v>
      </c>
      <c r="BH181" s="23"/>
      <c r="BI181" s="19"/>
      <c r="BJ181" s="19"/>
      <c r="BK181" s="19"/>
      <c r="BL181" s="19"/>
      <c r="BM181" s="19"/>
      <c r="BN181" s="16" t="s">
        <v>84</v>
      </c>
      <c r="BO181" s="21" t="s">
        <v>85</v>
      </c>
      <c r="BP181" s="22"/>
      <c r="BQ181" s="22"/>
      <c r="BR181" s="23"/>
      <c r="BS181" s="19"/>
      <c r="BT181" s="19"/>
      <c r="BU181" s="19"/>
      <c r="BV181" s="19"/>
      <c r="BW181" s="19"/>
      <c r="BX181" s="18" t="s">
        <v>839</v>
      </c>
      <c r="BY181" s="19"/>
      <c r="BZ181" s="19"/>
      <c r="CA181" s="19"/>
      <c r="CB181" s="19"/>
      <c r="CC181" s="19"/>
      <c r="CD181" s="19"/>
      <c r="CE181" s="19"/>
      <c r="CF181" s="16" t="s">
        <v>144</v>
      </c>
      <c r="CG181" s="16" t="s">
        <v>128</v>
      </c>
      <c r="CH181" s="21" t="s">
        <v>100</v>
      </c>
      <c r="CI181" s="23"/>
      <c r="CJ181" s="21" t="s">
        <v>102</v>
      </c>
      <c r="CK181" s="22"/>
      <c r="CL181" s="23"/>
      <c r="CM181" s="19"/>
      <c r="CN181" s="16" t="s">
        <v>128</v>
      </c>
      <c r="CO181" s="16" t="s">
        <v>105</v>
      </c>
      <c r="CP181" s="21" t="s">
        <v>106</v>
      </c>
      <c r="CQ181" s="22"/>
      <c r="CR181" s="22"/>
      <c r="CS181" s="23"/>
      <c r="CT181" s="19"/>
      <c r="CU181" s="19"/>
      <c r="CV181" s="16" t="s">
        <v>128</v>
      </c>
      <c r="CW181" s="19"/>
      <c r="CX181" s="19"/>
      <c r="CY181" s="19"/>
      <c r="CZ181" s="21" t="s">
        <v>114</v>
      </c>
      <c r="DA181" s="22"/>
      <c r="DB181" s="23"/>
      <c r="DC181" s="16" t="s">
        <v>145</v>
      </c>
      <c r="DD181" s="16" t="s">
        <v>145</v>
      </c>
      <c r="DE181" s="16" t="s">
        <v>129</v>
      </c>
      <c r="DF181" s="16" t="s">
        <v>145</v>
      </c>
      <c r="DG181" s="16" t="s">
        <v>1058</v>
      </c>
      <c r="DH181" s="21" t="s">
        <v>1059</v>
      </c>
      <c r="DI181" s="23"/>
      <c r="DJ181" s="16" t="s">
        <v>144</v>
      </c>
      <c r="DK181" s="19"/>
      <c r="DL181" s="19"/>
      <c r="DM181" s="16" t="s">
        <v>1060</v>
      </c>
      <c r="DN181" s="21" t="s">
        <v>1061</v>
      </c>
      <c r="DO181" s="23"/>
    </row>
    <row r="182" ht="15.75" customHeight="1">
      <c r="A182" s="15">
        <v>180.0</v>
      </c>
      <c r="B182" s="16" t="s">
        <v>1102</v>
      </c>
      <c r="C182" s="17">
        <v>3.1611282504391E13</v>
      </c>
      <c r="D182" s="18">
        <v>137.0</v>
      </c>
      <c r="E182" s="16" t="s">
        <v>1068</v>
      </c>
      <c r="F182" s="16" t="s">
        <v>837</v>
      </c>
      <c r="G182" s="16" t="s">
        <v>547</v>
      </c>
      <c r="H182" s="25">
        <v>42702.0</v>
      </c>
      <c r="I182" s="18">
        <v>1.0</v>
      </c>
      <c r="J182" s="19"/>
      <c r="K182" s="16" t="s">
        <v>1103</v>
      </c>
      <c r="L182" s="21" t="s">
        <v>138</v>
      </c>
      <c r="M182" s="23"/>
      <c r="N182" s="19"/>
      <c r="O182" s="19"/>
      <c r="P182" s="19"/>
      <c r="Q182" s="19"/>
      <c r="R182" s="19"/>
      <c r="S182" s="19"/>
      <c r="T182" s="19"/>
      <c r="U182" s="19"/>
      <c r="V182" s="21" t="s">
        <v>932</v>
      </c>
      <c r="W182" s="22"/>
      <c r="X182" s="23"/>
      <c r="Y182" s="19"/>
      <c r="Z182" s="19"/>
      <c r="AA182" s="16" t="s">
        <v>50</v>
      </c>
      <c r="AB182" s="21" t="s">
        <v>51</v>
      </c>
      <c r="AC182" s="23"/>
      <c r="AD182" s="19"/>
      <c r="AE182" s="19"/>
      <c r="AF182" s="19"/>
      <c r="AG182" s="18" t="s">
        <v>844</v>
      </c>
      <c r="AH182" s="16" t="s">
        <v>57</v>
      </c>
      <c r="AI182" s="18">
        <v>0.0</v>
      </c>
      <c r="AJ182" s="16" t="s">
        <v>124</v>
      </c>
      <c r="AK182" s="16" t="s">
        <v>142</v>
      </c>
      <c r="AL182" s="16" t="s">
        <v>126</v>
      </c>
      <c r="AM182" s="16" t="s">
        <v>181</v>
      </c>
      <c r="AN182" s="16" t="s">
        <v>126</v>
      </c>
      <c r="AO182" s="16" t="s">
        <v>181</v>
      </c>
      <c r="AP182" s="16" t="s">
        <v>181</v>
      </c>
      <c r="AQ182" s="16" t="s">
        <v>181</v>
      </c>
      <c r="AR182" s="16" t="s">
        <v>126</v>
      </c>
      <c r="AS182" s="21" t="s">
        <v>65</v>
      </c>
      <c r="AT182" s="22"/>
      <c r="AU182" s="23"/>
      <c r="AV182" s="19"/>
      <c r="AW182" s="16" t="s">
        <v>69</v>
      </c>
      <c r="AX182" s="16" t="s">
        <v>70</v>
      </c>
      <c r="AY182" s="16" t="s">
        <v>71</v>
      </c>
      <c r="AZ182" s="18">
        <v>0.0</v>
      </c>
      <c r="BA182" s="16" t="s">
        <v>73</v>
      </c>
      <c r="BB182" s="21" t="s">
        <v>74</v>
      </c>
      <c r="BC182" s="22"/>
      <c r="BD182" s="23"/>
      <c r="BE182" s="16" t="s">
        <v>77</v>
      </c>
      <c r="BF182" s="18" t="s">
        <v>844</v>
      </c>
      <c r="BG182" s="19"/>
      <c r="BH182" s="19"/>
      <c r="BI182" s="21" t="s">
        <v>52</v>
      </c>
      <c r="BJ182" s="23"/>
      <c r="BK182" s="16" t="s">
        <v>81</v>
      </c>
      <c r="BL182" s="19"/>
      <c r="BM182" s="19"/>
      <c r="BN182" s="16" t="s">
        <v>84</v>
      </c>
      <c r="BO182" s="16" t="s">
        <v>85</v>
      </c>
      <c r="BP182" s="18">
        <v>0.0</v>
      </c>
      <c r="BQ182" s="19"/>
      <c r="BR182" s="19"/>
      <c r="BS182" s="19"/>
      <c r="BT182" s="19"/>
      <c r="BU182" s="19"/>
      <c r="BV182" s="19"/>
      <c r="BW182" s="16" t="s">
        <v>92</v>
      </c>
      <c r="BX182" s="18">
        <v>0.0</v>
      </c>
      <c r="BY182" s="19"/>
      <c r="BZ182" s="19"/>
      <c r="CA182" s="19"/>
      <c r="CB182" s="21" t="s">
        <v>96</v>
      </c>
      <c r="CC182" s="23"/>
      <c r="CD182" s="19"/>
      <c r="CE182" s="19"/>
      <c r="CF182" s="18">
        <v>0.0</v>
      </c>
      <c r="CG182" s="16" t="s">
        <v>128</v>
      </c>
      <c r="CH182" s="21" t="s">
        <v>100</v>
      </c>
      <c r="CI182" s="23"/>
      <c r="CJ182" s="16" t="s">
        <v>102</v>
      </c>
      <c r="CK182" s="16" t="s">
        <v>103</v>
      </c>
      <c r="CL182" s="16" t="s">
        <v>104</v>
      </c>
      <c r="CM182" s="18">
        <v>0.0</v>
      </c>
      <c r="CN182" s="16" t="s">
        <v>128</v>
      </c>
      <c r="CO182" s="19"/>
      <c r="CP182" s="21" t="s">
        <v>106</v>
      </c>
      <c r="CQ182" s="23"/>
      <c r="CR182" s="16" t="s">
        <v>108</v>
      </c>
      <c r="CS182" s="16" t="s">
        <v>109</v>
      </c>
      <c r="CT182" s="16" t="s">
        <v>110</v>
      </c>
      <c r="CU182" s="18" t="s">
        <v>839</v>
      </c>
      <c r="CV182" s="21" t="s">
        <v>154</v>
      </c>
      <c r="CW182" s="23"/>
      <c r="CX182" s="19"/>
      <c r="CY182" s="19"/>
      <c r="CZ182" s="19"/>
      <c r="DA182" s="16" t="s">
        <v>115</v>
      </c>
      <c r="DB182" s="18" t="s">
        <v>839</v>
      </c>
      <c r="DC182" s="16" t="s">
        <v>129</v>
      </c>
      <c r="DD182" s="16" t="s">
        <v>129</v>
      </c>
      <c r="DE182" s="16" t="s">
        <v>129</v>
      </c>
      <c r="DF182" s="16" t="s">
        <v>129</v>
      </c>
      <c r="DG182" s="16" t="s">
        <v>896</v>
      </c>
      <c r="DH182" s="16" t="s">
        <v>900</v>
      </c>
      <c r="DI182" s="16" t="s">
        <v>843</v>
      </c>
      <c r="DJ182" s="16" t="s">
        <v>1104</v>
      </c>
      <c r="DK182" s="18" t="s">
        <v>844</v>
      </c>
      <c r="DL182" s="18" t="s">
        <v>845</v>
      </c>
      <c r="DM182" s="16" t="s">
        <v>144</v>
      </c>
      <c r="DN182" s="18" t="s">
        <v>845</v>
      </c>
      <c r="DO182" s="18">
        <v>0.0</v>
      </c>
    </row>
    <row r="183" ht="15.75" customHeight="1">
      <c r="A183" s="15">
        <v>181.0</v>
      </c>
      <c r="B183" s="16" t="s">
        <v>1105</v>
      </c>
      <c r="C183" s="17">
        <v>3.1603142503179E13</v>
      </c>
      <c r="D183" s="18">
        <v>13.0</v>
      </c>
      <c r="E183" s="16" t="s">
        <v>1055</v>
      </c>
      <c r="F183" s="16" t="s">
        <v>1056</v>
      </c>
      <c r="G183" s="16" t="s">
        <v>547</v>
      </c>
      <c r="H183" s="20">
        <v>42443.0</v>
      </c>
      <c r="I183" s="18">
        <v>1.0</v>
      </c>
      <c r="J183" s="19"/>
      <c r="K183" s="16" t="s">
        <v>1106</v>
      </c>
      <c r="L183" s="21" t="s">
        <v>138</v>
      </c>
      <c r="M183" s="23"/>
      <c r="N183" s="19"/>
      <c r="O183" s="19"/>
      <c r="P183" s="19"/>
      <c r="Q183" s="19"/>
      <c r="R183" s="19"/>
      <c r="S183" s="19"/>
      <c r="T183" s="19"/>
      <c r="U183" s="19"/>
      <c r="V183" s="18" t="s">
        <v>839</v>
      </c>
      <c r="W183" s="16" t="s">
        <v>46</v>
      </c>
      <c r="X183" s="21" t="s">
        <v>47</v>
      </c>
      <c r="Y183" s="23"/>
      <c r="Z183" s="19"/>
      <c r="AA183" s="16" t="s">
        <v>50</v>
      </c>
      <c r="AB183" s="19"/>
      <c r="AC183" s="19"/>
      <c r="AD183" s="19"/>
      <c r="AE183" s="19"/>
      <c r="AF183" s="19"/>
      <c r="AG183" s="19"/>
      <c r="AH183" s="21" t="s">
        <v>123</v>
      </c>
      <c r="AI183" s="23"/>
      <c r="AJ183" s="16" t="s">
        <v>168</v>
      </c>
      <c r="AK183" s="16" t="s">
        <v>153</v>
      </c>
      <c r="AL183" s="16" t="s">
        <v>181</v>
      </c>
      <c r="AM183" s="16" t="s">
        <v>181</v>
      </c>
      <c r="AN183" s="16" t="s">
        <v>181</v>
      </c>
      <c r="AO183" s="16" t="s">
        <v>126</v>
      </c>
      <c r="AP183" s="16" t="s">
        <v>126</v>
      </c>
      <c r="AQ183" s="16" t="s">
        <v>126</v>
      </c>
      <c r="AR183" s="16" t="s">
        <v>126</v>
      </c>
      <c r="AS183" s="21" t="s">
        <v>65</v>
      </c>
      <c r="AT183" s="23"/>
      <c r="AU183" s="21" t="s">
        <v>67</v>
      </c>
      <c r="AV183" s="22"/>
      <c r="AW183" s="23"/>
      <c r="AX183" s="19"/>
      <c r="AY183" s="19"/>
      <c r="AZ183" s="19"/>
      <c r="BA183" s="19"/>
      <c r="BB183" s="19"/>
      <c r="BC183" s="19"/>
      <c r="BD183" s="19"/>
      <c r="BE183" s="19"/>
      <c r="BF183" s="18" t="s">
        <v>844</v>
      </c>
      <c r="BG183" s="21" t="s">
        <v>78</v>
      </c>
      <c r="BH183" s="23"/>
      <c r="BI183" s="19"/>
      <c r="BJ183" s="19"/>
      <c r="BK183" s="19"/>
      <c r="BL183" s="19"/>
      <c r="BM183" s="19"/>
      <c r="BN183" s="19"/>
      <c r="BO183" s="21" t="s">
        <v>85</v>
      </c>
      <c r="BP183" s="22"/>
      <c r="BQ183" s="22"/>
      <c r="BR183" s="23"/>
      <c r="BS183" s="19"/>
      <c r="BT183" s="19"/>
      <c r="BU183" s="19"/>
      <c r="BV183" s="19"/>
      <c r="BW183" s="19"/>
      <c r="BX183" s="18" t="s">
        <v>839</v>
      </c>
      <c r="BY183" s="19"/>
      <c r="BZ183" s="19"/>
      <c r="CA183" s="19"/>
      <c r="CB183" s="19"/>
      <c r="CC183" s="19"/>
      <c r="CD183" s="19"/>
      <c r="CE183" s="19"/>
      <c r="CF183" s="16" t="s">
        <v>144</v>
      </c>
      <c r="CG183" s="16" t="s">
        <v>128</v>
      </c>
      <c r="CH183" s="21" t="s">
        <v>100</v>
      </c>
      <c r="CI183" s="23"/>
      <c r="CJ183" s="19"/>
      <c r="CK183" s="21" t="s">
        <v>103</v>
      </c>
      <c r="CL183" s="23"/>
      <c r="CM183" s="19"/>
      <c r="CN183" s="16" t="s">
        <v>128</v>
      </c>
      <c r="CO183" s="21" t="s">
        <v>105</v>
      </c>
      <c r="CP183" s="22"/>
      <c r="CQ183" s="23"/>
      <c r="CR183" s="21" t="s">
        <v>108</v>
      </c>
      <c r="CS183" s="23"/>
      <c r="CT183" s="19"/>
      <c r="CU183" s="19"/>
      <c r="CV183" s="16" t="s">
        <v>128</v>
      </c>
      <c r="CW183" s="21" t="s">
        <v>111</v>
      </c>
      <c r="CX183" s="22"/>
      <c r="CY183" s="23"/>
      <c r="CZ183" s="21" t="s">
        <v>114</v>
      </c>
      <c r="DA183" s="22"/>
      <c r="DB183" s="23"/>
      <c r="DC183" s="16" t="s">
        <v>129</v>
      </c>
      <c r="DD183" s="16" t="s">
        <v>129</v>
      </c>
      <c r="DE183" s="16" t="s">
        <v>129</v>
      </c>
      <c r="DF183" s="16" t="s">
        <v>129</v>
      </c>
      <c r="DG183" s="21" t="s">
        <v>1058</v>
      </c>
      <c r="DH183" s="23"/>
      <c r="DI183" s="19"/>
      <c r="DJ183" s="16" t="s">
        <v>144</v>
      </c>
      <c r="DK183" s="19"/>
      <c r="DL183" s="19"/>
      <c r="DM183" s="16" t="s">
        <v>1060</v>
      </c>
      <c r="DN183" s="21" t="s">
        <v>1061</v>
      </c>
      <c r="DO183" s="23"/>
    </row>
    <row r="184" ht="15.75" customHeight="1">
      <c r="A184" s="15">
        <v>182.0</v>
      </c>
      <c r="B184" s="16" t="s">
        <v>1107</v>
      </c>
      <c r="C184" s="17">
        <v>3.1903012504355E13</v>
      </c>
      <c r="D184" s="18">
        <v>138.0</v>
      </c>
      <c r="E184" s="16" t="s">
        <v>1068</v>
      </c>
      <c r="F184" s="16" t="s">
        <v>837</v>
      </c>
      <c r="G184" s="16" t="s">
        <v>547</v>
      </c>
      <c r="H184" s="20">
        <v>43525.0</v>
      </c>
      <c r="I184" s="18">
        <v>1.0</v>
      </c>
      <c r="J184" s="19"/>
      <c r="K184" s="16" t="s">
        <v>1108</v>
      </c>
      <c r="L184" s="21" t="s">
        <v>138</v>
      </c>
      <c r="M184" s="23"/>
      <c r="N184" s="19"/>
      <c r="O184" s="19"/>
      <c r="P184" s="19"/>
      <c r="Q184" s="19"/>
      <c r="R184" s="19"/>
      <c r="S184" s="19"/>
      <c r="T184" s="19"/>
      <c r="U184" s="19"/>
      <c r="V184" s="21" t="s">
        <v>932</v>
      </c>
      <c r="W184" s="22"/>
      <c r="X184" s="23"/>
      <c r="Y184" s="19"/>
      <c r="Z184" s="19"/>
      <c r="AA184" s="19"/>
      <c r="AB184" s="21" t="s">
        <v>51</v>
      </c>
      <c r="AC184" s="23"/>
      <c r="AD184" s="19"/>
      <c r="AE184" s="19"/>
      <c r="AF184" s="19"/>
      <c r="AG184" s="18" t="s">
        <v>839</v>
      </c>
      <c r="AH184" s="16" t="s">
        <v>57</v>
      </c>
      <c r="AI184" s="18" t="s">
        <v>839</v>
      </c>
      <c r="AJ184" s="16" t="s">
        <v>168</v>
      </c>
      <c r="AK184" s="16" t="s">
        <v>142</v>
      </c>
      <c r="AL184" s="16" t="s">
        <v>126</v>
      </c>
      <c r="AM184" s="16" t="s">
        <v>126</v>
      </c>
      <c r="AN184" s="16" t="s">
        <v>181</v>
      </c>
      <c r="AO184" s="16" t="s">
        <v>181</v>
      </c>
      <c r="AP184" s="16" t="s">
        <v>181</v>
      </c>
      <c r="AQ184" s="16" t="s">
        <v>181</v>
      </c>
      <c r="AR184" s="16" t="s">
        <v>181</v>
      </c>
      <c r="AS184" s="21" t="s">
        <v>65</v>
      </c>
      <c r="AT184" s="22"/>
      <c r="AU184" s="23"/>
      <c r="AV184" s="19"/>
      <c r="AW184" s="16" t="s">
        <v>69</v>
      </c>
      <c r="AX184" s="16" t="s">
        <v>70</v>
      </c>
      <c r="AY184" s="16" t="s">
        <v>71</v>
      </c>
      <c r="AZ184" s="18">
        <v>0.0</v>
      </c>
      <c r="BA184" s="16" t="s">
        <v>73</v>
      </c>
      <c r="BB184" s="21" t="s">
        <v>74</v>
      </c>
      <c r="BC184" s="23"/>
      <c r="BD184" s="16" t="s">
        <v>76</v>
      </c>
      <c r="BE184" s="16" t="s">
        <v>77</v>
      </c>
      <c r="BF184" s="18" t="s">
        <v>844</v>
      </c>
      <c r="BG184" s="19"/>
      <c r="BH184" s="16" t="s">
        <v>79</v>
      </c>
      <c r="BI184" s="21" t="s">
        <v>52</v>
      </c>
      <c r="BJ184" s="23"/>
      <c r="BK184" s="19"/>
      <c r="BL184" s="19"/>
      <c r="BM184" s="19"/>
      <c r="BN184" s="19"/>
      <c r="BO184" s="16" t="s">
        <v>85</v>
      </c>
      <c r="BP184" s="18">
        <v>0.0</v>
      </c>
      <c r="BQ184" s="19"/>
      <c r="BR184" s="19"/>
      <c r="BS184" s="21" t="s">
        <v>88</v>
      </c>
      <c r="BT184" s="23"/>
      <c r="BU184" s="19"/>
      <c r="BV184" s="19"/>
      <c r="BW184" s="16" t="s">
        <v>92</v>
      </c>
      <c r="BX184" s="18">
        <v>0.0</v>
      </c>
      <c r="BY184" s="19"/>
      <c r="BZ184" s="19"/>
      <c r="CA184" s="19"/>
      <c r="CB184" s="21" t="s">
        <v>96</v>
      </c>
      <c r="CC184" s="23"/>
      <c r="CD184" s="19"/>
      <c r="CE184" s="19"/>
      <c r="CF184" s="18">
        <v>0.0</v>
      </c>
      <c r="CG184" s="16" t="s">
        <v>128</v>
      </c>
      <c r="CH184" s="21" t="s">
        <v>100</v>
      </c>
      <c r="CI184" s="23"/>
      <c r="CJ184" s="16" t="s">
        <v>102</v>
      </c>
      <c r="CK184" s="16" t="s">
        <v>103</v>
      </c>
      <c r="CL184" s="16" t="s">
        <v>104</v>
      </c>
      <c r="CM184" s="18" t="s">
        <v>839</v>
      </c>
      <c r="CN184" s="16" t="s">
        <v>128</v>
      </c>
      <c r="CO184" s="16" t="s">
        <v>105</v>
      </c>
      <c r="CP184" s="21" t="s">
        <v>106</v>
      </c>
      <c r="CQ184" s="23"/>
      <c r="CR184" s="16" t="s">
        <v>108</v>
      </c>
      <c r="CS184" s="16" t="s">
        <v>109</v>
      </c>
      <c r="CT184" s="16" t="s">
        <v>110</v>
      </c>
      <c r="CU184" s="18">
        <v>0.0</v>
      </c>
      <c r="CV184" s="16" t="s">
        <v>128</v>
      </c>
      <c r="CW184" s="21" t="s">
        <v>111</v>
      </c>
      <c r="CX184" s="23"/>
      <c r="CY184" s="16" t="s">
        <v>113</v>
      </c>
      <c r="CZ184" s="21" t="s">
        <v>114</v>
      </c>
      <c r="DA184" s="23"/>
      <c r="DB184" s="18">
        <v>0.0</v>
      </c>
      <c r="DC184" s="16" t="s">
        <v>129</v>
      </c>
      <c r="DD184" s="16" t="s">
        <v>129</v>
      </c>
      <c r="DE184" s="16" t="s">
        <v>129</v>
      </c>
      <c r="DF184" s="16" t="s">
        <v>129</v>
      </c>
      <c r="DG184" s="16" t="s">
        <v>896</v>
      </c>
      <c r="DH184" s="16" t="s">
        <v>897</v>
      </c>
      <c r="DI184" s="16" t="s">
        <v>843</v>
      </c>
      <c r="DJ184" s="16" t="s">
        <v>144</v>
      </c>
      <c r="DK184" s="18" t="s">
        <v>844</v>
      </c>
      <c r="DL184" s="18" t="s">
        <v>845</v>
      </c>
      <c r="DM184" s="16" t="s">
        <v>1088</v>
      </c>
      <c r="DN184" s="16" t="s">
        <v>1109</v>
      </c>
      <c r="DO184" s="18">
        <v>0.0</v>
      </c>
    </row>
    <row r="185" ht="15.75" customHeight="1">
      <c r="A185" s="15">
        <v>183.0</v>
      </c>
      <c r="B185" s="16" t="s">
        <v>1110</v>
      </c>
      <c r="C185" s="26">
        <v>3.1210042501275E13</v>
      </c>
      <c r="D185" s="18">
        <v>99.0</v>
      </c>
      <c r="E185" s="16" t="s">
        <v>1111</v>
      </c>
      <c r="F185" s="16" t="s">
        <v>546</v>
      </c>
      <c r="G185" s="16" t="s">
        <v>547</v>
      </c>
      <c r="H185" s="20">
        <v>41186.0</v>
      </c>
      <c r="I185" s="18">
        <v>1.0</v>
      </c>
      <c r="J185" s="19"/>
      <c r="K185" s="16" t="s">
        <v>1112</v>
      </c>
      <c r="L185" s="21" t="s">
        <v>138</v>
      </c>
      <c r="M185" s="23"/>
      <c r="N185" s="19"/>
      <c r="O185" s="19"/>
      <c r="P185" s="19"/>
      <c r="Q185" s="19"/>
      <c r="R185" s="19"/>
      <c r="S185" s="19"/>
      <c r="T185" s="19"/>
      <c r="U185" s="19"/>
      <c r="V185" s="16" t="s">
        <v>1113</v>
      </c>
      <c r="W185" s="16" t="s">
        <v>46</v>
      </c>
      <c r="X185" s="21" t="s">
        <v>47</v>
      </c>
      <c r="Y185" s="23"/>
      <c r="Z185" s="19"/>
      <c r="AA185" s="19"/>
      <c r="AB185" s="16" t="s">
        <v>51</v>
      </c>
      <c r="AC185" s="21" t="s">
        <v>52</v>
      </c>
      <c r="AD185" s="23"/>
      <c r="AE185" s="19"/>
      <c r="AF185" s="19"/>
      <c r="AG185" s="19"/>
      <c r="AH185" s="21" t="s">
        <v>123</v>
      </c>
      <c r="AI185" s="23"/>
      <c r="AJ185" s="16" t="s">
        <v>168</v>
      </c>
      <c r="AK185" s="16" t="s">
        <v>153</v>
      </c>
      <c r="AL185" s="16" t="s">
        <v>143</v>
      </c>
      <c r="AM185" s="16" t="s">
        <v>143</v>
      </c>
      <c r="AN185" s="16" t="s">
        <v>126</v>
      </c>
      <c r="AO185" s="16" t="s">
        <v>126</v>
      </c>
      <c r="AP185" s="16" t="s">
        <v>126</v>
      </c>
      <c r="AQ185" s="16" t="s">
        <v>126</v>
      </c>
      <c r="AR185" s="19"/>
      <c r="AS185" s="21" t="s">
        <v>65</v>
      </c>
      <c r="AT185" s="23"/>
      <c r="AU185" s="21" t="s">
        <v>67</v>
      </c>
      <c r="AV185" s="23"/>
      <c r="AW185" s="21" t="s">
        <v>69</v>
      </c>
      <c r="AX185" s="22"/>
      <c r="AY185" s="23"/>
      <c r="AZ185" s="19"/>
      <c r="BA185" s="19"/>
      <c r="BB185" s="19"/>
      <c r="BC185" s="19"/>
      <c r="BD185" s="19"/>
      <c r="BE185" s="19"/>
      <c r="BF185" s="19"/>
      <c r="BG185" s="16" t="s">
        <v>78</v>
      </c>
      <c r="BH185" s="16" t="s">
        <v>79</v>
      </c>
      <c r="BI185" s="21" t="s">
        <v>52</v>
      </c>
      <c r="BJ185" s="23"/>
      <c r="BK185" s="16" t="s">
        <v>81</v>
      </c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6" t="s">
        <v>127</v>
      </c>
      <c r="BY185" s="19"/>
      <c r="BZ185" s="19"/>
      <c r="CA185" s="21" t="s">
        <v>95</v>
      </c>
      <c r="CB185" s="22"/>
      <c r="CC185" s="23"/>
      <c r="CD185" s="19"/>
      <c r="CE185" s="19"/>
      <c r="CF185" s="19"/>
      <c r="CG185" s="16" t="s">
        <v>128</v>
      </c>
      <c r="CH185" s="21" t="s">
        <v>100</v>
      </c>
      <c r="CI185" s="23"/>
      <c r="CJ185" s="19"/>
      <c r="CK185" s="19"/>
      <c r="CL185" s="21" t="s">
        <v>104</v>
      </c>
      <c r="CM185" s="23"/>
      <c r="CN185" s="16" t="s">
        <v>128</v>
      </c>
      <c r="CO185" s="21" t="s">
        <v>105</v>
      </c>
      <c r="CP185" s="22"/>
      <c r="CQ185" s="23"/>
      <c r="CR185" s="19"/>
      <c r="CS185" s="21" t="s">
        <v>109</v>
      </c>
      <c r="CT185" s="23"/>
      <c r="CU185" s="19"/>
      <c r="CV185" s="19"/>
      <c r="CW185" s="19"/>
      <c r="CX185" s="19"/>
      <c r="CY185" s="19"/>
      <c r="CZ185" s="19"/>
      <c r="DA185" s="21" t="s">
        <v>115</v>
      </c>
      <c r="DB185" s="22"/>
      <c r="DC185" s="22"/>
      <c r="DD185" s="23"/>
      <c r="DE185" s="19"/>
      <c r="DF185" s="16" t="s">
        <v>145</v>
      </c>
      <c r="DG185" s="19"/>
      <c r="DH185" s="19"/>
      <c r="DI185" s="19"/>
      <c r="DJ185" s="19"/>
      <c r="DK185" s="19"/>
      <c r="DL185" s="19"/>
      <c r="DM185" s="21" t="s">
        <v>1114</v>
      </c>
      <c r="DN185" s="22"/>
      <c r="DO185" s="23"/>
    </row>
    <row r="186" ht="15.75" customHeight="1">
      <c r="A186" s="15">
        <v>184.0</v>
      </c>
      <c r="B186" s="16" t="s">
        <v>1115</v>
      </c>
      <c r="C186" s="17">
        <v>3.2012202502334E13</v>
      </c>
      <c r="D186" s="18">
        <v>236.0</v>
      </c>
      <c r="E186" s="16" t="s">
        <v>991</v>
      </c>
      <c r="F186" s="16" t="s">
        <v>606</v>
      </c>
      <c r="G186" s="16" t="s">
        <v>547</v>
      </c>
      <c r="H186" s="20">
        <v>44094.0</v>
      </c>
      <c r="I186" s="18">
        <v>1.0</v>
      </c>
      <c r="J186" s="19"/>
      <c r="K186" s="16" t="s">
        <v>1116</v>
      </c>
      <c r="L186" s="21" t="s">
        <v>138</v>
      </c>
      <c r="M186" s="23"/>
      <c r="N186" s="19"/>
      <c r="O186" s="19"/>
      <c r="P186" s="19"/>
      <c r="Q186" s="19"/>
      <c r="R186" s="19"/>
      <c r="S186" s="19"/>
      <c r="T186" s="19"/>
      <c r="U186" s="19"/>
      <c r="V186" s="21" t="s">
        <v>993</v>
      </c>
      <c r="W186" s="23"/>
      <c r="X186" s="21" t="s">
        <v>47</v>
      </c>
      <c r="Y186" s="23"/>
      <c r="Z186" s="19"/>
      <c r="AA186" s="19"/>
      <c r="AB186" s="19"/>
      <c r="AC186" s="19"/>
      <c r="AD186" s="19"/>
      <c r="AE186" s="19"/>
      <c r="AF186" s="21" t="s">
        <v>55</v>
      </c>
      <c r="AG186" s="23"/>
      <c r="AH186" s="21" t="s">
        <v>123</v>
      </c>
      <c r="AI186" s="23"/>
      <c r="AJ186" s="16" t="s">
        <v>141</v>
      </c>
      <c r="AK186" s="16" t="s">
        <v>125</v>
      </c>
      <c r="AL186" s="16" t="s">
        <v>181</v>
      </c>
      <c r="AM186" s="16" t="s">
        <v>181</v>
      </c>
      <c r="AN186" s="16" t="s">
        <v>181</v>
      </c>
      <c r="AO186" s="16" t="s">
        <v>181</v>
      </c>
      <c r="AP186" s="16" t="s">
        <v>181</v>
      </c>
      <c r="AQ186" s="16" t="s">
        <v>181</v>
      </c>
      <c r="AR186" s="16" t="s">
        <v>143</v>
      </c>
      <c r="AS186" s="21" t="s">
        <v>65</v>
      </c>
      <c r="AT186" s="22"/>
      <c r="AU186" s="23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6" t="s">
        <v>78</v>
      </c>
      <c r="BH186" s="21" t="s">
        <v>79</v>
      </c>
      <c r="BI186" s="23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6" t="s">
        <v>144</v>
      </c>
      <c r="BY186" s="19"/>
      <c r="BZ186" s="19"/>
      <c r="CA186" s="19"/>
      <c r="CB186" s="19"/>
      <c r="CC186" s="19"/>
      <c r="CD186" s="19"/>
      <c r="CE186" s="19"/>
      <c r="CF186" s="16" t="s">
        <v>144</v>
      </c>
      <c r="CG186" s="16" t="s">
        <v>128</v>
      </c>
      <c r="CH186" s="19"/>
      <c r="CI186" s="19"/>
      <c r="CJ186" s="19"/>
      <c r="CK186" s="19"/>
      <c r="CL186" s="21" t="s">
        <v>104</v>
      </c>
      <c r="CM186" s="23"/>
      <c r="CN186" s="16" t="s">
        <v>128</v>
      </c>
      <c r="CO186" s="16" t="s">
        <v>105</v>
      </c>
      <c r="CP186" s="16" t="s">
        <v>106</v>
      </c>
      <c r="CQ186" s="16" t="s">
        <v>107</v>
      </c>
      <c r="CR186" s="16" t="s">
        <v>108</v>
      </c>
      <c r="CS186" s="16" t="s">
        <v>109</v>
      </c>
      <c r="CT186" s="21" t="s">
        <v>110</v>
      </c>
      <c r="CU186" s="23"/>
      <c r="CV186" s="16" t="s">
        <v>128</v>
      </c>
      <c r="CW186" s="19"/>
      <c r="CX186" s="21" t="s">
        <v>112</v>
      </c>
      <c r="CY186" s="22"/>
      <c r="CZ186" s="23"/>
      <c r="DA186" s="21" t="s">
        <v>115</v>
      </c>
      <c r="DB186" s="23"/>
      <c r="DC186" s="16" t="s">
        <v>145</v>
      </c>
      <c r="DD186" s="16" t="s">
        <v>145</v>
      </c>
      <c r="DE186" s="16" t="s">
        <v>145</v>
      </c>
      <c r="DF186" s="16" t="s">
        <v>602</v>
      </c>
      <c r="DG186" s="16" t="s">
        <v>1117</v>
      </c>
      <c r="DH186" s="16" t="s">
        <v>1118</v>
      </c>
      <c r="DI186" s="16" t="s">
        <v>1119</v>
      </c>
      <c r="DJ186" s="21" t="s">
        <v>1120</v>
      </c>
      <c r="DK186" s="23"/>
      <c r="DL186" s="19"/>
      <c r="DM186" s="16" t="s">
        <v>1121</v>
      </c>
      <c r="DN186" s="21" t="s">
        <v>1122</v>
      </c>
      <c r="DO186" s="23"/>
    </row>
    <row r="187" ht="15.75" customHeight="1">
      <c r="A187" s="15">
        <v>185.0</v>
      </c>
      <c r="B187" s="16" t="s">
        <v>1123</v>
      </c>
      <c r="C187" s="17">
        <v>3.0905292500405E13</v>
      </c>
      <c r="D187" s="18">
        <v>16.0</v>
      </c>
      <c r="E187" s="16" t="s">
        <v>1068</v>
      </c>
      <c r="F187" s="16" t="s">
        <v>837</v>
      </c>
      <c r="G187" s="16" t="s">
        <v>547</v>
      </c>
      <c r="H187" s="20">
        <v>39962.0</v>
      </c>
      <c r="I187" s="16"/>
      <c r="J187" s="18">
        <v>1.0</v>
      </c>
      <c r="K187" s="16" t="s">
        <v>1124</v>
      </c>
      <c r="L187" s="21" t="s">
        <v>138</v>
      </c>
      <c r="M187" s="23"/>
      <c r="N187" s="19"/>
      <c r="O187" s="19"/>
      <c r="P187" s="19"/>
      <c r="Q187" s="19"/>
      <c r="R187" s="19"/>
      <c r="S187" s="19"/>
      <c r="T187" s="19"/>
      <c r="U187" s="19"/>
      <c r="V187" s="16" t="s">
        <v>932</v>
      </c>
      <c r="W187" s="16" t="s">
        <v>46</v>
      </c>
      <c r="X187" s="16" t="s">
        <v>47</v>
      </c>
      <c r="Y187" s="21" t="s">
        <v>48</v>
      </c>
      <c r="Z187" s="23"/>
      <c r="AA187" s="16" t="s">
        <v>50</v>
      </c>
      <c r="AB187" s="19"/>
      <c r="AC187" s="19"/>
      <c r="AD187" s="19"/>
      <c r="AE187" s="19"/>
      <c r="AF187" s="19"/>
      <c r="AG187" s="16" t="s">
        <v>1125</v>
      </c>
      <c r="AH187" s="16" t="s">
        <v>57</v>
      </c>
      <c r="AI187" s="18" t="s">
        <v>839</v>
      </c>
      <c r="AJ187" s="16" t="s">
        <v>168</v>
      </c>
      <c r="AK187" s="16" t="s">
        <v>153</v>
      </c>
      <c r="AL187" s="16" t="s">
        <v>181</v>
      </c>
      <c r="AM187" s="16" t="s">
        <v>181</v>
      </c>
      <c r="AN187" s="16" t="s">
        <v>181</v>
      </c>
      <c r="AO187" s="16" t="s">
        <v>181</v>
      </c>
      <c r="AP187" s="16" t="s">
        <v>181</v>
      </c>
      <c r="AQ187" s="16" t="s">
        <v>181</v>
      </c>
      <c r="AR187" s="16" t="s">
        <v>181</v>
      </c>
      <c r="AS187" s="21" t="s">
        <v>65</v>
      </c>
      <c r="AT187" s="22"/>
      <c r="AU187" s="23"/>
      <c r="AV187" s="19"/>
      <c r="AW187" s="16" t="s">
        <v>69</v>
      </c>
      <c r="AX187" s="16" t="s">
        <v>70</v>
      </c>
      <c r="AY187" s="16" t="s">
        <v>71</v>
      </c>
      <c r="AZ187" s="18" t="s">
        <v>844</v>
      </c>
      <c r="BA187" s="21" t="s">
        <v>73</v>
      </c>
      <c r="BB187" s="23"/>
      <c r="BC187" s="19"/>
      <c r="BD187" s="16" t="s">
        <v>76</v>
      </c>
      <c r="BE187" s="16" t="s">
        <v>77</v>
      </c>
      <c r="BF187" s="18" t="s">
        <v>844</v>
      </c>
      <c r="BG187" s="16" t="s">
        <v>78</v>
      </c>
      <c r="BH187" s="21" t="s">
        <v>79</v>
      </c>
      <c r="BI187" s="23"/>
      <c r="BJ187" s="19"/>
      <c r="BK187" s="16" t="s">
        <v>81</v>
      </c>
      <c r="BL187" s="19"/>
      <c r="BM187" s="19"/>
      <c r="BN187" s="16" t="s">
        <v>84</v>
      </c>
      <c r="BO187" s="16" t="s">
        <v>85</v>
      </c>
      <c r="BP187" s="18">
        <v>0.0</v>
      </c>
      <c r="BQ187" s="19"/>
      <c r="BR187" s="19"/>
      <c r="BS187" s="19"/>
      <c r="BT187" s="19"/>
      <c r="BU187" s="19"/>
      <c r="BV187" s="16" t="s">
        <v>91</v>
      </c>
      <c r="BW187" s="16" t="s">
        <v>92</v>
      </c>
      <c r="BX187" s="18">
        <v>0.0</v>
      </c>
      <c r="BY187" s="19"/>
      <c r="BZ187" s="19"/>
      <c r="CA187" s="19"/>
      <c r="CB187" s="21" t="s">
        <v>96</v>
      </c>
      <c r="CC187" s="23"/>
      <c r="CD187" s="19"/>
      <c r="CE187" s="19"/>
      <c r="CF187" s="18">
        <v>0.0</v>
      </c>
      <c r="CG187" s="16" t="s">
        <v>128</v>
      </c>
      <c r="CH187" s="16" t="s">
        <v>100</v>
      </c>
      <c r="CI187" s="16" t="s">
        <v>101</v>
      </c>
      <c r="CJ187" s="16" t="s">
        <v>102</v>
      </c>
      <c r="CK187" s="16" t="s">
        <v>103</v>
      </c>
      <c r="CL187" s="16" t="s">
        <v>104</v>
      </c>
      <c r="CM187" s="18">
        <v>0.0</v>
      </c>
      <c r="CN187" s="16" t="s">
        <v>128</v>
      </c>
      <c r="CO187" s="16" t="s">
        <v>105</v>
      </c>
      <c r="CP187" s="16" t="s">
        <v>106</v>
      </c>
      <c r="CQ187" s="16" t="s">
        <v>107</v>
      </c>
      <c r="CR187" s="16" t="s">
        <v>108</v>
      </c>
      <c r="CS187" s="16" t="s">
        <v>109</v>
      </c>
      <c r="CT187" s="16" t="s">
        <v>110</v>
      </c>
      <c r="CU187" s="18">
        <v>0.0</v>
      </c>
      <c r="CV187" s="21" t="s">
        <v>154</v>
      </c>
      <c r="CW187" s="23"/>
      <c r="CX187" s="19"/>
      <c r="CY187" s="19"/>
      <c r="CZ187" s="21" t="s">
        <v>114</v>
      </c>
      <c r="DA187" s="23"/>
      <c r="DB187" s="18">
        <v>0.0</v>
      </c>
      <c r="DC187" s="16" t="s">
        <v>129</v>
      </c>
      <c r="DD187" s="16" t="s">
        <v>129</v>
      </c>
      <c r="DE187" s="16" t="s">
        <v>129</v>
      </c>
      <c r="DF187" s="16" t="s">
        <v>129</v>
      </c>
      <c r="DG187" s="16" t="s">
        <v>841</v>
      </c>
      <c r="DH187" s="16" t="s">
        <v>842</v>
      </c>
      <c r="DI187" s="16" t="s">
        <v>843</v>
      </c>
      <c r="DJ187" s="16" t="s">
        <v>1126</v>
      </c>
      <c r="DK187" s="18" t="s">
        <v>844</v>
      </c>
      <c r="DL187" s="18" t="s">
        <v>845</v>
      </c>
      <c r="DM187" s="16" t="s">
        <v>876</v>
      </c>
      <c r="DN187" s="16" t="s">
        <v>901</v>
      </c>
      <c r="DO187" s="18">
        <v>0.0</v>
      </c>
    </row>
    <row r="188" ht="15.75" customHeight="1">
      <c r="A188" s="15">
        <v>186.0</v>
      </c>
      <c r="B188" s="16" t="s">
        <v>1127</v>
      </c>
      <c r="C188" s="17">
        <v>3.1201232502421E13</v>
      </c>
      <c r="D188" s="18">
        <v>173.0</v>
      </c>
      <c r="E188" s="16" t="s">
        <v>1055</v>
      </c>
      <c r="F188" s="16" t="s">
        <v>1056</v>
      </c>
      <c r="G188" s="16" t="s">
        <v>547</v>
      </c>
      <c r="H188" s="20">
        <v>40931.0</v>
      </c>
      <c r="I188" s="16"/>
      <c r="J188" s="18">
        <v>1.0</v>
      </c>
      <c r="K188" s="16" t="s">
        <v>1128</v>
      </c>
      <c r="L188" s="21" t="s">
        <v>138</v>
      </c>
      <c r="M188" s="23"/>
      <c r="N188" s="19"/>
      <c r="O188" s="19"/>
      <c r="P188" s="19"/>
      <c r="Q188" s="19"/>
      <c r="R188" s="19"/>
      <c r="S188" s="19"/>
      <c r="T188" s="19"/>
      <c r="U188" s="19"/>
      <c r="V188" s="18" t="s">
        <v>839</v>
      </c>
      <c r="W188" s="19"/>
      <c r="X188" s="19"/>
      <c r="Y188" s="19"/>
      <c r="Z188" s="19"/>
      <c r="AA188" s="19"/>
      <c r="AB188" s="16" t="s">
        <v>51</v>
      </c>
      <c r="AC188" s="21" t="s">
        <v>52</v>
      </c>
      <c r="AD188" s="23"/>
      <c r="AE188" s="19"/>
      <c r="AF188" s="21" t="s">
        <v>55</v>
      </c>
      <c r="AG188" s="23"/>
      <c r="AH188" s="21" t="s">
        <v>167</v>
      </c>
      <c r="AI188" s="23"/>
      <c r="AJ188" s="16" t="s">
        <v>124</v>
      </c>
      <c r="AK188" s="16" t="s">
        <v>142</v>
      </c>
      <c r="AL188" s="16" t="s">
        <v>126</v>
      </c>
      <c r="AM188" s="16" t="s">
        <v>181</v>
      </c>
      <c r="AN188" s="16" t="s">
        <v>126</v>
      </c>
      <c r="AO188" s="16" t="s">
        <v>126</v>
      </c>
      <c r="AP188" s="16" t="s">
        <v>181</v>
      </c>
      <c r="AQ188" s="16" t="s">
        <v>126</v>
      </c>
      <c r="AR188" s="16" t="s">
        <v>126</v>
      </c>
      <c r="AS188" s="19"/>
      <c r="AT188" s="19"/>
      <c r="AU188" s="19"/>
      <c r="AV188" s="19"/>
      <c r="AW188" s="19"/>
      <c r="AX188" s="19"/>
      <c r="AY188" s="19"/>
      <c r="AZ188" s="18" t="s">
        <v>839</v>
      </c>
      <c r="BA188" s="16" t="s">
        <v>73</v>
      </c>
      <c r="BB188" s="21" t="s">
        <v>74</v>
      </c>
      <c r="BC188" s="22"/>
      <c r="BD188" s="23"/>
      <c r="BE188" s="21" t="s">
        <v>77</v>
      </c>
      <c r="BF188" s="22"/>
      <c r="BG188" s="22"/>
      <c r="BH188" s="23"/>
      <c r="BI188" s="19"/>
      <c r="BJ188" s="19"/>
      <c r="BK188" s="19"/>
      <c r="BL188" s="19"/>
      <c r="BM188" s="19"/>
      <c r="BN188" s="19"/>
      <c r="BO188" s="19"/>
      <c r="BP188" s="18" t="s">
        <v>839</v>
      </c>
      <c r="BQ188" s="19"/>
      <c r="BR188" s="19"/>
      <c r="BS188" s="19"/>
      <c r="BT188" s="19"/>
      <c r="BU188" s="19"/>
      <c r="BV188" s="19"/>
      <c r="BW188" s="21" t="s">
        <v>92</v>
      </c>
      <c r="BX188" s="22"/>
      <c r="BY188" s="23"/>
      <c r="BZ188" s="19"/>
      <c r="CA188" s="19"/>
      <c r="CB188" s="19"/>
      <c r="CC188" s="19"/>
      <c r="CD188" s="19"/>
      <c r="CE188" s="19"/>
      <c r="CF188" s="16" t="s">
        <v>144</v>
      </c>
      <c r="CG188" s="16" t="s">
        <v>128</v>
      </c>
      <c r="CH188" s="21" t="s">
        <v>100</v>
      </c>
      <c r="CI188" s="23"/>
      <c r="CJ188" s="19"/>
      <c r="CK188" s="19"/>
      <c r="CL188" s="21" t="s">
        <v>104</v>
      </c>
      <c r="CM188" s="23"/>
      <c r="CN188" s="16" t="s">
        <v>128</v>
      </c>
      <c r="CO188" s="21" t="s">
        <v>105</v>
      </c>
      <c r="CP188" s="22"/>
      <c r="CQ188" s="23"/>
      <c r="CR188" s="19"/>
      <c r="CS188" s="19"/>
      <c r="CT188" s="21" t="s">
        <v>110</v>
      </c>
      <c r="CU188" s="23"/>
      <c r="CV188" s="16" t="s">
        <v>128</v>
      </c>
      <c r="CW188" s="19"/>
      <c r="CX188" s="19"/>
      <c r="CY188" s="19"/>
      <c r="CZ188" s="16" t="s">
        <v>114</v>
      </c>
      <c r="DA188" s="21" t="s">
        <v>115</v>
      </c>
      <c r="DB188" s="22"/>
      <c r="DC188" s="22"/>
      <c r="DD188" s="23"/>
      <c r="DE188" s="19"/>
      <c r="DF188" s="19"/>
      <c r="DG188" s="16" t="s">
        <v>1129</v>
      </c>
      <c r="DH188" s="21" t="s">
        <v>1130</v>
      </c>
      <c r="DI188" s="23"/>
      <c r="DJ188" s="16" t="s">
        <v>144</v>
      </c>
      <c r="DK188" s="19"/>
      <c r="DL188" s="19"/>
      <c r="DM188" s="16" t="s">
        <v>1060</v>
      </c>
      <c r="DN188" s="21" t="s">
        <v>1061</v>
      </c>
      <c r="DO188" s="23"/>
    </row>
    <row r="189" ht="15.75" customHeight="1">
      <c r="A189" s="15">
        <v>187.0</v>
      </c>
      <c r="B189" s="16" t="s">
        <v>1131</v>
      </c>
      <c r="C189" s="17">
        <v>3.1106022503813E13</v>
      </c>
      <c r="D189" s="18">
        <v>122.0</v>
      </c>
      <c r="E189" s="16" t="s">
        <v>1111</v>
      </c>
      <c r="F189" s="16" t="s">
        <v>546</v>
      </c>
      <c r="G189" s="16" t="s">
        <v>547</v>
      </c>
      <c r="H189" s="20">
        <v>40696.0</v>
      </c>
      <c r="I189" s="18">
        <v>1.0</v>
      </c>
      <c r="J189" s="19"/>
      <c r="K189" s="16" t="s">
        <v>1132</v>
      </c>
      <c r="L189" s="21" t="s">
        <v>138</v>
      </c>
      <c r="M189" s="23"/>
      <c r="N189" s="19"/>
      <c r="O189" s="19"/>
      <c r="P189" s="19"/>
      <c r="Q189" s="19"/>
      <c r="R189" s="19"/>
      <c r="S189" s="19"/>
      <c r="T189" s="19"/>
      <c r="U189" s="19"/>
      <c r="V189" s="21" t="s">
        <v>1030</v>
      </c>
      <c r="W189" s="22"/>
      <c r="X189" s="23"/>
      <c r="Y189" s="21" t="s">
        <v>48</v>
      </c>
      <c r="Z189" s="23"/>
      <c r="AA189" s="19"/>
      <c r="AB189" s="19"/>
      <c r="AC189" s="19"/>
      <c r="AD189" s="19"/>
      <c r="AE189" s="19"/>
      <c r="AF189" s="19"/>
      <c r="AG189" s="19"/>
      <c r="AH189" s="21" t="s">
        <v>123</v>
      </c>
      <c r="AI189" s="23"/>
      <c r="AJ189" s="16" t="s">
        <v>124</v>
      </c>
      <c r="AK189" s="16" t="s">
        <v>142</v>
      </c>
      <c r="AL189" s="16" t="s">
        <v>181</v>
      </c>
      <c r="AM189" s="16" t="s">
        <v>126</v>
      </c>
      <c r="AN189" s="16" t="s">
        <v>126</v>
      </c>
      <c r="AO189" s="16" t="s">
        <v>126</v>
      </c>
      <c r="AP189" s="16" t="s">
        <v>181</v>
      </c>
      <c r="AQ189" s="16" t="s">
        <v>126</v>
      </c>
      <c r="AR189" s="16" t="s">
        <v>126</v>
      </c>
      <c r="AS189" s="21" t="s">
        <v>65</v>
      </c>
      <c r="AT189" s="22"/>
      <c r="AU189" s="23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21" t="s">
        <v>78</v>
      </c>
      <c r="BH189" s="23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21" t="s">
        <v>96</v>
      </c>
      <c r="CC189" s="23"/>
      <c r="CD189" s="19"/>
      <c r="CE189" s="19"/>
      <c r="CF189" s="19"/>
      <c r="CG189" s="16" t="s">
        <v>128</v>
      </c>
      <c r="CH189" s="19"/>
      <c r="CI189" s="21" t="s">
        <v>101</v>
      </c>
      <c r="CJ189" s="22"/>
      <c r="CK189" s="23"/>
      <c r="CL189" s="19"/>
      <c r="CM189" s="19"/>
      <c r="CN189" s="16" t="s">
        <v>302</v>
      </c>
      <c r="CO189" s="19"/>
      <c r="CP189" s="19"/>
      <c r="CQ189" s="16" t="s">
        <v>107</v>
      </c>
      <c r="CR189" s="16" t="s">
        <v>108</v>
      </c>
      <c r="CS189" s="21" t="s">
        <v>109</v>
      </c>
      <c r="CT189" s="23"/>
      <c r="CU189" s="19"/>
      <c r="CV189" s="21" t="s">
        <v>154</v>
      </c>
      <c r="CW189" s="23"/>
      <c r="CX189" s="19"/>
      <c r="CY189" s="19"/>
      <c r="CZ189" s="21" t="s">
        <v>114</v>
      </c>
      <c r="DA189" s="22"/>
      <c r="DB189" s="23"/>
      <c r="DC189" s="16" t="s">
        <v>145</v>
      </c>
      <c r="DD189" s="16" t="s">
        <v>129</v>
      </c>
      <c r="DE189" s="16" t="s">
        <v>145</v>
      </c>
      <c r="DF189" s="16" t="s">
        <v>145</v>
      </c>
      <c r="DG189" s="16" t="s">
        <v>1133</v>
      </c>
      <c r="DH189" s="16" t="s">
        <v>1134</v>
      </c>
      <c r="DI189" s="16" t="s">
        <v>1135</v>
      </c>
      <c r="DJ189" s="16" t="s">
        <v>144</v>
      </c>
      <c r="DK189" s="16" t="s">
        <v>144</v>
      </c>
      <c r="DL189" s="16" t="s">
        <v>144</v>
      </c>
      <c r="DM189" s="16" t="s">
        <v>144</v>
      </c>
      <c r="DN189" s="16" t="s">
        <v>144</v>
      </c>
      <c r="DO189" s="16" t="s">
        <v>144</v>
      </c>
    </row>
    <row r="190" ht="15.75" customHeight="1">
      <c r="A190" s="15">
        <v>188.0</v>
      </c>
      <c r="B190" s="16" t="s">
        <v>1136</v>
      </c>
      <c r="C190" s="17">
        <v>3.2003152502134E13</v>
      </c>
      <c r="D190" s="18">
        <v>159.0</v>
      </c>
      <c r="E190" s="16" t="s">
        <v>1068</v>
      </c>
      <c r="F190" s="16" t="s">
        <v>837</v>
      </c>
      <c r="G190" s="16" t="s">
        <v>547</v>
      </c>
      <c r="H190" s="20">
        <v>43905.0</v>
      </c>
      <c r="I190" s="18">
        <v>1.0</v>
      </c>
      <c r="J190" s="19"/>
      <c r="K190" s="16" t="s">
        <v>1137</v>
      </c>
      <c r="L190" s="21" t="s">
        <v>138</v>
      </c>
      <c r="M190" s="23"/>
      <c r="N190" s="19"/>
      <c r="O190" s="19"/>
      <c r="P190" s="19"/>
      <c r="Q190" s="19"/>
      <c r="R190" s="19"/>
      <c r="S190" s="19"/>
      <c r="T190" s="19"/>
      <c r="U190" s="19"/>
      <c r="V190" s="21" t="s">
        <v>932</v>
      </c>
      <c r="W190" s="23"/>
      <c r="X190" s="21" t="s">
        <v>47</v>
      </c>
      <c r="Y190" s="23"/>
      <c r="Z190" s="19"/>
      <c r="AA190" s="16" t="s">
        <v>50</v>
      </c>
      <c r="AB190" s="19"/>
      <c r="AC190" s="19"/>
      <c r="AD190" s="19"/>
      <c r="AE190" s="19"/>
      <c r="AF190" s="19"/>
      <c r="AG190" s="18" t="s">
        <v>839</v>
      </c>
      <c r="AH190" s="16" t="s">
        <v>57</v>
      </c>
      <c r="AI190" s="18">
        <v>0.0</v>
      </c>
      <c r="AJ190" s="16" t="s">
        <v>124</v>
      </c>
      <c r="AK190" s="16" t="s">
        <v>142</v>
      </c>
      <c r="AL190" s="16" t="s">
        <v>126</v>
      </c>
      <c r="AM190" s="16" t="s">
        <v>181</v>
      </c>
      <c r="AN190" s="16" t="s">
        <v>181</v>
      </c>
      <c r="AO190" s="16" t="s">
        <v>181</v>
      </c>
      <c r="AP190" s="16" t="s">
        <v>181</v>
      </c>
      <c r="AQ190" s="16" t="s">
        <v>181</v>
      </c>
      <c r="AR190" s="16" t="s">
        <v>181</v>
      </c>
      <c r="AS190" s="21" t="s">
        <v>65</v>
      </c>
      <c r="AT190" s="22"/>
      <c r="AU190" s="23"/>
      <c r="AV190" s="19"/>
      <c r="AW190" s="21" t="s">
        <v>69</v>
      </c>
      <c r="AX190" s="22"/>
      <c r="AY190" s="23"/>
      <c r="AZ190" s="18">
        <v>0.0</v>
      </c>
      <c r="BA190" s="19"/>
      <c r="BB190" s="19"/>
      <c r="BC190" s="19"/>
      <c r="BD190" s="16" t="s">
        <v>76</v>
      </c>
      <c r="BE190" s="16" t="s">
        <v>77</v>
      </c>
      <c r="BF190" s="18" t="s">
        <v>844</v>
      </c>
      <c r="BG190" s="21" t="s">
        <v>78</v>
      </c>
      <c r="BH190" s="23"/>
      <c r="BI190" s="19"/>
      <c r="BJ190" s="19"/>
      <c r="BK190" s="19"/>
      <c r="BL190" s="19"/>
      <c r="BM190" s="19"/>
      <c r="BN190" s="16" t="s">
        <v>84</v>
      </c>
      <c r="BO190" s="16" t="s">
        <v>85</v>
      </c>
      <c r="BP190" s="18">
        <v>0.0</v>
      </c>
      <c r="BQ190" s="19"/>
      <c r="BR190" s="19"/>
      <c r="BS190" s="19"/>
      <c r="BT190" s="19"/>
      <c r="BU190" s="19"/>
      <c r="BV190" s="19"/>
      <c r="BW190" s="16" t="s">
        <v>92</v>
      </c>
      <c r="BX190" s="18">
        <v>0.0</v>
      </c>
      <c r="BY190" s="19"/>
      <c r="BZ190" s="19"/>
      <c r="CA190" s="19"/>
      <c r="CB190" s="21" t="s">
        <v>96</v>
      </c>
      <c r="CC190" s="23"/>
      <c r="CD190" s="19"/>
      <c r="CE190" s="19"/>
      <c r="CF190" s="18">
        <v>0.0</v>
      </c>
      <c r="CG190" s="16" t="s">
        <v>128</v>
      </c>
      <c r="CH190" s="16" t="s">
        <v>100</v>
      </c>
      <c r="CI190" s="21" t="s">
        <v>101</v>
      </c>
      <c r="CJ190" s="22"/>
      <c r="CK190" s="23"/>
      <c r="CL190" s="16" t="s">
        <v>104</v>
      </c>
      <c r="CM190" s="18">
        <v>0.0</v>
      </c>
      <c r="CN190" s="16" t="s">
        <v>128</v>
      </c>
      <c r="CO190" s="21" t="s">
        <v>105</v>
      </c>
      <c r="CP190" s="23"/>
      <c r="CQ190" s="16" t="s">
        <v>107</v>
      </c>
      <c r="CR190" s="16" t="s">
        <v>108</v>
      </c>
      <c r="CS190" s="16" t="s">
        <v>109</v>
      </c>
      <c r="CT190" s="16" t="s">
        <v>110</v>
      </c>
      <c r="CU190" s="18">
        <v>0.0</v>
      </c>
      <c r="CV190" s="21" t="s">
        <v>154</v>
      </c>
      <c r="CW190" s="23"/>
      <c r="CX190" s="19"/>
      <c r="CY190" s="19"/>
      <c r="CZ190" s="19"/>
      <c r="DA190" s="16" t="s">
        <v>115</v>
      </c>
      <c r="DB190" s="18" t="s">
        <v>839</v>
      </c>
      <c r="DC190" s="16" t="s">
        <v>129</v>
      </c>
      <c r="DD190" s="16" t="s">
        <v>129</v>
      </c>
      <c r="DE190" s="16" t="s">
        <v>129</v>
      </c>
      <c r="DF190" s="16" t="s">
        <v>129</v>
      </c>
      <c r="DG190" s="16" t="s">
        <v>841</v>
      </c>
      <c r="DH190" s="16" t="s">
        <v>897</v>
      </c>
      <c r="DI190" s="16" t="s">
        <v>843</v>
      </c>
      <c r="DJ190" s="16" t="s">
        <v>144</v>
      </c>
      <c r="DK190" s="18" t="s">
        <v>844</v>
      </c>
      <c r="DL190" s="18" t="s">
        <v>845</v>
      </c>
      <c r="DM190" s="16" t="s">
        <v>930</v>
      </c>
      <c r="DN190" s="16" t="s">
        <v>901</v>
      </c>
      <c r="DO190" s="18">
        <v>0.0</v>
      </c>
    </row>
    <row r="191" ht="15.75" customHeight="1">
      <c r="A191" s="15">
        <v>189.0</v>
      </c>
      <c r="B191" s="16" t="s">
        <v>1138</v>
      </c>
      <c r="C191" s="17">
        <v>2.9011262502095E13</v>
      </c>
      <c r="D191" s="18">
        <v>225.0</v>
      </c>
      <c r="E191" s="16" t="s">
        <v>1055</v>
      </c>
      <c r="F191" s="16" t="s">
        <v>1056</v>
      </c>
      <c r="G191" s="16" t="s">
        <v>547</v>
      </c>
      <c r="H191" s="25">
        <v>33203.0</v>
      </c>
      <c r="I191" s="18">
        <v>1.0</v>
      </c>
      <c r="J191" s="19"/>
      <c r="K191" s="16" t="s">
        <v>1139</v>
      </c>
      <c r="L191" s="21" t="s">
        <v>138</v>
      </c>
      <c r="M191" s="23"/>
      <c r="N191" s="19"/>
      <c r="O191" s="19"/>
      <c r="P191" s="19"/>
      <c r="Q191" s="19"/>
      <c r="R191" s="19"/>
      <c r="S191" s="19"/>
      <c r="T191" s="19"/>
      <c r="U191" s="19"/>
      <c r="V191" s="18" t="s">
        <v>839</v>
      </c>
      <c r="W191" s="19"/>
      <c r="X191" s="19"/>
      <c r="Y191" s="19"/>
      <c r="Z191" s="19"/>
      <c r="AA191" s="19"/>
      <c r="AB191" s="19"/>
      <c r="AC191" s="21" t="s">
        <v>52</v>
      </c>
      <c r="AD191" s="23"/>
      <c r="AE191" s="19"/>
      <c r="AF191" s="19"/>
      <c r="AG191" s="19"/>
      <c r="AH191" s="21" t="s">
        <v>152</v>
      </c>
      <c r="AI191" s="23"/>
      <c r="AJ191" s="16" t="s">
        <v>243</v>
      </c>
      <c r="AK191" s="16" t="s">
        <v>125</v>
      </c>
      <c r="AL191" s="16" t="s">
        <v>126</v>
      </c>
      <c r="AM191" s="16" t="s">
        <v>126</v>
      </c>
      <c r="AN191" s="16" t="s">
        <v>181</v>
      </c>
      <c r="AO191" s="16" t="s">
        <v>181</v>
      </c>
      <c r="AP191" s="16" t="s">
        <v>181</v>
      </c>
      <c r="AQ191" s="16" t="s">
        <v>181</v>
      </c>
      <c r="AR191" s="16" t="s">
        <v>181</v>
      </c>
      <c r="AS191" s="19"/>
      <c r="AT191" s="19"/>
      <c r="AU191" s="19"/>
      <c r="AV191" s="19"/>
      <c r="AW191" s="19"/>
      <c r="AX191" s="19"/>
      <c r="AY191" s="19"/>
      <c r="AZ191" s="18" t="s">
        <v>839</v>
      </c>
      <c r="BA191" s="21" t="s">
        <v>73</v>
      </c>
      <c r="BB191" s="23"/>
      <c r="BC191" s="19"/>
      <c r="BD191" s="19"/>
      <c r="BE191" s="21" t="s">
        <v>77</v>
      </c>
      <c r="BF191" s="22"/>
      <c r="BG191" s="22"/>
      <c r="BH191" s="23"/>
      <c r="BI191" s="19"/>
      <c r="BJ191" s="19"/>
      <c r="BK191" s="19"/>
      <c r="BL191" s="19"/>
      <c r="BM191" s="19"/>
      <c r="BN191" s="19"/>
      <c r="BO191" s="19"/>
      <c r="BP191" s="18" t="s">
        <v>839</v>
      </c>
      <c r="BQ191" s="19"/>
      <c r="BR191" s="19"/>
      <c r="BS191" s="19"/>
      <c r="BT191" s="19"/>
      <c r="BU191" s="19"/>
      <c r="BV191" s="19"/>
      <c r="BW191" s="19"/>
      <c r="BX191" s="16" t="s">
        <v>144</v>
      </c>
      <c r="BY191" s="19"/>
      <c r="BZ191" s="19"/>
      <c r="CA191" s="19"/>
      <c r="CB191" s="21" t="s">
        <v>96</v>
      </c>
      <c r="CC191" s="23"/>
      <c r="CD191" s="19"/>
      <c r="CE191" s="21" t="s">
        <v>99</v>
      </c>
      <c r="CF191" s="23"/>
      <c r="CG191" s="16" t="s">
        <v>128</v>
      </c>
      <c r="CH191" s="21" t="s">
        <v>100</v>
      </c>
      <c r="CI191" s="23"/>
      <c r="CJ191" s="19"/>
      <c r="CK191" s="19"/>
      <c r="CL191" s="21" t="s">
        <v>104</v>
      </c>
      <c r="CM191" s="23"/>
      <c r="CN191" s="16" t="s">
        <v>128</v>
      </c>
      <c r="CO191" s="21" t="s">
        <v>105</v>
      </c>
      <c r="CP191" s="23"/>
      <c r="CQ191" s="21" t="s">
        <v>107</v>
      </c>
      <c r="CR191" s="22"/>
      <c r="CS191" s="23"/>
      <c r="CT191" s="19"/>
      <c r="CU191" s="19"/>
      <c r="CV191" s="16" t="s">
        <v>128</v>
      </c>
      <c r="CW191" s="19"/>
      <c r="CX191" s="19"/>
      <c r="CY191" s="19"/>
      <c r="CZ191" s="19"/>
      <c r="DA191" s="21" t="s">
        <v>115</v>
      </c>
      <c r="DB191" s="22"/>
      <c r="DC191" s="22"/>
      <c r="DD191" s="23"/>
      <c r="DE191" s="19"/>
      <c r="DF191" s="19"/>
      <c r="DG191" s="21" t="s">
        <v>1140</v>
      </c>
      <c r="DH191" s="22"/>
      <c r="DI191" s="23"/>
      <c r="DJ191" s="16" t="s">
        <v>144</v>
      </c>
      <c r="DK191" s="19"/>
      <c r="DL191" s="19"/>
      <c r="DM191" s="21" t="s">
        <v>1141</v>
      </c>
      <c r="DN191" s="23"/>
      <c r="DO191" s="19"/>
    </row>
    <row r="192" ht="15.75" customHeight="1">
      <c r="A192" s="15">
        <v>190.0</v>
      </c>
      <c r="B192" s="16" t="s">
        <v>1142</v>
      </c>
      <c r="C192" s="26">
        <v>3.1210042501275E13</v>
      </c>
      <c r="D192" s="18">
        <v>96.0</v>
      </c>
      <c r="E192" s="16" t="s">
        <v>1143</v>
      </c>
      <c r="F192" s="16" t="s">
        <v>546</v>
      </c>
      <c r="G192" s="16" t="s">
        <v>547</v>
      </c>
      <c r="H192" s="20">
        <v>43518.0</v>
      </c>
      <c r="I192" s="18">
        <v>1.0</v>
      </c>
      <c r="J192" s="19"/>
      <c r="K192" s="16" t="s">
        <v>1144</v>
      </c>
      <c r="L192" s="21" t="s">
        <v>138</v>
      </c>
      <c r="M192" s="23"/>
      <c r="N192" s="19"/>
      <c r="O192" s="19"/>
      <c r="P192" s="19"/>
      <c r="Q192" s="19"/>
      <c r="R192" s="19"/>
      <c r="S192" s="19"/>
      <c r="T192" s="19"/>
      <c r="U192" s="19"/>
      <c r="V192" s="16" t="s">
        <v>139</v>
      </c>
      <c r="W192" s="19"/>
      <c r="X192" s="19"/>
      <c r="Y192" s="21" t="s">
        <v>48</v>
      </c>
      <c r="Z192" s="23"/>
      <c r="AA192" s="16" t="s">
        <v>50</v>
      </c>
      <c r="AB192" s="19"/>
      <c r="AC192" s="19"/>
      <c r="AD192" s="19"/>
      <c r="AE192" s="19"/>
      <c r="AF192" s="19"/>
      <c r="AG192" s="19"/>
      <c r="AH192" s="21" t="s">
        <v>357</v>
      </c>
      <c r="AI192" s="23"/>
      <c r="AJ192" s="16" t="s">
        <v>168</v>
      </c>
      <c r="AK192" s="16" t="s">
        <v>142</v>
      </c>
      <c r="AL192" s="16" t="s">
        <v>181</v>
      </c>
      <c r="AM192" s="16" t="s">
        <v>181</v>
      </c>
      <c r="AN192" s="16" t="s">
        <v>181</v>
      </c>
      <c r="AO192" s="16" t="s">
        <v>181</v>
      </c>
      <c r="AP192" s="16" t="s">
        <v>181</v>
      </c>
      <c r="AQ192" s="16" t="s">
        <v>181</v>
      </c>
      <c r="AR192" s="16" t="s">
        <v>181</v>
      </c>
      <c r="AS192" s="16" t="s">
        <v>65</v>
      </c>
      <c r="AT192" s="21" t="s">
        <v>66</v>
      </c>
      <c r="AU192" s="22"/>
      <c r="AV192" s="23"/>
      <c r="AW192" s="16" t="s">
        <v>69</v>
      </c>
      <c r="AX192" s="16" t="s">
        <v>70</v>
      </c>
      <c r="AY192" s="21" t="s">
        <v>71</v>
      </c>
      <c r="AZ192" s="22"/>
      <c r="BA192" s="23"/>
      <c r="BB192" s="19"/>
      <c r="BC192" s="19"/>
      <c r="BD192" s="19"/>
      <c r="BE192" s="19"/>
      <c r="BF192" s="19"/>
      <c r="BG192" s="19"/>
      <c r="BH192" s="21" t="s">
        <v>79</v>
      </c>
      <c r="BI192" s="23"/>
      <c r="BJ192" s="19"/>
      <c r="BK192" s="19"/>
      <c r="BL192" s="19"/>
      <c r="BM192" s="19"/>
      <c r="BN192" s="16" t="s">
        <v>84</v>
      </c>
      <c r="BO192" s="21" t="s">
        <v>85</v>
      </c>
      <c r="BP192" s="22"/>
      <c r="BQ192" s="22"/>
      <c r="BR192" s="23"/>
      <c r="BS192" s="19"/>
      <c r="BT192" s="19"/>
      <c r="BU192" s="16" t="s">
        <v>90</v>
      </c>
      <c r="BV192" s="16" t="s">
        <v>91</v>
      </c>
      <c r="BW192" s="21" t="s">
        <v>92</v>
      </c>
      <c r="BX192" s="23"/>
      <c r="BY192" s="21" t="s">
        <v>93</v>
      </c>
      <c r="BZ192" s="22"/>
      <c r="CA192" s="23"/>
      <c r="CB192" s="16" t="s">
        <v>96</v>
      </c>
      <c r="CC192" s="16" t="s">
        <v>97</v>
      </c>
      <c r="CD192" s="21" t="s">
        <v>98</v>
      </c>
      <c r="CE192" s="23"/>
      <c r="CF192" s="19"/>
      <c r="CG192" s="16" t="s">
        <v>128</v>
      </c>
      <c r="CH192" s="16" t="s">
        <v>100</v>
      </c>
      <c r="CI192" s="16" t="s">
        <v>101</v>
      </c>
      <c r="CJ192" s="21" t="s">
        <v>102</v>
      </c>
      <c r="CK192" s="23"/>
      <c r="CL192" s="21" t="s">
        <v>104</v>
      </c>
      <c r="CM192" s="23"/>
      <c r="CN192" s="16" t="s">
        <v>128</v>
      </c>
      <c r="CO192" s="21" t="s">
        <v>105</v>
      </c>
      <c r="CP192" s="23"/>
      <c r="CQ192" s="16" t="s">
        <v>107</v>
      </c>
      <c r="CR192" s="16" t="s">
        <v>108</v>
      </c>
      <c r="CS192" s="16" t="s">
        <v>109</v>
      </c>
      <c r="CT192" s="21" t="s">
        <v>110</v>
      </c>
      <c r="CU192" s="23"/>
      <c r="CV192" s="16" t="s">
        <v>128</v>
      </c>
      <c r="CW192" s="19"/>
      <c r="CX192" s="21" t="s">
        <v>112</v>
      </c>
      <c r="CY192" s="23"/>
      <c r="CZ192" s="16" t="s">
        <v>114</v>
      </c>
      <c r="DA192" s="21" t="s">
        <v>115</v>
      </c>
      <c r="DB192" s="23"/>
      <c r="DC192" s="16" t="s">
        <v>145</v>
      </c>
      <c r="DD192" s="16" t="s">
        <v>129</v>
      </c>
      <c r="DE192" s="16" t="s">
        <v>129</v>
      </c>
      <c r="DF192" s="16" t="s">
        <v>129</v>
      </c>
      <c r="DG192" s="16" t="s">
        <v>1145</v>
      </c>
      <c r="DH192" s="16" t="s">
        <v>1146</v>
      </c>
      <c r="DI192" s="16" t="s">
        <v>1147</v>
      </c>
      <c r="DJ192" s="16" t="s">
        <v>144</v>
      </c>
      <c r="DK192" s="19"/>
      <c r="DL192" s="19"/>
      <c r="DM192" s="16" t="s">
        <v>144</v>
      </c>
      <c r="DN192" s="19"/>
      <c r="DO192" s="19"/>
    </row>
    <row r="193" ht="15.75" customHeight="1">
      <c r="A193" s="15">
        <v>191.0</v>
      </c>
      <c r="B193" s="16" t="s">
        <v>1148</v>
      </c>
      <c r="C193" s="17">
        <v>3.2107062503166E13</v>
      </c>
      <c r="D193" s="19"/>
      <c r="E193" s="16" t="s">
        <v>991</v>
      </c>
      <c r="F193" s="16" t="s">
        <v>606</v>
      </c>
      <c r="G193" s="16" t="s">
        <v>547</v>
      </c>
      <c r="H193" s="20">
        <v>44383.0</v>
      </c>
      <c r="I193" s="16"/>
      <c r="J193" s="18">
        <v>1.0</v>
      </c>
      <c r="K193" s="16" t="s">
        <v>1149</v>
      </c>
      <c r="L193" s="21" t="s">
        <v>138</v>
      </c>
      <c r="M193" s="23"/>
      <c r="N193" s="21" t="s">
        <v>37</v>
      </c>
      <c r="O193" s="22"/>
      <c r="P193" s="22"/>
      <c r="Q193" s="22"/>
      <c r="R193" s="23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</row>
    <row r="194" ht="15.75" customHeight="1">
      <c r="A194" s="15">
        <v>192.0</v>
      </c>
      <c r="B194" s="16" t="s">
        <v>1150</v>
      </c>
      <c r="C194" s="17">
        <v>3.1710282503269E13</v>
      </c>
      <c r="D194" s="18">
        <v>137.0</v>
      </c>
      <c r="E194" s="16" t="s">
        <v>1055</v>
      </c>
      <c r="F194" s="16" t="s">
        <v>1056</v>
      </c>
      <c r="G194" s="16" t="s">
        <v>547</v>
      </c>
      <c r="H194" s="25">
        <v>43036.0</v>
      </c>
      <c r="I194" s="16"/>
      <c r="J194" s="18">
        <v>1.0</v>
      </c>
      <c r="K194" s="16" t="s">
        <v>1151</v>
      </c>
      <c r="L194" s="21" t="s">
        <v>138</v>
      </c>
      <c r="M194" s="23"/>
      <c r="N194" s="19"/>
      <c r="O194" s="19"/>
      <c r="P194" s="19"/>
      <c r="Q194" s="19"/>
      <c r="R194" s="19"/>
      <c r="S194" s="19"/>
      <c r="T194" s="19"/>
      <c r="U194" s="19"/>
      <c r="V194" s="18" t="s">
        <v>839</v>
      </c>
      <c r="W194" s="16" t="s">
        <v>46</v>
      </c>
      <c r="X194" s="21" t="s">
        <v>47</v>
      </c>
      <c r="Y194" s="23"/>
      <c r="Z194" s="19"/>
      <c r="AA194" s="16" t="s">
        <v>50</v>
      </c>
      <c r="AB194" s="19"/>
      <c r="AC194" s="19"/>
      <c r="AD194" s="19"/>
      <c r="AE194" s="19"/>
      <c r="AF194" s="19"/>
      <c r="AG194" s="19"/>
      <c r="AH194" s="21" t="s">
        <v>123</v>
      </c>
      <c r="AI194" s="23"/>
      <c r="AJ194" s="16" t="s">
        <v>168</v>
      </c>
      <c r="AK194" s="16" t="s">
        <v>153</v>
      </c>
      <c r="AL194" s="16" t="s">
        <v>181</v>
      </c>
      <c r="AM194" s="16" t="s">
        <v>181</v>
      </c>
      <c r="AN194" s="16" t="s">
        <v>126</v>
      </c>
      <c r="AO194" s="16" t="s">
        <v>181</v>
      </c>
      <c r="AP194" s="16" t="s">
        <v>181</v>
      </c>
      <c r="AQ194" s="16" t="s">
        <v>126</v>
      </c>
      <c r="AR194" s="16" t="s">
        <v>126</v>
      </c>
      <c r="AS194" s="21" t="s">
        <v>65</v>
      </c>
      <c r="AT194" s="22"/>
      <c r="AU194" s="23"/>
      <c r="AV194" s="21" t="s">
        <v>68</v>
      </c>
      <c r="AW194" s="22"/>
      <c r="AX194" s="23"/>
      <c r="AY194" s="19"/>
      <c r="AZ194" s="19"/>
      <c r="BA194" s="19"/>
      <c r="BB194" s="19"/>
      <c r="BC194" s="19"/>
      <c r="BD194" s="19"/>
      <c r="BE194" s="19"/>
      <c r="BF194" s="18" t="s">
        <v>844</v>
      </c>
      <c r="BG194" s="21" t="s">
        <v>78</v>
      </c>
      <c r="BH194" s="23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8" t="s">
        <v>839</v>
      </c>
      <c r="BY194" s="19"/>
      <c r="BZ194" s="19"/>
      <c r="CA194" s="19"/>
      <c r="CB194" s="21" t="s">
        <v>96</v>
      </c>
      <c r="CC194" s="23"/>
      <c r="CD194" s="19"/>
      <c r="CE194" s="19"/>
      <c r="CF194" s="19"/>
      <c r="CG194" s="16" t="s">
        <v>128</v>
      </c>
      <c r="CH194" s="21" t="s">
        <v>100</v>
      </c>
      <c r="CI194" s="23"/>
      <c r="CJ194" s="21" t="s">
        <v>102</v>
      </c>
      <c r="CK194" s="22"/>
      <c r="CL194" s="23"/>
      <c r="CM194" s="19"/>
      <c r="CN194" s="16" t="s">
        <v>128</v>
      </c>
      <c r="CO194" s="21" t="s">
        <v>105</v>
      </c>
      <c r="CP194" s="22"/>
      <c r="CQ194" s="23"/>
      <c r="CR194" s="19"/>
      <c r="CS194" s="21" t="s">
        <v>109</v>
      </c>
      <c r="CT194" s="23"/>
      <c r="CU194" s="19"/>
      <c r="CV194" s="16" t="s">
        <v>128</v>
      </c>
      <c r="CW194" s="19"/>
      <c r="CX194" s="19"/>
      <c r="CY194" s="19"/>
      <c r="CZ194" s="21" t="s">
        <v>114</v>
      </c>
      <c r="DA194" s="22"/>
      <c r="DB194" s="23"/>
      <c r="DC194" s="16" t="s">
        <v>129</v>
      </c>
      <c r="DD194" s="16" t="s">
        <v>129</v>
      </c>
      <c r="DE194" s="16" t="s">
        <v>145</v>
      </c>
      <c r="DF194" s="16" t="s">
        <v>145</v>
      </c>
      <c r="DG194" s="16" t="s">
        <v>1058</v>
      </c>
      <c r="DH194" s="16" t="s">
        <v>1152</v>
      </c>
      <c r="DI194" s="19"/>
      <c r="DJ194" s="16" t="s">
        <v>144</v>
      </c>
      <c r="DK194" s="19"/>
      <c r="DL194" s="19"/>
      <c r="DM194" s="21" t="s">
        <v>1060</v>
      </c>
      <c r="DN194" s="23"/>
      <c r="DO194" s="19"/>
    </row>
    <row r="195" ht="15.75" customHeight="1">
      <c r="A195" s="15">
        <v>193.0</v>
      </c>
      <c r="B195" s="16" t="s">
        <v>1153</v>
      </c>
      <c r="C195" s="17">
        <v>3.1304242502652E13</v>
      </c>
      <c r="D195" s="18">
        <v>109.0</v>
      </c>
      <c r="E195" s="16" t="s">
        <v>1068</v>
      </c>
      <c r="F195" s="16" t="s">
        <v>837</v>
      </c>
      <c r="G195" s="16" t="s">
        <v>547</v>
      </c>
      <c r="H195" s="20">
        <v>41388.0</v>
      </c>
      <c r="I195" s="18">
        <v>1.0</v>
      </c>
      <c r="J195" s="19"/>
      <c r="K195" s="16" t="s">
        <v>1154</v>
      </c>
      <c r="L195" s="21" t="s">
        <v>138</v>
      </c>
      <c r="M195" s="23"/>
      <c r="N195" s="19"/>
      <c r="O195" s="19"/>
      <c r="P195" s="19"/>
      <c r="Q195" s="19"/>
      <c r="R195" s="19"/>
      <c r="S195" s="19"/>
      <c r="T195" s="19"/>
      <c r="U195" s="19"/>
      <c r="V195" s="16" t="s">
        <v>932</v>
      </c>
      <c r="W195" s="16" t="s">
        <v>46</v>
      </c>
      <c r="X195" s="21" t="s">
        <v>47</v>
      </c>
      <c r="Y195" s="23"/>
      <c r="Z195" s="16" t="s">
        <v>49</v>
      </c>
      <c r="AA195" s="16" t="s">
        <v>50</v>
      </c>
      <c r="AB195" s="19"/>
      <c r="AC195" s="19"/>
      <c r="AD195" s="19"/>
      <c r="AE195" s="19"/>
      <c r="AF195" s="16" t="s">
        <v>55</v>
      </c>
      <c r="AG195" s="18" t="s">
        <v>844</v>
      </c>
      <c r="AH195" s="16" t="s">
        <v>57</v>
      </c>
      <c r="AI195" s="18" t="s">
        <v>839</v>
      </c>
      <c r="AJ195" s="16" t="s">
        <v>124</v>
      </c>
      <c r="AK195" s="16" t="s">
        <v>153</v>
      </c>
      <c r="AL195" s="16" t="s">
        <v>126</v>
      </c>
      <c r="AM195" s="16" t="s">
        <v>126</v>
      </c>
      <c r="AN195" s="16" t="s">
        <v>126</v>
      </c>
      <c r="AO195" s="16" t="s">
        <v>126</v>
      </c>
      <c r="AP195" s="16" t="s">
        <v>126</v>
      </c>
      <c r="AQ195" s="16" t="s">
        <v>181</v>
      </c>
      <c r="AR195" s="16" t="s">
        <v>126</v>
      </c>
      <c r="AS195" s="16" t="s">
        <v>65</v>
      </c>
      <c r="AT195" s="16" t="s">
        <v>66</v>
      </c>
      <c r="AU195" s="16" t="s">
        <v>67</v>
      </c>
      <c r="AV195" s="16" t="s">
        <v>68</v>
      </c>
      <c r="AW195" s="21" t="s">
        <v>69</v>
      </c>
      <c r="AX195" s="22"/>
      <c r="AY195" s="23"/>
      <c r="AZ195" s="18">
        <v>0.0</v>
      </c>
      <c r="BA195" s="21" t="s">
        <v>73</v>
      </c>
      <c r="BB195" s="23"/>
      <c r="BC195" s="19"/>
      <c r="BD195" s="16" t="s">
        <v>76</v>
      </c>
      <c r="BE195" s="16" t="s">
        <v>77</v>
      </c>
      <c r="BF195" s="18">
        <v>0.0</v>
      </c>
      <c r="BG195" s="21" t="s">
        <v>78</v>
      </c>
      <c r="BH195" s="23"/>
      <c r="BI195" s="19"/>
      <c r="BJ195" s="16" t="s">
        <v>80</v>
      </c>
      <c r="BK195" s="16" t="s">
        <v>81</v>
      </c>
      <c r="BL195" s="19"/>
      <c r="BM195" s="16" t="s">
        <v>83</v>
      </c>
      <c r="BN195" s="16" t="s">
        <v>84</v>
      </c>
      <c r="BO195" s="16" t="s">
        <v>85</v>
      </c>
      <c r="BP195" s="18">
        <v>0.0</v>
      </c>
      <c r="BQ195" s="19"/>
      <c r="BR195" s="19"/>
      <c r="BS195" s="19"/>
      <c r="BT195" s="16" t="s">
        <v>89</v>
      </c>
      <c r="BU195" s="16" t="s">
        <v>90</v>
      </c>
      <c r="BV195" s="16" t="s">
        <v>91</v>
      </c>
      <c r="BW195" s="16" t="s">
        <v>92</v>
      </c>
      <c r="BX195" s="18">
        <v>0.0</v>
      </c>
      <c r="BY195" s="19"/>
      <c r="BZ195" s="19"/>
      <c r="CA195" s="19"/>
      <c r="CB195" s="21" t="s">
        <v>96</v>
      </c>
      <c r="CC195" s="23"/>
      <c r="CD195" s="19"/>
      <c r="CE195" s="19"/>
      <c r="CF195" s="18">
        <v>0.0</v>
      </c>
      <c r="CG195" s="16" t="s">
        <v>128</v>
      </c>
      <c r="CH195" s="21" t="s">
        <v>100</v>
      </c>
      <c r="CI195" s="23"/>
      <c r="CJ195" s="21" t="s">
        <v>102</v>
      </c>
      <c r="CK195" s="23"/>
      <c r="CL195" s="16" t="s">
        <v>104</v>
      </c>
      <c r="CM195" s="18">
        <v>0.0</v>
      </c>
      <c r="CN195" s="16" t="s">
        <v>128</v>
      </c>
      <c r="CO195" s="16" t="s">
        <v>105</v>
      </c>
      <c r="CP195" s="16" t="s">
        <v>106</v>
      </c>
      <c r="CQ195" s="16" t="s">
        <v>107</v>
      </c>
      <c r="CR195" s="16" t="s">
        <v>108</v>
      </c>
      <c r="CS195" s="16" t="s">
        <v>109</v>
      </c>
      <c r="CT195" s="16" t="s">
        <v>110</v>
      </c>
      <c r="CU195" s="18">
        <v>0.0</v>
      </c>
      <c r="CV195" s="21" t="s">
        <v>154</v>
      </c>
      <c r="CW195" s="23"/>
      <c r="CX195" s="19"/>
      <c r="CY195" s="19"/>
      <c r="CZ195" s="16" t="s">
        <v>114</v>
      </c>
      <c r="DA195" s="16" t="s">
        <v>115</v>
      </c>
      <c r="DB195" s="18" t="s">
        <v>844</v>
      </c>
      <c r="DC195" s="16" t="s">
        <v>129</v>
      </c>
      <c r="DD195" s="16" t="s">
        <v>129</v>
      </c>
      <c r="DE195" s="16" t="s">
        <v>129</v>
      </c>
      <c r="DF195" s="16" t="s">
        <v>129</v>
      </c>
      <c r="DG195" s="16" t="s">
        <v>841</v>
      </c>
      <c r="DH195" s="16" t="s">
        <v>842</v>
      </c>
      <c r="DI195" s="16" t="s">
        <v>1155</v>
      </c>
      <c r="DJ195" s="16" t="s">
        <v>144</v>
      </c>
      <c r="DK195" s="18" t="s">
        <v>844</v>
      </c>
      <c r="DL195" s="18" t="s">
        <v>845</v>
      </c>
      <c r="DM195" s="16" t="s">
        <v>930</v>
      </c>
      <c r="DN195" s="16" t="s">
        <v>847</v>
      </c>
      <c r="DO195" s="16" t="s">
        <v>1156</v>
      </c>
    </row>
    <row r="196" ht="15.75" customHeight="1">
      <c r="A196" s="15">
        <v>194.0</v>
      </c>
      <c r="B196" s="16" t="s">
        <v>1157</v>
      </c>
      <c r="C196" s="17">
        <v>3.1703208801529E13</v>
      </c>
      <c r="D196" s="18">
        <v>118.0</v>
      </c>
      <c r="E196" s="16" t="s">
        <v>1143</v>
      </c>
      <c r="F196" s="16" t="s">
        <v>546</v>
      </c>
      <c r="G196" s="16" t="s">
        <v>547</v>
      </c>
      <c r="H196" s="20">
        <v>42814.0</v>
      </c>
      <c r="I196" s="16"/>
      <c r="J196" s="18">
        <v>1.0</v>
      </c>
      <c r="K196" s="16" t="s">
        <v>1158</v>
      </c>
      <c r="L196" s="21" t="s">
        <v>138</v>
      </c>
      <c r="M196" s="23"/>
      <c r="N196" s="19"/>
      <c r="O196" s="19"/>
      <c r="P196" s="19"/>
      <c r="Q196" s="19"/>
      <c r="R196" s="19"/>
      <c r="S196" s="19"/>
      <c r="T196" s="19"/>
      <c r="U196" s="19"/>
      <c r="V196" s="16" t="s">
        <v>910</v>
      </c>
      <c r="W196" s="16" t="s">
        <v>46</v>
      </c>
      <c r="X196" s="16" t="s">
        <v>47</v>
      </c>
      <c r="Y196" s="21" t="s">
        <v>48</v>
      </c>
      <c r="Z196" s="23"/>
      <c r="AA196" s="19"/>
      <c r="AB196" s="19"/>
      <c r="AC196" s="19"/>
      <c r="AD196" s="19"/>
      <c r="AE196" s="19"/>
      <c r="AF196" s="19"/>
      <c r="AG196" s="16" t="s">
        <v>1011</v>
      </c>
      <c r="AH196" s="21" t="s">
        <v>123</v>
      </c>
      <c r="AI196" s="23"/>
      <c r="AJ196" s="16" t="s">
        <v>168</v>
      </c>
      <c r="AK196" s="16" t="s">
        <v>153</v>
      </c>
      <c r="AL196" s="16" t="s">
        <v>181</v>
      </c>
      <c r="AM196" s="16" t="s">
        <v>181</v>
      </c>
      <c r="AN196" s="16" t="s">
        <v>181</v>
      </c>
      <c r="AO196" s="16" t="s">
        <v>181</v>
      </c>
      <c r="AP196" s="16" t="s">
        <v>181</v>
      </c>
      <c r="AQ196" s="16" t="s">
        <v>181</v>
      </c>
      <c r="AR196" s="16" t="s">
        <v>181</v>
      </c>
      <c r="AS196" s="21" t="s">
        <v>65</v>
      </c>
      <c r="AT196" s="23"/>
      <c r="AU196" s="21" t="s">
        <v>67</v>
      </c>
      <c r="AV196" s="22"/>
      <c r="AW196" s="23"/>
      <c r="AX196" s="21" t="s">
        <v>70</v>
      </c>
      <c r="AY196" s="22"/>
      <c r="AZ196" s="23"/>
      <c r="BA196" s="19"/>
      <c r="BB196" s="19"/>
      <c r="BC196" s="19"/>
      <c r="BD196" s="19"/>
      <c r="BE196" s="19"/>
      <c r="BF196" s="19"/>
      <c r="BG196" s="16" t="s">
        <v>78</v>
      </c>
      <c r="BH196" s="21" t="s">
        <v>79</v>
      </c>
      <c r="BI196" s="23"/>
      <c r="BJ196" s="19"/>
      <c r="BK196" s="16" t="s">
        <v>81</v>
      </c>
      <c r="BL196" s="21" t="s">
        <v>82</v>
      </c>
      <c r="BM196" s="23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6" t="s">
        <v>144</v>
      </c>
      <c r="CG196" s="16" t="s">
        <v>128</v>
      </c>
      <c r="CH196" s="16" t="s">
        <v>100</v>
      </c>
      <c r="CI196" s="21" t="s">
        <v>101</v>
      </c>
      <c r="CJ196" s="23"/>
      <c r="CK196" s="21" t="s">
        <v>103</v>
      </c>
      <c r="CL196" s="23"/>
      <c r="CM196" s="19"/>
      <c r="CN196" s="16" t="s">
        <v>128</v>
      </c>
      <c r="CO196" s="21" t="s">
        <v>105</v>
      </c>
      <c r="CP196" s="22"/>
      <c r="CQ196" s="23"/>
      <c r="CR196" s="16" t="s">
        <v>108</v>
      </c>
      <c r="CS196" s="21" t="s">
        <v>109</v>
      </c>
      <c r="CT196" s="23"/>
      <c r="CU196" s="19"/>
      <c r="CV196" s="16" t="s">
        <v>128</v>
      </c>
      <c r="CW196" s="21" t="s">
        <v>111</v>
      </c>
      <c r="CX196" s="22"/>
      <c r="CY196" s="23"/>
      <c r="CZ196" s="19"/>
      <c r="DA196" s="21" t="s">
        <v>115</v>
      </c>
      <c r="DB196" s="23"/>
      <c r="DC196" s="16" t="s">
        <v>129</v>
      </c>
      <c r="DD196" s="16" t="s">
        <v>129</v>
      </c>
      <c r="DE196" s="16" t="s">
        <v>129</v>
      </c>
      <c r="DF196" s="16" t="s">
        <v>129</v>
      </c>
      <c r="DG196" s="21" t="s">
        <v>1159</v>
      </c>
      <c r="DH196" s="22"/>
      <c r="DI196" s="23"/>
      <c r="DJ196" s="16" t="s">
        <v>144</v>
      </c>
      <c r="DK196" s="19"/>
      <c r="DL196" s="19"/>
      <c r="DM196" s="21" t="s">
        <v>1160</v>
      </c>
      <c r="DN196" s="22"/>
      <c r="DO196" s="23"/>
    </row>
    <row r="197" ht="15.75" customHeight="1">
      <c r="A197" s="15">
        <v>195.0</v>
      </c>
      <c r="B197" s="16" t="s">
        <v>1161</v>
      </c>
      <c r="C197" s="17">
        <v>3.1609072501023E13</v>
      </c>
      <c r="D197" s="18">
        <v>107.0</v>
      </c>
      <c r="E197" s="16" t="s">
        <v>1111</v>
      </c>
      <c r="F197" s="16" t="s">
        <v>546</v>
      </c>
      <c r="G197" s="16" t="s">
        <v>547</v>
      </c>
      <c r="H197" s="20">
        <v>42620.0</v>
      </c>
      <c r="I197" s="16"/>
      <c r="J197" s="18">
        <v>1.0</v>
      </c>
      <c r="K197" s="16" t="s">
        <v>1162</v>
      </c>
      <c r="L197" s="16" t="s">
        <v>122</v>
      </c>
      <c r="M197" s="19"/>
      <c r="N197" s="19"/>
      <c r="O197" s="19"/>
      <c r="P197" s="19"/>
      <c r="Q197" s="19"/>
      <c r="R197" s="19"/>
      <c r="S197" s="19"/>
      <c r="T197" s="19"/>
      <c r="U197" s="19"/>
      <c r="V197" s="16" t="s">
        <v>402</v>
      </c>
      <c r="W197" s="16" t="s">
        <v>46</v>
      </c>
      <c r="X197" s="19"/>
      <c r="Y197" s="21" t="s">
        <v>48</v>
      </c>
      <c r="Z197" s="23"/>
      <c r="AA197" s="19"/>
      <c r="AB197" s="21" t="s">
        <v>51</v>
      </c>
      <c r="AC197" s="23"/>
      <c r="AD197" s="19"/>
      <c r="AE197" s="19"/>
      <c r="AF197" s="19"/>
      <c r="AG197" s="19"/>
      <c r="AH197" s="21" t="s">
        <v>123</v>
      </c>
      <c r="AI197" s="23"/>
      <c r="AJ197" s="16" t="s">
        <v>124</v>
      </c>
      <c r="AK197" s="16" t="s">
        <v>142</v>
      </c>
      <c r="AL197" s="16" t="s">
        <v>126</v>
      </c>
      <c r="AM197" s="16" t="s">
        <v>126</v>
      </c>
      <c r="AN197" s="16" t="s">
        <v>126</v>
      </c>
      <c r="AO197" s="16" t="s">
        <v>126</v>
      </c>
      <c r="AP197" s="16" t="s">
        <v>181</v>
      </c>
      <c r="AQ197" s="16" t="s">
        <v>126</v>
      </c>
      <c r="AR197" s="16" t="s">
        <v>126</v>
      </c>
      <c r="AS197" s="19"/>
      <c r="AT197" s="19"/>
      <c r="AU197" s="19"/>
      <c r="AV197" s="21" t="s">
        <v>68</v>
      </c>
      <c r="AW197" s="23"/>
      <c r="AX197" s="16" t="s">
        <v>70</v>
      </c>
      <c r="AY197" s="21" t="s">
        <v>71</v>
      </c>
      <c r="AZ197" s="22"/>
      <c r="BA197" s="23"/>
      <c r="BB197" s="19"/>
      <c r="BC197" s="19"/>
      <c r="BD197" s="19"/>
      <c r="BE197" s="19"/>
      <c r="BF197" s="19"/>
      <c r="BG197" s="19"/>
      <c r="BH197" s="19"/>
      <c r="BI197" s="21" t="s">
        <v>52</v>
      </c>
      <c r="BJ197" s="23"/>
      <c r="BK197" s="16" t="s">
        <v>81</v>
      </c>
      <c r="BL197" s="19"/>
      <c r="BM197" s="19"/>
      <c r="BN197" s="19"/>
      <c r="BO197" s="21" t="s">
        <v>85</v>
      </c>
      <c r="BP197" s="22"/>
      <c r="BQ197" s="22"/>
      <c r="BR197" s="23"/>
      <c r="BS197" s="19"/>
      <c r="BT197" s="19"/>
      <c r="BU197" s="19"/>
      <c r="BV197" s="19"/>
      <c r="BW197" s="21" t="s">
        <v>92</v>
      </c>
      <c r="BX197" s="22"/>
      <c r="BY197" s="23"/>
      <c r="BZ197" s="19"/>
      <c r="CA197" s="19"/>
      <c r="CB197" s="19"/>
      <c r="CC197" s="19"/>
      <c r="CD197" s="21" t="s">
        <v>98</v>
      </c>
      <c r="CE197" s="23"/>
      <c r="CF197" s="16" t="s">
        <v>1163</v>
      </c>
      <c r="CG197" s="16" t="s">
        <v>128</v>
      </c>
      <c r="CH197" s="19"/>
      <c r="CI197" s="21" t="s">
        <v>101</v>
      </c>
      <c r="CJ197" s="22"/>
      <c r="CK197" s="23"/>
      <c r="CL197" s="16" t="s">
        <v>104</v>
      </c>
      <c r="CM197" s="16" t="s">
        <v>1164</v>
      </c>
      <c r="CN197" s="16" t="s">
        <v>128</v>
      </c>
      <c r="CO197" s="21" t="s">
        <v>105</v>
      </c>
      <c r="CP197" s="22"/>
      <c r="CQ197" s="23"/>
      <c r="CR197" s="21" t="s">
        <v>108</v>
      </c>
      <c r="CS197" s="23"/>
      <c r="CT197" s="19"/>
      <c r="CU197" s="19"/>
      <c r="CV197" s="16" t="s">
        <v>128</v>
      </c>
      <c r="CW197" s="16" t="s">
        <v>111</v>
      </c>
      <c r="CX197" s="21" t="s">
        <v>112</v>
      </c>
      <c r="CY197" s="22"/>
      <c r="CZ197" s="23"/>
      <c r="DA197" s="19"/>
      <c r="DB197" s="19"/>
      <c r="DC197" s="16" t="s">
        <v>145</v>
      </c>
      <c r="DD197" s="16" t="s">
        <v>129</v>
      </c>
      <c r="DE197" s="19"/>
      <c r="DF197" s="16" t="s">
        <v>129</v>
      </c>
      <c r="DG197" s="16" t="s">
        <v>1165</v>
      </c>
      <c r="DH197" s="21" t="s">
        <v>1166</v>
      </c>
      <c r="DI197" s="23"/>
      <c r="DJ197" s="16" t="s">
        <v>144</v>
      </c>
      <c r="DK197" s="19"/>
      <c r="DL197" s="19"/>
      <c r="DM197" s="21" t="s">
        <v>1167</v>
      </c>
      <c r="DN197" s="22"/>
      <c r="DO197" s="23"/>
    </row>
    <row r="198" ht="15.75" customHeight="1">
      <c r="A198" s="15">
        <v>196.0</v>
      </c>
      <c r="B198" s="16" t="s">
        <v>1168</v>
      </c>
      <c r="C198" s="17">
        <v>3.1105082502993E13</v>
      </c>
      <c r="D198" s="18">
        <v>114.0</v>
      </c>
      <c r="E198" s="16" t="s">
        <v>1169</v>
      </c>
      <c r="F198" s="16" t="s">
        <v>546</v>
      </c>
      <c r="G198" s="16" t="s">
        <v>547</v>
      </c>
      <c r="H198" s="20">
        <v>40671.0</v>
      </c>
      <c r="I198" s="18">
        <v>1.0</v>
      </c>
      <c r="J198" s="19"/>
      <c r="K198" s="16" t="s">
        <v>1170</v>
      </c>
      <c r="L198" s="21" t="s">
        <v>138</v>
      </c>
      <c r="M198" s="23"/>
      <c r="N198" s="19"/>
      <c r="O198" s="19"/>
      <c r="P198" s="19"/>
      <c r="Q198" s="19"/>
      <c r="R198" s="19"/>
      <c r="S198" s="19"/>
      <c r="T198" s="19"/>
      <c r="U198" s="19"/>
      <c r="V198" s="21" t="s">
        <v>1171</v>
      </c>
      <c r="W198" s="23"/>
      <c r="X198" s="21" t="s">
        <v>47</v>
      </c>
      <c r="Y198" s="23"/>
      <c r="Z198" s="19"/>
      <c r="AA198" s="19"/>
      <c r="AB198" s="19"/>
      <c r="AC198" s="19"/>
      <c r="AD198" s="19"/>
      <c r="AE198" s="19"/>
      <c r="AF198" s="19"/>
      <c r="AG198" s="19"/>
      <c r="AH198" s="21" t="s">
        <v>123</v>
      </c>
      <c r="AI198" s="23"/>
      <c r="AJ198" s="16" t="s">
        <v>124</v>
      </c>
      <c r="AK198" s="16" t="s">
        <v>142</v>
      </c>
      <c r="AL198" s="16" t="s">
        <v>181</v>
      </c>
      <c r="AM198" s="16" t="s">
        <v>143</v>
      </c>
      <c r="AN198" s="16" t="s">
        <v>126</v>
      </c>
      <c r="AO198" s="16" t="s">
        <v>181</v>
      </c>
      <c r="AP198" s="16" t="s">
        <v>181</v>
      </c>
      <c r="AQ198" s="16" t="s">
        <v>126</v>
      </c>
      <c r="AR198" s="16" t="s">
        <v>126</v>
      </c>
      <c r="AS198" s="21" t="s">
        <v>65</v>
      </c>
      <c r="AT198" s="22"/>
      <c r="AU198" s="23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21" t="s">
        <v>78</v>
      </c>
      <c r="BH198" s="23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21" t="s">
        <v>94</v>
      </c>
      <c r="CA198" s="22"/>
      <c r="CB198" s="23"/>
      <c r="CC198" s="19"/>
      <c r="CD198" s="19"/>
      <c r="CE198" s="19"/>
      <c r="CF198" s="19"/>
      <c r="CG198" s="16" t="s">
        <v>128</v>
      </c>
      <c r="CH198" s="19"/>
      <c r="CI198" s="19"/>
      <c r="CJ198" s="19"/>
      <c r="CK198" s="19"/>
      <c r="CL198" s="21" t="s">
        <v>104</v>
      </c>
      <c r="CM198" s="23"/>
      <c r="CN198" s="16" t="s">
        <v>128</v>
      </c>
      <c r="CO198" s="19"/>
      <c r="CP198" s="19"/>
      <c r="CQ198" s="19"/>
      <c r="CR198" s="21" t="s">
        <v>108</v>
      </c>
      <c r="CS198" s="23"/>
      <c r="CT198" s="19"/>
      <c r="CU198" s="19"/>
      <c r="CV198" s="16" t="s">
        <v>128</v>
      </c>
      <c r="CW198" s="19"/>
      <c r="CX198" s="19"/>
      <c r="CY198" s="19"/>
      <c r="CZ198" s="21" t="s">
        <v>114</v>
      </c>
      <c r="DA198" s="22"/>
      <c r="DB198" s="23"/>
      <c r="DC198" s="16" t="s">
        <v>145</v>
      </c>
      <c r="DD198" s="16" t="s">
        <v>129</v>
      </c>
      <c r="DE198" s="16" t="s">
        <v>129</v>
      </c>
      <c r="DF198" s="16" t="s">
        <v>129</v>
      </c>
      <c r="DG198" s="16" t="s">
        <v>1172</v>
      </c>
      <c r="DH198" s="16" t="s">
        <v>1173</v>
      </c>
      <c r="DI198" s="16" t="s">
        <v>1174</v>
      </c>
      <c r="DJ198" s="16" t="s">
        <v>144</v>
      </c>
      <c r="DK198" s="16" t="s">
        <v>144</v>
      </c>
      <c r="DL198" s="16" t="s">
        <v>144</v>
      </c>
      <c r="DM198" s="16" t="s">
        <v>144</v>
      </c>
      <c r="DN198" s="16" t="s">
        <v>144</v>
      </c>
      <c r="DO198" s="16" t="s">
        <v>144</v>
      </c>
    </row>
    <row r="199" ht="15.75" customHeight="1">
      <c r="A199" s="15">
        <v>197.0</v>
      </c>
      <c r="B199" s="16" t="s">
        <v>1175</v>
      </c>
      <c r="C199" s="17">
        <v>3.1208082506746E13</v>
      </c>
      <c r="D199" s="18">
        <v>151.0</v>
      </c>
      <c r="E199" s="16" t="s">
        <v>1055</v>
      </c>
      <c r="F199" s="16" t="s">
        <v>1056</v>
      </c>
      <c r="G199" s="16" t="s">
        <v>547</v>
      </c>
      <c r="H199" s="20">
        <v>41129.0</v>
      </c>
      <c r="I199" s="16"/>
      <c r="J199" s="18">
        <v>1.0</v>
      </c>
      <c r="K199" s="16" t="s">
        <v>1176</v>
      </c>
      <c r="L199" s="21" t="s">
        <v>138</v>
      </c>
      <c r="M199" s="23"/>
      <c r="N199" s="19"/>
      <c r="O199" s="19"/>
      <c r="P199" s="19"/>
      <c r="Q199" s="19"/>
      <c r="R199" s="19"/>
      <c r="S199" s="19"/>
      <c r="T199" s="19"/>
      <c r="U199" s="19"/>
      <c r="V199" s="18" t="s">
        <v>839</v>
      </c>
      <c r="W199" s="16" t="s">
        <v>46</v>
      </c>
      <c r="X199" s="21" t="s">
        <v>47</v>
      </c>
      <c r="Y199" s="23"/>
      <c r="Z199" s="19"/>
      <c r="AA199" s="16" t="s">
        <v>50</v>
      </c>
      <c r="AB199" s="19"/>
      <c r="AC199" s="19"/>
      <c r="AD199" s="19"/>
      <c r="AE199" s="19"/>
      <c r="AF199" s="19"/>
      <c r="AG199" s="19"/>
      <c r="AH199" s="21" t="s">
        <v>123</v>
      </c>
      <c r="AI199" s="23"/>
      <c r="AJ199" s="16" t="s">
        <v>124</v>
      </c>
      <c r="AK199" s="16" t="s">
        <v>142</v>
      </c>
      <c r="AL199" s="16" t="s">
        <v>181</v>
      </c>
      <c r="AM199" s="16" t="s">
        <v>181</v>
      </c>
      <c r="AN199" s="16" t="s">
        <v>126</v>
      </c>
      <c r="AO199" s="16" t="s">
        <v>126</v>
      </c>
      <c r="AP199" s="16" t="s">
        <v>126</v>
      </c>
      <c r="AQ199" s="16" t="s">
        <v>181</v>
      </c>
      <c r="AR199" s="16" t="s">
        <v>181</v>
      </c>
      <c r="AS199" s="21" t="s">
        <v>65</v>
      </c>
      <c r="AT199" s="22"/>
      <c r="AU199" s="23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8" t="s">
        <v>844</v>
      </c>
      <c r="BG199" s="16" t="s">
        <v>78</v>
      </c>
      <c r="BH199" s="21" t="s">
        <v>79</v>
      </c>
      <c r="BI199" s="23"/>
      <c r="BJ199" s="19"/>
      <c r="BK199" s="19"/>
      <c r="BL199" s="19"/>
      <c r="BM199" s="19"/>
      <c r="BN199" s="16" t="s">
        <v>84</v>
      </c>
      <c r="BO199" s="21" t="s">
        <v>85</v>
      </c>
      <c r="BP199" s="22"/>
      <c r="BQ199" s="22"/>
      <c r="BR199" s="23"/>
      <c r="BS199" s="19"/>
      <c r="BT199" s="19"/>
      <c r="BU199" s="19"/>
      <c r="BV199" s="19"/>
      <c r="BW199" s="19"/>
      <c r="BX199" s="18" t="s">
        <v>839</v>
      </c>
      <c r="BY199" s="19"/>
      <c r="BZ199" s="19"/>
      <c r="CA199" s="19"/>
      <c r="CB199" s="19"/>
      <c r="CC199" s="19"/>
      <c r="CD199" s="19"/>
      <c r="CE199" s="19"/>
      <c r="CF199" s="16" t="s">
        <v>144</v>
      </c>
      <c r="CG199" s="16" t="s">
        <v>128</v>
      </c>
      <c r="CH199" s="19"/>
      <c r="CI199" s="19"/>
      <c r="CJ199" s="21" t="s">
        <v>102</v>
      </c>
      <c r="CK199" s="22"/>
      <c r="CL199" s="23"/>
      <c r="CM199" s="19"/>
      <c r="CN199" s="16" t="s">
        <v>128</v>
      </c>
      <c r="CO199" s="19"/>
      <c r="CP199" s="19"/>
      <c r="CQ199" s="19"/>
      <c r="CR199" s="19"/>
      <c r="CS199" s="21" t="s">
        <v>109</v>
      </c>
      <c r="CT199" s="23"/>
      <c r="CU199" s="19"/>
      <c r="CV199" s="16" t="s">
        <v>128</v>
      </c>
      <c r="CW199" s="19"/>
      <c r="CX199" s="19"/>
      <c r="CY199" s="21" t="s">
        <v>113</v>
      </c>
      <c r="CZ199" s="22"/>
      <c r="DA199" s="23"/>
      <c r="DB199" s="19"/>
      <c r="DC199" s="16" t="s">
        <v>145</v>
      </c>
      <c r="DD199" s="16" t="s">
        <v>129</v>
      </c>
      <c r="DE199" s="16" t="s">
        <v>145</v>
      </c>
      <c r="DF199" s="16" t="s">
        <v>145</v>
      </c>
      <c r="DG199" s="16" t="s">
        <v>1058</v>
      </c>
      <c r="DH199" s="21" t="s">
        <v>1177</v>
      </c>
      <c r="DI199" s="23"/>
      <c r="DJ199" s="16" t="s">
        <v>144</v>
      </c>
      <c r="DK199" s="19"/>
      <c r="DL199" s="19"/>
      <c r="DM199" s="16" t="s">
        <v>1178</v>
      </c>
      <c r="DN199" s="21" t="s">
        <v>1179</v>
      </c>
      <c r="DO199" s="23"/>
    </row>
    <row r="200" ht="15.75" customHeight="1">
      <c r="A200" s="15">
        <v>198.0</v>
      </c>
      <c r="B200" s="16" t="s">
        <v>1180</v>
      </c>
      <c r="C200" s="17">
        <v>3.1608052502574E13</v>
      </c>
      <c r="D200" s="18">
        <v>24.0</v>
      </c>
      <c r="E200" s="16" t="s">
        <v>1111</v>
      </c>
      <c r="F200" s="16" t="s">
        <v>546</v>
      </c>
      <c r="G200" s="16" t="s">
        <v>547</v>
      </c>
      <c r="H200" s="20">
        <v>40334.0</v>
      </c>
      <c r="I200" s="18">
        <v>1.0</v>
      </c>
      <c r="J200" s="19"/>
      <c r="K200" s="16" t="s">
        <v>1181</v>
      </c>
      <c r="L200" s="16" t="s">
        <v>122</v>
      </c>
      <c r="M200" s="21" t="s">
        <v>36</v>
      </c>
      <c r="N200" s="22"/>
      <c r="O200" s="22"/>
      <c r="P200" s="23"/>
      <c r="Q200" s="19"/>
      <c r="R200" s="19"/>
      <c r="S200" s="19"/>
      <c r="T200" s="19"/>
      <c r="U200" s="19"/>
      <c r="V200" s="19"/>
      <c r="W200" s="16" t="s">
        <v>46</v>
      </c>
      <c r="X200" s="21" t="s">
        <v>47</v>
      </c>
      <c r="Y200" s="23"/>
      <c r="Z200" s="19"/>
      <c r="AA200" s="19"/>
      <c r="AB200" s="19"/>
      <c r="AC200" s="19"/>
      <c r="AD200" s="19"/>
      <c r="AE200" s="19"/>
      <c r="AF200" s="19"/>
      <c r="AG200" s="19"/>
      <c r="AH200" s="21" t="s">
        <v>123</v>
      </c>
      <c r="AI200" s="23"/>
      <c r="AJ200" s="16" t="s">
        <v>449</v>
      </c>
      <c r="AK200" s="16" t="s">
        <v>153</v>
      </c>
      <c r="AL200" s="16" t="s">
        <v>597</v>
      </c>
      <c r="AM200" s="19"/>
      <c r="AN200" s="16" t="s">
        <v>143</v>
      </c>
      <c r="AO200" s="16" t="s">
        <v>126</v>
      </c>
      <c r="AP200" s="16" t="s">
        <v>181</v>
      </c>
      <c r="AQ200" s="16" t="s">
        <v>181</v>
      </c>
      <c r="AR200" s="16" t="s">
        <v>597</v>
      </c>
      <c r="AS200" s="21" t="s">
        <v>65</v>
      </c>
      <c r="AT200" s="22"/>
      <c r="AU200" s="23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6" t="s">
        <v>78</v>
      </c>
      <c r="BH200" s="16" t="s">
        <v>79</v>
      </c>
      <c r="BI200" s="21" t="s">
        <v>52</v>
      </c>
      <c r="BJ200" s="23"/>
      <c r="BK200" s="16" t="s">
        <v>81</v>
      </c>
      <c r="BL200" s="19"/>
      <c r="BM200" s="19"/>
      <c r="BN200" s="19"/>
      <c r="BO200" s="21" t="s">
        <v>85</v>
      </c>
      <c r="BP200" s="22"/>
      <c r="BQ200" s="22"/>
      <c r="BR200" s="23"/>
      <c r="BS200" s="19"/>
      <c r="BT200" s="19"/>
      <c r="BU200" s="19"/>
      <c r="BV200" s="19"/>
      <c r="BW200" s="19"/>
      <c r="BX200" s="19"/>
      <c r="BY200" s="19"/>
      <c r="BZ200" s="21" t="s">
        <v>94</v>
      </c>
      <c r="CA200" s="22"/>
      <c r="CB200" s="23"/>
      <c r="CC200" s="19"/>
      <c r="CD200" s="19"/>
      <c r="CE200" s="21" t="s">
        <v>99</v>
      </c>
      <c r="CF200" s="23"/>
      <c r="CG200" s="16" t="s">
        <v>128</v>
      </c>
      <c r="CH200" s="19"/>
      <c r="CI200" s="16" t="s">
        <v>101</v>
      </c>
      <c r="CJ200" s="21" t="s">
        <v>102</v>
      </c>
      <c r="CK200" s="23"/>
      <c r="CL200" s="21" t="s">
        <v>104</v>
      </c>
      <c r="CM200" s="23"/>
      <c r="CN200" s="16" t="s">
        <v>302</v>
      </c>
      <c r="CO200" s="19"/>
      <c r="CP200" s="19"/>
      <c r="CQ200" s="19"/>
      <c r="CR200" s="19"/>
      <c r="CS200" s="19"/>
      <c r="CT200" s="19"/>
      <c r="CU200" s="19"/>
      <c r="CV200" s="21" t="s">
        <v>154</v>
      </c>
      <c r="CW200" s="23"/>
      <c r="CX200" s="19"/>
      <c r="CY200" s="19"/>
      <c r="CZ200" s="19"/>
      <c r="DA200" s="19"/>
      <c r="DB200" s="19"/>
      <c r="DC200" s="16" t="s">
        <v>129</v>
      </c>
      <c r="DD200" s="16" t="s">
        <v>145</v>
      </c>
      <c r="DE200" s="19"/>
      <c r="DF200" s="19"/>
      <c r="DG200" s="16" t="s">
        <v>629</v>
      </c>
      <c r="DH200" s="16" t="s">
        <v>1182</v>
      </c>
      <c r="DI200" s="16" t="s">
        <v>1183</v>
      </c>
      <c r="DJ200" s="21" t="s">
        <v>1184</v>
      </c>
      <c r="DK200" s="23"/>
      <c r="DL200" s="19"/>
      <c r="DM200" s="16" t="s">
        <v>1185</v>
      </c>
      <c r="DN200" s="21" t="s">
        <v>1186</v>
      </c>
      <c r="DO200" s="23"/>
    </row>
    <row r="201" ht="15.75" customHeight="1">
      <c r="A201" s="15">
        <v>199.0</v>
      </c>
      <c r="B201" s="16" t="s">
        <v>1187</v>
      </c>
      <c r="C201" s="17">
        <v>3.0703012554561E13</v>
      </c>
      <c r="D201" s="18">
        <v>127.0</v>
      </c>
      <c r="E201" s="16" t="s">
        <v>1068</v>
      </c>
      <c r="F201" s="16" t="s">
        <v>837</v>
      </c>
      <c r="G201" s="16" t="s">
        <v>547</v>
      </c>
      <c r="H201" s="19"/>
      <c r="I201" s="18">
        <v>1.0</v>
      </c>
      <c r="J201" s="19"/>
      <c r="K201" s="16" t="s">
        <v>1188</v>
      </c>
      <c r="L201" s="21" t="s">
        <v>138</v>
      </c>
      <c r="M201" s="23"/>
      <c r="N201" s="19"/>
      <c r="O201" s="19"/>
      <c r="P201" s="19"/>
      <c r="Q201" s="19"/>
      <c r="R201" s="19"/>
      <c r="S201" s="19"/>
      <c r="T201" s="19"/>
      <c r="U201" s="19"/>
      <c r="V201" s="16" t="s">
        <v>932</v>
      </c>
      <c r="W201" s="16" t="s">
        <v>46</v>
      </c>
      <c r="X201" s="19"/>
      <c r="Y201" s="19"/>
      <c r="Z201" s="19"/>
      <c r="AA201" s="16" t="s">
        <v>50</v>
      </c>
      <c r="AB201" s="19"/>
      <c r="AC201" s="19"/>
      <c r="AD201" s="19"/>
      <c r="AE201" s="19"/>
      <c r="AF201" s="16" t="s">
        <v>55</v>
      </c>
      <c r="AG201" s="18" t="s">
        <v>844</v>
      </c>
      <c r="AH201" s="16" t="s">
        <v>57</v>
      </c>
      <c r="AI201" s="18" t="s">
        <v>839</v>
      </c>
      <c r="AJ201" s="16" t="s">
        <v>168</v>
      </c>
      <c r="AK201" s="16" t="s">
        <v>153</v>
      </c>
      <c r="AL201" s="16" t="s">
        <v>181</v>
      </c>
      <c r="AM201" s="16" t="s">
        <v>181</v>
      </c>
      <c r="AN201" s="16" t="s">
        <v>181</v>
      </c>
      <c r="AO201" s="16" t="s">
        <v>181</v>
      </c>
      <c r="AP201" s="16" t="s">
        <v>181</v>
      </c>
      <c r="AQ201" s="16" t="s">
        <v>126</v>
      </c>
      <c r="AR201" s="16" t="s">
        <v>126</v>
      </c>
      <c r="AS201" s="19"/>
      <c r="AT201" s="19"/>
      <c r="AU201" s="19"/>
      <c r="AV201" s="19"/>
      <c r="AW201" s="21" t="s">
        <v>69</v>
      </c>
      <c r="AX201" s="23"/>
      <c r="AY201" s="16" t="s">
        <v>71</v>
      </c>
      <c r="AZ201" s="18" t="s">
        <v>844</v>
      </c>
      <c r="BA201" s="19"/>
      <c r="BB201" s="21" t="s">
        <v>74</v>
      </c>
      <c r="BC201" s="23"/>
      <c r="BD201" s="16" t="s">
        <v>76</v>
      </c>
      <c r="BE201" s="16" t="s">
        <v>77</v>
      </c>
      <c r="BF201" s="18">
        <v>0.0</v>
      </c>
      <c r="BG201" s="19"/>
      <c r="BH201" s="19"/>
      <c r="BI201" s="19"/>
      <c r="BJ201" s="19"/>
      <c r="BK201" s="16" t="s">
        <v>81</v>
      </c>
      <c r="BL201" s="19"/>
      <c r="BM201" s="21" t="s">
        <v>83</v>
      </c>
      <c r="BN201" s="23"/>
      <c r="BO201" s="16" t="s">
        <v>85</v>
      </c>
      <c r="BP201" s="18">
        <v>0.0</v>
      </c>
      <c r="BQ201" s="19"/>
      <c r="BR201" s="19"/>
      <c r="BS201" s="21" t="s">
        <v>88</v>
      </c>
      <c r="BT201" s="23"/>
      <c r="BU201" s="19"/>
      <c r="BV201" s="19"/>
      <c r="BW201" s="16" t="s">
        <v>92</v>
      </c>
      <c r="BX201" s="18">
        <v>0.0</v>
      </c>
      <c r="BY201" s="19"/>
      <c r="BZ201" s="19"/>
      <c r="CA201" s="19"/>
      <c r="CB201" s="21" t="s">
        <v>96</v>
      </c>
      <c r="CC201" s="23"/>
      <c r="CD201" s="19"/>
      <c r="CE201" s="19"/>
      <c r="CF201" s="18" t="s">
        <v>839</v>
      </c>
      <c r="CG201" s="16" t="s">
        <v>128</v>
      </c>
      <c r="CH201" s="16" t="s">
        <v>100</v>
      </c>
      <c r="CI201" s="16" t="s">
        <v>101</v>
      </c>
      <c r="CJ201" s="16" t="s">
        <v>102</v>
      </c>
      <c r="CK201" s="16" t="s">
        <v>103</v>
      </c>
      <c r="CL201" s="16" t="s">
        <v>104</v>
      </c>
      <c r="CM201" s="18">
        <v>0.0</v>
      </c>
      <c r="CN201" s="16" t="s">
        <v>128</v>
      </c>
      <c r="CO201" s="16" t="s">
        <v>105</v>
      </c>
      <c r="CP201" s="16" t="s">
        <v>106</v>
      </c>
      <c r="CQ201" s="16" t="s">
        <v>107</v>
      </c>
      <c r="CR201" s="16" t="s">
        <v>108</v>
      </c>
      <c r="CS201" s="16" t="s">
        <v>109</v>
      </c>
      <c r="CT201" s="16" t="s">
        <v>110</v>
      </c>
      <c r="CU201" s="18">
        <v>0.0</v>
      </c>
      <c r="CV201" s="21" t="s">
        <v>154</v>
      </c>
      <c r="CW201" s="23"/>
      <c r="CX201" s="19"/>
      <c r="CY201" s="16" t="s">
        <v>113</v>
      </c>
      <c r="CZ201" s="21" t="s">
        <v>114</v>
      </c>
      <c r="DA201" s="23"/>
      <c r="DB201" s="18" t="s">
        <v>844</v>
      </c>
      <c r="DC201" s="16" t="s">
        <v>129</v>
      </c>
      <c r="DD201" s="16" t="s">
        <v>129</v>
      </c>
      <c r="DE201" s="16" t="s">
        <v>129</v>
      </c>
      <c r="DF201" s="16" t="s">
        <v>129</v>
      </c>
      <c r="DG201" s="16" t="s">
        <v>841</v>
      </c>
      <c r="DH201" s="16" t="s">
        <v>842</v>
      </c>
      <c r="DI201" s="16" t="s">
        <v>843</v>
      </c>
      <c r="DJ201" s="16" t="s">
        <v>1126</v>
      </c>
      <c r="DK201" s="18" t="s">
        <v>844</v>
      </c>
      <c r="DL201" s="18" t="s">
        <v>845</v>
      </c>
      <c r="DM201" s="16" t="s">
        <v>930</v>
      </c>
      <c r="DN201" s="16" t="s">
        <v>847</v>
      </c>
      <c r="DO201" s="18">
        <v>0.0</v>
      </c>
    </row>
    <row r="202" ht="15.75" customHeight="1">
      <c r="A202" s="15">
        <v>200.0</v>
      </c>
      <c r="B202" s="16" t="s">
        <v>1189</v>
      </c>
      <c r="C202" s="17">
        <v>3.1008182501246E13</v>
      </c>
      <c r="D202" s="18">
        <v>13.0</v>
      </c>
      <c r="E202" s="16" t="s">
        <v>1143</v>
      </c>
      <c r="F202" s="16" t="s">
        <v>546</v>
      </c>
      <c r="G202" s="16" t="s">
        <v>547</v>
      </c>
      <c r="H202" s="20">
        <v>40408.0</v>
      </c>
      <c r="I202" s="16"/>
      <c r="J202" s="18">
        <v>1.0</v>
      </c>
      <c r="K202" s="16" t="s">
        <v>1190</v>
      </c>
      <c r="L202" s="16" t="s">
        <v>122</v>
      </c>
      <c r="M202" s="19"/>
      <c r="N202" s="19"/>
      <c r="O202" s="19"/>
      <c r="P202" s="19"/>
      <c r="Q202" s="19"/>
      <c r="R202" s="19"/>
      <c r="S202" s="19"/>
      <c r="T202" s="21" t="s">
        <v>43</v>
      </c>
      <c r="U202" s="23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</row>
    <row r="203" ht="15.75" customHeight="1">
      <c r="A203" s="15">
        <v>201.0</v>
      </c>
      <c r="B203" s="16" t="s">
        <v>1191</v>
      </c>
      <c r="C203" s="17">
        <v>3.1008182501572E13</v>
      </c>
      <c r="D203" s="18">
        <v>11.0</v>
      </c>
      <c r="E203" s="16" t="s">
        <v>1143</v>
      </c>
      <c r="F203" s="16" t="s">
        <v>546</v>
      </c>
      <c r="G203" s="16" t="s">
        <v>547</v>
      </c>
      <c r="H203" s="20">
        <v>40408.0</v>
      </c>
      <c r="I203" s="18">
        <v>1.0</v>
      </c>
      <c r="J203" s="19"/>
      <c r="K203" s="16" t="s">
        <v>1190</v>
      </c>
      <c r="L203" s="21" t="s">
        <v>138</v>
      </c>
      <c r="M203" s="23"/>
      <c r="N203" s="19"/>
      <c r="O203" s="19"/>
      <c r="P203" s="19"/>
      <c r="Q203" s="19"/>
      <c r="R203" s="19"/>
      <c r="S203" s="19"/>
      <c r="T203" s="19"/>
      <c r="U203" s="19"/>
      <c r="V203" s="16" t="s">
        <v>910</v>
      </c>
      <c r="W203" s="16" t="s">
        <v>46</v>
      </c>
      <c r="X203" s="16" t="s">
        <v>47</v>
      </c>
      <c r="Y203" s="21" t="s">
        <v>48</v>
      </c>
      <c r="Z203" s="23"/>
      <c r="AA203" s="19"/>
      <c r="AB203" s="19"/>
      <c r="AC203" s="19"/>
      <c r="AD203" s="19"/>
      <c r="AE203" s="19"/>
      <c r="AF203" s="19"/>
      <c r="AG203" s="19"/>
      <c r="AH203" s="21" t="s">
        <v>123</v>
      </c>
      <c r="AI203" s="23"/>
      <c r="AJ203" s="16" t="s">
        <v>124</v>
      </c>
      <c r="AK203" s="19"/>
      <c r="AL203" s="16" t="s">
        <v>181</v>
      </c>
      <c r="AM203" s="16" t="s">
        <v>181</v>
      </c>
      <c r="AN203" s="16" t="s">
        <v>181</v>
      </c>
      <c r="AO203" s="16" t="s">
        <v>181</v>
      </c>
      <c r="AP203" s="16" t="s">
        <v>126</v>
      </c>
      <c r="AQ203" s="16" t="s">
        <v>181</v>
      </c>
      <c r="AR203" s="16" t="s">
        <v>181</v>
      </c>
      <c r="AS203" s="21" t="s">
        <v>65</v>
      </c>
      <c r="AT203" s="22"/>
      <c r="AU203" s="23"/>
      <c r="AV203" s="21" t="s">
        <v>68</v>
      </c>
      <c r="AW203" s="23"/>
      <c r="AX203" s="21" t="s">
        <v>70</v>
      </c>
      <c r="AY203" s="22"/>
      <c r="AZ203" s="23"/>
      <c r="BA203" s="19"/>
      <c r="BB203" s="19"/>
      <c r="BC203" s="19"/>
      <c r="BD203" s="19"/>
      <c r="BE203" s="19"/>
      <c r="BF203" s="19"/>
      <c r="BG203" s="21" t="s">
        <v>78</v>
      </c>
      <c r="BH203" s="23"/>
      <c r="BI203" s="19"/>
      <c r="BJ203" s="19"/>
      <c r="BK203" s="16" t="s">
        <v>81</v>
      </c>
      <c r="BL203" s="19"/>
      <c r="BM203" s="19"/>
      <c r="BN203" s="19"/>
      <c r="BO203" s="21" t="s">
        <v>85</v>
      </c>
      <c r="BP203" s="22"/>
      <c r="BQ203" s="22"/>
      <c r="BR203" s="23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21" t="s">
        <v>97</v>
      </c>
      <c r="CD203" s="23"/>
      <c r="CE203" s="19"/>
      <c r="CF203" s="19"/>
      <c r="CG203" s="16" t="s">
        <v>128</v>
      </c>
      <c r="CH203" s="16" t="s">
        <v>100</v>
      </c>
      <c r="CI203" s="21" t="s">
        <v>101</v>
      </c>
      <c r="CJ203" s="22"/>
      <c r="CK203" s="23"/>
      <c r="CL203" s="19"/>
      <c r="CM203" s="19"/>
      <c r="CN203" s="16" t="s">
        <v>128</v>
      </c>
      <c r="CO203" s="21" t="s">
        <v>105</v>
      </c>
      <c r="CP203" s="22"/>
      <c r="CQ203" s="23"/>
      <c r="CR203" s="19"/>
      <c r="CS203" s="21" t="s">
        <v>109</v>
      </c>
      <c r="CT203" s="23"/>
      <c r="CU203" s="19"/>
      <c r="CV203" s="16" t="s">
        <v>128</v>
      </c>
      <c r="CW203" s="21" t="s">
        <v>111</v>
      </c>
      <c r="CX203" s="22"/>
      <c r="CY203" s="23"/>
      <c r="CZ203" s="21" t="s">
        <v>114</v>
      </c>
      <c r="DA203" s="22"/>
      <c r="DB203" s="23"/>
      <c r="DC203" s="16" t="s">
        <v>129</v>
      </c>
      <c r="DD203" s="16" t="s">
        <v>145</v>
      </c>
      <c r="DE203" s="16" t="s">
        <v>129</v>
      </c>
      <c r="DF203" s="16" t="s">
        <v>129</v>
      </c>
      <c r="DG203" s="16" t="s">
        <v>965</v>
      </c>
      <c r="DH203" s="21" t="s">
        <v>1192</v>
      </c>
      <c r="DI203" s="23"/>
      <c r="DJ203" s="16" t="s">
        <v>1193</v>
      </c>
      <c r="DK203" s="19"/>
      <c r="DL203" s="19"/>
      <c r="DM203" s="16" t="s">
        <v>144</v>
      </c>
      <c r="DN203" s="19"/>
      <c r="DO203" s="19"/>
    </row>
    <row r="204" ht="15.75" customHeight="1">
      <c r="A204" s="15">
        <v>202.0</v>
      </c>
      <c r="B204" s="16" t="s">
        <v>1194</v>
      </c>
      <c r="C204" s="17">
        <v>3.1409102504996E13</v>
      </c>
      <c r="D204" s="18">
        <v>121.0</v>
      </c>
      <c r="E204" s="16" t="s">
        <v>1143</v>
      </c>
      <c r="F204" s="16" t="s">
        <v>546</v>
      </c>
      <c r="G204" s="16" t="s">
        <v>547</v>
      </c>
      <c r="H204" s="20">
        <v>41892.0</v>
      </c>
      <c r="I204" s="18">
        <v>1.0</v>
      </c>
      <c r="J204" s="19"/>
      <c r="K204" s="16" t="s">
        <v>1195</v>
      </c>
      <c r="L204" s="16" t="s">
        <v>122</v>
      </c>
      <c r="M204" s="19"/>
      <c r="N204" s="19"/>
      <c r="O204" s="19"/>
      <c r="P204" s="19"/>
      <c r="Q204" s="19"/>
      <c r="R204" s="19"/>
      <c r="S204" s="19"/>
      <c r="T204" s="21" t="s">
        <v>43</v>
      </c>
      <c r="U204" s="23"/>
      <c r="V204" s="16" t="s">
        <v>1196</v>
      </c>
      <c r="W204" s="19"/>
      <c r="X204" s="19"/>
      <c r="Y204" s="21" t="s">
        <v>48</v>
      </c>
      <c r="Z204" s="23"/>
      <c r="AA204" s="19"/>
      <c r="AB204" s="19"/>
      <c r="AC204" s="19"/>
      <c r="AD204" s="19"/>
      <c r="AE204" s="19"/>
      <c r="AF204" s="19"/>
      <c r="AG204" s="19"/>
      <c r="AH204" s="16" t="s">
        <v>57</v>
      </c>
      <c r="AI204" s="16" t="s">
        <v>1197</v>
      </c>
      <c r="AJ204" s="16" t="s">
        <v>124</v>
      </c>
      <c r="AK204" s="16" t="s">
        <v>125</v>
      </c>
      <c r="AL204" s="16" t="s">
        <v>181</v>
      </c>
      <c r="AM204" s="16" t="s">
        <v>181</v>
      </c>
      <c r="AN204" s="16" t="s">
        <v>181</v>
      </c>
      <c r="AO204" s="16" t="s">
        <v>181</v>
      </c>
      <c r="AP204" s="16" t="s">
        <v>181</v>
      </c>
      <c r="AQ204" s="16" t="s">
        <v>143</v>
      </c>
      <c r="AR204" s="16" t="s">
        <v>181</v>
      </c>
      <c r="AS204" s="16" t="s">
        <v>65</v>
      </c>
      <c r="AT204" s="16" t="s">
        <v>66</v>
      </c>
      <c r="AU204" s="16" t="s">
        <v>67</v>
      </c>
      <c r="AV204" s="16" t="s">
        <v>68</v>
      </c>
      <c r="AW204" s="16" t="s">
        <v>69</v>
      </c>
      <c r="AX204" s="16" t="s">
        <v>70</v>
      </c>
      <c r="AY204" s="16" t="s">
        <v>71</v>
      </c>
      <c r="AZ204" s="16" t="s">
        <v>1198</v>
      </c>
      <c r="BA204" s="16" t="s">
        <v>73</v>
      </c>
      <c r="BB204" s="21" t="s">
        <v>74</v>
      </c>
      <c r="BC204" s="23"/>
      <c r="BD204" s="16" t="s">
        <v>76</v>
      </c>
      <c r="BE204" s="21" t="s">
        <v>77</v>
      </c>
      <c r="BF204" s="23"/>
      <c r="BG204" s="16" t="s">
        <v>78</v>
      </c>
      <c r="BH204" s="16" t="s">
        <v>79</v>
      </c>
      <c r="BI204" s="21" t="s">
        <v>52</v>
      </c>
      <c r="BJ204" s="23"/>
      <c r="BK204" s="16" t="s">
        <v>81</v>
      </c>
      <c r="BL204" s="21" t="s">
        <v>82</v>
      </c>
      <c r="BM204" s="23"/>
      <c r="BN204" s="16" t="s">
        <v>84</v>
      </c>
      <c r="BO204" s="21" t="s">
        <v>85</v>
      </c>
      <c r="BP204" s="22"/>
      <c r="BQ204" s="22"/>
      <c r="BR204" s="23"/>
      <c r="BS204" s="19"/>
      <c r="BT204" s="19"/>
      <c r="BU204" s="16" t="s">
        <v>90</v>
      </c>
      <c r="BV204" s="16" t="s">
        <v>91</v>
      </c>
      <c r="BW204" s="21" t="s">
        <v>92</v>
      </c>
      <c r="BX204" s="22"/>
      <c r="BY204" s="23"/>
      <c r="BZ204" s="19"/>
      <c r="CA204" s="19"/>
      <c r="CB204" s="16" t="s">
        <v>96</v>
      </c>
      <c r="CC204" s="16" t="s">
        <v>97</v>
      </c>
      <c r="CD204" s="21" t="s">
        <v>98</v>
      </c>
      <c r="CE204" s="23"/>
      <c r="CF204" s="19"/>
      <c r="CG204" s="16" t="s">
        <v>158</v>
      </c>
      <c r="CH204" s="16" t="s">
        <v>100</v>
      </c>
      <c r="CI204" s="16" t="s">
        <v>101</v>
      </c>
      <c r="CJ204" s="16" t="s">
        <v>102</v>
      </c>
      <c r="CK204" s="16" t="s">
        <v>103</v>
      </c>
      <c r="CL204" s="21" t="s">
        <v>104</v>
      </c>
      <c r="CM204" s="23"/>
      <c r="CN204" s="16" t="s">
        <v>128</v>
      </c>
      <c r="CO204" s="21" t="s">
        <v>105</v>
      </c>
      <c r="CP204" s="23"/>
      <c r="CQ204" s="16" t="s">
        <v>107</v>
      </c>
      <c r="CR204" s="16" t="s">
        <v>108</v>
      </c>
      <c r="CS204" s="16" t="s">
        <v>109</v>
      </c>
      <c r="CT204" s="21" t="s">
        <v>110</v>
      </c>
      <c r="CU204" s="23"/>
      <c r="CV204" s="16" t="s">
        <v>128</v>
      </c>
      <c r="CW204" s="16" t="s">
        <v>111</v>
      </c>
      <c r="CX204" s="21" t="s">
        <v>112</v>
      </c>
      <c r="CY204" s="23"/>
      <c r="CZ204" s="16" t="s">
        <v>114</v>
      </c>
      <c r="DA204" s="21" t="s">
        <v>115</v>
      </c>
      <c r="DB204" s="23"/>
      <c r="DC204" s="16" t="s">
        <v>129</v>
      </c>
      <c r="DD204" s="16" t="s">
        <v>145</v>
      </c>
      <c r="DE204" s="16" t="s">
        <v>145</v>
      </c>
      <c r="DF204" s="16" t="s">
        <v>129</v>
      </c>
      <c r="DG204" s="16" t="s">
        <v>1199</v>
      </c>
      <c r="DH204" s="16" t="s">
        <v>1200</v>
      </c>
      <c r="DI204" s="16" t="s">
        <v>1201</v>
      </c>
      <c r="DJ204" s="16" t="s">
        <v>1202</v>
      </c>
      <c r="DK204" s="16" t="s">
        <v>144</v>
      </c>
      <c r="DL204" s="19"/>
      <c r="DM204" s="16" t="s">
        <v>144</v>
      </c>
      <c r="DN204" s="19"/>
      <c r="DO204" s="19"/>
    </row>
    <row r="205" ht="15.75" customHeight="1">
      <c r="A205" s="15">
        <v>203.0</v>
      </c>
      <c r="B205" s="16" t="s">
        <v>1203</v>
      </c>
      <c r="C205" s="17">
        <v>2.8004132500381E13</v>
      </c>
      <c r="D205" s="18">
        <v>34.0</v>
      </c>
      <c r="E205" s="16" t="s">
        <v>1111</v>
      </c>
      <c r="F205" s="16" t="s">
        <v>546</v>
      </c>
      <c r="G205" s="16" t="s">
        <v>547</v>
      </c>
      <c r="H205" s="20">
        <v>29324.0</v>
      </c>
      <c r="I205" s="16"/>
      <c r="J205" s="18">
        <v>1.0</v>
      </c>
      <c r="K205" s="16" t="s">
        <v>1204</v>
      </c>
      <c r="L205" s="21" t="s">
        <v>138</v>
      </c>
      <c r="M205" s="23"/>
      <c r="N205" s="19"/>
      <c r="O205" s="19"/>
      <c r="P205" s="19"/>
      <c r="Q205" s="19"/>
      <c r="R205" s="19"/>
      <c r="S205" s="19"/>
      <c r="T205" s="19"/>
      <c r="U205" s="19"/>
      <c r="V205" s="16" t="s">
        <v>139</v>
      </c>
      <c r="W205" s="19"/>
      <c r="X205" s="19"/>
      <c r="Y205" s="19"/>
      <c r="Z205" s="19"/>
      <c r="AA205" s="19"/>
      <c r="AB205" s="19"/>
      <c r="AC205" s="21" t="s">
        <v>52</v>
      </c>
      <c r="AD205" s="23"/>
      <c r="AE205" s="19"/>
      <c r="AF205" s="19"/>
      <c r="AG205" s="19"/>
      <c r="AH205" s="21" t="s">
        <v>152</v>
      </c>
      <c r="AI205" s="23"/>
      <c r="AJ205" s="16" t="s">
        <v>124</v>
      </c>
      <c r="AK205" s="16" t="s">
        <v>142</v>
      </c>
      <c r="AL205" s="16" t="s">
        <v>126</v>
      </c>
      <c r="AM205" s="16" t="s">
        <v>126</v>
      </c>
      <c r="AN205" s="16" t="s">
        <v>143</v>
      </c>
      <c r="AO205" s="16" t="s">
        <v>126</v>
      </c>
      <c r="AP205" s="16" t="s">
        <v>143</v>
      </c>
      <c r="AQ205" s="16" t="s">
        <v>126</v>
      </c>
      <c r="AR205" s="16" t="s">
        <v>143</v>
      </c>
      <c r="AS205" s="19"/>
      <c r="AT205" s="19"/>
      <c r="AU205" s="19"/>
      <c r="AV205" s="19"/>
      <c r="AW205" s="19"/>
      <c r="AX205" s="19"/>
      <c r="AY205" s="19"/>
      <c r="AZ205" s="19"/>
      <c r="BA205" s="21" t="s">
        <v>73</v>
      </c>
      <c r="BB205" s="23"/>
      <c r="BC205" s="19"/>
      <c r="BD205" s="19"/>
      <c r="BE205" s="16" t="s">
        <v>77</v>
      </c>
      <c r="BF205" s="21" t="s">
        <v>1205</v>
      </c>
      <c r="BG205" s="23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21" t="s">
        <v>87</v>
      </c>
      <c r="BS205" s="23"/>
      <c r="BT205" s="19"/>
      <c r="BU205" s="19"/>
      <c r="BV205" s="19"/>
      <c r="BW205" s="19"/>
      <c r="BX205" s="21" t="s">
        <v>1206</v>
      </c>
      <c r="BY205" s="23"/>
      <c r="BZ205" s="19"/>
      <c r="CA205" s="19"/>
      <c r="CB205" s="19"/>
      <c r="CC205" s="19"/>
      <c r="CD205" s="19"/>
      <c r="CE205" s="19"/>
      <c r="CF205" s="16" t="s">
        <v>1207</v>
      </c>
      <c r="CG205" s="16" t="s">
        <v>128</v>
      </c>
      <c r="CH205" s="16" t="s">
        <v>100</v>
      </c>
      <c r="CI205" s="21" t="s">
        <v>101</v>
      </c>
      <c r="CJ205" s="22"/>
      <c r="CK205" s="23"/>
      <c r="CL205" s="19"/>
      <c r="CM205" s="16" t="s">
        <v>1208</v>
      </c>
      <c r="CN205" s="16" t="s">
        <v>128</v>
      </c>
      <c r="CO205" s="21" t="s">
        <v>105</v>
      </c>
      <c r="CP205" s="22"/>
      <c r="CQ205" s="23"/>
      <c r="CR205" s="19"/>
      <c r="CS205" s="19"/>
      <c r="CT205" s="19"/>
      <c r="CU205" s="19"/>
      <c r="CV205" s="16" t="s">
        <v>128</v>
      </c>
      <c r="CW205" s="19"/>
      <c r="CX205" s="21" t="s">
        <v>112</v>
      </c>
      <c r="CY205" s="22"/>
      <c r="CZ205" s="23"/>
      <c r="DA205" s="19"/>
      <c r="DB205" s="19"/>
      <c r="DC205" s="19"/>
      <c r="DD205" s="19"/>
      <c r="DE205" s="16" t="s">
        <v>145</v>
      </c>
      <c r="DF205" s="16" t="s">
        <v>129</v>
      </c>
      <c r="DG205" s="16" t="s">
        <v>1209</v>
      </c>
      <c r="DH205" s="21" t="s">
        <v>1210</v>
      </c>
      <c r="DI205" s="23"/>
      <c r="DJ205" s="16" t="s">
        <v>144</v>
      </c>
      <c r="DK205" s="19"/>
      <c r="DL205" s="19"/>
      <c r="DM205" s="21" t="s">
        <v>1211</v>
      </c>
      <c r="DN205" s="22"/>
      <c r="DO205" s="23"/>
    </row>
    <row r="206" ht="15.75" customHeight="1">
      <c r="A206" s="15">
        <v>204.0</v>
      </c>
      <c r="B206" s="16" t="s">
        <v>1212</v>
      </c>
      <c r="C206" s="17">
        <v>3.1402152503023E13</v>
      </c>
      <c r="D206" s="18">
        <v>221.0</v>
      </c>
      <c r="E206" s="16" t="s">
        <v>1055</v>
      </c>
      <c r="F206" s="16" t="s">
        <v>1056</v>
      </c>
      <c r="G206" s="16" t="s">
        <v>547</v>
      </c>
      <c r="H206" s="20">
        <v>41685.0</v>
      </c>
      <c r="I206" s="16"/>
      <c r="J206" s="18">
        <v>1.0</v>
      </c>
      <c r="K206" s="16" t="s">
        <v>1213</v>
      </c>
      <c r="L206" s="21" t="s">
        <v>138</v>
      </c>
      <c r="M206" s="23"/>
      <c r="N206" s="19"/>
      <c r="O206" s="19"/>
      <c r="P206" s="19"/>
      <c r="Q206" s="19"/>
      <c r="R206" s="19"/>
      <c r="S206" s="19"/>
      <c r="T206" s="19"/>
      <c r="U206" s="19"/>
      <c r="V206" s="18" t="s">
        <v>839</v>
      </c>
      <c r="W206" s="19"/>
      <c r="X206" s="19"/>
      <c r="Y206" s="21" t="s">
        <v>48</v>
      </c>
      <c r="Z206" s="23"/>
      <c r="AA206" s="19"/>
      <c r="AB206" s="19"/>
      <c r="AC206" s="19"/>
      <c r="AD206" s="19"/>
      <c r="AE206" s="19"/>
      <c r="AF206" s="19"/>
      <c r="AG206" s="19"/>
      <c r="AH206" s="21" t="s">
        <v>123</v>
      </c>
      <c r="AI206" s="23"/>
      <c r="AJ206" s="16" t="s">
        <v>124</v>
      </c>
      <c r="AK206" s="16" t="s">
        <v>153</v>
      </c>
      <c r="AL206" s="16" t="s">
        <v>126</v>
      </c>
      <c r="AM206" s="16" t="s">
        <v>126</v>
      </c>
      <c r="AN206" s="16" t="s">
        <v>181</v>
      </c>
      <c r="AO206" s="16" t="s">
        <v>181</v>
      </c>
      <c r="AP206" s="16" t="s">
        <v>126</v>
      </c>
      <c r="AQ206" s="16" t="s">
        <v>181</v>
      </c>
      <c r="AR206" s="19"/>
      <c r="AS206" s="21" t="s">
        <v>65</v>
      </c>
      <c r="AT206" s="22"/>
      <c r="AU206" s="23"/>
      <c r="AV206" s="21" t="s">
        <v>68</v>
      </c>
      <c r="AW206" s="22"/>
      <c r="AX206" s="23"/>
      <c r="AY206" s="19"/>
      <c r="AZ206" s="19"/>
      <c r="BA206" s="19"/>
      <c r="BB206" s="19"/>
      <c r="BC206" s="19"/>
      <c r="BD206" s="19"/>
      <c r="BE206" s="19"/>
      <c r="BF206" s="18" t="s">
        <v>844</v>
      </c>
      <c r="BG206" s="19"/>
      <c r="BH206" s="19"/>
      <c r="BI206" s="19"/>
      <c r="BJ206" s="19"/>
      <c r="BK206" s="19"/>
      <c r="BL206" s="19"/>
      <c r="BM206" s="19"/>
      <c r="BN206" s="19"/>
      <c r="BO206" s="21" t="s">
        <v>85</v>
      </c>
      <c r="BP206" s="22"/>
      <c r="BQ206" s="22"/>
      <c r="BR206" s="23"/>
      <c r="BS206" s="19"/>
      <c r="BT206" s="19"/>
      <c r="BU206" s="19"/>
      <c r="BV206" s="19"/>
      <c r="BW206" s="19"/>
      <c r="BX206" s="18" t="s">
        <v>839</v>
      </c>
      <c r="BY206" s="19"/>
      <c r="BZ206" s="19"/>
      <c r="CA206" s="19"/>
      <c r="CB206" s="19"/>
      <c r="CC206" s="21" t="s">
        <v>97</v>
      </c>
      <c r="CD206" s="23"/>
      <c r="CE206" s="19"/>
      <c r="CF206" s="19"/>
      <c r="CG206" s="16" t="s">
        <v>128</v>
      </c>
      <c r="CH206" s="19"/>
      <c r="CI206" s="19"/>
      <c r="CJ206" s="21" t="s">
        <v>102</v>
      </c>
      <c r="CK206" s="22"/>
      <c r="CL206" s="23"/>
      <c r="CM206" s="19"/>
      <c r="CN206" s="16" t="s">
        <v>128</v>
      </c>
      <c r="CO206" s="21" t="s">
        <v>105</v>
      </c>
      <c r="CP206" s="22"/>
      <c r="CQ206" s="23"/>
      <c r="CR206" s="19"/>
      <c r="CS206" s="19"/>
      <c r="CT206" s="19"/>
      <c r="CU206" s="19"/>
      <c r="CV206" s="16" t="s">
        <v>128</v>
      </c>
      <c r="CW206" s="19"/>
      <c r="CX206" s="21" t="s">
        <v>112</v>
      </c>
      <c r="CY206" s="22"/>
      <c r="CZ206" s="23"/>
      <c r="DA206" s="19"/>
      <c r="DB206" s="19"/>
      <c r="DC206" s="16" t="s">
        <v>129</v>
      </c>
      <c r="DD206" s="16" t="s">
        <v>129</v>
      </c>
      <c r="DE206" s="16" t="s">
        <v>129</v>
      </c>
      <c r="DF206" s="16" t="s">
        <v>145</v>
      </c>
      <c r="DG206" s="16" t="s">
        <v>1058</v>
      </c>
      <c r="DH206" s="21" t="s">
        <v>1059</v>
      </c>
      <c r="DI206" s="23"/>
      <c r="DJ206" s="16" t="s">
        <v>144</v>
      </c>
      <c r="DK206" s="19"/>
      <c r="DL206" s="19"/>
      <c r="DM206" s="21" t="s">
        <v>1060</v>
      </c>
      <c r="DN206" s="23"/>
      <c r="DO206" s="19"/>
    </row>
    <row r="207" ht="15.75" customHeight="1">
      <c r="A207" s="15">
        <v>205.0</v>
      </c>
      <c r="B207" s="16" t="s">
        <v>1214</v>
      </c>
      <c r="C207" s="17">
        <v>3.10062523456E11</v>
      </c>
      <c r="D207" s="18">
        <v>25.0</v>
      </c>
      <c r="E207" s="16" t="s">
        <v>1111</v>
      </c>
      <c r="F207" s="16" t="s">
        <v>546</v>
      </c>
      <c r="G207" s="16" t="s">
        <v>547</v>
      </c>
      <c r="H207" s="20">
        <v>40354.0</v>
      </c>
      <c r="I207" s="16"/>
      <c r="J207" s="18">
        <v>1.0</v>
      </c>
      <c r="K207" s="16" t="s">
        <v>1215</v>
      </c>
      <c r="L207" s="16" t="s">
        <v>122</v>
      </c>
      <c r="M207" s="19"/>
      <c r="N207" s="19"/>
      <c r="O207" s="19"/>
      <c r="P207" s="19"/>
      <c r="Q207" s="19"/>
      <c r="R207" s="19"/>
      <c r="S207" s="19"/>
      <c r="T207" s="21" t="s">
        <v>43</v>
      </c>
      <c r="U207" s="23"/>
      <c r="V207" s="19"/>
      <c r="W207" s="16" t="s">
        <v>46</v>
      </c>
      <c r="X207" s="21" t="s">
        <v>47</v>
      </c>
      <c r="Y207" s="23"/>
      <c r="Z207" s="19"/>
      <c r="AA207" s="19"/>
      <c r="AB207" s="19"/>
      <c r="AC207" s="19"/>
      <c r="AD207" s="19"/>
      <c r="AE207" s="19"/>
      <c r="AF207" s="19"/>
      <c r="AG207" s="19"/>
      <c r="AH207" s="21" t="s">
        <v>357</v>
      </c>
      <c r="AI207" s="23"/>
      <c r="AJ207" s="16" t="s">
        <v>141</v>
      </c>
      <c r="AK207" s="16" t="s">
        <v>125</v>
      </c>
      <c r="AL207" s="16" t="s">
        <v>126</v>
      </c>
      <c r="AM207" s="16" t="s">
        <v>126</v>
      </c>
      <c r="AN207" s="16" t="s">
        <v>126</v>
      </c>
      <c r="AO207" s="16" t="s">
        <v>126</v>
      </c>
      <c r="AP207" s="16" t="s">
        <v>126</v>
      </c>
      <c r="AQ207" s="16" t="s">
        <v>143</v>
      </c>
      <c r="AR207" s="16" t="s">
        <v>143</v>
      </c>
      <c r="AS207" s="21" t="s">
        <v>65</v>
      </c>
      <c r="AT207" s="22"/>
      <c r="AU207" s="23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21" t="s">
        <v>78</v>
      </c>
      <c r="BH207" s="23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21" t="s">
        <v>94</v>
      </c>
      <c r="CA207" s="22"/>
      <c r="CB207" s="23"/>
      <c r="CC207" s="19"/>
      <c r="CD207" s="19"/>
      <c r="CE207" s="19"/>
      <c r="CF207" s="19"/>
      <c r="CG207" s="16" t="s">
        <v>128</v>
      </c>
      <c r="CH207" s="19"/>
      <c r="CI207" s="19"/>
      <c r="CJ207" s="19"/>
      <c r="CK207" s="19"/>
      <c r="CL207" s="21" t="s">
        <v>104</v>
      </c>
      <c r="CM207" s="23"/>
      <c r="CN207" s="16" t="s">
        <v>128</v>
      </c>
      <c r="CO207" s="21" t="s">
        <v>105</v>
      </c>
      <c r="CP207" s="22"/>
      <c r="CQ207" s="23"/>
      <c r="CR207" s="19"/>
      <c r="CS207" s="19"/>
      <c r="CT207" s="19"/>
      <c r="CU207" s="19"/>
      <c r="CV207" s="16" t="s">
        <v>128</v>
      </c>
      <c r="CW207" s="19"/>
      <c r="CX207" s="19"/>
      <c r="CY207" s="19"/>
      <c r="CZ207" s="19"/>
      <c r="DA207" s="21" t="s">
        <v>115</v>
      </c>
      <c r="DB207" s="23"/>
      <c r="DC207" s="16" t="s">
        <v>145</v>
      </c>
      <c r="DD207" s="16" t="s">
        <v>145</v>
      </c>
      <c r="DE207" s="16" t="s">
        <v>145</v>
      </c>
      <c r="DF207" s="16" t="s">
        <v>145</v>
      </c>
      <c r="DG207" s="16" t="s">
        <v>1216</v>
      </c>
      <c r="DH207" s="16" t="s">
        <v>1217</v>
      </c>
      <c r="DI207" s="16" t="s">
        <v>1218</v>
      </c>
      <c r="DJ207" s="16" t="s">
        <v>144</v>
      </c>
      <c r="DK207" s="16" t="s">
        <v>144</v>
      </c>
      <c r="DL207" s="16" t="s">
        <v>144</v>
      </c>
      <c r="DM207" s="16" t="s">
        <v>144</v>
      </c>
      <c r="DN207" s="16" t="s">
        <v>144</v>
      </c>
      <c r="DO207" s="16" t="s">
        <v>144</v>
      </c>
    </row>
    <row r="208" ht="15.75" customHeight="1">
      <c r="A208" s="15">
        <v>206.0</v>
      </c>
      <c r="B208" s="16" t="s">
        <v>1219</v>
      </c>
      <c r="C208" s="17">
        <v>3.1009082502462E13</v>
      </c>
      <c r="D208" s="18">
        <v>88.0</v>
      </c>
      <c r="E208" s="16" t="s">
        <v>1068</v>
      </c>
      <c r="F208" s="19"/>
      <c r="G208" s="16" t="s">
        <v>547</v>
      </c>
      <c r="H208" s="25">
        <v>40503.0</v>
      </c>
      <c r="I208" s="16"/>
      <c r="J208" s="18">
        <v>1.0</v>
      </c>
      <c r="K208" s="16" t="s">
        <v>1220</v>
      </c>
      <c r="L208" s="21" t="s">
        <v>138</v>
      </c>
      <c r="M208" s="23"/>
      <c r="N208" s="19"/>
      <c r="O208" s="19"/>
      <c r="P208" s="19"/>
      <c r="Q208" s="19"/>
      <c r="R208" s="19"/>
      <c r="S208" s="19"/>
      <c r="T208" s="19"/>
      <c r="U208" s="19"/>
      <c r="V208" s="21" t="s">
        <v>919</v>
      </c>
      <c r="W208" s="22"/>
      <c r="X208" s="22"/>
      <c r="Y208" s="23"/>
      <c r="Z208" s="19"/>
      <c r="AA208" s="19"/>
      <c r="AB208" s="16" t="s">
        <v>51</v>
      </c>
      <c r="AC208" s="21" t="s">
        <v>52</v>
      </c>
      <c r="AD208" s="23"/>
      <c r="AE208" s="19"/>
      <c r="AF208" s="16" t="s">
        <v>55</v>
      </c>
      <c r="AG208" s="18" t="s">
        <v>844</v>
      </c>
      <c r="AH208" s="16" t="s">
        <v>57</v>
      </c>
      <c r="AI208" s="18" t="s">
        <v>844</v>
      </c>
      <c r="AJ208" s="16" t="s">
        <v>168</v>
      </c>
      <c r="AK208" s="16" t="s">
        <v>153</v>
      </c>
      <c r="AL208" s="16" t="s">
        <v>126</v>
      </c>
      <c r="AM208" s="16" t="s">
        <v>126</v>
      </c>
      <c r="AN208" s="16" t="s">
        <v>126</v>
      </c>
      <c r="AO208" s="16" t="s">
        <v>126</v>
      </c>
      <c r="AP208" s="16" t="s">
        <v>126</v>
      </c>
      <c r="AQ208" s="16" t="s">
        <v>181</v>
      </c>
      <c r="AR208" s="16" t="s">
        <v>126</v>
      </c>
      <c r="AS208" s="21" t="s">
        <v>65</v>
      </c>
      <c r="AT208" s="22"/>
      <c r="AU208" s="23"/>
      <c r="AV208" s="19"/>
      <c r="AW208" s="19"/>
      <c r="AX208" s="16" t="s">
        <v>70</v>
      </c>
      <c r="AY208" s="16" t="s">
        <v>71</v>
      </c>
      <c r="AZ208" s="18">
        <v>0.0</v>
      </c>
      <c r="BA208" s="19"/>
      <c r="BB208" s="21" t="s">
        <v>74</v>
      </c>
      <c r="BC208" s="22"/>
      <c r="BD208" s="23"/>
      <c r="BE208" s="16" t="s">
        <v>77</v>
      </c>
      <c r="BF208" s="18" t="s">
        <v>839</v>
      </c>
      <c r="BG208" s="19"/>
      <c r="BH208" s="21" t="s">
        <v>79</v>
      </c>
      <c r="BI208" s="23"/>
      <c r="BJ208" s="21" t="s">
        <v>80</v>
      </c>
      <c r="BK208" s="23"/>
      <c r="BL208" s="19"/>
      <c r="BM208" s="19"/>
      <c r="BN208" s="16" t="s">
        <v>84</v>
      </c>
      <c r="BO208" s="16" t="s">
        <v>85</v>
      </c>
      <c r="BP208" s="18">
        <v>0.0</v>
      </c>
      <c r="BQ208" s="19"/>
      <c r="BR208" s="19"/>
      <c r="BS208" s="19"/>
      <c r="BT208" s="19"/>
      <c r="BU208" s="19"/>
      <c r="BV208" s="19"/>
      <c r="BW208" s="16" t="s">
        <v>92</v>
      </c>
      <c r="BX208" s="18">
        <v>0.0</v>
      </c>
      <c r="BY208" s="19"/>
      <c r="BZ208" s="19"/>
      <c r="CA208" s="21" t="s">
        <v>95</v>
      </c>
      <c r="CB208" s="22"/>
      <c r="CC208" s="23"/>
      <c r="CD208" s="19"/>
      <c r="CE208" s="19"/>
      <c r="CF208" s="18">
        <v>0.0</v>
      </c>
      <c r="CG208" s="16" t="s">
        <v>128</v>
      </c>
      <c r="CH208" s="19"/>
      <c r="CI208" s="19"/>
      <c r="CJ208" s="19"/>
      <c r="CK208" s="19"/>
      <c r="CL208" s="16" t="s">
        <v>104</v>
      </c>
      <c r="CM208" s="18" t="s">
        <v>839</v>
      </c>
      <c r="CN208" s="16" t="s">
        <v>128</v>
      </c>
      <c r="CO208" s="21" t="s">
        <v>105</v>
      </c>
      <c r="CP208" s="22"/>
      <c r="CQ208" s="23"/>
      <c r="CR208" s="21" t="s">
        <v>108</v>
      </c>
      <c r="CS208" s="23"/>
      <c r="CT208" s="16" t="s">
        <v>110</v>
      </c>
      <c r="CU208" s="18">
        <v>0.0</v>
      </c>
      <c r="CV208" s="21" t="s">
        <v>154</v>
      </c>
      <c r="CW208" s="23"/>
      <c r="CX208" s="19"/>
      <c r="CY208" s="19"/>
      <c r="CZ208" s="21" t="s">
        <v>114</v>
      </c>
      <c r="DA208" s="23"/>
      <c r="DB208" s="18">
        <v>0.0</v>
      </c>
      <c r="DC208" s="16" t="s">
        <v>129</v>
      </c>
      <c r="DD208" s="16" t="s">
        <v>129</v>
      </c>
      <c r="DE208" s="16" t="s">
        <v>129</v>
      </c>
      <c r="DF208" s="16" t="s">
        <v>129</v>
      </c>
      <c r="DG208" s="16" t="s">
        <v>896</v>
      </c>
      <c r="DH208" s="16" t="s">
        <v>921</v>
      </c>
      <c r="DI208" s="16" t="s">
        <v>1221</v>
      </c>
      <c r="DJ208" s="16" t="s">
        <v>1222</v>
      </c>
      <c r="DK208" s="18" t="s">
        <v>844</v>
      </c>
      <c r="DL208" s="18" t="s">
        <v>845</v>
      </c>
      <c r="DM208" s="16" t="s">
        <v>1088</v>
      </c>
      <c r="DN208" s="16" t="s">
        <v>901</v>
      </c>
      <c r="DO208" s="18">
        <v>0.0</v>
      </c>
    </row>
    <row r="209" ht="15.75" customHeight="1">
      <c r="A209" s="15">
        <v>207.0</v>
      </c>
      <c r="B209" s="16" t="s">
        <v>1223</v>
      </c>
      <c r="C209" s="17">
        <v>3.1304042504782E13</v>
      </c>
      <c r="D209" s="18">
        <v>12.0</v>
      </c>
      <c r="E209" s="16" t="s">
        <v>1055</v>
      </c>
      <c r="F209" s="16" t="s">
        <v>1056</v>
      </c>
      <c r="G209" s="16" t="s">
        <v>547</v>
      </c>
      <c r="H209" s="20">
        <v>41368.0</v>
      </c>
      <c r="I209" s="16"/>
      <c r="J209" s="18">
        <v>1.0</v>
      </c>
      <c r="K209" s="16" t="s">
        <v>1106</v>
      </c>
      <c r="L209" s="21" t="s">
        <v>138</v>
      </c>
      <c r="M209" s="23"/>
      <c r="N209" s="19"/>
      <c r="O209" s="19"/>
      <c r="P209" s="19"/>
      <c r="Q209" s="19"/>
      <c r="R209" s="19"/>
      <c r="S209" s="19"/>
      <c r="T209" s="19"/>
      <c r="U209" s="19"/>
      <c r="V209" s="18" t="s">
        <v>839</v>
      </c>
      <c r="W209" s="16" t="s">
        <v>46</v>
      </c>
      <c r="X209" s="21" t="s">
        <v>47</v>
      </c>
      <c r="Y209" s="23"/>
      <c r="Z209" s="19"/>
      <c r="AA209" s="16" t="s">
        <v>50</v>
      </c>
      <c r="AB209" s="19"/>
      <c r="AC209" s="19"/>
      <c r="AD209" s="19"/>
      <c r="AE209" s="19"/>
      <c r="AF209" s="19"/>
      <c r="AG209" s="19"/>
      <c r="AH209" s="21" t="s">
        <v>123</v>
      </c>
      <c r="AI209" s="23"/>
      <c r="AJ209" s="16" t="s">
        <v>124</v>
      </c>
      <c r="AK209" s="16" t="s">
        <v>142</v>
      </c>
      <c r="AL209" s="16" t="s">
        <v>126</v>
      </c>
      <c r="AM209" s="16" t="s">
        <v>181</v>
      </c>
      <c r="AN209" s="16" t="s">
        <v>126</v>
      </c>
      <c r="AO209" s="19"/>
      <c r="AP209" s="16" t="s">
        <v>181</v>
      </c>
      <c r="AQ209" s="16" t="s">
        <v>181</v>
      </c>
      <c r="AR209" s="16" t="s">
        <v>181</v>
      </c>
      <c r="AS209" s="21" t="s">
        <v>65</v>
      </c>
      <c r="AT209" s="22"/>
      <c r="AU209" s="23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8" t="s">
        <v>844</v>
      </c>
      <c r="BG209" s="21" t="s">
        <v>78</v>
      </c>
      <c r="BH209" s="23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8" t="s">
        <v>839</v>
      </c>
      <c r="BY209" s="19"/>
      <c r="BZ209" s="19"/>
      <c r="CA209" s="19"/>
      <c r="CB209" s="19"/>
      <c r="CC209" s="19"/>
      <c r="CD209" s="19"/>
      <c r="CE209" s="19"/>
      <c r="CF209" s="16" t="s">
        <v>144</v>
      </c>
      <c r="CG209" s="16" t="s">
        <v>128</v>
      </c>
      <c r="CH209" s="19"/>
      <c r="CI209" s="19"/>
      <c r="CJ209" s="19"/>
      <c r="CK209" s="19"/>
      <c r="CL209" s="21" t="s">
        <v>104</v>
      </c>
      <c r="CM209" s="23"/>
      <c r="CN209" s="16" t="s">
        <v>128</v>
      </c>
      <c r="CO209" s="19"/>
      <c r="CP209" s="19"/>
      <c r="CQ209" s="19"/>
      <c r="CR209" s="19"/>
      <c r="CS209" s="19"/>
      <c r="CT209" s="21" t="s">
        <v>110</v>
      </c>
      <c r="CU209" s="23"/>
      <c r="CV209" s="16" t="s">
        <v>128</v>
      </c>
      <c r="CW209" s="19"/>
      <c r="CX209" s="21" t="s">
        <v>112</v>
      </c>
      <c r="CY209" s="22"/>
      <c r="CZ209" s="23"/>
      <c r="DA209" s="19"/>
      <c r="DB209" s="19"/>
      <c r="DC209" s="16" t="s">
        <v>129</v>
      </c>
      <c r="DD209" s="16" t="s">
        <v>145</v>
      </c>
      <c r="DE209" s="16" t="s">
        <v>145</v>
      </c>
      <c r="DF209" s="16" t="s">
        <v>145</v>
      </c>
      <c r="DG209" s="21" t="s">
        <v>1058</v>
      </c>
      <c r="DH209" s="23"/>
      <c r="DI209" s="19"/>
      <c r="DJ209" s="16" t="s">
        <v>144</v>
      </c>
      <c r="DK209" s="19"/>
      <c r="DL209" s="19"/>
      <c r="DM209" s="21" t="s">
        <v>1060</v>
      </c>
      <c r="DN209" s="23"/>
      <c r="DO209" s="19"/>
    </row>
    <row r="210" ht="15.75" customHeight="1">
      <c r="A210" s="15">
        <v>208.0</v>
      </c>
      <c r="B210" s="16" t="s">
        <v>1224</v>
      </c>
      <c r="C210" s="17">
        <v>3.1708252504975E13</v>
      </c>
      <c r="D210" s="18">
        <v>120.0</v>
      </c>
      <c r="E210" s="16" t="s">
        <v>1143</v>
      </c>
      <c r="F210" s="16" t="s">
        <v>546</v>
      </c>
      <c r="G210" s="16" t="s">
        <v>547</v>
      </c>
      <c r="H210" s="20">
        <v>42972.0</v>
      </c>
      <c r="I210" s="18">
        <v>1.0</v>
      </c>
      <c r="J210" s="19"/>
      <c r="K210" s="16" t="s">
        <v>1225</v>
      </c>
      <c r="L210" s="21" t="s">
        <v>138</v>
      </c>
      <c r="M210" s="23"/>
      <c r="N210" s="19"/>
      <c r="O210" s="19"/>
      <c r="P210" s="19"/>
      <c r="Q210" s="19"/>
      <c r="R210" s="19"/>
      <c r="S210" s="19"/>
      <c r="T210" s="19"/>
      <c r="U210" s="19"/>
      <c r="V210" s="16" t="s">
        <v>910</v>
      </c>
      <c r="W210" s="16" t="s">
        <v>46</v>
      </c>
      <c r="X210" s="21" t="s">
        <v>47</v>
      </c>
      <c r="Y210" s="23"/>
      <c r="Z210" s="19"/>
      <c r="AA210" s="19"/>
      <c r="AB210" s="19"/>
      <c r="AC210" s="19"/>
      <c r="AD210" s="19"/>
      <c r="AE210" s="19"/>
      <c r="AF210" s="19"/>
      <c r="AG210" s="19"/>
      <c r="AH210" s="21" t="s">
        <v>123</v>
      </c>
      <c r="AI210" s="23"/>
      <c r="AJ210" s="16" t="s">
        <v>168</v>
      </c>
      <c r="AK210" s="16" t="s">
        <v>153</v>
      </c>
      <c r="AL210" s="16" t="s">
        <v>181</v>
      </c>
      <c r="AM210" s="16" t="s">
        <v>181</v>
      </c>
      <c r="AN210" s="16" t="s">
        <v>181</v>
      </c>
      <c r="AO210" s="16" t="s">
        <v>181</v>
      </c>
      <c r="AP210" s="16" t="s">
        <v>181</v>
      </c>
      <c r="AQ210" s="16" t="s">
        <v>181</v>
      </c>
      <c r="AR210" s="16" t="s">
        <v>181</v>
      </c>
      <c r="AS210" s="21" t="s">
        <v>65</v>
      </c>
      <c r="AT210" s="23"/>
      <c r="AU210" s="21" t="s">
        <v>67</v>
      </c>
      <c r="AV210" s="22"/>
      <c r="AW210" s="23"/>
      <c r="AX210" s="21" t="s">
        <v>70</v>
      </c>
      <c r="AY210" s="22"/>
      <c r="AZ210" s="23"/>
      <c r="BA210" s="19"/>
      <c r="BB210" s="19"/>
      <c r="BC210" s="19"/>
      <c r="BD210" s="19"/>
      <c r="BE210" s="19"/>
      <c r="BF210" s="19"/>
      <c r="BG210" s="21" t="s">
        <v>78</v>
      </c>
      <c r="BH210" s="23"/>
      <c r="BI210" s="19"/>
      <c r="BJ210" s="19"/>
      <c r="BK210" s="16" t="s">
        <v>81</v>
      </c>
      <c r="BL210" s="19"/>
      <c r="BM210" s="21" t="s">
        <v>83</v>
      </c>
      <c r="BN210" s="22"/>
      <c r="BO210" s="23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6" t="s">
        <v>144</v>
      </c>
      <c r="CG210" s="16" t="s">
        <v>128</v>
      </c>
      <c r="CH210" s="16" t="s">
        <v>100</v>
      </c>
      <c r="CI210" s="21" t="s">
        <v>101</v>
      </c>
      <c r="CJ210" s="22"/>
      <c r="CK210" s="23"/>
      <c r="CL210" s="21" t="s">
        <v>104</v>
      </c>
      <c r="CM210" s="23"/>
      <c r="CN210" s="16" t="s">
        <v>128</v>
      </c>
      <c r="CO210" s="21" t="s">
        <v>105</v>
      </c>
      <c r="CP210" s="22"/>
      <c r="CQ210" s="23"/>
      <c r="CR210" s="19"/>
      <c r="CS210" s="21" t="s">
        <v>109</v>
      </c>
      <c r="CT210" s="23"/>
      <c r="CU210" s="19"/>
      <c r="CV210" s="16" t="s">
        <v>128</v>
      </c>
      <c r="CW210" s="21" t="s">
        <v>111</v>
      </c>
      <c r="CX210" s="22"/>
      <c r="CY210" s="23"/>
      <c r="CZ210" s="21" t="s">
        <v>114</v>
      </c>
      <c r="DA210" s="22"/>
      <c r="DB210" s="23"/>
      <c r="DC210" s="16" t="s">
        <v>129</v>
      </c>
      <c r="DD210" s="16" t="s">
        <v>129</v>
      </c>
      <c r="DE210" s="16" t="s">
        <v>129</v>
      </c>
      <c r="DF210" s="16" t="s">
        <v>129</v>
      </c>
      <c r="DG210" s="16" t="s">
        <v>1226</v>
      </c>
      <c r="DH210" s="21" t="s">
        <v>1227</v>
      </c>
      <c r="DI210" s="23"/>
      <c r="DJ210" s="16" t="s">
        <v>127</v>
      </c>
      <c r="DK210" s="19"/>
      <c r="DL210" s="19"/>
      <c r="DM210" s="16" t="s">
        <v>144</v>
      </c>
      <c r="DN210" s="19"/>
      <c r="DO210" s="19"/>
    </row>
    <row r="211" ht="15.75" customHeight="1">
      <c r="A211" s="15">
        <v>209.0</v>
      </c>
      <c r="B211" s="16" t="s">
        <v>1228</v>
      </c>
      <c r="C211" s="17">
        <v>3.1412152503908E13</v>
      </c>
      <c r="D211" s="18">
        <v>39.0</v>
      </c>
      <c r="E211" s="16" t="s">
        <v>1068</v>
      </c>
      <c r="F211" s="16" t="s">
        <v>837</v>
      </c>
      <c r="G211" s="16" t="s">
        <v>547</v>
      </c>
      <c r="H211" s="25">
        <v>41988.0</v>
      </c>
      <c r="I211" s="16"/>
      <c r="J211" s="18">
        <v>1.0</v>
      </c>
      <c r="K211" s="16" t="s">
        <v>1229</v>
      </c>
      <c r="L211" s="21" t="s">
        <v>138</v>
      </c>
      <c r="M211" s="23"/>
      <c r="N211" s="19"/>
      <c r="O211" s="19"/>
      <c r="P211" s="19"/>
      <c r="Q211" s="19"/>
      <c r="R211" s="19"/>
      <c r="S211" s="19"/>
      <c r="T211" s="19"/>
      <c r="U211" s="19"/>
      <c r="V211" s="21" t="s">
        <v>932</v>
      </c>
      <c r="W211" s="22"/>
      <c r="X211" s="23"/>
      <c r="Y211" s="21" t="s">
        <v>48</v>
      </c>
      <c r="Z211" s="23"/>
      <c r="AA211" s="19"/>
      <c r="AB211" s="19"/>
      <c r="AC211" s="21" t="s">
        <v>52</v>
      </c>
      <c r="AD211" s="23"/>
      <c r="AE211" s="19"/>
      <c r="AF211" s="19"/>
      <c r="AG211" s="18" t="s">
        <v>839</v>
      </c>
      <c r="AH211" s="16" t="s">
        <v>57</v>
      </c>
      <c r="AI211" s="18" t="s">
        <v>839</v>
      </c>
      <c r="AJ211" s="16" t="s">
        <v>168</v>
      </c>
      <c r="AK211" s="16" t="s">
        <v>153</v>
      </c>
      <c r="AL211" s="16" t="s">
        <v>126</v>
      </c>
      <c r="AM211" s="16" t="s">
        <v>126</v>
      </c>
      <c r="AN211" s="16" t="s">
        <v>181</v>
      </c>
      <c r="AO211" s="16" t="s">
        <v>181</v>
      </c>
      <c r="AP211" s="16" t="s">
        <v>181</v>
      </c>
      <c r="AQ211" s="16" t="s">
        <v>181</v>
      </c>
      <c r="AR211" s="16" t="s">
        <v>181</v>
      </c>
      <c r="AS211" s="21" t="s">
        <v>65</v>
      </c>
      <c r="AT211" s="23"/>
      <c r="AU211" s="16" t="s">
        <v>67</v>
      </c>
      <c r="AV211" s="16" t="s">
        <v>68</v>
      </c>
      <c r="AW211" s="16" t="s">
        <v>69</v>
      </c>
      <c r="AX211" s="16" t="s">
        <v>70</v>
      </c>
      <c r="AY211" s="16" t="s">
        <v>71</v>
      </c>
      <c r="AZ211" s="18">
        <v>0.0</v>
      </c>
      <c r="BA211" s="16" t="s">
        <v>73</v>
      </c>
      <c r="BB211" s="21" t="s">
        <v>74</v>
      </c>
      <c r="BC211" s="23"/>
      <c r="BD211" s="16" t="s">
        <v>76</v>
      </c>
      <c r="BE211" s="16" t="s">
        <v>77</v>
      </c>
      <c r="BF211" s="18">
        <v>0.0</v>
      </c>
      <c r="BG211" s="19"/>
      <c r="BH211" s="19"/>
      <c r="BI211" s="21" t="s">
        <v>52</v>
      </c>
      <c r="BJ211" s="23"/>
      <c r="BK211" s="16" t="s">
        <v>81</v>
      </c>
      <c r="BL211" s="19"/>
      <c r="BM211" s="19"/>
      <c r="BN211" s="16" t="s">
        <v>84</v>
      </c>
      <c r="BO211" s="16" t="s">
        <v>85</v>
      </c>
      <c r="BP211" s="18">
        <v>0.0</v>
      </c>
      <c r="BQ211" s="19"/>
      <c r="BR211" s="19"/>
      <c r="BS211" s="19"/>
      <c r="BT211" s="19"/>
      <c r="BU211" s="19"/>
      <c r="BV211" s="19"/>
      <c r="BW211" s="16" t="s">
        <v>92</v>
      </c>
      <c r="BX211" s="18" t="s">
        <v>844</v>
      </c>
      <c r="BY211" s="19"/>
      <c r="BZ211" s="19"/>
      <c r="CA211" s="19"/>
      <c r="CB211" s="21" t="s">
        <v>96</v>
      </c>
      <c r="CC211" s="23"/>
      <c r="CD211" s="19"/>
      <c r="CE211" s="19"/>
      <c r="CF211" s="18">
        <v>0.0</v>
      </c>
      <c r="CG211" s="16" t="s">
        <v>128</v>
      </c>
      <c r="CH211" s="19"/>
      <c r="CI211" s="19"/>
      <c r="CJ211" s="16" t="s">
        <v>102</v>
      </c>
      <c r="CK211" s="16" t="s">
        <v>103</v>
      </c>
      <c r="CL211" s="16" t="s">
        <v>104</v>
      </c>
      <c r="CM211" s="18" t="s">
        <v>839</v>
      </c>
      <c r="CN211" s="16" t="s">
        <v>128</v>
      </c>
      <c r="CO211" s="16" t="s">
        <v>105</v>
      </c>
      <c r="CP211" s="21" t="s">
        <v>106</v>
      </c>
      <c r="CQ211" s="23"/>
      <c r="CR211" s="16" t="s">
        <v>108</v>
      </c>
      <c r="CS211" s="16" t="s">
        <v>109</v>
      </c>
      <c r="CT211" s="16" t="s">
        <v>110</v>
      </c>
      <c r="CU211" s="18">
        <v>0.0</v>
      </c>
      <c r="CV211" s="21" t="s">
        <v>154</v>
      </c>
      <c r="CW211" s="23"/>
      <c r="CX211" s="19"/>
      <c r="CY211" s="16" t="s">
        <v>113</v>
      </c>
      <c r="CZ211" s="21" t="s">
        <v>114</v>
      </c>
      <c r="DA211" s="23"/>
      <c r="DB211" s="18" t="s">
        <v>844</v>
      </c>
      <c r="DC211" s="16" t="s">
        <v>129</v>
      </c>
      <c r="DD211" s="16" t="s">
        <v>129</v>
      </c>
      <c r="DE211" s="16" t="s">
        <v>129</v>
      </c>
      <c r="DF211" s="16" t="s">
        <v>129</v>
      </c>
      <c r="DG211" s="16" t="s">
        <v>841</v>
      </c>
      <c r="DH211" s="16" t="s">
        <v>842</v>
      </c>
      <c r="DI211" s="16" t="s">
        <v>1230</v>
      </c>
      <c r="DJ211" s="16" t="s">
        <v>1126</v>
      </c>
      <c r="DK211" s="18" t="s">
        <v>844</v>
      </c>
      <c r="DL211" s="18" t="s">
        <v>845</v>
      </c>
      <c r="DM211" s="16" t="s">
        <v>930</v>
      </c>
      <c r="DN211" s="16" t="s">
        <v>901</v>
      </c>
      <c r="DO211" s="18">
        <v>0.0</v>
      </c>
    </row>
    <row r="212" ht="15.75" customHeight="1">
      <c r="A212" s="15">
        <v>210.0</v>
      </c>
      <c r="B212" s="16" t="s">
        <v>1231</v>
      </c>
      <c r="C212" s="17">
        <v>3.1207252504445E13</v>
      </c>
      <c r="D212" s="18">
        <v>168.0</v>
      </c>
      <c r="E212" s="16" t="s">
        <v>1055</v>
      </c>
      <c r="F212" s="16" t="s">
        <v>1056</v>
      </c>
      <c r="G212" s="16" t="s">
        <v>547</v>
      </c>
      <c r="H212" s="20">
        <v>41115.0</v>
      </c>
      <c r="I212" s="16"/>
      <c r="J212" s="18">
        <v>1.0</v>
      </c>
      <c r="K212" s="16" t="s">
        <v>1232</v>
      </c>
      <c r="L212" s="21" t="s">
        <v>138</v>
      </c>
      <c r="M212" s="23"/>
      <c r="N212" s="19"/>
      <c r="O212" s="19"/>
      <c r="P212" s="19"/>
      <c r="Q212" s="19"/>
      <c r="R212" s="19"/>
      <c r="S212" s="19"/>
      <c r="T212" s="19"/>
      <c r="U212" s="19"/>
      <c r="V212" s="18" t="s">
        <v>839</v>
      </c>
      <c r="W212" s="16" t="s">
        <v>46</v>
      </c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21" t="s">
        <v>152</v>
      </c>
      <c r="AI212" s="23"/>
      <c r="AJ212" s="16" t="s">
        <v>124</v>
      </c>
      <c r="AK212" s="16" t="s">
        <v>125</v>
      </c>
      <c r="AL212" s="16" t="s">
        <v>126</v>
      </c>
      <c r="AM212" s="16" t="s">
        <v>126</v>
      </c>
      <c r="AN212" s="16" t="s">
        <v>126</v>
      </c>
      <c r="AO212" s="16" t="s">
        <v>181</v>
      </c>
      <c r="AP212" s="16" t="s">
        <v>126</v>
      </c>
      <c r="AQ212" s="16" t="s">
        <v>126</v>
      </c>
      <c r="AR212" s="16" t="s">
        <v>126</v>
      </c>
      <c r="AS212" s="21" t="s">
        <v>65</v>
      </c>
      <c r="AT212" s="22"/>
      <c r="AU212" s="23"/>
      <c r="AV212" s="19"/>
      <c r="AW212" s="19"/>
      <c r="AX212" s="21" t="s">
        <v>70</v>
      </c>
      <c r="AY212" s="22"/>
      <c r="AZ212" s="23"/>
      <c r="BA212" s="19"/>
      <c r="BB212" s="19"/>
      <c r="BC212" s="19"/>
      <c r="BD212" s="19"/>
      <c r="BE212" s="19"/>
      <c r="BF212" s="18" t="s">
        <v>844</v>
      </c>
      <c r="BG212" s="19"/>
      <c r="BH212" s="19"/>
      <c r="BI212" s="19"/>
      <c r="BJ212" s="19"/>
      <c r="BK212" s="16" t="s">
        <v>81</v>
      </c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8" t="s">
        <v>839</v>
      </c>
      <c r="BY212" s="19"/>
      <c r="BZ212" s="19"/>
      <c r="CA212" s="19"/>
      <c r="CB212" s="19"/>
      <c r="CC212" s="19"/>
      <c r="CD212" s="19"/>
      <c r="CE212" s="19"/>
      <c r="CF212" s="16" t="s">
        <v>1233</v>
      </c>
      <c r="CG212" s="16" t="s">
        <v>128</v>
      </c>
      <c r="CH212" s="19"/>
      <c r="CI212" s="19"/>
      <c r="CJ212" s="19"/>
      <c r="CK212" s="19"/>
      <c r="CL212" s="21" t="s">
        <v>104</v>
      </c>
      <c r="CM212" s="23"/>
      <c r="CN212" s="16" t="s">
        <v>128</v>
      </c>
      <c r="CO212" s="19"/>
      <c r="CP212" s="19"/>
      <c r="CQ212" s="19"/>
      <c r="CR212" s="19"/>
      <c r="CS212" s="21" t="s">
        <v>109</v>
      </c>
      <c r="CT212" s="23"/>
      <c r="CU212" s="19"/>
      <c r="CV212" s="16" t="s">
        <v>128</v>
      </c>
      <c r="CW212" s="19"/>
      <c r="CX212" s="19"/>
      <c r="CY212" s="19"/>
      <c r="CZ212" s="21" t="s">
        <v>114</v>
      </c>
      <c r="DA212" s="22"/>
      <c r="DB212" s="23"/>
      <c r="DC212" s="16" t="s">
        <v>129</v>
      </c>
      <c r="DD212" s="16" t="s">
        <v>129</v>
      </c>
      <c r="DE212" s="16" t="s">
        <v>129</v>
      </c>
      <c r="DF212" s="16" t="s">
        <v>129</v>
      </c>
      <c r="DG212" s="21" t="s">
        <v>1234</v>
      </c>
      <c r="DH212" s="23"/>
      <c r="DI212" s="19"/>
      <c r="DJ212" s="16" t="s">
        <v>144</v>
      </c>
      <c r="DK212" s="19"/>
      <c r="DL212" s="19"/>
      <c r="DM212" s="21" t="s">
        <v>1060</v>
      </c>
      <c r="DN212" s="23"/>
      <c r="DO212" s="19"/>
    </row>
    <row r="213" ht="15.75" customHeight="1">
      <c r="A213" s="15">
        <v>211.0</v>
      </c>
      <c r="B213" s="16" t="s">
        <v>1235</v>
      </c>
      <c r="C213" s="17">
        <v>3.1708102500742E13</v>
      </c>
      <c r="D213" s="18">
        <v>116.0</v>
      </c>
      <c r="E213" s="16" t="s">
        <v>1143</v>
      </c>
      <c r="F213" s="16" t="s">
        <v>546</v>
      </c>
      <c r="G213" s="16" t="s">
        <v>547</v>
      </c>
      <c r="H213" s="20">
        <v>42957.0</v>
      </c>
      <c r="I213" s="16"/>
      <c r="J213" s="18">
        <v>1.0</v>
      </c>
      <c r="K213" s="16" t="s">
        <v>1236</v>
      </c>
      <c r="L213" s="21" t="s">
        <v>138</v>
      </c>
      <c r="M213" s="23"/>
      <c r="N213" s="19"/>
      <c r="O213" s="19"/>
      <c r="P213" s="19"/>
      <c r="Q213" s="19"/>
      <c r="R213" s="19"/>
      <c r="S213" s="19"/>
      <c r="T213" s="19"/>
      <c r="U213" s="19"/>
      <c r="V213" s="16" t="s">
        <v>910</v>
      </c>
      <c r="W213" s="16" t="s">
        <v>46</v>
      </c>
      <c r="X213" s="21" t="s">
        <v>47</v>
      </c>
      <c r="Y213" s="23"/>
      <c r="Z213" s="19"/>
      <c r="AA213" s="19"/>
      <c r="AB213" s="19"/>
      <c r="AC213" s="19"/>
      <c r="AD213" s="19"/>
      <c r="AE213" s="19"/>
      <c r="AF213" s="19"/>
      <c r="AG213" s="19"/>
      <c r="AH213" s="21" t="s">
        <v>123</v>
      </c>
      <c r="AI213" s="23"/>
      <c r="AJ213" s="16" t="s">
        <v>168</v>
      </c>
      <c r="AK213" s="16" t="s">
        <v>153</v>
      </c>
      <c r="AL213" s="16" t="s">
        <v>181</v>
      </c>
      <c r="AM213" s="16" t="s">
        <v>181</v>
      </c>
      <c r="AN213" s="16" t="s">
        <v>181</v>
      </c>
      <c r="AO213" s="16" t="s">
        <v>181</v>
      </c>
      <c r="AP213" s="16" t="s">
        <v>181</v>
      </c>
      <c r="AQ213" s="16" t="s">
        <v>181</v>
      </c>
      <c r="AR213" s="16" t="s">
        <v>181</v>
      </c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21" t="s">
        <v>78</v>
      </c>
      <c r="BH213" s="23"/>
      <c r="BI213" s="19"/>
      <c r="BJ213" s="19"/>
      <c r="BK213" s="16" t="s">
        <v>81</v>
      </c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21" t="s">
        <v>93</v>
      </c>
      <c r="BZ213" s="23"/>
      <c r="CA213" s="21" t="s">
        <v>95</v>
      </c>
      <c r="CB213" s="22"/>
      <c r="CC213" s="23"/>
      <c r="CD213" s="19"/>
      <c r="CE213" s="19"/>
      <c r="CF213" s="19"/>
      <c r="CG213" s="16" t="s">
        <v>128</v>
      </c>
      <c r="CH213" s="16" t="s">
        <v>100</v>
      </c>
      <c r="CI213" s="16" t="s">
        <v>101</v>
      </c>
      <c r="CJ213" s="21" t="s">
        <v>102</v>
      </c>
      <c r="CK213" s="23"/>
      <c r="CL213" s="21" t="s">
        <v>104</v>
      </c>
      <c r="CM213" s="23"/>
      <c r="CN213" s="16" t="s">
        <v>128</v>
      </c>
      <c r="CO213" s="21" t="s">
        <v>105</v>
      </c>
      <c r="CP213" s="22"/>
      <c r="CQ213" s="23"/>
      <c r="CR213" s="16" t="s">
        <v>108</v>
      </c>
      <c r="CS213" s="21" t="s">
        <v>109</v>
      </c>
      <c r="CT213" s="23"/>
      <c r="CU213" s="19"/>
      <c r="CV213" s="16" t="s">
        <v>128</v>
      </c>
      <c r="CW213" s="16" t="s">
        <v>111</v>
      </c>
      <c r="CX213" s="21" t="s">
        <v>112</v>
      </c>
      <c r="CY213" s="23"/>
      <c r="CZ213" s="21" t="s">
        <v>114</v>
      </c>
      <c r="DA213" s="22"/>
      <c r="DB213" s="23"/>
      <c r="DC213" s="16" t="s">
        <v>129</v>
      </c>
      <c r="DD213" s="16" t="s">
        <v>129</v>
      </c>
      <c r="DE213" s="16" t="s">
        <v>129</v>
      </c>
      <c r="DF213" s="16" t="s">
        <v>129</v>
      </c>
      <c r="DG213" s="16" t="s">
        <v>965</v>
      </c>
      <c r="DH213" s="16" t="s">
        <v>966</v>
      </c>
      <c r="DI213" s="16" t="s">
        <v>1237</v>
      </c>
      <c r="DJ213" s="16" t="s">
        <v>127</v>
      </c>
      <c r="DK213" s="19"/>
      <c r="DL213" s="19"/>
      <c r="DM213" s="16" t="s">
        <v>144</v>
      </c>
      <c r="DN213" s="19"/>
      <c r="DO213" s="19"/>
    </row>
    <row r="214" ht="15.75" customHeight="1">
      <c r="A214" s="15">
        <v>212.0</v>
      </c>
      <c r="B214" s="16" t="s">
        <v>1238</v>
      </c>
      <c r="C214" s="17">
        <v>3.1307222501926E13</v>
      </c>
      <c r="D214" s="18">
        <v>46.0</v>
      </c>
      <c r="E214" s="16" t="s">
        <v>1068</v>
      </c>
      <c r="F214" s="16" t="s">
        <v>606</v>
      </c>
      <c r="G214" s="16" t="s">
        <v>547</v>
      </c>
      <c r="H214" s="20">
        <v>41477.0</v>
      </c>
      <c r="I214" s="16"/>
      <c r="J214" s="18">
        <v>1.0</v>
      </c>
      <c r="K214" s="16" t="s">
        <v>1239</v>
      </c>
      <c r="L214" s="21" t="s">
        <v>138</v>
      </c>
      <c r="M214" s="23"/>
      <c r="N214" s="19"/>
      <c r="O214" s="19"/>
      <c r="P214" s="19"/>
      <c r="Q214" s="19"/>
      <c r="R214" s="19"/>
      <c r="S214" s="19"/>
      <c r="T214" s="19"/>
      <c r="U214" s="19"/>
      <c r="V214" s="16" t="s">
        <v>932</v>
      </c>
      <c r="W214" s="16" t="s">
        <v>46</v>
      </c>
      <c r="X214" s="19"/>
      <c r="Y214" s="21" t="s">
        <v>48</v>
      </c>
      <c r="Z214" s="23"/>
      <c r="AA214" s="16" t="s">
        <v>50</v>
      </c>
      <c r="AB214" s="19"/>
      <c r="AC214" s="19"/>
      <c r="AD214" s="19"/>
      <c r="AE214" s="19"/>
      <c r="AF214" s="16" t="s">
        <v>55</v>
      </c>
      <c r="AG214" s="18" t="s">
        <v>839</v>
      </c>
      <c r="AH214" s="16" t="s">
        <v>57</v>
      </c>
      <c r="AI214" s="18" t="s">
        <v>844</v>
      </c>
      <c r="AJ214" s="16" t="s">
        <v>168</v>
      </c>
      <c r="AK214" s="16" t="s">
        <v>153</v>
      </c>
      <c r="AL214" s="16" t="s">
        <v>181</v>
      </c>
      <c r="AM214" s="16" t="s">
        <v>126</v>
      </c>
      <c r="AN214" s="16" t="s">
        <v>126</v>
      </c>
      <c r="AO214" s="16" t="s">
        <v>181</v>
      </c>
      <c r="AP214" s="16" t="s">
        <v>181</v>
      </c>
      <c r="AQ214" s="16" t="s">
        <v>181</v>
      </c>
      <c r="AR214" s="16" t="s">
        <v>181</v>
      </c>
      <c r="AS214" s="16" t="s">
        <v>65</v>
      </c>
      <c r="AT214" s="16" t="s">
        <v>66</v>
      </c>
      <c r="AU214" s="16" t="s">
        <v>67</v>
      </c>
      <c r="AV214" s="16" t="s">
        <v>68</v>
      </c>
      <c r="AW214" s="16" t="s">
        <v>69</v>
      </c>
      <c r="AX214" s="16" t="s">
        <v>70</v>
      </c>
      <c r="AY214" s="16" t="s">
        <v>71</v>
      </c>
      <c r="AZ214" s="18">
        <v>0.0</v>
      </c>
      <c r="BA214" s="19"/>
      <c r="BB214" s="21" t="s">
        <v>74</v>
      </c>
      <c r="BC214" s="23"/>
      <c r="BD214" s="16" t="s">
        <v>76</v>
      </c>
      <c r="BE214" s="16" t="s">
        <v>77</v>
      </c>
      <c r="BF214" s="18" t="s">
        <v>839</v>
      </c>
      <c r="BG214" s="19"/>
      <c r="BH214" s="19"/>
      <c r="BI214" s="19"/>
      <c r="BJ214" s="19"/>
      <c r="BK214" s="16" t="s">
        <v>81</v>
      </c>
      <c r="BL214" s="19"/>
      <c r="BM214" s="19"/>
      <c r="BN214" s="16" t="s">
        <v>84</v>
      </c>
      <c r="BO214" s="16" t="s">
        <v>85</v>
      </c>
      <c r="BP214" s="18" t="s">
        <v>844</v>
      </c>
      <c r="BQ214" s="19"/>
      <c r="BR214" s="19"/>
      <c r="BS214" s="19"/>
      <c r="BT214" s="19"/>
      <c r="BU214" s="19"/>
      <c r="BV214" s="19"/>
      <c r="BW214" s="16" t="s">
        <v>92</v>
      </c>
      <c r="BX214" s="18">
        <v>0.0</v>
      </c>
      <c r="BY214" s="19"/>
      <c r="BZ214" s="19"/>
      <c r="CA214" s="19"/>
      <c r="CB214" s="21" t="s">
        <v>96</v>
      </c>
      <c r="CC214" s="23"/>
      <c r="CD214" s="19"/>
      <c r="CE214" s="19"/>
      <c r="CF214" s="18">
        <v>0.0</v>
      </c>
      <c r="CG214" s="16" t="s">
        <v>128</v>
      </c>
      <c r="CH214" s="19"/>
      <c r="CI214" s="19"/>
      <c r="CJ214" s="16" t="s">
        <v>102</v>
      </c>
      <c r="CK214" s="16" t="s">
        <v>103</v>
      </c>
      <c r="CL214" s="16" t="s">
        <v>104</v>
      </c>
      <c r="CM214" s="18">
        <v>0.0</v>
      </c>
      <c r="CN214" s="16" t="s">
        <v>128</v>
      </c>
      <c r="CO214" s="21" t="s">
        <v>105</v>
      </c>
      <c r="CP214" s="22"/>
      <c r="CQ214" s="23"/>
      <c r="CR214" s="21" t="s">
        <v>108</v>
      </c>
      <c r="CS214" s="23"/>
      <c r="CT214" s="16" t="s">
        <v>110</v>
      </c>
      <c r="CU214" s="18">
        <v>0.0</v>
      </c>
      <c r="CV214" s="21" t="s">
        <v>154</v>
      </c>
      <c r="CW214" s="23"/>
      <c r="CX214" s="19"/>
      <c r="CY214" s="16" t="s">
        <v>113</v>
      </c>
      <c r="CZ214" s="21" t="s">
        <v>114</v>
      </c>
      <c r="DA214" s="23"/>
      <c r="DB214" s="18" t="s">
        <v>844</v>
      </c>
      <c r="DC214" s="16" t="s">
        <v>129</v>
      </c>
      <c r="DD214" s="16" t="s">
        <v>129</v>
      </c>
      <c r="DE214" s="16" t="s">
        <v>129</v>
      </c>
      <c r="DF214" s="16" t="s">
        <v>129</v>
      </c>
      <c r="DG214" s="16" t="s">
        <v>841</v>
      </c>
      <c r="DH214" s="16" t="s">
        <v>873</v>
      </c>
      <c r="DI214" s="16" t="s">
        <v>843</v>
      </c>
      <c r="DJ214" s="16" t="s">
        <v>915</v>
      </c>
      <c r="DK214" s="16" t="s">
        <v>1071</v>
      </c>
      <c r="DL214" s="18" t="s">
        <v>845</v>
      </c>
      <c r="DM214" s="16" t="s">
        <v>876</v>
      </c>
      <c r="DN214" s="16" t="s">
        <v>901</v>
      </c>
      <c r="DO214" s="16" t="s">
        <v>1088</v>
      </c>
    </row>
    <row r="215" ht="15.75" customHeight="1">
      <c r="A215" s="15">
        <v>213.0</v>
      </c>
      <c r="B215" s="16" t="s">
        <v>1240</v>
      </c>
      <c r="C215" s="17">
        <v>3.2001262503656E13</v>
      </c>
      <c r="D215" s="18">
        <v>150.0</v>
      </c>
      <c r="E215" s="16" t="s">
        <v>1055</v>
      </c>
      <c r="F215" s="16" t="s">
        <v>1056</v>
      </c>
      <c r="G215" s="16" t="s">
        <v>547</v>
      </c>
      <c r="H215" s="20">
        <v>43856.0</v>
      </c>
      <c r="I215" s="18">
        <v>1.0</v>
      </c>
      <c r="J215" s="19"/>
      <c r="K215" s="16" t="s">
        <v>1241</v>
      </c>
      <c r="L215" s="21" t="s">
        <v>138</v>
      </c>
      <c r="M215" s="23"/>
      <c r="N215" s="19"/>
      <c r="O215" s="19"/>
      <c r="P215" s="19"/>
      <c r="Q215" s="19"/>
      <c r="R215" s="19"/>
      <c r="S215" s="19"/>
      <c r="T215" s="19"/>
      <c r="U215" s="19"/>
      <c r="V215" s="18" t="s">
        <v>839</v>
      </c>
      <c r="W215" s="19"/>
      <c r="X215" s="21" t="s">
        <v>47</v>
      </c>
      <c r="Y215" s="23"/>
      <c r="Z215" s="16" t="s">
        <v>49</v>
      </c>
      <c r="AA215" s="19"/>
      <c r="AB215" s="19"/>
      <c r="AC215" s="19"/>
      <c r="AD215" s="19"/>
      <c r="AE215" s="19"/>
      <c r="AF215" s="19"/>
      <c r="AG215" s="19"/>
      <c r="AH215" s="21" t="s">
        <v>228</v>
      </c>
      <c r="AI215" s="23"/>
      <c r="AJ215" s="16" t="s">
        <v>124</v>
      </c>
      <c r="AK215" s="16" t="s">
        <v>142</v>
      </c>
      <c r="AL215" s="16" t="s">
        <v>126</v>
      </c>
      <c r="AM215" s="16" t="s">
        <v>126</v>
      </c>
      <c r="AN215" s="16" t="s">
        <v>181</v>
      </c>
      <c r="AO215" s="16" t="s">
        <v>126</v>
      </c>
      <c r="AP215" s="16" t="s">
        <v>126</v>
      </c>
      <c r="AQ215" s="16" t="s">
        <v>181</v>
      </c>
      <c r="AR215" s="16" t="s">
        <v>126</v>
      </c>
      <c r="AS215" s="16" t="s">
        <v>65</v>
      </c>
      <c r="AT215" s="21" t="s">
        <v>66</v>
      </c>
      <c r="AU215" s="22"/>
      <c r="AV215" s="23"/>
      <c r="AW215" s="21" t="s">
        <v>69</v>
      </c>
      <c r="AX215" s="22"/>
      <c r="AY215" s="23"/>
      <c r="AZ215" s="19"/>
      <c r="BA215" s="19"/>
      <c r="BB215" s="19"/>
      <c r="BC215" s="19"/>
      <c r="BD215" s="19"/>
      <c r="BE215" s="19"/>
      <c r="BF215" s="18" t="s">
        <v>844</v>
      </c>
      <c r="BG215" s="21" t="s">
        <v>78</v>
      </c>
      <c r="BH215" s="23"/>
      <c r="BI215" s="19"/>
      <c r="BJ215" s="21" t="s">
        <v>80</v>
      </c>
      <c r="BK215" s="23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8" t="s">
        <v>839</v>
      </c>
      <c r="BY215" s="19"/>
      <c r="BZ215" s="19"/>
      <c r="CA215" s="19"/>
      <c r="CB215" s="19"/>
      <c r="CC215" s="19"/>
      <c r="CD215" s="19"/>
      <c r="CE215" s="19"/>
      <c r="CF215" s="16" t="s">
        <v>144</v>
      </c>
      <c r="CG215" s="16" t="s">
        <v>128</v>
      </c>
      <c r="CH215" s="21" t="s">
        <v>100</v>
      </c>
      <c r="CI215" s="23"/>
      <c r="CJ215" s="19"/>
      <c r="CK215" s="19"/>
      <c r="CL215" s="21" t="s">
        <v>104</v>
      </c>
      <c r="CM215" s="23"/>
      <c r="CN215" s="16" t="s">
        <v>128</v>
      </c>
      <c r="CO215" s="21" t="s">
        <v>105</v>
      </c>
      <c r="CP215" s="22"/>
      <c r="CQ215" s="23"/>
      <c r="CR215" s="19"/>
      <c r="CS215" s="21" t="s">
        <v>109</v>
      </c>
      <c r="CT215" s="23"/>
      <c r="CU215" s="19"/>
      <c r="CV215" s="16" t="s">
        <v>128</v>
      </c>
      <c r="CW215" s="19"/>
      <c r="CX215" s="21" t="s">
        <v>112</v>
      </c>
      <c r="CY215" s="22"/>
      <c r="CZ215" s="23"/>
      <c r="DA215" s="19"/>
      <c r="DB215" s="19"/>
      <c r="DC215" s="16" t="s">
        <v>145</v>
      </c>
      <c r="DD215" s="16" t="s">
        <v>145</v>
      </c>
      <c r="DE215" s="16" t="s">
        <v>129</v>
      </c>
      <c r="DF215" s="16" t="s">
        <v>145</v>
      </c>
      <c r="DG215" s="21" t="s">
        <v>1234</v>
      </c>
      <c r="DH215" s="23"/>
      <c r="DI215" s="19"/>
      <c r="DJ215" s="16" t="s">
        <v>144</v>
      </c>
      <c r="DK215" s="19"/>
      <c r="DL215" s="19"/>
      <c r="DM215" s="21" t="s">
        <v>1060</v>
      </c>
      <c r="DN215" s="23"/>
      <c r="DO215" s="19"/>
    </row>
    <row r="216" ht="15.75" customHeight="1">
      <c r="A216" s="15">
        <v>214.0</v>
      </c>
      <c r="B216" s="16" t="s">
        <v>1242</v>
      </c>
      <c r="C216" s="17">
        <v>3.1404092503676E13</v>
      </c>
      <c r="D216" s="18">
        <v>62.0</v>
      </c>
      <c r="E216" s="16" t="s">
        <v>1068</v>
      </c>
      <c r="F216" s="16" t="s">
        <v>837</v>
      </c>
      <c r="G216" s="16" t="s">
        <v>547</v>
      </c>
      <c r="H216" s="20">
        <v>41738.0</v>
      </c>
      <c r="I216" s="18">
        <v>1.0</v>
      </c>
      <c r="J216" s="19"/>
      <c r="K216" s="16" t="s">
        <v>1243</v>
      </c>
      <c r="L216" s="21" t="s">
        <v>138</v>
      </c>
      <c r="M216" s="23"/>
      <c r="N216" s="19"/>
      <c r="O216" s="19"/>
      <c r="P216" s="19"/>
      <c r="Q216" s="19"/>
      <c r="R216" s="19"/>
      <c r="S216" s="19"/>
      <c r="T216" s="19"/>
      <c r="U216" s="19"/>
      <c r="V216" s="21" t="s">
        <v>919</v>
      </c>
      <c r="W216" s="22"/>
      <c r="X216" s="22"/>
      <c r="Y216" s="23"/>
      <c r="Z216" s="19"/>
      <c r="AA216" s="19"/>
      <c r="AB216" s="16" t="s">
        <v>51</v>
      </c>
      <c r="AC216" s="21" t="s">
        <v>52</v>
      </c>
      <c r="AD216" s="23"/>
      <c r="AE216" s="19"/>
      <c r="AF216" s="16" t="s">
        <v>55</v>
      </c>
      <c r="AG216" s="18" t="s">
        <v>844</v>
      </c>
      <c r="AH216" s="16" t="s">
        <v>57</v>
      </c>
      <c r="AI216" s="18" t="s">
        <v>839</v>
      </c>
      <c r="AJ216" s="16" t="s">
        <v>168</v>
      </c>
      <c r="AK216" s="16" t="s">
        <v>153</v>
      </c>
      <c r="AL216" s="16" t="s">
        <v>126</v>
      </c>
      <c r="AM216" s="16" t="s">
        <v>126</v>
      </c>
      <c r="AN216" s="16" t="s">
        <v>126</v>
      </c>
      <c r="AO216" s="16" t="s">
        <v>126</v>
      </c>
      <c r="AP216" s="16" t="s">
        <v>181</v>
      </c>
      <c r="AQ216" s="16" t="s">
        <v>181</v>
      </c>
      <c r="AR216" s="16" t="s">
        <v>126</v>
      </c>
      <c r="AS216" s="21" t="s">
        <v>65</v>
      </c>
      <c r="AT216" s="22"/>
      <c r="AU216" s="23"/>
      <c r="AV216" s="19"/>
      <c r="AW216" s="16" t="s">
        <v>69</v>
      </c>
      <c r="AX216" s="16" t="s">
        <v>70</v>
      </c>
      <c r="AY216" s="16" t="s">
        <v>71</v>
      </c>
      <c r="AZ216" s="18">
        <v>0.0</v>
      </c>
      <c r="BA216" s="16" t="s">
        <v>73</v>
      </c>
      <c r="BB216" s="21" t="s">
        <v>74</v>
      </c>
      <c r="BC216" s="23"/>
      <c r="BD216" s="16" t="s">
        <v>76</v>
      </c>
      <c r="BE216" s="16" t="s">
        <v>77</v>
      </c>
      <c r="BF216" s="18" t="s">
        <v>839</v>
      </c>
      <c r="BG216" s="19"/>
      <c r="BH216" s="19"/>
      <c r="BI216" s="21" t="s">
        <v>52</v>
      </c>
      <c r="BJ216" s="23"/>
      <c r="BK216" s="19"/>
      <c r="BL216" s="19"/>
      <c r="BM216" s="19"/>
      <c r="BN216" s="16" t="s">
        <v>84</v>
      </c>
      <c r="BO216" s="16" t="s">
        <v>85</v>
      </c>
      <c r="BP216" s="18">
        <v>0.0</v>
      </c>
      <c r="BQ216" s="19"/>
      <c r="BR216" s="19"/>
      <c r="BS216" s="21" t="s">
        <v>88</v>
      </c>
      <c r="BT216" s="23"/>
      <c r="BU216" s="19"/>
      <c r="BV216" s="19"/>
      <c r="BW216" s="16" t="s">
        <v>92</v>
      </c>
      <c r="BX216" s="18">
        <v>0.0</v>
      </c>
      <c r="BY216" s="19"/>
      <c r="BZ216" s="19"/>
      <c r="CA216" s="19"/>
      <c r="CB216" s="21" t="s">
        <v>96</v>
      </c>
      <c r="CC216" s="23"/>
      <c r="CD216" s="19"/>
      <c r="CE216" s="19"/>
      <c r="CF216" s="18">
        <v>0.0</v>
      </c>
      <c r="CG216" s="16" t="s">
        <v>128</v>
      </c>
      <c r="CH216" s="21" t="s">
        <v>100</v>
      </c>
      <c r="CI216" s="23"/>
      <c r="CJ216" s="19"/>
      <c r="CK216" s="19"/>
      <c r="CL216" s="16" t="s">
        <v>104</v>
      </c>
      <c r="CM216" s="18">
        <v>0.0</v>
      </c>
      <c r="CN216" s="16" t="s">
        <v>128</v>
      </c>
      <c r="CO216" s="16" t="s">
        <v>105</v>
      </c>
      <c r="CP216" s="21" t="s">
        <v>106</v>
      </c>
      <c r="CQ216" s="23"/>
      <c r="CR216" s="16" t="s">
        <v>108</v>
      </c>
      <c r="CS216" s="16" t="s">
        <v>109</v>
      </c>
      <c r="CT216" s="16" t="s">
        <v>110</v>
      </c>
      <c r="CU216" s="18">
        <v>0.0</v>
      </c>
      <c r="CV216" s="21" t="s">
        <v>154</v>
      </c>
      <c r="CW216" s="23"/>
      <c r="CX216" s="19"/>
      <c r="CY216" s="19"/>
      <c r="CZ216" s="16" t="s">
        <v>114</v>
      </c>
      <c r="DA216" s="16" t="s">
        <v>115</v>
      </c>
      <c r="DB216" s="18" t="s">
        <v>844</v>
      </c>
      <c r="DC216" s="16" t="s">
        <v>129</v>
      </c>
      <c r="DD216" s="16" t="s">
        <v>129</v>
      </c>
      <c r="DE216" s="16" t="s">
        <v>129</v>
      </c>
      <c r="DF216" s="16" t="s">
        <v>129</v>
      </c>
      <c r="DG216" s="16" t="s">
        <v>896</v>
      </c>
      <c r="DH216" s="16" t="s">
        <v>900</v>
      </c>
      <c r="DI216" s="16" t="s">
        <v>843</v>
      </c>
      <c r="DJ216" s="16" t="s">
        <v>144</v>
      </c>
      <c r="DK216" s="18" t="s">
        <v>844</v>
      </c>
      <c r="DL216" s="18" t="s">
        <v>845</v>
      </c>
      <c r="DM216" s="16" t="s">
        <v>1244</v>
      </c>
      <c r="DN216" s="16" t="s">
        <v>901</v>
      </c>
      <c r="DO216" s="18">
        <v>0.0</v>
      </c>
    </row>
    <row r="217" ht="15.75" customHeight="1">
      <c r="A217" s="15">
        <v>215.0</v>
      </c>
      <c r="B217" s="16" t="s">
        <v>1245</v>
      </c>
      <c r="C217" s="17">
        <v>3.1301172504556E13</v>
      </c>
      <c r="D217" s="18">
        <v>216.0</v>
      </c>
      <c r="E217" s="16" t="s">
        <v>1055</v>
      </c>
      <c r="F217" s="16" t="s">
        <v>1056</v>
      </c>
      <c r="G217" s="16" t="s">
        <v>547</v>
      </c>
      <c r="H217" s="20">
        <v>41291.0</v>
      </c>
      <c r="I217" s="18">
        <v>1.0</v>
      </c>
      <c r="J217" s="19"/>
      <c r="K217" s="16" t="s">
        <v>1246</v>
      </c>
      <c r="L217" s="21" t="s">
        <v>138</v>
      </c>
      <c r="M217" s="23"/>
      <c r="N217" s="19"/>
      <c r="O217" s="19"/>
      <c r="P217" s="19"/>
      <c r="Q217" s="19"/>
      <c r="R217" s="19"/>
      <c r="S217" s="19"/>
      <c r="T217" s="19"/>
      <c r="U217" s="19"/>
      <c r="V217" s="18" t="s">
        <v>839</v>
      </c>
      <c r="W217" s="19"/>
      <c r="X217" s="21" t="s">
        <v>47</v>
      </c>
      <c r="Y217" s="23"/>
      <c r="Z217" s="16" t="s">
        <v>49</v>
      </c>
      <c r="AA217" s="19"/>
      <c r="AB217" s="19"/>
      <c r="AC217" s="19"/>
      <c r="AD217" s="19"/>
      <c r="AE217" s="19"/>
      <c r="AF217" s="19"/>
      <c r="AG217" s="19"/>
      <c r="AH217" s="21" t="s">
        <v>123</v>
      </c>
      <c r="AI217" s="23"/>
      <c r="AJ217" s="16" t="s">
        <v>124</v>
      </c>
      <c r="AK217" s="16" t="s">
        <v>153</v>
      </c>
      <c r="AL217" s="16" t="s">
        <v>181</v>
      </c>
      <c r="AM217" s="16" t="s">
        <v>181</v>
      </c>
      <c r="AN217" s="16" t="s">
        <v>181</v>
      </c>
      <c r="AO217" s="16" t="s">
        <v>181</v>
      </c>
      <c r="AP217" s="16" t="s">
        <v>126</v>
      </c>
      <c r="AQ217" s="16" t="s">
        <v>181</v>
      </c>
      <c r="AR217" s="16" t="s">
        <v>126</v>
      </c>
      <c r="AS217" s="16" t="s">
        <v>65</v>
      </c>
      <c r="AT217" s="21" t="s">
        <v>66</v>
      </c>
      <c r="AU217" s="22"/>
      <c r="AV217" s="23"/>
      <c r="AW217" s="21" t="s">
        <v>69</v>
      </c>
      <c r="AX217" s="22"/>
      <c r="AY217" s="23"/>
      <c r="AZ217" s="19"/>
      <c r="BA217" s="19"/>
      <c r="BB217" s="19"/>
      <c r="BC217" s="19"/>
      <c r="BD217" s="19"/>
      <c r="BE217" s="19"/>
      <c r="BF217" s="18" t="s">
        <v>844</v>
      </c>
      <c r="BG217" s="21" t="s">
        <v>78</v>
      </c>
      <c r="BH217" s="23"/>
      <c r="BI217" s="19"/>
      <c r="BJ217" s="21" t="s">
        <v>80</v>
      </c>
      <c r="BK217" s="23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8" t="s">
        <v>839</v>
      </c>
      <c r="BY217" s="19"/>
      <c r="BZ217" s="19"/>
      <c r="CA217" s="19"/>
      <c r="CB217" s="19"/>
      <c r="CC217" s="19"/>
      <c r="CD217" s="19"/>
      <c r="CE217" s="19"/>
      <c r="CF217" s="16" t="s">
        <v>144</v>
      </c>
      <c r="CG217" s="16" t="s">
        <v>128</v>
      </c>
      <c r="CH217" s="19"/>
      <c r="CI217" s="19"/>
      <c r="CJ217" s="21" t="s">
        <v>102</v>
      </c>
      <c r="CK217" s="22"/>
      <c r="CL217" s="23"/>
      <c r="CM217" s="19"/>
      <c r="CN217" s="16" t="s">
        <v>128</v>
      </c>
      <c r="CO217" s="19"/>
      <c r="CP217" s="19"/>
      <c r="CQ217" s="19"/>
      <c r="CR217" s="19"/>
      <c r="CS217" s="19"/>
      <c r="CT217" s="21" t="s">
        <v>110</v>
      </c>
      <c r="CU217" s="23"/>
      <c r="CV217" s="16" t="s">
        <v>128</v>
      </c>
      <c r="CW217" s="21" t="s">
        <v>111</v>
      </c>
      <c r="CX217" s="22"/>
      <c r="CY217" s="23"/>
      <c r="CZ217" s="19"/>
      <c r="DA217" s="19"/>
      <c r="DB217" s="19"/>
      <c r="DC217" s="16" t="s">
        <v>129</v>
      </c>
      <c r="DD217" s="16" t="s">
        <v>145</v>
      </c>
      <c r="DE217" s="16" t="s">
        <v>145</v>
      </c>
      <c r="DF217" s="16" t="s">
        <v>145</v>
      </c>
      <c r="DG217" s="16" t="s">
        <v>1140</v>
      </c>
      <c r="DH217" s="21" t="s">
        <v>1247</v>
      </c>
      <c r="DI217" s="23"/>
      <c r="DJ217" s="16" t="s">
        <v>144</v>
      </c>
      <c r="DK217" s="19"/>
      <c r="DL217" s="19"/>
      <c r="DM217" s="16" t="s">
        <v>1060</v>
      </c>
      <c r="DN217" s="21" t="s">
        <v>1061</v>
      </c>
      <c r="DO217" s="23"/>
    </row>
    <row r="218" ht="15.75" customHeight="1">
      <c r="A218" s="15">
        <v>216.0</v>
      </c>
      <c r="B218" s="16" t="s">
        <v>1248</v>
      </c>
      <c r="C218" s="17">
        <v>3.1102072502987E13</v>
      </c>
      <c r="D218" s="18">
        <v>61.0</v>
      </c>
      <c r="E218" s="16" t="s">
        <v>1068</v>
      </c>
      <c r="F218" s="16" t="s">
        <v>837</v>
      </c>
      <c r="G218" s="16" t="s">
        <v>547</v>
      </c>
      <c r="H218" s="20">
        <v>40581.0</v>
      </c>
      <c r="I218" s="16"/>
      <c r="J218" s="18">
        <v>1.0</v>
      </c>
      <c r="K218" s="16" t="s">
        <v>1249</v>
      </c>
      <c r="L218" s="21" t="s">
        <v>138</v>
      </c>
      <c r="M218" s="23"/>
      <c r="N218" s="19"/>
      <c r="O218" s="19"/>
      <c r="P218" s="19"/>
      <c r="Q218" s="19"/>
      <c r="R218" s="19"/>
      <c r="S218" s="19"/>
      <c r="T218" s="19"/>
      <c r="U218" s="19"/>
      <c r="V218" s="21" t="s">
        <v>919</v>
      </c>
      <c r="W218" s="22"/>
      <c r="X218" s="22"/>
      <c r="Y218" s="23"/>
      <c r="Z218" s="19"/>
      <c r="AA218" s="19"/>
      <c r="AB218" s="16" t="s">
        <v>51</v>
      </c>
      <c r="AC218" s="21" t="s">
        <v>52</v>
      </c>
      <c r="AD218" s="23"/>
      <c r="AE218" s="19"/>
      <c r="AF218" s="16" t="s">
        <v>55</v>
      </c>
      <c r="AG218" s="16" t="s">
        <v>1250</v>
      </c>
      <c r="AH218" s="16" t="s">
        <v>57</v>
      </c>
      <c r="AI218" s="18">
        <v>0.0</v>
      </c>
      <c r="AJ218" s="16" t="s">
        <v>168</v>
      </c>
      <c r="AK218" s="16" t="s">
        <v>142</v>
      </c>
      <c r="AL218" s="16" t="s">
        <v>181</v>
      </c>
      <c r="AM218" s="16" t="s">
        <v>181</v>
      </c>
      <c r="AN218" s="16" t="s">
        <v>181</v>
      </c>
      <c r="AO218" s="16" t="s">
        <v>181</v>
      </c>
      <c r="AP218" s="16" t="s">
        <v>181</v>
      </c>
      <c r="AQ218" s="16" t="s">
        <v>126</v>
      </c>
      <c r="AR218" s="16" t="s">
        <v>126</v>
      </c>
      <c r="AS218" s="21" t="s">
        <v>65</v>
      </c>
      <c r="AT218" s="22"/>
      <c r="AU218" s="23"/>
      <c r="AV218" s="19"/>
      <c r="AW218" s="16" t="s">
        <v>69</v>
      </c>
      <c r="AX218" s="16" t="s">
        <v>70</v>
      </c>
      <c r="AY218" s="16" t="s">
        <v>71</v>
      </c>
      <c r="AZ218" s="18">
        <v>0.0</v>
      </c>
      <c r="BA218" s="16" t="s">
        <v>73</v>
      </c>
      <c r="BB218" s="21" t="s">
        <v>74</v>
      </c>
      <c r="BC218" s="23"/>
      <c r="BD218" s="16" t="s">
        <v>76</v>
      </c>
      <c r="BE218" s="16" t="s">
        <v>77</v>
      </c>
      <c r="BF218" s="18">
        <v>0.0</v>
      </c>
      <c r="BG218" s="19"/>
      <c r="BH218" s="19"/>
      <c r="BI218" s="21" t="s">
        <v>52</v>
      </c>
      <c r="BJ218" s="23"/>
      <c r="BK218" s="19"/>
      <c r="BL218" s="19"/>
      <c r="BM218" s="19"/>
      <c r="BN218" s="16" t="s">
        <v>84</v>
      </c>
      <c r="BO218" s="16" t="s">
        <v>85</v>
      </c>
      <c r="BP218" s="18">
        <v>0.0</v>
      </c>
      <c r="BQ218" s="19"/>
      <c r="BR218" s="19"/>
      <c r="BS218" s="21" t="s">
        <v>88</v>
      </c>
      <c r="BT218" s="23"/>
      <c r="BU218" s="19"/>
      <c r="BV218" s="19"/>
      <c r="BW218" s="16" t="s">
        <v>92</v>
      </c>
      <c r="BX218" s="18">
        <v>0.0</v>
      </c>
      <c r="BY218" s="19"/>
      <c r="BZ218" s="19"/>
      <c r="CA218" s="19"/>
      <c r="CB218" s="19"/>
      <c r="CC218" s="21" t="s">
        <v>97</v>
      </c>
      <c r="CD218" s="23"/>
      <c r="CE218" s="19"/>
      <c r="CF218" s="18">
        <v>0.0</v>
      </c>
      <c r="CG218" s="16" t="s">
        <v>128</v>
      </c>
      <c r="CH218" s="21" t="s">
        <v>100</v>
      </c>
      <c r="CI218" s="23"/>
      <c r="CJ218" s="21" t="s">
        <v>102</v>
      </c>
      <c r="CK218" s="23"/>
      <c r="CL218" s="16" t="s">
        <v>104</v>
      </c>
      <c r="CM218" s="18">
        <v>0.0</v>
      </c>
      <c r="CN218" s="16" t="s">
        <v>128</v>
      </c>
      <c r="CO218" s="19"/>
      <c r="CP218" s="16" t="s">
        <v>106</v>
      </c>
      <c r="CQ218" s="16" t="s">
        <v>107</v>
      </c>
      <c r="CR218" s="16" t="s">
        <v>108</v>
      </c>
      <c r="CS218" s="16" t="s">
        <v>109</v>
      </c>
      <c r="CT218" s="16" t="s">
        <v>110</v>
      </c>
      <c r="CU218" s="18">
        <v>0.0</v>
      </c>
      <c r="CV218" s="21" t="s">
        <v>154</v>
      </c>
      <c r="CW218" s="23"/>
      <c r="CX218" s="19"/>
      <c r="CY218" s="16" t="s">
        <v>113</v>
      </c>
      <c r="CZ218" s="21" t="s">
        <v>114</v>
      </c>
      <c r="DA218" s="23"/>
      <c r="DB218" s="18" t="s">
        <v>839</v>
      </c>
      <c r="DC218" s="16" t="s">
        <v>129</v>
      </c>
      <c r="DD218" s="16" t="s">
        <v>129</v>
      </c>
      <c r="DE218" s="16" t="s">
        <v>129</v>
      </c>
      <c r="DF218" s="16" t="s">
        <v>129</v>
      </c>
      <c r="DG218" s="16" t="s">
        <v>896</v>
      </c>
      <c r="DH218" s="16" t="s">
        <v>921</v>
      </c>
      <c r="DI218" s="16" t="s">
        <v>843</v>
      </c>
      <c r="DJ218" s="16" t="s">
        <v>144</v>
      </c>
      <c r="DK218" s="18" t="s">
        <v>844</v>
      </c>
      <c r="DL218" s="18" t="s">
        <v>845</v>
      </c>
      <c r="DM218" s="16" t="s">
        <v>876</v>
      </c>
      <c r="DN218" s="18" t="s">
        <v>844</v>
      </c>
      <c r="DO218" s="18" t="s">
        <v>845</v>
      </c>
    </row>
    <row r="219" ht="15.75" customHeight="1">
      <c r="A219" s="15">
        <v>217.0</v>
      </c>
      <c r="B219" s="16" t="s">
        <v>1251</v>
      </c>
      <c r="C219" s="17">
        <v>3.1708222502692E13</v>
      </c>
      <c r="D219" s="18">
        <v>45.0</v>
      </c>
      <c r="E219" s="16" t="s">
        <v>1068</v>
      </c>
      <c r="F219" s="16" t="s">
        <v>837</v>
      </c>
      <c r="G219" s="16" t="s">
        <v>547</v>
      </c>
      <c r="H219" s="20">
        <v>42969.0</v>
      </c>
      <c r="I219" s="18">
        <v>1.0</v>
      </c>
      <c r="J219" s="19"/>
      <c r="K219" s="16" t="s">
        <v>1252</v>
      </c>
      <c r="L219" s="21" t="s">
        <v>138</v>
      </c>
      <c r="M219" s="23"/>
      <c r="N219" s="19"/>
      <c r="O219" s="19"/>
      <c r="P219" s="19"/>
      <c r="Q219" s="19"/>
      <c r="R219" s="19"/>
      <c r="S219" s="19"/>
      <c r="T219" s="19"/>
      <c r="U219" s="19"/>
      <c r="V219" s="16" t="s">
        <v>932</v>
      </c>
      <c r="W219" s="16" t="s">
        <v>46</v>
      </c>
      <c r="X219" s="21" t="s">
        <v>47</v>
      </c>
      <c r="Y219" s="23"/>
      <c r="Z219" s="19"/>
      <c r="AA219" s="16" t="s">
        <v>50</v>
      </c>
      <c r="AB219" s="19"/>
      <c r="AC219" s="19"/>
      <c r="AD219" s="19"/>
      <c r="AE219" s="19"/>
      <c r="AF219" s="16" t="s">
        <v>55</v>
      </c>
      <c r="AG219" s="18" t="s">
        <v>844</v>
      </c>
      <c r="AH219" s="16" t="s">
        <v>57</v>
      </c>
      <c r="AI219" s="18">
        <v>0.0</v>
      </c>
      <c r="AJ219" s="16" t="s">
        <v>168</v>
      </c>
      <c r="AK219" s="16" t="s">
        <v>153</v>
      </c>
      <c r="AL219" s="16" t="s">
        <v>181</v>
      </c>
      <c r="AM219" s="16" t="s">
        <v>181</v>
      </c>
      <c r="AN219" s="16" t="s">
        <v>181</v>
      </c>
      <c r="AO219" s="16" t="s">
        <v>181</v>
      </c>
      <c r="AP219" s="16" t="s">
        <v>126</v>
      </c>
      <c r="AQ219" s="16" t="s">
        <v>126</v>
      </c>
      <c r="AR219" s="16" t="s">
        <v>126</v>
      </c>
      <c r="AS219" s="16" t="s">
        <v>65</v>
      </c>
      <c r="AT219" s="21" t="s">
        <v>66</v>
      </c>
      <c r="AU219" s="22"/>
      <c r="AV219" s="23"/>
      <c r="AW219" s="16" t="s">
        <v>69</v>
      </c>
      <c r="AX219" s="16" t="s">
        <v>70</v>
      </c>
      <c r="AY219" s="16" t="s">
        <v>71</v>
      </c>
      <c r="AZ219" s="18">
        <v>0.0</v>
      </c>
      <c r="BA219" s="19"/>
      <c r="BB219" s="21" t="s">
        <v>74</v>
      </c>
      <c r="BC219" s="22"/>
      <c r="BD219" s="23"/>
      <c r="BE219" s="21" t="s">
        <v>77</v>
      </c>
      <c r="BF219" s="22"/>
      <c r="BG219" s="22"/>
      <c r="BH219" s="23"/>
      <c r="BI219" s="21" t="s">
        <v>52</v>
      </c>
      <c r="BJ219" s="23"/>
      <c r="BK219" s="16" t="s">
        <v>81</v>
      </c>
      <c r="BL219" s="19"/>
      <c r="BM219" s="19"/>
      <c r="BN219" s="16" t="s">
        <v>84</v>
      </c>
      <c r="BO219" s="16" t="s">
        <v>85</v>
      </c>
      <c r="BP219" s="18">
        <v>0.0</v>
      </c>
      <c r="BQ219" s="19"/>
      <c r="BR219" s="19"/>
      <c r="BS219" s="19"/>
      <c r="BT219" s="19"/>
      <c r="BU219" s="19"/>
      <c r="BV219" s="19"/>
      <c r="BW219" s="16" t="s">
        <v>92</v>
      </c>
      <c r="BX219" s="18">
        <v>0.0</v>
      </c>
      <c r="BY219" s="19"/>
      <c r="BZ219" s="19"/>
      <c r="CA219" s="19"/>
      <c r="CB219" s="21" t="s">
        <v>96</v>
      </c>
      <c r="CC219" s="23"/>
      <c r="CD219" s="19"/>
      <c r="CE219" s="19"/>
      <c r="CF219" s="18" t="s">
        <v>839</v>
      </c>
      <c r="CG219" s="16" t="s">
        <v>128</v>
      </c>
      <c r="CH219" s="19"/>
      <c r="CI219" s="19"/>
      <c r="CJ219" s="21" t="s">
        <v>102</v>
      </c>
      <c r="CK219" s="23"/>
      <c r="CL219" s="16" t="s">
        <v>104</v>
      </c>
      <c r="CM219" s="18">
        <v>0.0</v>
      </c>
      <c r="CN219" s="16" t="s">
        <v>128</v>
      </c>
      <c r="CO219" s="16" t="s">
        <v>105</v>
      </c>
      <c r="CP219" s="16" t="s">
        <v>106</v>
      </c>
      <c r="CQ219" s="16" t="s">
        <v>107</v>
      </c>
      <c r="CR219" s="16" t="s">
        <v>108</v>
      </c>
      <c r="CS219" s="16" t="s">
        <v>109</v>
      </c>
      <c r="CT219" s="16" t="s">
        <v>110</v>
      </c>
      <c r="CU219" s="18">
        <v>0.0</v>
      </c>
      <c r="CV219" s="21" t="s">
        <v>154</v>
      </c>
      <c r="CW219" s="23"/>
      <c r="CX219" s="19"/>
      <c r="CY219" s="19"/>
      <c r="CZ219" s="19"/>
      <c r="DA219" s="16" t="s">
        <v>115</v>
      </c>
      <c r="DB219" s="18">
        <v>0.0</v>
      </c>
      <c r="DC219" s="16" t="s">
        <v>129</v>
      </c>
      <c r="DD219" s="16" t="s">
        <v>129</v>
      </c>
      <c r="DE219" s="16" t="s">
        <v>129</v>
      </c>
      <c r="DF219" s="16" t="s">
        <v>129</v>
      </c>
      <c r="DG219" s="16" t="s">
        <v>841</v>
      </c>
      <c r="DH219" s="16" t="s">
        <v>873</v>
      </c>
      <c r="DI219" s="16" t="s">
        <v>843</v>
      </c>
      <c r="DJ219" s="16" t="s">
        <v>144</v>
      </c>
      <c r="DK219" s="18" t="s">
        <v>844</v>
      </c>
      <c r="DL219" s="18" t="s">
        <v>845</v>
      </c>
      <c r="DM219" s="16" t="s">
        <v>876</v>
      </c>
      <c r="DN219" s="16" t="s">
        <v>916</v>
      </c>
      <c r="DO219" s="16" t="s">
        <v>1156</v>
      </c>
    </row>
    <row r="220" ht="15.75" customHeight="1">
      <c r="A220" s="15">
        <v>218.0</v>
      </c>
      <c r="B220" s="16" t="s">
        <v>1253</v>
      </c>
      <c r="C220" s="17">
        <v>2.99875443700075E14</v>
      </c>
      <c r="D220" s="18">
        <v>4568.0</v>
      </c>
      <c r="E220" s="16" t="s">
        <v>1254</v>
      </c>
      <c r="F220" s="16" t="s">
        <v>837</v>
      </c>
      <c r="G220" s="16" t="s">
        <v>547</v>
      </c>
      <c r="H220" s="20">
        <v>45678.0</v>
      </c>
      <c r="I220" s="16"/>
      <c r="J220" s="18">
        <v>1.0</v>
      </c>
      <c r="K220" s="16" t="s">
        <v>1255</v>
      </c>
      <c r="L220" s="16" t="s">
        <v>122</v>
      </c>
      <c r="M220" s="19"/>
      <c r="N220" s="19"/>
      <c r="O220" s="19"/>
      <c r="P220" s="19"/>
      <c r="Q220" s="19"/>
      <c r="R220" s="19"/>
      <c r="S220" s="19"/>
      <c r="T220" s="21" t="s">
        <v>43</v>
      </c>
      <c r="U220" s="23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</row>
    <row r="221" ht="15.75" customHeight="1">
      <c r="A221" s="15">
        <v>219.0</v>
      </c>
      <c r="B221" s="16" t="s">
        <v>1256</v>
      </c>
      <c r="C221" s="17">
        <v>3.1607232502274E13</v>
      </c>
      <c r="D221" s="18">
        <v>25.0</v>
      </c>
      <c r="E221" s="16" t="s">
        <v>1257</v>
      </c>
      <c r="F221" s="16" t="s">
        <v>851</v>
      </c>
      <c r="G221" s="16" t="s">
        <v>547</v>
      </c>
      <c r="H221" s="20">
        <v>42574.0</v>
      </c>
      <c r="I221" s="18">
        <v>1.0</v>
      </c>
      <c r="J221" s="19"/>
      <c r="K221" s="16" t="s">
        <v>1258</v>
      </c>
      <c r="L221" s="16" t="s">
        <v>122</v>
      </c>
      <c r="M221" s="19"/>
      <c r="N221" s="19"/>
      <c r="O221" s="19"/>
      <c r="P221" s="19"/>
      <c r="Q221" s="19"/>
      <c r="R221" s="19"/>
      <c r="S221" s="19"/>
      <c r="T221" s="19"/>
      <c r="U221" s="19"/>
      <c r="V221" s="16" t="s">
        <v>1259</v>
      </c>
      <c r="W221" s="16" t="s">
        <v>46</v>
      </c>
      <c r="X221" s="21" t="s">
        <v>47</v>
      </c>
      <c r="Y221" s="23"/>
      <c r="Z221" s="19"/>
      <c r="AA221" s="19"/>
      <c r="AB221" s="19"/>
      <c r="AC221" s="19"/>
      <c r="AD221" s="19"/>
      <c r="AE221" s="19"/>
      <c r="AF221" s="19"/>
      <c r="AG221" s="19"/>
      <c r="AH221" s="21" t="s">
        <v>123</v>
      </c>
      <c r="AI221" s="23"/>
      <c r="AJ221" s="16" t="s">
        <v>168</v>
      </c>
      <c r="AK221" s="16" t="s">
        <v>153</v>
      </c>
      <c r="AL221" s="16" t="s">
        <v>126</v>
      </c>
      <c r="AM221" s="16" t="s">
        <v>143</v>
      </c>
      <c r="AN221" s="16" t="s">
        <v>143</v>
      </c>
      <c r="AO221" s="16" t="s">
        <v>143</v>
      </c>
      <c r="AP221" s="16" t="s">
        <v>126</v>
      </c>
      <c r="AQ221" s="16" t="s">
        <v>143</v>
      </c>
      <c r="AR221" s="16" t="s">
        <v>126</v>
      </c>
      <c r="AS221" s="21" t="s">
        <v>65</v>
      </c>
      <c r="AT221" s="22"/>
      <c r="AU221" s="23"/>
      <c r="AV221" s="19"/>
      <c r="AW221" s="21" t="s">
        <v>69</v>
      </c>
      <c r="AX221" s="22"/>
      <c r="AY221" s="23"/>
      <c r="AZ221" s="19"/>
      <c r="BA221" s="19"/>
      <c r="BB221" s="19"/>
      <c r="BC221" s="19"/>
      <c r="BD221" s="19"/>
      <c r="BE221" s="19"/>
      <c r="BF221" s="19"/>
      <c r="BG221" s="21" t="s">
        <v>78</v>
      </c>
      <c r="BH221" s="23"/>
      <c r="BI221" s="19"/>
      <c r="BJ221" s="19"/>
      <c r="BK221" s="19"/>
      <c r="BL221" s="19"/>
      <c r="BM221" s="21" t="s">
        <v>83</v>
      </c>
      <c r="BN221" s="22"/>
      <c r="BO221" s="23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21" t="s">
        <v>96</v>
      </c>
      <c r="CC221" s="23"/>
      <c r="CD221" s="19"/>
      <c r="CE221" s="19"/>
      <c r="CF221" s="19"/>
      <c r="CG221" s="16" t="s">
        <v>128</v>
      </c>
      <c r="CH221" s="16" t="s">
        <v>100</v>
      </c>
      <c r="CI221" s="21" t="s">
        <v>101</v>
      </c>
      <c r="CJ221" s="22"/>
      <c r="CK221" s="23"/>
      <c r="CL221" s="19"/>
      <c r="CM221" s="19"/>
      <c r="CN221" s="16" t="s">
        <v>128</v>
      </c>
      <c r="CO221" s="16" t="s">
        <v>105</v>
      </c>
      <c r="CP221" s="16" t="s">
        <v>106</v>
      </c>
      <c r="CQ221" s="16" t="s">
        <v>107</v>
      </c>
      <c r="CR221" s="21" t="s">
        <v>108</v>
      </c>
      <c r="CS221" s="23"/>
      <c r="CT221" s="19"/>
      <c r="CU221" s="19"/>
      <c r="CV221" s="16" t="s">
        <v>128</v>
      </c>
      <c r="CW221" s="16" t="s">
        <v>111</v>
      </c>
      <c r="CX221" s="21" t="s">
        <v>112</v>
      </c>
      <c r="CY221" s="22"/>
      <c r="CZ221" s="23"/>
      <c r="DA221" s="19"/>
      <c r="DB221" s="19"/>
      <c r="DC221" s="16" t="s">
        <v>129</v>
      </c>
      <c r="DD221" s="16" t="s">
        <v>129</v>
      </c>
      <c r="DE221" s="16" t="s">
        <v>145</v>
      </c>
      <c r="DF221" s="16" t="s">
        <v>145</v>
      </c>
      <c r="DG221" s="16" t="s">
        <v>1260</v>
      </c>
      <c r="DH221" s="16" t="s">
        <v>1261</v>
      </c>
      <c r="DI221" s="16" t="s">
        <v>1262</v>
      </c>
      <c r="DJ221" s="16" t="s">
        <v>1263</v>
      </c>
      <c r="DK221" s="16" t="s">
        <v>1264</v>
      </c>
      <c r="DL221" s="16" t="s">
        <v>1265</v>
      </c>
      <c r="DM221" s="16" t="s">
        <v>1266</v>
      </c>
      <c r="DN221" s="16" t="s">
        <v>1267</v>
      </c>
      <c r="DO221" s="16" t="s">
        <v>1268</v>
      </c>
    </row>
    <row r="222" ht="15.75" customHeight="1">
      <c r="A222" s="15">
        <v>220.0</v>
      </c>
      <c r="B222" s="16" t="s">
        <v>1269</v>
      </c>
      <c r="C222" s="17">
        <v>2.9312152502762E13</v>
      </c>
      <c r="D222" s="18">
        <v>101.0</v>
      </c>
      <c r="E222" s="16" t="s">
        <v>682</v>
      </c>
      <c r="F222" s="16" t="s">
        <v>595</v>
      </c>
      <c r="G222" s="16" t="s">
        <v>547</v>
      </c>
      <c r="H222" s="25">
        <v>34318.0</v>
      </c>
      <c r="I222" s="16"/>
      <c r="J222" s="18">
        <v>1.0</v>
      </c>
      <c r="K222" s="19"/>
      <c r="L222" s="21" t="s">
        <v>138</v>
      </c>
      <c r="M222" s="23"/>
      <c r="N222" s="19"/>
      <c r="O222" s="19"/>
      <c r="P222" s="19"/>
      <c r="Q222" s="19"/>
      <c r="R222" s="21" t="s">
        <v>41</v>
      </c>
      <c r="S222" s="22"/>
      <c r="T222" s="22"/>
      <c r="U222" s="22"/>
      <c r="V222" s="23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</row>
    <row r="223" ht="15.75" customHeight="1">
      <c r="A223" s="15">
        <v>221.0</v>
      </c>
      <c r="B223" s="16" t="s">
        <v>1270</v>
      </c>
      <c r="C223" s="17">
        <v>2.900112250132E12</v>
      </c>
      <c r="D223" s="18">
        <v>94.0</v>
      </c>
      <c r="E223" s="16" t="s">
        <v>1271</v>
      </c>
      <c r="F223" s="16" t="s">
        <v>1271</v>
      </c>
      <c r="G223" s="16" t="s">
        <v>547</v>
      </c>
      <c r="H223" s="20">
        <v>32874.0</v>
      </c>
      <c r="I223" s="18">
        <v>1.0</v>
      </c>
      <c r="J223" s="19"/>
      <c r="K223" s="16" t="s">
        <v>1272</v>
      </c>
      <c r="L223" s="16" t="s">
        <v>122</v>
      </c>
      <c r="M223" s="19"/>
      <c r="N223" s="19"/>
      <c r="O223" s="19"/>
      <c r="P223" s="19"/>
      <c r="Q223" s="19"/>
      <c r="R223" s="19"/>
      <c r="S223" s="19"/>
      <c r="T223" s="19"/>
      <c r="U223" s="19"/>
      <c r="V223" s="21" t="s">
        <v>1273</v>
      </c>
      <c r="W223" s="23"/>
      <c r="X223" s="19"/>
      <c r="Y223" s="19"/>
      <c r="Z223" s="19"/>
      <c r="AA223" s="19"/>
      <c r="AB223" s="16" t="s">
        <v>51</v>
      </c>
      <c r="AC223" s="21" t="s">
        <v>52</v>
      </c>
      <c r="AD223" s="23"/>
      <c r="AE223" s="19"/>
      <c r="AF223" s="19"/>
      <c r="AG223" s="19"/>
      <c r="AH223" s="21" t="s">
        <v>152</v>
      </c>
      <c r="AI223" s="23"/>
      <c r="AJ223" s="16" t="s">
        <v>124</v>
      </c>
      <c r="AK223" s="16" t="s">
        <v>125</v>
      </c>
      <c r="AL223" s="16" t="s">
        <v>181</v>
      </c>
      <c r="AM223" s="16" t="s">
        <v>181</v>
      </c>
      <c r="AN223" s="16" t="s">
        <v>181</v>
      </c>
      <c r="AO223" s="16" t="s">
        <v>181</v>
      </c>
      <c r="AP223" s="16" t="s">
        <v>181</v>
      </c>
      <c r="AQ223" s="16" t="s">
        <v>181</v>
      </c>
      <c r="AR223" s="16" t="s">
        <v>181</v>
      </c>
      <c r="AS223" s="19"/>
      <c r="AT223" s="19"/>
      <c r="AU223" s="19"/>
      <c r="AV223" s="19"/>
      <c r="AW223" s="19"/>
      <c r="AX223" s="19"/>
      <c r="AY223" s="19"/>
      <c r="AZ223" s="16" t="s">
        <v>1274</v>
      </c>
      <c r="BA223" s="19"/>
      <c r="BB223" s="19"/>
      <c r="BC223" s="19"/>
      <c r="BD223" s="19"/>
      <c r="BE223" s="21" t="s">
        <v>77</v>
      </c>
      <c r="BF223" s="22"/>
      <c r="BG223" s="22"/>
      <c r="BH223" s="23"/>
      <c r="BI223" s="19"/>
      <c r="BJ223" s="19"/>
      <c r="BK223" s="19"/>
      <c r="BL223" s="19"/>
      <c r="BM223" s="19"/>
      <c r="BN223" s="19"/>
      <c r="BO223" s="19"/>
      <c r="BP223" s="16" t="s">
        <v>1274</v>
      </c>
      <c r="BQ223" s="21" t="s">
        <v>86</v>
      </c>
      <c r="BR223" s="22"/>
      <c r="BS223" s="23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21" t="s">
        <v>99</v>
      </c>
      <c r="CF223" s="23"/>
      <c r="CG223" s="16" t="s">
        <v>128</v>
      </c>
      <c r="CH223" s="21" t="s">
        <v>100</v>
      </c>
      <c r="CI223" s="23"/>
      <c r="CJ223" s="19"/>
      <c r="CK223" s="19"/>
      <c r="CL223" s="16" t="s">
        <v>104</v>
      </c>
      <c r="CM223" s="16" t="s">
        <v>1275</v>
      </c>
      <c r="CN223" s="16" t="s">
        <v>128</v>
      </c>
      <c r="CO223" s="16" t="s">
        <v>105</v>
      </c>
      <c r="CP223" s="21" t="s">
        <v>106</v>
      </c>
      <c r="CQ223" s="22"/>
      <c r="CR223" s="22"/>
      <c r="CS223" s="23"/>
      <c r="CT223" s="21" t="s">
        <v>110</v>
      </c>
      <c r="CU223" s="23"/>
      <c r="CV223" s="16" t="s">
        <v>128</v>
      </c>
      <c r="CW223" s="19"/>
      <c r="CX223" s="19"/>
      <c r="CY223" s="19"/>
      <c r="CZ223" s="19"/>
      <c r="DA223" s="21" t="s">
        <v>115</v>
      </c>
      <c r="DB223" s="23"/>
      <c r="DC223" s="16" t="s">
        <v>602</v>
      </c>
      <c r="DD223" s="16" t="s">
        <v>602</v>
      </c>
      <c r="DE223" s="16" t="s">
        <v>145</v>
      </c>
      <c r="DF223" s="16" t="s">
        <v>145</v>
      </c>
      <c r="DG223" s="16" t="s">
        <v>1276</v>
      </c>
      <c r="DH223" s="16" t="s">
        <v>1277</v>
      </c>
      <c r="DI223" s="16" t="s">
        <v>1278</v>
      </c>
      <c r="DJ223" s="16" t="s">
        <v>127</v>
      </c>
      <c r="DK223" s="19"/>
      <c r="DL223" s="19"/>
      <c r="DM223" s="21" t="s">
        <v>1279</v>
      </c>
      <c r="DN223" s="22"/>
      <c r="DO223" s="23"/>
    </row>
    <row r="224" ht="15.75" customHeight="1">
      <c r="A224" s="15">
        <v>222.0</v>
      </c>
      <c r="B224" s="16" t="s">
        <v>1280</v>
      </c>
      <c r="C224" s="17">
        <v>3.1701062502076E13</v>
      </c>
      <c r="D224" s="18">
        <v>259.0</v>
      </c>
      <c r="E224" s="16" t="s">
        <v>1271</v>
      </c>
      <c r="F224" s="16" t="s">
        <v>1271</v>
      </c>
      <c r="G224" s="16" t="s">
        <v>547</v>
      </c>
      <c r="H224" s="20">
        <v>42741.0</v>
      </c>
      <c r="I224" s="18">
        <v>1.0</v>
      </c>
      <c r="J224" s="19"/>
      <c r="K224" s="16" t="s">
        <v>1281</v>
      </c>
      <c r="L224" s="21" t="s">
        <v>138</v>
      </c>
      <c r="M224" s="23"/>
      <c r="N224" s="19"/>
      <c r="O224" s="19"/>
      <c r="P224" s="19"/>
      <c r="Q224" s="19"/>
      <c r="R224" s="19"/>
      <c r="S224" s="19"/>
      <c r="T224" s="19"/>
      <c r="U224" s="19"/>
      <c r="V224" s="16" t="s">
        <v>1282</v>
      </c>
      <c r="W224" s="16" t="s">
        <v>46</v>
      </c>
      <c r="X224" s="21" t="s">
        <v>47</v>
      </c>
      <c r="Y224" s="23"/>
      <c r="Z224" s="19"/>
      <c r="AA224" s="16" t="s">
        <v>50</v>
      </c>
      <c r="AB224" s="19"/>
      <c r="AC224" s="19"/>
      <c r="AD224" s="19"/>
      <c r="AE224" s="19"/>
      <c r="AF224" s="19"/>
      <c r="AG224" s="19"/>
      <c r="AH224" s="21" t="s">
        <v>123</v>
      </c>
      <c r="AI224" s="23"/>
      <c r="AJ224" s="16" t="s">
        <v>243</v>
      </c>
      <c r="AK224" s="16" t="s">
        <v>125</v>
      </c>
      <c r="AL224" s="16" t="s">
        <v>181</v>
      </c>
      <c r="AM224" s="16" t="s">
        <v>181</v>
      </c>
      <c r="AN224" s="16" t="s">
        <v>181</v>
      </c>
      <c r="AO224" s="16" t="s">
        <v>181</v>
      </c>
      <c r="AP224" s="16" t="s">
        <v>181</v>
      </c>
      <c r="AQ224" s="16" t="s">
        <v>181</v>
      </c>
      <c r="AR224" s="16" t="s">
        <v>126</v>
      </c>
      <c r="AS224" s="21" t="s">
        <v>65</v>
      </c>
      <c r="AT224" s="22"/>
      <c r="AU224" s="23"/>
      <c r="AV224" s="19"/>
      <c r="AW224" s="19"/>
      <c r="AX224" s="21" t="s">
        <v>70</v>
      </c>
      <c r="AY224" s="23"/>
      <c r="AZ224" s="21" t="s">
        <v>1283</v>
      </c>
      <c r="BA224" s="22"/>
      <c r="BB224" s="22"/>
      <c r="BC224" s="22"/>
      <c r="BD224" s="22"/>
      <c r="BE224" s="23"/>
      <c r="BF224" s="16" t="s">
        <v>457</v>
      </c>
      <c r="BG224" s="21" t="s">
        <v>78</v>
      </c>
      <c r="BH224" s="23"/>
      <c r="BI224" s="19"/>
      <c r="BJ224" s="19"/>
      <c r="BK224" s="16" t="s">
        <v>81</v>
      </c>
      <c r="BL224" s="19"/>
      <c r="BM224" s="19"/>
      <c r="BN224" s="19"/>
      <c r="BO224" s="21" t="s">
        <v>85</v>
      </c>
      <c r="BP224" s="22"/>
      <c r="BQ224" s="22"/>
      <c r="BR224" s="23"/>
      <c r="BS224" s="19"/>
      <c r="BT224" s="19"/>
      <c r="BU224" s="19"/>
      <c r="BV224" s="19"/>
      <c r="BW224" s="19"/>
      <c r="BX224" s="16" t="s">
        <v>457</v>
      </c>
      <c r="BY224" s="19"/>
      <c r="BZ224" s="19"/>
      <c r="CA224" s="19"/>
      <c r="CB224" s="19"/>
      <c r="CC224" s="19"/>
      <c r="CD224" s="19"/>
      <c r="CE224" s="19"/>
      <c r="CF224" s="16" t="s">
        <v>144</v>
      </c>
      <c r="CG224" s="16" t="s">
        <v>128</v>
      </c>
      <c r="CH224" s="16" t="s">
        <v>100</v>
      </c>
      <c r="CI224" s="16" t="s">
        <v>101</v>
      </c>
      <c r="CJ224" s="16" t="s">
        <v>102</v>
      </c>
      <c r="CK224" s="16" t="s">
        <v>103</v>
      </c>
      <c r="CL224" s="21" t="s">
        <v>104</v>
      </c>
      <c r="CM224" s="23"/>
      <c r="CN224" s="16" t="s">
        <v>128</v>
      </c>
      <c r="CO224" s="21" t="s">
        <v>105</v>
      </c>
      <c r="CP224" s="22"/>
      <c r="CQ224" s="23"/>
      <c r="CR224" s="19"/>
      <c r="CS224" s="19"/>
      <c r="CT224" s="19"/>
      <c r="CU224" s="19"/>
      <c r="CV224" s="19"/>
      <c r="CW224" s="19"/>
      <c r="CX224" s="19"/>
      <c r="CY224" s="21" t="s">
        <v>113</v>
      </c>
      <c r="CZ224" s="22"/>
      <c r="DA224" s="23"/>
      <c r="DB224" s="19"/>
      <c r="DC224" s="16" t="s">
        <v>129</v>
      </c>
      <c r="DD224" s="16" t="s">
        <v>129</v>
      </c>
      <c r="DE224" s="16" t="s">
        <v>145</v>
      </c>
      <c r="DF224" s="16" t="s">
        <v>145</v>
      </c>
      <c r="DG224" s="16" t="s">
        <v>1284</v>
      </c>
      <c r="DH224" s="21" t="s">
        <v>1285</v>
      </c>
      <c r="DI224" s="23"/>
      <c r="DJ224" s="16" t="s">
        <v>144</v>
      </c>
      <c r="DK224" s="19"/>
      <c r="DL224" s="19"/>
      <c r="DM224" s="16" t="s">
        <v>144</v>
      </c>
      <c r="DN224" s="19"/>
      <c r="DO224" s="19"/>
    </row>
    <row r="225" ht="15.75" customHeight="1">
      <c r="A225" s="15">
        <v>223.0</v>
      </c>
      <c r="B225" s="16" t="s">
        <v>1286</v>
      </c>
      <c r="C225" s="17">
        <v>3.1812252503954E13</v>
      </c>
      <c r="D225" s="18">
        <v>183.0</v>
      </c>
      <c r="E225" s="16" t="s">
        <v>1271</v>
      </c>
      <c r="F225" s="16" t="s">
        <v>1271</v>
      </c>
      <c r="G225" s="16" t="s">
        <v>547</v>
      </c>
      <c r="H225" s="25">
        <v>43459.0</v>
      </c>
      <c r="I225" s="16"/>
      <c r="J225" s="18">
        <v>1.0</v>
      </c>
      <c r="K225" s="16" t="s">
        <v>1287</v>
      </c>
      <c r="L225" s="16" t="s">
        <v>122</v>
      </c>
      <c r="M225" s="19"/>
      <c r="N225" s="19"/>
      <c r="O225" s="19"/>
      <c r="P225" s="19"/>
      <c r="Q225" s="19"/>
      <c r="R225" s="19"/>
      <c r="S225" s="19"/>
      <c r="T225" s="19"/>
      <c r="U225" s="19"/>
      <c r="V225" s="16" t="s">
        <v>1288</v>
      </c>
      <c r="W225" s="16" t="s">
        <v>46</v>
      </c>
      <c r="X225" s="21" t="s">
        <v>47</v>
      </c>
      <c r="Y225" s="23"/>
      <c r="Z225" s="19"/>
      <c r="AA225" s="16" t="s">
        <v>50</v>
      </c>
      <c r="AB225" s="19"/>
      <c r="AC225" s="19"/>
      <c r="AD225" s="19"/>
      <c r="AE225" s="19"/>
      <c r="AF225" s="19"/>
      <c r="AG225" s="19"/>
      <c r="AH225" s="21" t="s">
        <v>123</v>
      </c>
      <c r="AI225" s="23"/>
      <c r="AJ225" s="16" t="s">
        <v>243</v>
      </c>
      <c r="AK225" s="16" t="s">
        <v>244</v>
      </c>
      <c r="AL225" s="16" t="s">
        <v>181</v>
      </c>
      <c r="AM225" s="16" t="s">
        <v>181</v>
      </c>
      <c r="AN225" s="16" t="s">
        <v>181</v>
      </c>
      <c r="AO225" s="16" t="s">
        <v>181</v>
      </c>
      <c r="AP225" s="16" t="s">
        <v>126</v>
      </c>
      <c r="AQ225" s="16" t="s">
        <v>181</v>
      </c>
      <c r="AR225" s="16" t="s">
        <v>126</v>
      </c>
      <c r="AS225" s="21" t="s">
        <v>65</v>
      </c>
      <c r="AT225" s="23"/>
      <c r="AU225" s="21" t="s">
        <v>67</v>
      </c>
      <c r="AV225" s="23"/>
      <c r="AW225" s="16" t="s">
        <v>69</v>
      </c>
      <c r="AX225" s="21" t="s">
        <v>70</v>
      </c>
      <c r="AY225" s="22"/>
      <c r="AZ225" s="23"/>
      <c r="BA225" s="19"/>
      <c r="BB225" s="19"/>
      <c r="BC225" s="19"/>
      <c r="BD225" s="19"/>
      <c r="BE225" s="19"/>
      <c r="BF225" s="16" t="s">
        <v>457</v>
      </c>
      <c r="BG225" s="16" t="s">
        <v>78</v>
      </c>
      <c r="BH225" s="21" t="s">
        <v>79</v>
      </c>
      <c r="BI225" s="23"/>
      <c r="BJ225" s="19"/>
      <c r="BK225" s="16" t="s">
        <v>81</v>
      </c>
      <c r="BL225" s="19"/>
      <c r="BM225" s="19"/>
      <c r="BN225" s="16" t="s">
        <v>84</v>
      </c>
      <c r="BO225" s="21" t="s">
        <v>85</v>
      </c>
      <c r="BP225" s="22"/>
      <c r="BQ225" s="22"/>
      <c r="BR225" s="23"/>
      <c r="BS225" s="19"/>
      <c r="BT225" s="19"/>
      <c r="BU225" s="19"/>
      <c r="BV225" s="19"/>
      <c r="BW225" s="19"/>
      <c r="BX225" s="16" t="s">
        <v>457</v>
      </c>
      <c r="BY225" s="19"/>
      <c r="BZ225" s="19"/>
      <c r="CA225" s="19"/>
      <c r="CB225" s="19"/>
      <c r="CC225" s="19"/>
      <c r="CD225" s="19"/>
      <c r="CE225" s="19"/>
      <c r="CF225" s="16" t="s">
        <v>144</v>
      </c>
      <c r="CG225" s="16" t="s">
        <v>128</v>
      </c>
      <c r="CH225" s="16" t="s">
        <v>100</v>
      </c>
      <c r="CI225" s="16" t="s">
        <v>101</v>
      </c>
      <c r="CJ225" s="16" t="s">
        <v>102</v>
      </c>
      <c r="CK225" s="16" t="s">
        <v>103</v>
      </c>
      <c r="CL225" s="21" t="s">
        <v>104</v>
      </c>
      <c r="CM225" s="23"/>
      <c r="CN225" s="16" t="s">
        <v>128</v>
      </c>
      <c r="CO225" s="21" t="s">
        <v>105</v>
      </c>
      <c r="CP225" s="22"/>
      <c r="CQ225" s="23"/>
      <c r="CR225" s="19"/>
      <c r="CS225" s="19"/>
      <c r="CT225" s="19"/>
      <c r="CU225" s="19"/>
      <c r="CV225" s="16" t="s">
        <v>128</v>
      </c>
      <c r="CW225" s="19"/>
      <c r="CX225" s="19"/>
      <c r="CY225" s="19"/>
      <c r="CZ225" s="19"/>
      <c r="DA225" s="21" t="s">
        <v>115</v>
      </c>
      <c r="DB225" s="23"/>
      <c r="DC225" s="16" t="s">
        <v>129</v>
      </c>
      <c r="DD225" s="16" t="s">
        <v>129</v>
      </c>
      <c r="DE225" s="16" t="s">
        <v>129</v>
      </c>
      <c r="DF225" s="16" t="s">
        <v>145</v>
      </c>
      <c r="DG225" s="16" t="s">
        <v>1289</v>
      </c>
      <c r="DH225" s="21" t="s">
        <v>1290</v>
      </c>
      <c r="DI225" s="23"/>
      <c r="DJ225" s="16" t="s">
        <v>144</v>
      </c>
      <c r="DK225" s="19"/>
      <c r="DL225" s="19"/>
      <c r="DM225" s="21" t="s">
        <v>1291</v>
      </c>
      <c r="DN225" s="22"/>
      <c r="DO225" s="23"/>
    </row>
    <row r="226" ht="15.75" customHeight="1">
      <c r="A226" s="15">
        <v>224.0</v>
      </c>
      <c r="B226" s="16" t="s">
        <v>1292</v>
      </c>
      <c r="C226" s="17">
        <v>3.1009162504733E13</v>
      </c>
      <c r="D226" s="18">
        <v>104.0</v>
      </c>
      <c r="E226" s="16" t="s">
        <v>1271</v>
      </c>
      <c r="F226" s="16" t="s">
        <v>1271</v>
      </c>
      <c r="G226" s="16" t="s">
        <v>547</v>
      </c>
      <c r="H226" s="20">
        <v>40437.0</v>
      </c>
      <c r="I226" s="18">
        <v>1.0</v>
      </c>
      <c r="J226" s="19"/>
      <c r="K226" s="16" t="s">
        <v>1293</v>
      </c>
      <c r="L226" s="21" t="s">
        <v>138</v>
      </c>
      <c r="M226" s="23"/>
      <c r="N226" s="19"/>
      <c r="O226" s="19"/>
      <c r="P226" s="19"/>
      <c r="Q226" s="19"/>
      <c r="R226" s="19"/>
      <c r="S226" s="19"/>
      <c r="T226" s="19"/>
      <c r="U226" s="19"/>
      <c r="V226" s="21" t="s">
        <v>1294</v>
      </c>
      <c r="W226" s="23"/>
      <c r="X226" s="19"/>
      <c r="Y226" s="19"/>
      <c r="Z226" s="19"/>
      <c r="AA226" s="19"/>
      <c r="AB226" s="16" t="s">
        <v>51</v>
      </c>
      <c r="AC226" s="21" t="s">
        <v>52</v>
      </c>
      <c r="AD226" s="23"/>
      <c r="AE226" s="19"/>
      <c r="AF226" s="19"/>
      <c r="AG226" s="19"/>
      <c r="AH226" s="21" t="s">
        <v>152</v>
      </c>
      <c r="AI226" s="23"/>
      <c r="AJ226" s="16" t="s">
        <v>124</v>
      </c>
      <c r="AK226" s="16" t="s">
        <v>125</v>
      </c>
      <c r="AL226" s="16" t="s">
        <v>181</v>
      </c>
      <c r="AM226" s="16" t="s">
        <v>181</v>
      </c>
      <c r="AN226" s="16" t="s">
        <v>181</v>
      </c>
      <c r="AO226" s="16" t="s">
        <v>181</v>
      </c>
      <c r="AP226" s="16" t="s">
        <v>181</v>
      </c>
      <c r="AQ226" s="16" t="s">
        <v>181</v>
      </c>
      <c r="AR226" s="16" t="s">
        <v>181</v>
      </c>
      <c r="AS226" s="19"/>
      <c r="AT226" s="19"/>
      <c r="AU226" s="19"/>
      <c r="AV226" s="19"/>
      <c r="AW226" s="19"/>
      <c r="AX226" s="16" t="s">
        <v>70</v>
      </c>
      <c r="AY226" s="21" t="s">
        <v>71</v>
      </c>
      <c r="AZ226" s="22"/>
      <c r="BA226" s="23"/>
      <c r="BB226" s="19"/>
      <c r="BC226" s="19"/>
      <c r="BD226" s="19"/>
      <c r="BE226" s="19"/>
      <c r="BF226" s="19"/>
      <c r="BG226" s="19"/>
      <c r="BH226" s="19"/>
      <c r="BI226" s="21" t="s">
        <v>52</v>
      </c>
      <c r="BJ226" s="23"/>
      <c r="BK226" s="19"/>
      <c r="BL226" s="19"/>
      <c r="BM226" s="16" t="s">
        <v>83</v>
      </c>
      <c r="BN226" s="16" t="s">
        <v>84</v>
      </c>
      <c r="BO226" s="21" t="s">
        <v>85</v>
      </c>
      <c r="BP226" s="22"/>
      <c r="BQ226" s="22"/>
      <c r="BR226" s="23"/>
      <c r="BS226" s="19"/>
      <c r="BT226" s="19"/>
      <c r="BU226" s="19"/>
      <c r="BV226" s="19"/>
      <c r="BW226" s="19"/>
      <c r="BX226" s="16" t="s">
        <v>1295</v>
      </c>
      <c r="BY226" s="19"/>
      <c r="BZ226" s="19"/>
      <c r="CA226" s="19"/>
      <c r="CB226" s="21" t="s">
        <v>96</v>
      </c>
      <c r="CC226" s="23"/>
      <c r="CD226" s="19"/>
      <c r="CE226" s="19"/>
      <c r="CF226" s="19"/>
      <c r="CG226" s="16" t="s">
        <v>128</v>
      </c>
      <c r="CH226" s="21" t="s">
        <v>100</v>
      </c>
      <c r="CI226" s="23"/>
      <c r="CJ226" s="19"/>
      <c r="CK226" s="19"/>
      <c r="CL226" s="21" t="s">
        <v>104</v>
      </c>
      <c r="CM226" s="23"/>
      <c r="CN226" s="16" t="s">
        <v>128</v>
      </c>
      <c r="CO226" s="21" t="s">
        <v>105</v>
      </c>
      <c r="CP226" s="22"/>
      <c r="CQ226" s="23"/>
      <c r="CR226" s="16" t="s">
        <v>108</v>
      </c>
      <c r="CS226" s="16" t="s">
        <v>109</v>
      </c>
      <c r="CT226" s="21" t="s">
        <v>110</v>
      </c>
      <c r="CU226" s="23"/>
      <c r="CV226" s="16" t="s">
        <v>128</v>
      </c>
      <c r="CW226" s="19"/>
      <c r="CX226" s="19"/>
      <c r="CY226" s="19"/>
      <c r="CZ226" s="16" t="s">
        <v>114</v>
      </c>
      <c r="DA226" s="21" t="s">
        <v>115</v>
      </c>
      <c r="DB226" s="23"/>
      <c r="DC226" s="16" t="s">
        <v>129</v>
      </c>
      <c r="DD226" s="16" t="s">
        <v>129</v>
      </c>
      <c r="DE226" s="16" t="s">
        <v>129</v>
      </c>
      <c r="DF226" s="16" t="s">
        <v>129</v>
      </c>
      <c r="DG226" s="16" t="s">
        <v>1296</v>
      </c>
      <c r="DH226" s="16" t="s">
        <v>1297</v>
      </c>
      <c r="DI226" s="16" t="s">
        <v>1298</v>
      </c>
      <c r="DJ226" s="21" t="s">
        <v>1299</v>
      </c>
      <c r="DK226" s="22"/>
      <c r="DL226" s="23"/>
      <c r="DM226" s="21" t="s">
        <v>1300</v>
      </c>
      <c r="DN226" s="22"/>
      <c r="DO226" s="23"/>
    </row>
    <row r="227" ht="15.75" customHeight="1">
      <c r="A227" s="15">
        <v>225.0</v>
      </c>
      <c r="B227" s="16" t="s">
        <v>1301</v>
      </c>
      <c r="C227" s="17">
        <v>2.8912132501399E13</v>
      </c>
      <c r="D227" s="18">
        <v>98.0</v>
      </c>
      <c r="E227" s="16" t="s">
        <v>1271</v>
      </c>
      <c r="F227" s="16" t="s">
        <v>1271</v>
      </c>
      <c r="G227" s="16" t="s">
        <v>547</v>
      </c>
      <c r="H227" s="25">
        <v>32855.0</v>
      </c>
      <c r="I227" s="18">
        <v>1.0</v>
      </c>
      <c r="J227" s="19"/>
      <c r="K227" s="16" t="s">
        <v>1302</v>
      </c>
      <c r="L227" s="21" t="s">
        <v>138</v>
      </c>
      <c r="M227" s="23"/>
      <c r="N227" s="19"/>
      <c r="O227" s="19"/>
      <c r="P227" s="19"/>
      <c r="Q227" s="19"/>
      <c r="R227" s="19"/>
      <c r="S227" s="19"/>
      <c r="T227" s="19"/>
      <c r="U227" s="19"/>
      <c r="V227" s="16" t="s">
        <v>1303</v>
      </c>
      <c r="W227" s="19"/>
      <c r="X227" s="19"/>
      <c r="Y227" s="19"/>
      <c r="Z227" s="19"/>
      <c r="AA227" s="19"/>
      <c r="AB227" s="16" t="s">
        <v>51</v>
      </c>
      <c r="AC227" s="21" t="s">
        <v>52</v>
      </c>
      <c r="AD227" s="23"/>
      <c r="AE227" s="19"/>
      <c r="AF227" s="19"/>
      <c r="AG227" s="19"/>
      <c r="AH227" s="19"/>
      <c r="AI227" s="19"/>
      <c r="AJ227" s="16" t="s">
        <v>124</v>
      </c>
      <c r="AK227" s="16" t="s">
        <v>125</v>
      </c>
      <c r="AL227" s="16" t="s">
        <v>181</v>
      </c>
      <c r="AM227" s="16" t="s">
        <v>181</v>
      </c>
      <c r="AN227" s="16" t="s">
        <v>181</v>
      </c>
      <c r="AO227" s="16" t="s">
        <v>181</v>
      </c>
      <c r="AP227" s="16" t="s">
        <v>181</v>
      </c>
      <c r="AQ227" s="16" t="s">
        <v>181</v>
      </c>
      <c r="AR227" s="16" t="s">
        <v>126</v>
      </c>
      <c r="AS227" s="19"/>
      <c r="AT227" s="19"/>
      <c r="AU227" s="19"/>
      <c r="AV227" s="19"/>
      <c r="AW227" s="19"/>
      <c r="AX227" s="19"/>
      <c r="AY227" s="19"/>
      <c r="AZ227" s="16" t="s">
        <v>1274</v>
      </c>
      <c r="BA227" s="19"/>
      <c r="BB227" s="19"/>
      <c r="BC227" s="19"/>
      <c r="BD227" s="19"/>
      <c r="BE227" s="21" t="s">
        <v>77</v>
      </c>
      <c r="BF227" s="22"/>
      <c r="BG227" s="22"/>
      <c r="BH227" s="23"/>
      <c r="BI227" s="19"/>
      <c r="BJ227" s="19"/>
      <c r="BK227" s="19"/>
      <c r="BL227" s="19"/>
      <c r="BM227" s="19"/>
      <c r="BN227" s="19"/>
      <c r="BO227" s="19"/>
      <c r="BP227" s="16" t="s">
        <v>1274</v>
      </c>
      <c r="BQ227" s="19"/>
      <c r="BR227" s="19"/>
      <c r="BS227" s="19"/>
      <c r="BT227" s="19"/>
      <c r="BU227" s="19"/>
      <c r="BV227" s="19"/>
      <c r="BW227" s="19"/>
      <c r="BX227" s="21" t="s">
        <v>1304</v>
      </c>
      <c r="BY227" s="22"/>
      <c r="BZ227" s="22"/>
      <c r="CA227" s="23"/>
      <c r="CB227" s="16" t="s">
        <v>96</v>
      </c>
      <c r="CC227" s="21" t="s">
        <v>97</v>
      </c>
      <c r="CD227" s="23"/>
      <c r="CE227" s="19"/>
      <c r="CF227" s="19"/>
      <c r="CG227" s="16" t="s">
        <v>128</v>
      </c>
      <c r="CH227" s="21" t="s">
        <v>100</v>
      </c>
      <c r="CI227" s="23"/>
      <c r="CJ227" s="19"/>
      <c r="CK227" s="19"/>
      <c r="CL227" s="21" t="s">
        <v>104</v>
      </c>
      <c r="CM227" s="23"/>
      <c r="CN227" s="16" t="s">
        <v>302</v>
      </c>
      <c r="CO227" s="19"/>
      <c r="CP227" s="19"/>
      <c r="CQ227" s="19"/>
      <c r="CR227" s="19"/>
      <c r="CS227" s="19"/>
      <c r="CT227" s="19"/>
      <c r="CU227" s="19"/>
      <c r="CV227" s="21" t="s">
        <v>154</v>
      </c>
      <c r="CW227" s="23"/>
      <c r="CX227" s="19"/>
      <c r="CY227" s="19"/>
      <c r="CZ227" s="19"/>
      <c r="DA227" s="21" t="s">
        <v>115</v>
      </c>
      <c r="DB227" s="23"/>
      <c r="DC227" s="16" t="s">
        <v>145</v>
      </c>
      <c r="DD227" s="16" t="s">
        <v>145</v>
      </c>
      <c r="DE227" s="16" t="s">
        <v>145</v>
      </c>
      <c r="DF227" s="16" t="s">
        <v>145</v>
      </c>
      <c r="DG227" s="21" t="s">
        <v>1305</v>
      </c>
      <c r="DH227" s="22"/>
      <c r="DI227" s="23"/>
      <c r="DJ227" s="16" t="s">
        <v>144</v>
      </c>
      <c r="DK227" s="19"/>
      <c r="DL227" s="19"/>
      <c r="DM227" s="16" t="s">
        <v>144</v>
      </c>
      <c r="DN227" s="19"/>
      <c r="DO227" s="19"/>
    </row>
    <row r="228" ht="15.75" customHeight="1">
      <c r="A228" s="15">
        <v>226.0</v>
      </c>
      <c r="B228" s="16" t="s">
        <v>1306</v>
      </c>
      <c r="C228" s="17">
        <v>3.1609242502984E13</v>
      </c>
      <c r="D228" s="18">
        <v>22.0</v>
      </c>
      <c r="E228" s="16" t="s">
        <v>1307</v>
      </c>
      <c r="F228" s="16" t="s">
        <v>595</v>
      </c>
      <c r="G228" s="16" t="s">
        <v>547</v>
      </c>
      <c r="H228" s="20">
        <v>42545.0</v>
      </c>
      <c r="I228" s="16"/>
      <c r="J228" s="18">
        <v>1.0</v>
      </c>
      <c r="K228" s="16" t="s">
        <v>1308</v>
      </c>
      <c r="L228" s="21" t="s">
        <v>138</v>
      </c>
      <c r="M228" s="23"/>
      <c r="N228" s="19"/>
      <c r="O228" s="19"/>
      <c r="P228" s="19"/>
      <c r="Q228" s="19"/>
      <c r="R228" s="19"/>
      <c r="S228" s="19"/>
      <c r="T228" s="19"/>
      <c r="U228" s="19"/>
      <c r="V228" s="16" t="s">
        <v>1309</v>
      </c>
      <c r="W228" s="19"/>
      <c r="X228" s="21" t="s">
        <v>47</v>
      </c>
      <c r="Y228" s="23"/>
      <c r="Z228" s="19"/>
      <c r="AA228" s="19"/>
      <c r="AB228" s="19"/>
      <c r="AC228" s="19"/>
      <c r="AD228" s="19"/>
      <c r="AE228" s="19"/>
      <c r="AF228" s="19"/>
      <c r="AG228" s="19"/>
      <c r="AH228" s="21" t="s">
        <v>357</v>
      </c>
      <c r="AI228" s="23"/>
      <c r="AJ228" s="16" t="s">
        <v>124</v>
      </c>
      <c r="AK228" s="16" t="s">
        <v>153</v>
      </c>
      <c r="AL228" s="16" t="s">
        <v>181</v>
      </c>
      <c r="AM228" s="16" t="s">
        <v>126</v>
      </c>
      <c r="AN228" s="16" t="s">
        <v>126</v>
      </c>
      <c r="AO228" s="16" t="s">
        <v>126</v>
      </c>
      <c r="AP228" s="16" t="s">
        <v>181</v>
      </c>
      <c r="AQ228" s="16" t="s">
        <v>181</v>
      </c>
      <c r="AR228" s="16" t="s">
        <v>181</v>
      </c>
      <c r="AS228" s="21" t="s">
        <v>65</v>
      </c>
      <c r="AT228" s="22"/>
      <c r="AU228" s="23"/>
      <c r="AV228" s="16" t="s">
        <v>68</v>
      </c>
      <c r="AW228" s="16" t="s">
        <v>69</v>
      </c>
      <c r="AX228" s="16" t="s">
        <v>70</v>
      </c>
      <c r="AY228" s="21" t="s">
        <v>71</v>
      </c>
      <c r="AZ228" s="22"/>
      <c r="BA228" s="23"/>
      <c r="BB228" s="19"/>
      <c r="BC228" s="19"/>
      <c r="BD228" s="19"/>
      <c r="BE228" s="19"/>
      <c r="BF228" s="19"/>
      <c r="BG228" s="21" t="s">
        <v>78</v>
      </c>
      <c r="BH228" s="23"/>
      <c r="BI228" s="19"/>
      <c r="BJ228" s="19"/>
      <c r="BK228" s="19"/>
      <c r="BL228" s="19"/>
      <c r="BM228" s="19"/>
      <c r="BN228" s="19"/>
      <c r="BO228" s="21" t="s">
        <v>85</v>
      </c>
      <c r="BP228" s="22"/>
      <c r="BQ228" s="22"/>
      <c r="BR228" s="23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6" t="s">
        <v>1310</v>
      </c>
      <c r="CG228" s="16" t="s">
        <v>128</v>
      </c>
      <c r="CH228" s="21" t="s">
        <v>100</v>
      </c>
      <c r="CI228" s="23"/>
      <c r="CJ228" s="19"/>
      <c r="CK228" s="19"/>
      <c r="CL228" s="21" t="s">
        <v>104</v>
      </c>
      <c r="CM228" s="23"/>
      <c r="CN228" s="16" t="s">
        <v>128</v>
      </c>
      <c r="CO228" s="21" t="s">
        <v>105</v>
      </c>
      <c r="CP228" s="23"/>
      <c r="CQ228" s="21" t="s">
        <v>107</v>
      </c>
      <c r="CR228" s="22"/>
      <c r="CS228" s="23"/>
      <c r="CT228" s="19"/>
      <c r="CU228" s="19"/>
      <c r="CV228" s="16" t="s">
        <v>128</v>
      </c>
      <c r="CW228" s="19"/>
      <c r="CX228" s="21" t="s">
        <v>112</v>
      </c>
      <c r="CY228" s="22"/>
      <c r="CZ228" s="23"/>
      <c r="DA228" s="21" t="s">
        <v>115</v>
      </c>
      <c r="DB228" s="23"/>
      <c r="DC228" s="16" t="s">
        <v>129</v>
      </c>
      <c r="DD228" s="16" t="s">
        <v>129</v>
      </c>
      <c r="DE228" s="16" t="s">
        <v>145</v>
      </c>
      <c r="DF228" s="16" t="s">
        <v>129</v>
      </c>
      <c r="DG228" s="16" t="s">
        <v>1311</v>
      </c>
      <c r="DH228" s="16" t="s">
        <v>1312</v>
      </c>
      <c r="DI228" s="16" t="s">
        <v>1313</v>
      </c>
      <c r="DJ228" s="16" t="s">
        <v>144</v>
      </c>
      <c r="DK228" s="19"/>
      <c r="DL228" s="19"/>
      <c r="DM228" s="16" t="s">
        <v>144</v>
      </c>
      <c r="DN228" s="19"/>
      <c r="DO228" s="19"/>
    </row>
    <row r="229" ht="15.75" customHeight="1">
      <c r="A229" s="15">
        <v>227.0</v>
      </c>
      <c r="B229" s="16" t="s">
        <v>1314</v>
      </c>
      <c r="C229" s="17">
        <v>2.9205292500505E13</v>
      </c>
      <c r="D229" s="18">
        <v>253.0</v>
      </c>
      <c r="E229" s="16" t="s">
        <v>1271</v>
      </c>
      <c r="F229" s="16" t="s">
        <v>1271</v>
      </c>
      <c r="G229" s="16" t="s">
        <v>547</v>
      </c>
      <c r="H229" s="20">
        <v>33753.0</v>
      </c>
      <c r="I229" s="16"/>
      <c r="J229" s="18">
        <v>1.0</v>
      </c>
      <c r="K229" s="16" t="s">
        <v>1315</v>
      </c>
      <c r="L229" s="21" t="s">
        <v>138</v>
      </c>
      <c r="M229" s="23"/>
      <c r="N229" s="19"/>
      <c r="O229" s="19"/>
      <c r="P229" s="19"/>
      <c r="Q229" s="19"/>
      <c r="R229" s="19"/>
      <c r="S229" s="19"/>
      <c r="T229" s="19"/>
      <c r="U229" s="19"/>
      <c r="V229" s="21" t="s">
        <v>1316</v>
      </c>
      <c r="W229" s="23"/>
      <c r="X229" s="19"/>
      <c r="Y229" s="19"/>
      <c r="Z229" s="19"/>
      <c r="AA229" s="19"/>
      <c r="AB229" s="16" t="s">
        <v>51</v>
      </c>
      <c r="AC229" s="21" t="s">
        <v>52</v>
      </c>
      <c r="AD229" s="23"/>
      <c r="AE229" s="19"/>
      <c r="AF229" s="19"/>
      <c r="AG229" s="19"/>
      <c r="AH229" s="21" t="s">
        <v>152</v>
      </c>
      <c r="AI229" s="23"/>
      <c r="AJ229" s="16" t="s">
        <v>449</v>
      </c>
      <c r="AK229" s="16" t="s">
        <v>244</v>
      </c>
      <c r="AL229" s="16" t="s">
        <v>181</v>
      </c>
      <c r="AM229" s="16" t="s">
        <v>181</v>
      </c>
      <c r="AN229" s="16" t="s">
        <v>181</v>
      </c>
      <c r="AO229" s="16" t="s">
        <v>181</v>
      </c>
      <c r="AP229" s="16" t="s">
        <v>181</v>
      </c>
      <c r="AQ229" s="16" t="s">
        <v>181</v>
      </c>
      <c r="AR229" s="16" t="s">
        <v>143</v>
      </c>
      <c r="AS229" s="19"/>
      <c r="AT229" s="19"/>
      <c r="AU229" s="19"/>
      <c r="AV229" s="19"/>
      <c r="AW229" s="19"/>
      <c r="AX229" s="19"/>
      <c r="AY229" s="19"/>
      <c r="AZ229" s="16" t="s">
        <v>1274</v>
      </c>
      <c r="BA229" s="16" t="s">
        <v>73</v>
      </c>
      <c r="BB229" s="21" t="s">
        <v>74</v>
      </c>
      <c r="BC229" s="22"/>
      <c r="BD229" s="23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6" t="s">
        <v>1274</v>
      </c>
      <c r="BQ229" s="19"/>
      <c r="BR229" s="19"/>
      <c r="BS229" s="19"/>
      <c r="BT229" s="19"/>
      <c r="BU229" s="19"/>
      <c r="BV229" s="19"/>
      <c r="BW229" s="19"/>
      <c r="BX229" s="21" t="s">
        <v>1317</v>
      </c>
      <c r="BY229" s="22"/>
      <c r="BZ229" s="22"/>
      <c r="CA229" s="22"/>
      <c r="CB229" s="23"/>
      <c r="CC229" s="21" t="s">
        <v>97</v>
      </c>
      <c r="CD229" s="23"/>
      <c r="CE229" s="19"/>
      <c r="CF229" s="19"/>
      <c r="CG229" s="16" t="s">
        <v>158</v>
      </c>
      <c r="CH229" s="19"/>
      <c r="CI229" s="19"/>
      <c r="CJ229" s="19"/>
      <c r="CK229" s="19"/>
      <c r="CL229" s="21" t="s">
        <v>104</v>
      </c>
      <c r="CM229" s="23"/>
      <c r="CN229" s="16" t="s">
        <v>302</v>
      </c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</row>
    <row r="230" ht="15.75" customHeight="1">
      <c r="A230" s="15">
        <v>228.0</v>
      </c>
      <c r="B230" s="16" t="s">
        <v>1318</v>
      </c>
      <c r="C230" s="17">
        <v>3.1501222502435E13</v>
      </c>
      <c r="D230" s="18">
        <v>127.0</v>
      </c>
      <c r="E230" s="16" t="s">
        <v>1307</v>
      </c>
      <c r="F230" s="16" t="s">
        <v>851</v>
      </c>
      <c r="G230" s="16" t="s">
        <v>547</v>
      </c>
      <c r="H230" s="25">
        <v>42360.0</v>
      </c>
      <c r="I230" s="18">
        <v>1.0</v>
      </c>
      <c r="J230" s="19"/>
      <c r="K230" s="16" t="s">
        <v>1319</v>
      </c>
      <c r="L230" s="21" t="s">
        <v>138</v>
      </c>
      <c r="M230" s="23"/>
      <c r="N230" s="19"/>
      <c r="O230" s="19"/>
      <c r="P230" s="19"/>
      <c r="Q230" s="19"/>
      <c r="R230" s="19"/>
      <c r="S230" s="19"/>
      <c r="T230" s="19"/>
      <c r="U230" s="19"/>
      <c r="V230" s="21" t="s">
        <v>910</v>
      </c>
      <c r="W230" s="23"/>
      <c r="X230" s="16" t="s">
        <v>47</v>
      </c>
      <c r="Y230" s="21" t="s">
        <v>48</v>
      </c>
      <c r="Z230" s="23"/>
      <c r="AA230" s="19"/>
      <c r="AB230" s="19"/>
      <c r="AC230" s="19"/>
      <c r="AD230" s="19"/>
      <c r="AE230" s="19"/>
      <c r="AF230" s="19"/>
      <c r="AG230" s="19"/>
      <c r="AH230" s="21" t="s">
        <v>357</v>
      </c>
      <c r="AI230" s="23"/>
      <c r="AJ230" s="16" t="s">
        <v>168</v>
      </c>
      <c r="AK230" s="16" t="s">
        <v>153</v>
      </c>
      <c r="AL230" s="16" t="s">
        <v>181</v>
      </c>
      <c r="AM230" s="16" t="s">
        <v>181</v>
      </c>
      <c r="AN230" s="16" t="s">
        <v>181</v>
      </c>
      <c r="AO230" s="16" t="s">
        <v>181</v>
      </c>
      <c r="AP230" s="16" t="s">
        <v>181</v>
      </c>
      <c r="AQ230" s="16" t="s">
        <v>181</v>
      </c>
      <c r="AR230" s="16" t="s">
        <v>181</v>
      </c>
      <c r="AS230" s="21" t="s">
        <v>65</v>
      </c>
      <c r="AT230" s="22"/>
      <c r="AU230" s="23"/>
      <c r="AV230" s="21" t="s">
        <v>68</v>
      </c>
      <c r="AW230" s="22"/>
      <c r="AX230" s="23"/>
      <c r="AY230" s="19"/>
      <c r="AZ230" s="19"/>
      <c r="BA230" s="19"/>
      <c r="BB230" s="19"/>
      <c r="BC230" s="19"/>
      <c r="BD230" s="19"/>
      <c r="BE230" s="19"/>
      <c r="BF230" s="19"/>
      <c r="BG230" s="21" t="s">
        <v>78</v>
      </c>
      <c r="BH230" s="23"/>
      <c r="BI230" s="19"/>
      <c r="BJ230" s="19"/>
      <c r="BK230" s="19"/>
      <c r="BL230" s="21" t="s">
        <v>82</v>
      </c>
      <c r="BM230" s="23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6" t="s">
        <v>144</v>
      </c>
      <c r="CG230" s="16" t="s">
        <v>128</v>
      </c>
      <c r="CH230" s="16" t="s">
        <v>100</v>
      </c>
      <c r="CI230" s="21" t="s">
        <v>101</v>
      </c>
      <c r="CJ230" s="22"/>
      <c r="CK230" s="23"/>
      <c r="CL230" s="19"/>
      <c r="CM230" s="19"/>
      <c r="CN230" s="16" t="s">
        <v>128</v>
      </c>
      <c r="CO230" s="21" t="s">
        <v>105</v>
      </c>
      <c r="CP230" s="22"/>
      <c r="CQ230" s="23"/>
      <c r="CR230" s="19"/>
      <c r="CS230" s="21" t="s">
        <v>109</v>
      </c>
      <c r="CT230" s="23"/>
      <c r="CU230" s="19"/>
      <c r="CV230" s="16" t="s">
        <v>128</v>
      </c>
      <c r="CW230" s="21" t="s">
        <v>111</v>
      </c>
      <c r="CX230" s="22"/>
      <c r="CY230" s="23"/>
      <c r="CZ230" s="19"/>
      <c r="DA230" s="21" t="s">
        <v>115</v>
      </c>
      <c r="DB230" s="23"/>
      <c r="DC230" s="16" t="s">
        <v>129</v>
      </c>
      <c r="DD230" s="16" t="s">
        <v>129</v>
      </c>
      <c r="DE230" s="16" t="s">
        <v>129</v>
      </c>
      <c r="DF230" s="19"/>
      <c r="DG230" s="16" t="s">
        <v>1320</v>
      </c>
      <c r="DH230" s="21" t="s">
        <v>1321</v>
      </c>
      <c r="DI230" s="23"/>
      <c r="DJ230" s="16" t="s">
        <v>144</v>
      </c>
      <c r="DK230" s="19"/>
      <c r="DL230" s="19"/>
      <c r="DM230" s="16" t="s">
        <v>698</v>
      </c>
      <c r="DN230" s="21" t="s">
        <v>1322</v>
      </c>
      <c r="DO230" s="23"/>
    </row>
    <row r="231" ht="15.75" customHeight="1">
      <c r="A231" s="15">
        <v>229.0</v>
      </c>
      <c r="B231" s="16" t="s">
        <v>1323</v>
      </c>
      <c r="C231" s="17">
        <v>3.2005112502215E13</v>
      </c>
      <c r="D231" s="18">
        <v>254.0</v>
      </c>
      <c r="E231" s="16" t="s">
        <v>1271</v>
      </c>
      <c r="F231" s="16" t="s">
        <v>1271</v>
      </c>
      <c r="G231" s="16" t="s">
        <v>547</v>
      </c>
      <c r="H231" s="20">
        <v>43962.0</v>
      </c>
      <c r="I231" s="18">
        <v>1.0</v>
      </c>
      <c r="J231" s="19"/>
      <c r="K231" s="16" t="s">
        <v>1314</v>
      </c>
      <c r="L231" s="21" t="s">
        <v>138</v>
      </c>
      <c r="M231" s="23"/>
      <c r="N231" s="19"/>
      <c r="O231" s="19"/>
      <c r="P231" s="19"/>
      <c r="Q231" s="19"/>
      <c r="R231" s="19"/>
      <c r="S231" s="19"/>
      <c r="T231" s="19"/>
      <c r="U231" s="19"/>
      <c r="V231" s="21" t="s">
        <v>1324</v>
      </c>
      <c r="W231" s="23"/>
      <c r="X231" s="19"/>
      <c r="Y231" s="19"/>
      <c r="Z231" s="19"/>
      <c r="AA231" s="19"/>
      <c r="AB231" s="19"/>
      <c r="AC231" s="21" t="s">
        <v>52</v>
      </c>
      <c r="AD231" s="23"/>
      <c r="AE231" s="19"/>
      <c r="AF231" s="19"/>
      <c r="AG231" s="19"/>
      <c r="AH231" s="21" t="s">
        <v>152</v>
      </c>
      <c r="AI231" s="23"/>
      <c r="AJ231" s="16" t="s">
        <v>449</v>
      </c>
      <c r="AK231" s="16" t="s">
        <v>244</v>
      </c>
      <c r="AL231" s="16" t="s">
        <v>181</v>
      </c>
      <c r="AM231" s="16" t="s">
        <v>181</v>
      </c>
      <c r="AN231" s="16" t="s">
        <v>181</v>
      </c>
      <c r="AO231" s="16" t="s">
        <v>181</v>
      </c>
      <c r="AP231" s="16" t="s">
        <v>181</v>
      </c>
      <c r="AQ231" s="16" t="s">
        <v>181</v>
      </c>
      <c r="AR231" s="16" t="s">
        <v>126</v>
      </c>
      <c r="AS231" s="21" t="s">
        <v>65</v>
      </c>
      <c r="AT231" s="22"/>
      <c r="AU231" s="23"/>
      <c r="AV231" s="19"/>
      <c r="AW231" s="19"/>
      <c r="AX231" s="19"/>
      <c r="AY231" s="19"/>
      <c r="AZ231" s="21" t="s">
        <v>1325</v>
      </c>
      <c r="BA231" s="22"/>
      <c r="BB231" s="22"/>
      <c r="BC231" s="22"/>
      <c r="BD231" s="22"/>
      <c r="BE231" s="23"/>
      <c r="BF231" s="16" t="s">
        <v>457</v>
      </c>
      <c r="BG231" s="21" t="s">
        <v>78</v>
      </c>
      <c r="BH231" s="23"/>
      <c r="BI231" s="21" t="s">
        <v>52</v>
      </c>
      <c r="BJ231" s="23"/>
      <c r="BK231" s="16" t="s">
        <v>81</v>
      </c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6" t="s">
        <v>457</v>
      </c>
      <c r="BY231" s="19"/>
      <c r="BZ231" s="19"/>
      <c r="CA231" s="19"/>
      <c r="CB231" s="16" t="s">
        <v>96</v>
      </c>
      <c r="CC231" s="21" t="s">
        <v>97</v>
      </c>
      <c r="CD231" s="23"/>
      <c r="CE231" s="19"/>
      <c r="CF231" s="19"/>
      <c r="CG231" s="16" t="s">
        <v>128</v>
      </c>
      <c r="CH231" s="16" t="s">
        <v>100</v>
      </c>
      <c r="CI231" s="16" t="s">
        <v>101</v>
      </c>
      <c r="CJ231" s="16" t="s">
        <v>102</v>
      </c>
      <c r="CK231" s="21" t="s">
        <v>103</v>
      </c>
      <c r="CL231" s="23"/>
      <c r="CM231" s="19"/>
      <c r="CN231" s="16" t="s">
        <v>302</v>
      </c>
      <c r="CO231" s="19"/>
      <c r="CP231" s="19"/>
      <c r="CQ231" s="19"/>
      <c r="CR231" s="19"/>
      <c r="CS231" s="19"/>
      <c r="CT231" s="19"/>
      <c r="CU231" s="19"/>
      <c r="CV231" s="21" t="s">
        <v>154</v>
      </c>
      <c r="CW231" s="23"/>
      <c r="CX231" s="19"/>
      <c r="CY231" s="19"/>
      <c r="CZ231" s="19"/>
      <c r="DA231" s="19"/>
      <c r="DB231" s="16" t="s">
        <v>1326</v>
      </c>
      <c r="DC231" s="16" t="s">
        <v>129</v>
      </c>
      <c r="DD231" s="16" t="s">
        <v>145</v>
      </c>
      <c r="DE231" s="16" t="s">
        <v>145</v>
      </c>
      <c r="DF231" s="16" t="s">
        <v>145</v>
      </c>
      <c r="DG231" s="16" t="s">
        <v>1327</v>
      </c>
      <c r="DH231" s="21" t="s">
        <v>1328</v>
      </c>
      <c r="DI231" s="23"/>
      <c r="DJ231" s="16" t="s">
        <v>144</v>
      </c>
      <c r="DK231" s="19"/>
      <c r="DL231" s="19"/>
      <c r="DM231" s="16" t="s">
        <v>1329</v>
      </c>
      <c r="DN231" s="19"/>
      <c r="DO231" s="19"/>
    </row>
    <row r="232" ht="15.75" customHeight="1">
      <c r="A232" s="15">
        <v>230.0</v>
      </c>
      <c r="B232" s="16" t="s">
        <v>1330</v>
      </c>
      <c r="C232" s="17">
        <v>3.201032500059E12</v>
      </c>
      <c r="D232" s="18">
        <v>27.0</v>
      </c>
      <c r="E232" s="16" t="s">
        <v>241</v>
      </c>
      <c r="F232" s="16" t="s">
        <v>1331</v>
      </c>
      <c r="G232" s="16" t="s">
        <v>547</v>
      </c>
      <c r="H232" s="25">
        <v>40101.0</v>
      </c>
      <c r="I232" s="16"/>
      <c r="J232" s="18">
        <v>1.0</v>
      </c>
      <c r="K232" s="16" t="s">
        <v>1332</v>
      </c>
      <c r="L232" s="16" t="s">
        <v>122</v>
      </c>
      <c r="M232" s="19"/>
      <c r="N232" s="19"/>
      <c r="O232" s="19"/>
      <c r="P232" s="19"/>
      <c r="Q232" s="19"/>
      <c r="R232" s="19"/>
      <c r="S232" s="19"/>
      <c r="T232" s="19"/>
      <c r="U232" s="21" t="s">
        <v>44</v>
      </c>
      <c r="V232" s="22"/>
      <c r="W232" s="23"/>
      <c r="X232" s="16" t="s">
        <v>47</v>
      </c>
      <c r="Y232" s="21" t="s">
        <v>48</v>
      </c>
      <c r="Z232" s="23"/>
      <c r="AA232" s="19"/>
      <c r="AB232" s="19"/>
      <c r="AC232" s="19"/>
      <c r="AD232" s="19"/>
      <c r="AE232" s="19"/>
      <c r="AF232" s="19"/>
      <c r="AG232" s="16" t="s">
        <v>1333</v>
      </c>
      <c r="AH232" s="21" t="s">
        <v>123</v>
      </c>
      <c r="AI232" s="23"/>
      <c r="AJ232" s="16" t="s">
        <v>124</v>
      </c>
      <c r="AK232" s="16" t="s">
        <v>142</v>
      </c>
      <c r="AL232" s="16" t="s">
        <v>126</v>
      </c>
      <c r="AM232" s="16" t="s">
        <v>126</v>
      </c>
      <c r="AN232" s="16" t="s">
        <v>181</v>
      </c>
      <c r="AO232" s="16" t="s">
        <v>181</v>
      </c>
      <c r="AP232" s="16" t="s">
        <v>126</v>
      </c>
      <c r="AQ232" s="16" t="s">
        <v>181</v>
      </c>
      <c r="AR232" s="16" t="s">
        <v>126</v>
      </c>
      <c r="AS232" s="19"/>
      <c r="AT232" s="19"/>
      <c r="AU232" s="19"/>
      <c r="AV232" s="21" t="s">
        <v>68</v>
      </c>
      <c r="AW232" s="23"/>
      <c r="AX232" s="21" t="s">
        <v>70</v>
      </c>
      <c r="AY232" s="22"/>
      <c r="AZ232" s="23"/>
      <c r="BA232" s="19"/>
      <c r="BB232" s="19"/>
      <c r="BC232" s="19"/>
      <c r="BD232" s="19"/>
      <c r="BE232" s="19"/>
      <c r="BF232" s="18" t="s">
        <v>844</v>
      </c>
      <c r="BG232" s="21" t="s">
        <v>78</v>
      </c>
      <c r="BH232" s="23"/>
      <c r="BI232" s="19"/>
      <c r="BJ232" s="19"/>
      <c r="BK232" s="19"/>
      <c r="BL232" s="19"/>
      <c r="BM232" s="19"/>
      <c r="BN232" s="21" t="s">
        <v>84</v>
      </c>
      <c r="BO232" s="22"/>
      <c r="BP232" s="23"/>
      <c r="BQ232" s="19"/>
      <c r="BR232" s="19"/>
      <c r="BS232" s="19"/>
      <c r="BT232" s="19"/>
      <c r="BU232" s="19"/>
      <c r="BV232" s="19"/>
      <c r="BW232" s="19"/>
      <c r="BX232" s="18" t="s">
        <v>839</v>
      </c>
      <c r="BY232" s="19"/>
      <c r="BZ232" s="19"/>
      <c r="CA232" s="19"/>
      <c r="CB232" s="19"/>
      <c r="CC232" s="19"/>
      <c r="CD232" s="19"/>
      <c r="CE232" s="19"/>
      <c r="CF232" s="16" t="s">
        <v>144</v>
      </c>
      <c r="CG232" s="16" t="s">
        <v>128</v>
      </c>
      <c r="CH232" s="19"/>
      <c r="CI232" s="19"/>
      <c r="CJ232" s="19"/>
      <c r="CK232" s="19"/>
      <c r="CL232" s="21" t="s">
        <v>104</v>
      </c>
      <c r="CM232" s="23"/>
      <c r="CN232" s="16" t="s">
        <v>128</v>
      </c>
      <c r="CO232" s="19"/>
      <c r="CP232" s="19"/>
      <c r="CQ232" s="19"/>
      <c r="CR232" s="19"/>
      <c r="CS232" s="19"/>
      <c r="CT232" s="21" t="s">
        <v>110</v>
      </c>
      <c r="CU232" s="23"/>
      <c r="CV232" s="16" t="s">
        <v>128</v>
      </c>
      <c r="CW232" s="19"/>
      <c r="CX232" s="21" t="s">
        <v>112</v>
      </c>
      <c r="CY232" s="23"/>
      <c r="CZ232" s="21" t="s">
        <v>114</v>
      </c>
      <c r="DA232" s="22"/>
      <c r="DB232" s="23"/>
      <c r="DC232" s="16" t="s">
        <v>129</v>
      </c>
      <c r="DD232" s="16" t="s">
        <v>129</v>
      </c>
      <c r="DE232" s="16" t="s">
        <v>129</v>
      </c>
      <c r="DF232" s="16" t="s">
        <v>145</v>
      </c>
      <c r="DG232" s="16" t="s">
        <v>1058</v>
      </c>
      <c r="DH232" s="21" t="s">
        <v>1097</v>
      </c>
      <c r="DI232" s="23"/>
      <c r="DJ232" s="16" t="s">
        <v>144</v>
      </c>
      <c r="DK232" s="19"/>
      <c r="DL232" s="19"/>
      <c r="DM232" s="16" t="s">
        <v>1141</v>
      </c>
      <c r="DN232" s="21" t="s">
        <v>1179</v>
      </c>
      <c r="DO232" s="23"/>
    </row>
    <row r="233" ht="15.75" customHeight="1">
      <c r="A233" s="15">
        <v>231.0</v>
      </c>
      <c r="B233" s="16" t="s">
        <v>1334</v>
      </c>
      <c r="C233" s="17">
        <v>3.1208292500449E13</v>
      </c>
      <c r="D233" s="18">
        <v>15.0</v>
      </c>
      <c r="E233" s="16" t="s">
        <v>1335</v>
      </c>
      <c r="F233" s="16" t="s">
        <v>606</v>
      </c>
      <c r="G233" s="16" t="s">
        <v>547</v>
      </c>
      <c r="H233" s="20">
        <v>41150.0</v>
      </c>
      <c r="I233" s="16"/>
      <c r="J233" s="18">
        <v>1.0</v>
      </c>
      <c r="K233" s="16" t="s">
        <v>1336</v>
      </c>
      <c r="L233" s="21" t="s">
        <v>138</v>
      </c>
      <c r="M233" s="23"/>
      <c r="N233" s="19"/>
      <c r="O233" s="19"/>
      <c r="P233" s="19"/>
      <c r="Q233" s="19"/>
      <c r="R233" s="19"/>
      <c r="S233" s="19"/>
      <c r="T233" s="19"/>
      <c r="U233" s="19"/>
      <c r="V233" s="16" t="s">
        <v>932</v>
      </c>
      <c r="W233" s="16" t="s">
        <v>46</v>
      </c>
      <c r="X233" s="16" t="s">
        <v>47</v>
      </c>
      <c r="Y233" s="21" t="s">
        <v>48</v>
      </c>
      <c r="Z233" s="23"/>
      <c r="AA233" s="19"/>
      <c r="AB233" s="19"/>
      <c r="AC233" s="19"/>
      <c r="AD233" s="19"/>
      <c r="AE233" s="19"/>
      <c r="AF233" s="16" t="s">
        <v>55</v>
      </c>
      <c r="AG233" s="18">
        <v>0.0</v>
      </c>
      <c r="AH233" s="16" t="s">
        <v>57</v>
      </c>
      <c r="AI233" s="18">
        <v>0.0</v>
      </c>
      <c r="AJ233" s="16" t="s">
        <v>168</v>
      </c>
      <c r="AK233" s="16" t="s">
        <v>153</v>
      </c>
      <c r="AL233" s="16" t="s">
        <v>126</v>
      </c>
      <c r="AM233" s="16" t="s">
        <v>181</v>
      </c>
      <c r="AN233" s="16" t="s">
        <v>181</v>
      </c>
      <c r="AO233" s="16" t="s">
        <v>181</v>
      </c>
      <c r="AP233" s="16" t="s">
        <v>181</v>
      </c>
      <c r="AQ233" s="16" t="s">
        <v>181</v>
      </c>
      <c r="AR233" s="16" t="s">
        <v>181</v>
      </c>
      <c r="AS233" s="21" t="s">
        <v>65</v>
      </c>
      <c r="AT233" s="23"/>
      <c r="AU233" s="16" t="s">
        <v>67</v>
      </c>
      <c r="AV233" s="16" t="s">
        <v>68</v>
      </c>
      <c r="AW233" s="16" t="s">
        <v>69</v>
      </c>
      <c r="AX233" s="16" t="s">
        <v>70</v>
      </c>
      <c r="AY233" s="16" t="s">
        <v>71</v>
      </c>
      <c r="AZ233" s="18" t="s">
        <v>844</v>
      </c>
      <c r="BA233" s="19"/>
      <c r="BB233" s="19"/>
      <c r="BC233" s="19"/>
      <c r="BD233" s="19"/>
      <c r="BE233" s="16" t="s">
        <v>77</v>
      </c>
      <c r="BF233" s="18">
        <v>0.0</v>
      </c>
      <c r="BG233" s="21" t="s">
        <v>78</v>
      </c>
      <c r="BH233" s="23"/>
      <c r="BI233" s="19"/>
      <c r="BJ233" s="19"/>
      <c r="BK233" s="16" t="s">
        <v>81</v>
      </c>
      <c r="BL233" s="19"/>
      <c r="BM233" s="19"/>
      <c r="BN233" s="19"/>
      <c r="BO233" s="16" t="s">
        <v>85</v>
      </c>
      <c r="BP233" s="18" t="s">
        <v>839</v>
      </c>
      <c r="BQ233" s="19"/>
      <c r="BR233" s="19"/>
      <c r="BS233" s="21" t="s">
        <v>88</v>
      </c>
      <c r="BT233" s="23"/>
      <c r="BU233" s="19"/>
      <c r="BV233" s="19"/>
      <c r="BW233" s="16" t="s">
        <v>92</v>
      </c>
      <c r="BX233" s="18" t="s">
        <v>844</v>
      </c>
      <c r="BY233" s="19"/>
      <c r="BZ233" s="19"/>
      <c r="CA233" s="19"/>
      <c r="CB233" s="21" t="s">
        <v>96</v>
      </c>
      <c r="CC233" s="23"/>
      <c r="CD233" s="19"/>
      <c r="CE233" s="19"/>
      <c r="CF233" s="18" t="s">
        <v>840</v>
      </c>
      <c r="CG233" s="16" t="s">
        <v>128</v>
      </c>
      <c r="CH233" s="19"/>
      <c r="CI233" s="21" t="s">
        <v>101</v>
      </c>
      <c r="CJ233" s="22"/>
      <c r="CK233" s="23"/>
      <c r="CL233" s="16" t="s">
        <v>104</v>
      </c>
      <c r="CM233" s="18" t="s">
        <v>839</v>
      </c>
      <c r="CN233" s="16" t="s">
        <v>128</v>
      </c>
      <c r="CO233" s="21" t="s">
        <v>105</v>
      </c>
      <c r="CP233" s="22"/>
      <c r="CQ233" s="23"/>
      <c r="CR233" s="16" t="s">
        <v>108</v>
      </c>
      <c r="CS233" s="16" t="s">
        <v>109</v>
      </c>
      <c r="CT233" s="16" t="s">
        <v>110</v>
      </c>
      <c r="CU233" s="18" t="s">
        <v>839</v>
      </c>
      <c r="CV233" s="16" t="s">
        <v>128</v>
      </c>
      <c r="CW233" s="19"/>
      <c r="CX233" s="19"/>
      <c r="CY233" s="19"/>
      <c r="CZ233" s="16" t="s">
        <v>114</v>
      </c>
      <c r="DA233" s="16" t="s">
        <v>115</v>
      </c>
      <c r="DB233" s="18" t="s">
        <v>839</v>
      </c>
      <c r="DC233" s="16" t="s">
        <v>129</v>
      </c>
      <c r="DD233" s="16" t="s">
        <v>129</v>
      </c>
      <c r="DE233" s="16" t="s">
        <v>129</v>
      </c>
      <c r="DF233" s="16" t="s">
        <v>129</v>
      </c>
      <c r="DG233" s="16" t="s">
        <v>841</v>
      </c>
      <c r="DH233" s="16" t="s">
        <v>842</v>
      </c>
      <c r="DI233" s="16" t="s">
        <v>914</v>
      </c>
      <c r="DJ233" s="16" t="s">
        <v>144</v>
      </c>
      <c r="DK233" s="18" t="s">
        <v>844</v>
      </c>
      <c r="DL233" s="18" t="s">
        <v>845</v>
      </c>
      <c r="DM233" s="16" t="s">
        <v>930</v>
      </c>
      <c r="DN233" s="18" t="s">
        <v>844</v>
      </c>
      <c r="DO233" s="18">
        <v>0.0</v>
      </c>
    </row>
    <row r="234" ht="15.75" customHeight="1">
      <c r="A234" s="15">
        <v>232.0</v>
      </c>
      <c r="B234" s="16" t="s">
        <v>1337</v>
      </c>
      <c r="C234" s="17">
        <v>3.1801102501579E13</v>
      </c>
      <c r="D234" s="18">
        <v>20.0</v>
      </c>
      <c r="E234" s="16" t="s">
        <v>1338</v>
      </c>
      <c r="F234" s="16" t="s">
        <v>1339</v>
      </c>
      <c r="G234" s="16" t="s">
        <v>547</v>
      </c>
      <c r="H234" s="19"/>
      <c r="I234" s="18">
        <v>1.0</v>
      </c>
      <c r="J234" s="19"/>
      <c r="K234" s="16" t="s">
        <v>1340</v>
      </c>
      <c r="L234" s="21" t="s">
        <v>138</v>
      </c>
      <c r="M234" s="23"/>
      <c r="N234" s="19"/>
      <c r="O234" s="19"/>
      <c r="P234" s="19"/>
      <c r="Q234" s="19"/>
      <c r="R234" s="19"/>
      <c r="S234" s="19"/>
      <c r="T234" s="19"/>
      <c r="U234" s="19"/>
      <c r="V234" s="21" t="s">
        <v>138</v>
      </c>
      <c r="W234" s="23"/>
      <c r="X234" s="19"/>
      <c r="Y234" s="21" t="s">
        <v>48</v>
      </c>
      <c r="Z234" s="23"/>
      <c r="AA234" s="19"/>
      <c r="AB234" s="19"/>
      <c r="AC234" s="19"/>
      <c r="AD234" s="19"/>
      <c r="AE234" s="19"/>
      <c r="AF234" s="19"/>
      <c r="AG234" s="19"/>
      <c r="AH234" s="21" t="s">
        <v>357</v>
      </c>
      <c r="AI234" s="23"/>
      <c r="AJ234" s="16" t="s">
        <v>663</v>
      </c>
      <c r="AK234" s="16" t="s">
        <v>153</v>
      </c>
      <c r="AL234" s="16" t="s">
        <v>181</v>
      </c>
      <c r="AM234" s="16" t="s">
        <v>181</v>
      </c>
      <c r="AN234" s="16" t="s">
        <v>181</v>
      </c>
      <c r="AO234" s="16" t="s">
        <v>181</v>
      </c>
      <c r="AP234" s="16" t="s">
        <v>181</v>
      </c>
      <c r="AQ234" s="16" t="s">
        <v>181</v>
      </c>
      <c r="AR234" s="16" t="s">
        <v>181</v>
      </c>
      <c r="AS234" s="19"/>
      <c r="AT234" s="19"/>
      <c r="AU234" s="21" t="s">
        <v>67</v>
      </c>
      <c r="AV234" s="22"/>
      <c r="AW234" s="23"/>
      <c r="AX234" s="19"/>
      <c r="AY234" s="19"/>
      <c r="AZ234" s="19"/>
      <c r="BA234" s="19"/>
      <c r="BB234" s="19"/>
      <c r="BC234" s="19"/>
      <c r="BD234" s="19"/>
      <c r="BE234" s="19"/>
      <c r="BF234" s="16" t="s">
        <v>144</v>
      </c>
      <c r="BG234" s="19"/>
      <c r="BH234" s="19"/>
      <c r="BI234" s="19"/>
      <c r="BJ234" s="19"/>
      <c r="BK234" s="19"/>
      <c r="BL234" s="21" t="s">
        <v>82</v>
      </c>
      <c r="BM234" s="23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6" t="s">
        <v>144</v>
      </c>
      <c r="BY234" s="19"/>
      <c r="BZ234" s="21" t="s">
        <v>94</v>
      </c>
      <c r="CA234" s="22"/>
      <c r="CB234" s="23"/>
      <c r="CC234" s="19"/>
      <c r="CD234" s="19"/>
      <c r="CE234" s="19"/>
      <c r="CF234" s="19"/>
      <c r="CG234" s="16" t="s">
        <v>128</v>
      </c>
      <c r="CH234" s="19"/>
      <c r="CI234" s="19"/>
      <c r="CJ234" s="19"/>
      <c r="CK234" s="19"/>
      <c r="CL234" s="21" t="s">
        <v>104</v>
      </c>
      <c r="CM234" s="23"/>
      <c r="CN234" s="16" t="s">
        <v>128</v>
      </c>
      <c r="CO234" s="21" t="s">
        <v>105</v>
      </c>
      <c r="CP234" s="22"/>
      <c r="CQ234" s="23"/>
      <c r="CR234" s="19"/>
      <c r="CS234" s="19"/>
      <c r="CT234" s="19"/>
      <c r="CU234" s="19"/>
      <c r="CV234" s="16" t="s">
        <v>128</v>
      </c>
      <c r="CW234" s="19"/>
      <c r="CX234" s="19"/>
      <c r="CY234" s="19"/>
      <c r="CZ234" s="19"/>
      <c r="DA234" s="21" t="s">
        <v>115</v>
      </c>
      <c r="DB234" s="23"/>
      <c r="DC234" s="16" t="s">
        <v>129</v>
      </c>
      <c r="DD234" s="16" t="s">
        <v>129</v>
      </c>
      <c r="DE234" s="16" t="s">
        <v>129</v>
      </c>
      <c r="DF234" s="16" t="s">
        <v>129</v>
      </c>
      <c r="DG234" s="21" t="s">
        <v>1341</v>
      </c>
      <c r="DH234" s="22"/>
      <c r="DI234" s="23"/>
      <c r="DJ234" s="16" t="s">
        <v>144</v>
      </c>
      <c r="DK234" s="16" t="s">
        <v>739</v>
      </c>
      <c r="DL234" s="19"/>
      <c r="DM234" s="16" t="s">
        <v>144</v>
      </c>
      <c r="DN234" s="19"/>
      <c r="DO234" s="19"/>
    </row>
    <row r="235" ht="15.75" customHeight="1">
      <c r="A235" s="15">
        <v>233.0</v>
      </c>
      <c r="B235" s="16" t="s">
        <v>1342</v>
      </c>
      <c r="C235" s="17">
        <v>3.1204132502709E13</v>
      </c>
      <c r="D235" s="18">
        <v>131.0</v>
      </c>
      <c r="E235" s="16" t="s">
        <v>1335</v>
      </c>
      <c r="F235" s="16" t="s">
        <v>606</v>
      </c>
      <c r="G235" s="16" t="s">
        <v>547</v>
      </c>
      <c r="H235" s="20">
        <v>41473.0</v>
      </c>
      <c r="I235" s="16"/>
      <c r="J235" s="18">
        <v>1.0</v>
      </c>
      <c r="K235" s="16" t="s">
        <v>1343</v>
      </c>
      <c r="L235" s="21" t="s">
        <v>138</v>
      </c>
      <c r="M235" s="23"/>
      <c r="N235" s="19"/>
      <c r="O235" s="19"/>
      <c r="P235" s="19"/>
      <c r="Q235" s="19"/>
      <c r="R235" s="19"/>
      <c r="S235" s="19"/>
      <c r="T235" s="19"/>
      <c r="U235" s="19"/>
      <c r="V235" s="21" t="s">
        <v>932</v>
      </c>
      <c r="W235" s="22"/>
      <c r="X235" s="23"/>
      <c r="Y235" s="21" t="s">
        <v>48</v>
      </c>
      <c r="Z235" s="23"/>
      <c r="AA235" s="16" t="s">
        <v>50</v>
      </c>
      <c r="AB235" s="19"/>
      <c r="AC235" s="19"/>
      <c r="AD235" s="19"/>
      <c r="AE235" s="19"/>
      <c r="AF235" s="19"/>
      <c r="AG235" s="18" t="s">
        <v>844</v>
      </c>
      <c r="AH235" s="21" t="s">
        <v>123</v>
      </c>
      <c r="AI235" s="23"/>
      <c r="AJ235" s="16" t="s">
        <v>124</v>
      </c>
      <c r="AK235" s="16" t="s">
        <v>153</v>
      </c>
      <c r="AL235" s="16" t="s">
        <v>181</v>
      </c>
      <c r="AM235" s="16" t="s">
        <v>181</v>
      </c>
      <c r="AN235" s="16" t="s">
        <v>181</v>
      </c>
      <c r="AO235" s="16" t="s">
        <v>181</v>
      </c>
      <c r="AP235" s="16" t="s">
        <v>181</v>
      </c>
      <c r="AQ235" s="16" t="s">
        <v>181</v>
      </c>
      <c r="AR235" s="16" t="s">
        <v>126</v>
      </c>
      <c r="AS235" s="21" t="s">
        <v>65</v>
      </c>
      <c r="AT235" s="23"/>
      <c r="AU235" s="21" t="s">
        <v>67</v>
      </c>
      <c r="AV235" s="22"/>
      <c r="AW235" s="23"/>
      <c r="AX235" s="19"/>
      <c r="AY235" s="19"/>
      <c r="AZ235" s="18">
        <v>0.0</v>
      </c>
      <c r="BA235" s="19"/>
      <c r="BB235" s="21" t="s">
        <v>74</v>
      </c>
      <c r="BC235" s="23"/>
      <c r="BD235" s="16" t="s">
        <v>76</v>
      </c>
      <c r="BE235" s="16" t="s">
        <v>77</v>
      </c>
      <c r="BF235" s="18">
        <v>0.0</v>
      </c>
      <c r="BG235" s="21" t="s">
        <v>78</v>
      </c>
      <c r="BH235" s="23"/>
      <c r="BI235" s="19"/>
      <c r="BJ235" s="19"/>
      <c r="BK235" s="16" t="s">
        <v>81</v>
      </c>
      <c r="BL235" s="19"/>
      <c r="BM235" s="21" t="s">
        <v>83</v>
      </c>
      <c r="BN235" s="22"/>
      <c r="BO235" s="23"/>
      <c r="BP235" s="18">
        <v>0.0</v>
      </c>
      <c r="BQ235" s="19"/>
      <c r="BR235" s="19"/>
      <c r="BS235" s="21" t="s">
        <v>88</v>
      </c>
      <c r="BT235" s="23"/>
      <c r="BU235" s="19"/>
      <c r="BV235" s="19"/>
      <c r="BW235" s="16" t="s">
        <v>92</v>
      </c>
      <c r="BX235" s="18">
        <v>0.0</v>
      </c>
      <c r="BY235" s="19"/>
      <c r="BZ235" s="19"/>
      <c r="CA235" s="19"/>
      <c r="CB235" s="21" t="s">
        <v>96</v>
      </c>
      <c r="CC235" s="23"/>
      <c r="CD235" s="19"/>
      <c r="CE235" s="19"/>
      <c r="CF235" s="18" t="s">
        <v>840</v>
      </c>
      <c r="CG235" s="16" t="s">
        <v>128</v>
      </c>
      <c r="CH235" s="21" t="s">
        <v>100</v>
      </c>
      <c r="CI235" s="23"/>
      <c r="CJ235" s="19"/>
      <c r="CK235" s="16" t="s">
        <v>103</v>
      </c>
      <c r="CL235" s="16" t="s">
        <v>104</v>
      </c>
      <c r="CM235" s="18" t="s">
        <v>839</v>
      </c>
      <c r="CN235" s="16" t="s">
        <v>128</v>
      </c>
      <c r="CO235" s="21" t="s">
        <v>105</v>
      </c>
      <c r="CP235" s="22"/>
      <c r="CQ235" s="23"/>
      <c r="CR235" s="21" t="s">
        <v>108</v>
      </c>
      <c r="CS235" s="23"/>
      <c r="CT235" s="16" t="s">
        <v>110</v>
      </c>
      <c r="CU235" s="18" t="s">
        <v>839</v>
      </c>
      <c r="CV235" s="21" t="s">
        <v>154</v>
      </c>
      <c r="CW235" s="23"/>
      <c r="CX235" s="21" t="s">
        <v>112</v>
      </c>
      <c r="CY235" s="23"/>
      <c r="CZ235" s="16" t="s">
        <v>114</v>
      </c>
      <c r="DA235" s="16" t="s">
        <v>115</v>
      </c>
      <c r="DB235" s="18">
        <v>0.0</v>
      </c>
      <c r="DC235" s="16" t="s">
        <v>129</v>
      </c>
      <c r="DD235" s="16" t="s">
        <v>129</v>
      </c>
      <c r="DE235" s="16" t="s">
        <v>129</v>
      </c>
      <c r="DF235" s="16" t="s">
        <v>129</v>
      </c>
      <c r="DG235" s="16" t="s">
        <v>841</v>
      </c>
      <c r="DH235" s="16" t="s">
        <v>842</v>
      </c>
      <c r="DI235" s="16" t="s">
        <v>914</v>
      </c>
      <c r="DJ235" s="16" t="s">
        <v>144</v>
      </c>
      <c r="DK235" s="18" t="s">
        <v>844</v>
      </c>
      <c r="DL235" s="18" t="s">
        <v>845</v>
      </c>
      <c r="DM235" s="16" t="s">
        <v>930</v>
      </c>
      <c r="DN235" s="18" t="s">
        <v>844</v>
      </c>
      <c r="DO235" s="18" t="s">
        <v>845</v>
      </c>
    </row>
    <row r="236" ht="15.75" customHeight="1">
      <c r="A236" s="15">
        <v>234.0</v>
      </c>
      <c r="B236" s="16" t="s">
        <v>1344</v>
      </c>
      <c r="C236" s="17">
        <v>3.1507150112015E13</v>
      </c>
      <c r="D236" s="18">
        <v>18.0</v>
      </c>
      <c r="E236" s="16" t="s">
        <v>1271</v>
      </c>
      <c r="F236" s="16" t="s">
        <v>1271</v>
      </c>
      <c r="G236" s="16" t="s">
        <v>547</v>
      </c>
      <c r="H236" s="20">
        <v>42200.0</v>
      </c>
      <c r="I236" s="18">
        <v>1.0</v>
      </c>
      <c r="J236" s="19"/>
      <c r="K236" s="16" t="s">
        <v>1345</v>
      </c>
      <c r="L236" s="21" t="s">
        <v>138</v>
      </c>
      <c r="M236" s="23"/>
      <c r="N236" s="19"/>
      <c r="O236" s="19"/>
      <c r="P236" s="19"/>
      <c r="Q236" s="19"/>
      <c r="R236" s="19"/>
      <c r="S236" s="19"/>
      <c r="T236" s="19"/>
      <c r="U236" s="19"/>
      <c r="V236" s="16" t="s">
        <v>144</v>
      </c>
      <c r="W236" s="16" t="s">
        <v>46</v>
      </c>
      <c r="X236" s="21" t="s">
        <v>47</v>
      </c>
      <c r="Y236" s="23"/>
      <c r="Z236" s="19"/>
      <c r="AA236" s="16" t="s">
        <v>50</v>
      </c>
      <c r="AB236" s="19"/>
      <c r="AC236" s="19"/>
      <c r="AD236" s="19"/>
      <c r="AE236" s="19"/>
      <c r="AF236" s="19"/>
      <c r="AG236" s="19"/>
      <c r="AH236" s="21" t="s">
        <v>123</v>
      </c>
      <c r="AI236" s="23"/>
      <c r="AJ236" s="16" t="s">
        <v>168</v>
      </c>
      <c r="AK236" s="16" t="s">
        <v>153</v>
      </c>
      <c r="AL236" s="16" t="s">
        <v>181</v>
      </c>
      <c r="AM236" s="16" t="s">
        <v>181</v>
      </c>
      <c r="AN236" s="16" t="s">
        <v>181</v>
      </c>
      <c r="AO236" s="16" t="s">
        <v>181</v>
      </c>
      <c r="AP236" s="16" t="s">
        <v>181</v>
      </c>
      <c r="AQ236" s="16" t="s">
        <v>181</v>
      </c>
      <c r="AR236" s="16" t="s">
        <v>143</v>
      </c>
      <c r="AS236" s="21" t="s">
        <v>65</v>
      </c>
      <c r="AT236" s="22"/>
      <c r="AU236" s="23"/>
      <c r="AV236" s="19"/>
      <c r="AW236" s="21" t="s">
        <v>69</v>
      </c>
      <c r="AX236" s="22"/>
      <c r="AY236" s="23"/>
      <c r="AZ236" s="19"/>
      <c r="BA236" s="19"/>
      <c r="BB236" s="19"/>
      <c r="BC236" s="19"/>
      <c r="BD236" s="19"/>
      <c r="BE236" s="19"/>
      <c r="BF236" s="16" t="s">
        <v>457</v>
      </c>
      <c r="BG236" s="16" t="s">
        <v>78</v>
      </c>
      <c r="BH236" s="21" t="s">
        <v>79</v>
      </c>
      <c r="BI236" s="23"/>
      <c r="BJ236" s="19"/>
      <c r="BK236" s="16" t="s">
        <v>81</v>
      </c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6" t="s">
        <v>457</v>
      </c>
      <c r="BY236" s="19"/>
      <c r="BZ236" s="19"/>
      <c r="CA236" s="19"/>
      <c r="CB236" s="19"/>
      <c r="CC236" s="19"/>
      <c r="CD236" s="19"/>
      <c r="CE236" s="19"/>
      <c r="CF236" s="16" t="s">
        <v>144</v>
      </c>
      <c r="CG236" s="16" t="s">
        <v>128</v>
      </c>
      <c r="CH236" s="16" t="s">
        <v>100</v>
      </c>
      <c r="CI236" s="21" t="s">
        <v>101</v>
      </c>
      <c r="CJ236" s="22"/>
      <c r="CK236" s="23"/>
      <c r="CL236" s="19"/>
      <c r="CM236" s="16" t="s">
        <v>1346</v>
      </c>
      <c r="CN236" s="16" t="s">
        <v>128</v>
      </c>
      <c r="CO236" s="21" t="s">
        <v>105</v>
      </c>
      <c r="CP236" s="22"/>
      <c r="CQ236" s="23"/>
      <c r="CR236" s="19"/>
      <c r="CS236" s="19"/>
      <c r="CT236" s="19"/>
      <c r="CU236" s="19"/>
      <c r="CV236" s="21" t="s">
        <v>154</v>
      </c>
      <c r="CW236" s="23"/>
      <c r="CX236" s="19"/>
      <c r="CY236" s="19"/>
      <c r="CZ236" s="19"/>
      <c r="DA236" s="21" t="s">
        <v>115</v>
      </c>
      <c r="DB236" s="23"/>
      <c r="DC236" s="16" t="s">
        <v>129</v>
      </c>
      <c r="DD236" s="16" t="s">
        <v>129</v>
      </c>
      <c r="DE236" s="16" t="s">
        <v>129</v>
      </c>
      <c r="DF236" s="16" t="s">
        <v>129</v>
      </c>
      <c r="DG236" s="16" t="s">
        <v>1347</v>
      </c>
      <c r="DH236" s="16" t="s">
        <v>1348</v>
      </c>
      <c r="DI236" s="16" t="s">
        <v>1349</v>
      </c>
      <c r="DJ236" s="16" t="s">
        <v>144</v>
      </c>
      <c r="DK236" s="19"/>
      <c r="DL236" s="19"/>
      <c r="DM236" s="16" t="s">
        <v>144</v>
      </c>
      <c r="DN236" s="19"/>
      <c r="DO236" s="19"/>
    </row>
    <row r="237" ht="15.75" customHeight="1">
      <c r="A237" s="15">
        <v>235.0</v>
      </c>
      <c r="B237" s="16" t="s">
        <v>1350</v>
      </c>
      <c r="C237" s="17">
        <v>3.0106132501084E13</v>
      </c>
      <c r="D237" s="18">
        <v>33.0</v>
      </c>
      <c r="E237" s="16" t="s">
        <v>241</v>
      </c>
      <c r="F237" s="16" t="s">
        <v>1331</v>
      </c>
      <c r="G237" s="16" t="s">
        <v>547</v>
      </c>
      <c r="H237" s="20">
        <v>37055.0</v>
      </c>
      <c r="I237" s="16"/>
      <c r="J237" s="18">
        <v>1.0</v>
      </c>
      <c r="K237" s="16" t="s">
        <v>1351</v>
      </c>
      <c r="L237" s="21" t="s">
        <v>138</v>
      </c>
      <c r="M237" s="23"/>
      <c r="N237" s="19"/>
      <c r="O237" s="19"/>
      <c r="P237" s="19"/>
      <c r="Q237" s="19"/>
      <c r="R237" s="19"/>
      <c r="S237" s="19"/>
      <c r="T237" s="19"/>
      <c r="U237" s="19"/>
      <c r="V237" s="18" t="s">
        <v>839</v>
      </c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21" t="s">
        <v>123</v>
      </c>
      <c r="AI237" s="23"/>
      <c r="AJ237" s="16" t="s">
        <v>124</v>
      </c>
      <c r="AK237" s="16" t="s">
        <v>153</v>
      </c>
      <c r="AL237" s="16" t="s">
        <v>126</v>
      </c>
      <c r="AM237" s="16" t="s">
        <v>126</v>
      </c>
      <c r="AN237" s="16" t="s">
        <v>126</v>
      </c>
      <c r="AO237" s="16" t="s">
        <v>126</v>
      </c>
      <c r="AP237" s="16" t="s">
        <v>181</v>
      </c>
      <c r="AQ237" s="16" t="s">
        <v>181</v>
      </c>
      <c r="AR237" s="16" t="s">
        <v>126</v>
      </c>
      <c r="AS237" s="19"/>
      <c r="AT237" s="19"/>
      <c r="AU237" s="19"/>
      <c r="AV237" s="19"/>
      <c r="AW237" s="19"/>
      <c r="AX237" s="19"/>
      <c r="AY237" s="19"/>
      <c r="AZ237" s="18" t="s">
        <v>839</v>
      </c>
      <c r="BA237" s="21" t="s">
        <v>73</v>
      </c>
      <c r="BB237" s="23"/>
      <c r="BC237" s="19"/>
      <c r="BD237" s="19"/>
      <c r="BE237" s="21" t="s">
        <v>77</v>
      </c>
      <c r="BF237" s="22"/>
      <c r="BG237" s="22"/>
      <c r="BH237" s="23"/>
      <c r="BI237" s="19"/>
      <c r="BJ237" s="19"/>
      <c r="BK237" s="19"/>
      <c r="BL237" s="19"/>
      <c r="BM237" s="19"/>
      <c r="BN237" s="19"/>
      <c r="BO237" s="19"/>
      <c r="BP237" s="18" t="s">
        <v>839</v>
      </c>
      <c r="BQ237" s="21" t="s">
        <v>86</v>
      </c>
      <c r="BR237" s="23"/>
      <c r="BS237" s="21" t="s">
        <v>88</v>
      </c>
      <c r="BT237" s="23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8" t="s">
        <v>844</v>
      </c>
      <c r="CG237" s="16" t="s">
        <v>128</v>
      </c>
      <c r="CH237" s="21" t="s">
        <v>100</v>
      </c>
      <c r="CI237" s="23"/>
      <c r="CJ237" s="19"/>
      <c r="CK237" s="19"/>
      <c r="CL237" s="21" t="s">
        <v>104</v>
      </c>
      <c r="CM237" s="23"/>
      <c r="CN237" s="16" t="s">
        <v>128</v>
      </c>
      <c r="CO237" s="19"/>
      <c r="CP237" s="21" t="s">
        <v>106</v>
      </c>
      <c r="CQ237" s="22"/>
      <c r="CR237" s="22"/>
      <c r="CS237" s="23"/>
      <c r="CT237" s="19"/>
      <c r="CU237" s="19"/>
      <c r="CV237" s="16" t="s">
        <v>128</v>
      </c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6" t="s">
        <v>1129</v>
      </c>
      <c r="DH237" s="21" t="s">
        <v>1059</v>
      </c>
      <c r="DI237" s="23"/>
      <c r="DJ237" s="16" t="s">
        <v>144</v>
      </c>
      <c r="DK237" s="19"/>
      <c r="DL237" s="19"/>
      <c r="DM237" s="21" t="s">
        <v>1141</v>
      </c>
      <c r="DN237" s="23"/>
      <c r="DO237" s="19"/>
    </row>
    <row r="238" ht="15.75" customHeight="1">
      <c r="A238" s="15">
        <v>236.0</v>
      </c>
      <c r="B238" s="16" t="s">
        <v>1352</v>
      </c>
      <c r="C238" s="17">
        <v>3.1506232504306E13</v>
      </c>
      <c r="D238" s="18">
        <v>17.0</v>
      </c>
      <c r="E238" s="16" t="s">
        <v>1307</v>
      </c>
      <c r="F238" s="16" t="s">
        <v>595</v>
      </c>
      <c r="G238" s="16" t="s">
        <v>547</v>
      </c>
      <c r="H238" s="20">
        <v>42178.0</v>
      </c>
      <c r="I238" s="16"/>
      <c r="J238" s="18">
        <v>1.0</v>
      </c>
      <c r="K238" s="16" t="s">
        <v>1353</v>
      </c>
      <c r="L238" s="21" t="s">
        <v>138</v>
      </c>
      <c r="M238" s="23"/>
      <c r="N238" s="19"/>
      <c r="O238" s="19"/>
      <c r="P238" s="19"/>
      <c r="Q238" s="19"/>
      <c r="R238" s="19"/>
      <c r="S238" s="19"/>
      <c r="T238" s="19"/>
      <c r="U238" s="19"/>
      <c r="V238" s="21" t="s">
        <v>1354</v>
      </c>
      <c r="W238" s="23"/>
      <c r="X238" s="16" t="s">
        <v>47</v>
      </c>
      <c r="Y238" s="21" t="s">
        <v>48</v>
      </c>
      <c r="Z238" s="23"/>
      <c r="AA238" s="19"/>
      <c r="AB238" s="19"/>
      <c r="AC238" s="19"/>
      <c r="AD238" s="19"/>
      <c r="AE238" s="19"/>
      <c r="AF238" s="19"/>
      <c r="AG238" s="19"/>
      <c r="AH238" s="21" t="s">
        <v>357</v>
      </c>
      <c r="AI238" s="23"/>
      <c r="AJ238" s="16" t="s">
        <v>168</v>
      </c>
      <c r="AK238" s="16" t="s">
        <v>153</v>
      </c>
      <c r="AL238" s="16" t="s">
        <v>126</v>
      </c>
      <c r="AM238" s="16" t="s">
        <v>181</v>
      </c>
      <c r="AN238" s="16" t="s">
        <v>143</v>
      </c>
      <c r="AO238" s="16" t="s">
        <v>143</v>
      </c>
      <c r="AP238" s="16" t="s">
        <v>126</v>
      </c>
      <c r="AQ238" s="16" t="s">
        <v>181</v>
      </c>
      <c r="AR238" s="16" t="s">
        <v>181</v>
      </c>
      <c r="AS238" s="21" t="s">
        <v>65</v>
      </c>
      <c r="AT238" s="22"/>
      <c r="AU238" s="23"/>
      <c r="AV238" s="19"/>
      <c r="AW238" s="16" t="s">
        <v>69</v>
      </c>
      <c r="AX238" s="16" t="s">
        <v>70</v>
      </c>
      <c r="AY238" s="21" t="s">
        <v>71</v>
      </c>
      <c r="AZ238" s="22"/>
      <c r="BA238" s="23"/>
      <c r="BB238" s="19"/>
      <c r="BC238" s="19"/>
      <c r="BD238" s="19"/>
      <c r="BE238" s="19"/>
      <c r="BF238" s="19"/>
      <c r="BG238" s="21" t="s">
        <v>78</v>
      </c>
      <c r="BH238" s="23"/>
      <c r="BI238" s="19"/>
      <c r="BJ238" s="19"/>
      <c r="BK238" s="19"/>
      <c r="BL238" s="19"/>
      <c r="BM238" s="19"/>
      <c r="BN238" s="19"/>
      <c r="BO238" s="21" t="s">
        <v>85</v>
      </c>
      <c r="BP238" s="22"/>
      <c r="BQ238" s="22"/>
      <c r="BR238" s="23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6" t="s">
        <v>127</v>
      </c>
      <c r="CG238" s="16" t="s">
        <v>128</v>
      </c>
      <c r="CH238" s="21" t="s">
        <v>100</v>
      </c>
      <c r="CI238" s="23"/>
      <c r="CJ238" s="16" t="s">
        <v>102</v>
      </c>
      <c r="CK238" s="21" t="s">
        <v>103</v>
      </c>
      <c r="CL238" s="23"/>
      <c r="CM238" s="19"/>
      <c r="CN238" s="16" t="s">
        <v>128</v>
      </c>
      <c r="CO238" s="21" t="s">
        <v>105</v>
      </c>
      <c r="CP238" s="22"/>
      <c r="CQ238" s="23"/>
      <c r="CR238" s="21" t="s">
        <v>108</v>
      </c>
      <c r="CS238" s="23"/>
      <c r="CT238" s="21" t="s">
        <v>110</v>
      </c>
      <c r="CU238" s="23"/>
      <c r="CV238" s="16" t="s">
        <v>128</v>
      </c>
      <c r="CW238" s="19"/>
      <c r="CX238" s="21" t="s">
        <v>112</v>
      </c>
      <c r="CY238" s="23"/>
      <c r="CZ238" s="16" t="s">
        <v>114</v>
      </c>
      <c r="DA238" s="21" t="s">
        <v>115</v>
      </c>
      <c r="DB238" s="23"/>
      <c r="DC238" s="16" t="s">
        <v>129</v>
      </c>
      <c r="DD238" s="16" t="s">
        <v>129</v>
      </c>
      <c r="DE238" s="16" t="s">
        <v>129</v>
      </c>
      <c r="DF238" s="16" t="s">
        <v>129</v>
      </c>
      <c r="DG238" s="21" t="s">
        <v>1355</v>
      </c>
      <c r="DH238" s="22"/>
      <c r="DI238" s="23"/>
      <c r="DJ238" s="16" t="s">
        <v>144</v>
      </c>
      <c r="DK238" s="19"/>
      <c r="DL238" s="19"/>
      <c r="DM238" s="16" t="s">
        <v>144</v>
      </c>
      <c r="DN238" s="19"/>
      <c r="DO238" s="19"/>
    </row>
    <row r="239" ht="15.75" customHeight="1">
      <c r="A239" s="15">
        <v>237.0</v>
      </c>
      <c r="B239" s="16" t="s">
        <v>1356</v>
      </c>
      <c r="C239" s="17">
        <v>3.1910102504618E13</v>
      </c>
      <c r="D239" s="18">
        <v>143.0</v>
      </c>
      <c r="E239" s="16" t="s">
        <v>1307</v>
      </c>
      <c r="F239" s="16" t="s">
        <v>851</v>
      </c>
      <c r="G239" s="16" t="s">
        <v>547</v>
      </c>
      <c r="H239" s="25">
        <v>43748.0</v>
      </c>
      <c r="I239" s="16"/>
      <c r="J239" s="18">
        <v>1.0</v>
      </c>
      <c r="K239" s="16" t="s">
        <v>1357</v>
      </c>
      <c r="L239" s="21" t="s">
        <v>138</v>
      </c>
      <c r="M239" s="23"/>
      <c r="N239" s="19"/>
      <c r="O239" s="19"/>
      <c r="P239" s="21" t="s">
        <v>39</v>
      </c>
      <c r="Q239" s="22"/>
      <c r="R239" s="22"/>
      <c r="S239" s="23"/>
      <c r="T239" s="19"/>
      <c r="U239" s="19"/>
      <c r="V239" s="21" t="s">
        <v>910</v>
      </c>
      <c r="W239" s="23"/>
      <c r="X239" s="21" t="s">
        <v>47</v>
      </c>
      <c r="Y239" s="23"/>
      <c r="Z239" s="19"/>
      <c r="AA239" s="19"/>
      <c r="AB239" s="19"/>
      <c r="AC239" s="19"/>
      <c r="AD239" s="19"/>
      <c r="AE239" s="19"/>
      <c r="AF239" s="19"/>
      <c r="AG239" s="19"/>
      <c r="AH239" s="21" t="s">
        <v>357</v>
      </c>
      <c r="AI239" s="23"/>
      <c r="AJ239" s="16" t="s">
        <v>482</v>
      </c>
      <c r="AK239" s="16" t="s">
        <v>125</v>
      </c>
      <c r="AL239" s="16" t="s">
        <v>181</v>
      </c>
      <c r="AM239" s="19"/>
      <c r="AN239" s="16" t="s">
        <v>126</v>
      </c>
      <c r="AO239" s="16" t="s">
        <v>126</v>
      </c>
      <c r="AP239" s="16" t="s">
        <v>126</v>
      </c>
      <c r="AQ239" s="16" t="s">
        <v>126</v>
      </c>
      <c r="AR239" s="16" t="s">
        <v>126</v>
      </c>
      <c r="AS239" s="21" t="s">
        <v>65</v>
      </c>
      <c r="AT239" s="22"/>
      <c r="AU239" s="23"/>
      <c r="AV239" s="19"/>
      <c r="AW239" s="21" t="s">
        <v>69</v>
      </c>
      <c r="AX239" s="22"/>
      <c r="AY239" s="23"/>
      <c r="AZ239" s="19"/>
      <c r="BA239" s="19"/>
      <c r="BB239" s="19"/>
      <c r="BC239" s="19"/>
      <c r="BD239" s="19"/>
      <c r="BE239" s="19"/>
      <c r="BF239" s="19"/>
      <c r="BG239" s="21" t="s">
        <v>78</v>
      </c>
      <c r="BH239" s="23"/>
      <c r="BI239" s="19"/>
      <c r="BJ239" s="19"/>
      <c r="BK239" s="19"/>
      <c r="BL239" s="19"/>
      <c r="BM239" s="19"/>
      <c r="BN239" s="21" t="s">
        <v>84</v>
      </c>
      <c r="BO239" s="22"/>
      <c r="BP239" s="23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21" t="s">
        <v>97</v>
      </c>
      <c r="CD239" s="23"/>
      <c r="CE239" s="19"/>
      <c r="CF239" s="19"/>
      <c r="CG239" s="16" t="s">
        <v>128</v>
      </c>
      <c r="CH239" s="16" t="s">
        <v>100</v>
      </c>
      <c r="CI239" s="21" t="s">
        <v>101</v>
      </c>
      <c r="CJ239" s="22"/>
      <c r="CK239" s="23"/>
      <c r="CL239" s="19"/>
      <c r="CM239" s="19"/>
      <c r="CN239" s="16" t="s">
        <v>128</v>
      </c>
      <c r="CO239" s="21" t="s">
        <v>105</v>
      </c>
      <c r="CP239" s="22"/>
      <c r="CQ239" s="23"/>
      <c r="CR239" s="19"/>
      <c r="CS239" s="19"/>
      <c r="CT239" s="19"/>
      <c r="CU239" s="19"/>
      <c r="CV239" s="16" t="s">
        <v>128</v>
      </c>
      <c r="CW239" s="21" t="s">
        <v>111</v>
      </c>
      <c r="CX239" s="22"/>
      <c r="CY239" s="23"/>
      <c r="CZ239" s="21" t="s">
        <v>114</v>
      </c>
      <c r="DA239" s="22"/>
      <c r="DB239" s="23"/>
      <c r="DC239" s="16" t="s">
        <v>145</v>
      </c>
      <c r="DD239" s="16" t="s">
        <v>129</v>
      </c>
      <c r="DE239" s="16" t="s">
        <v>129</v>
      </c>
      <c r="DF239" s="16" t="s">
        <v>129</v>
      </c>
      <c r="DG239" s="16" t="s">
        <v>1358</v>
      </c>
      <c r="DH239" s="21" t="s">
        <v>1227</v>
      </c>
      <c r="DI239" s="23"/>
      <c r="DJ239" s="16" t="s">
        <v>127</v>
      </c>
      <c r="DK239" s="19"/>
      <c r="DL239" s="19"/>
      <c r="DM239" s="16" t="s">
        <v>144</v>
      </c>
      <c r="DN239" s="19"/>
      <c r="DO239" s="19"/>
    </row>
    <row r="240" ht="15.75" customHeight="1">
      <c r="A240" s="15">
        <v>238.0</v>
      </c>
      <c r="B240" s="16" t="s">
        <v>1359</v>
      </c>
      <c r="C240" s="17">
        <v>3.2209102502998E13</v>
      </c>
      <c r="D240" s="18">
        <v>159.0</v>
      </c>
      <c r="E240" s="16" t="s">
        <v>241</v>
      </c>
      <c r="F240" s="16" t="s">
        <v>1331</v>
      </c>
      <c r="G240" s="16" t="s">
        <v>547</v>
      </c>
      <c r="H240" s="20">
        <v>44814.0</v>
      </c>
      <c r="I240" s="16"/>
      <c r="J240" s="18">
        <v>1.0</v>
      </c>
      <c r="K240" s="16" t="s">
        <v>1360</v>
      </c>
      <c r="L240" s="21" t="s">
        <v>138</v>
      </c>
      <c r="M240" s="23"/>
      <c r="N240" s="19"/>
      <c r="O240" s="19"/>
      <c r="P240" s="19"/>
      <c r="Q240" s="19"/>
      <c r="R240" s="19"/>
      <c r="S240" s="19"/>
      <c r="T240" s="19"/>
      <c r="U240" s="19"/>
      <c r="V240" s="18" t="s">
        <v>839</v>
      </c>
      <c r="W240" s="19"/>
      <c r="X240" s="21" t="s">
        <v>47</v>
      </c>
      <c r="Y240" s="23"/>
      <c r="Z240" s="19"/>
      <c r="AA240" s="19"/>
      <c r="AB240" s="19"/>
      <c r="AC240" s="19"/>
      <c r="AD240" s="19"/>
      <c r="AE240" s="19"/>
      <c r="AF240" s="19"/>
      <c r="AG240" s="19"/>
      <c r="AH240" s="21" t="s">
        <v>123</v>
      </c>
      <c r="AI240" s="23"/>
      <c r="AJ240" s="16" t="s">
        <v>124</v>
      </c>
      <c r="AK240" s="16" t="s">
        <v>153</v>
      </c>
      <c r="AL240" s="16" t="s">
        <v>181</v>
      </c>
      <c r="AM240" s="16" t="s">
        <v>126</v>
      </c>
      <c r="AN240" s="16" t="s">
        <v>181</v>
      </c>
      <c r="AO240" s="16" t="s">
        <v>126</v>
      </c>
      <c r="AP240" s="16" t="s">
        <v>126</v>
      </c>
      <c r="AQ240" s="16" t="s">
        <v>126</v>
      </c>
      <c r="AR240" s="16" t="s">
        <v>126</v>
      </c>
      <c r="AS240" s="21" t="s">
        <v>65</v>
      </c>
      <c r="AT240" s="22"/>
      <c r="AU240" s="23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8" t="s">
        <v>844</v>
      </c>
      <c r="BG240" s="21" t="s">
        <v>78</v>
      </c>
      <c r="BH240" s="23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8" t="s">
        <v>839</v>
      </c>
      <c r="BY240" s="19"/>
      <c r="BZ240" s="19"/>
      <c r="CA240" s="19"/>
      <c r="CB240" s="19"/>
      <c r="CC240" s="19"/>
      <c r="CD240" s="19"/>
      <c r="CE240" s="19"/>
      <c r="CF240" s="16" t="s">
        <v>144</v>
      </c>
      <c r="CG240" s="16" t="s">
        <v>128</v>
      </c>
      <c r="CH240" s="21" t="s">
        <v>100</v>
      </c>
      <c r="CI240" s="23"/>
      <c r="CJ240" s="21" t="s">
        <v>102</v>
      </c>
      <c r="CK240" s="22"/>
      <c r="CL240" s="23"/>
      <c r="CM240" s="19"/>
      <c r="CN240" s="16" t="s">
        <v>128</v>
      </c>
      <c r="CO240" s="21" t="s">
        <v>105</v>
      </c>
      <c r="CP240" s="22"/>
      <c r="CQ240" s="23"/>
      <c r="CR240" s="19"/>
      <c r="CS240" s="19"/>
      <c r="CT240" s="19"/>
      <c r="CU240" s="19"/>
      <c r="CV240" s="16" t="s">
        <v>128</v>
      </c>
      <c r="CW240" s="19"/>
      <c r="CX240" s="21" t="s">
        <v>112</v>
      </c>
      <c r="CY240" s="22"/>
      <c r="CZ240" s="23"/>
      <c r="DA240" s="19"/>
      <c r="DB240" s="19"/>
      <c r="DC240" s="16" t="s">
        <v>129</v>
      </c>
      <c r="DD240" s="16" t="s">
        <v>129</v>
      </c>
      <c r="DE240" s="19"/>
      <c r="DF240" s="19"/>
      <c r="DG240" s="16" t="s">
        <v>1058</v>
      </c>
      <c r="DH240" s="16" t="s">
        <v>1361</v>
      </c>
      <c r="DI240" s="19"/>
      <c r="DJ240" s="16" t="s">
        <v>144</v>
      </c>
      <c r="DK240" s="19"/>
      <c r="DL240" s="19"/>
      <c r="DM240" s="16" t="s">
        <v>1060</v>
      </c>
      <c r="DN240" s="21" t="s">
        <v>1061</v>
      </c>
      <c r="DO240" s="23"/>
    </row>
    <row r="241" ht="15.75" customHeight="1">
      <c r="A241" s="15">
        <v>239.0</v>
      </c>
      <c r="B241" s="16" t="s">
        <v>1362</v>
      </c>
      <c r="C241" s="17">
        <v>3.009292501661E12</v>
      </c>
      <c r="D241" s="18">
        <v>6.0</v>
      </c>
      <c r="E241" s="16" t="s">
        <v>1307</v>
      </c>
      <c r="F241" s="16" t="s">
        <v>595</v>
      </c>
      <c r="G241" s="16" t="s">
        <v>547</v>
      </c>
      <c r="H241" s="20">
        <v>41911.0</v>
      </c>
      <c r="I241" s="16"/>
      <c r="J241" s="18">
        <v>1.0</v>
      </c>
      <c r="K241" s="16" t="s">
        <v>1363</v>
      </c>
      <c r="L241" s="21" t="s">
        <v>138</v>
      </c>
      <c r="M241" s="23"/>
      <c r="N241" s="19"/>
      <c r="O241" s="19"/>
      <c r="P241" s="19"/>
      <c r="Q241" s="19"/>
      <c r="R241" s="19"/>
      <c r="S241" s="19"/>
      <c r="T241" s="19"/>
      <c r="U241" s="19"/>
      <c r="V241" s="16" t="s">
        <v>728</v>
      </c>
      <c r="W241" s="16" t="s">
        <v>46</v>
      </c>
      <c r="X241" s="21" t="s">
        <v>47</v>
      </c>
      <c r="Y241" s="23"/>
      <c r="Z241" s="19"/>
      <c r="AA241" s="19"/>
      <c r="AB241" s="19"/>
      <c r="AC241" s="19"/>
      <c r="AD241" s="19"/>
      <c r="AE241" s="19"/>
      <c r="AF241" s="19"/>
      <c r="AG241" s="19"/>
      <c r="AH241" s="21" t="s">
        <v>123</v>
      </c>
      <c r="AI241" s="23"/>
      <c r="AJ241" s="16" t="s">
        <v>168</v>
      </c>
      <c r="AK241" s="16" t="s">
        <v>153</v>
      </c>
      <c r="AL241" s="16" t="s">
        <v>181</v>
      </c>
      <c r="AM241" s="16" t="s">
        <v>181</v>
      </c>
      <c r="AN241" s="16" t="s">
        <v>126</v>
      </c>
      <c r="AO241" s="16" t="s">
        <v>126</v>
      </c>
      <c r="AP241" s="16" t="s">
        <v>126</v>
      </c>
      <c r="AQ241" s="16" t="s">
        <v>181</v>
      </c>
      <c r="AR241" s="16" t="s">
        <v>181</v>
      </c>
      <c r="AS241" s="21" t="s">
        <v>65</v>
      </c>
      <c r="AT241" s="22"/>
      <c r="AU241" s="23"/>
      <c r="AV241" s="19"/>
      <c r="AW241" s="19"/>
      <c r="AX241" s="19"/>
      <c r="AY241" s="16" t="s">
        <v>71</v>
      </c>
      <c r="AZ241" s="21" t="s">
        <v>1364</v>
      </c>
      <c r="BA241" s="22"/>
      <c r="BB241" s="22"/>
      <c r="BC241" s="23"/>
      <c r="BD241" s="19"/>
      <c r="BE241" s="19"/>
      <c r="BF241" s="19"/>
      <c r="BG241" s="21" t="s">
        <v>78</v>
      </c>
      <c r="BH241" s="23"/>
      <c r="BI241" s="19"/>
      <c r="BJ241" s="21" t="s">
        <v>80</v>
      </c>
      <c r="BK241" s="23"/>
      <c r="BL241" s="19"/>
      <c r="BM241" s="21" t="s">
        <v>83</v>
      </c>
      <c r="BN241" s="22"/>
      <c r="BO241" s="23"/>
      <c r="BP241" s="19"/>
      <c r="BQ241" s="19"/>
      <c r="BR241" s="19"/>
      <c r="BS241" s="19"/>
      <c r="BT241" s="19"/>
      <c r="BU241" s="19"/>
      <c r="BV241" s="19"/>
      <c r="BW241" s="19"/>
      <c r="BX241" s="19"/>
      <c r="BY241" s="21" t="s">
        <v>93</v>
      </c>
      <c r="BZ241" s="22"/>
      <c r="CA241" s="23"/>
      <c r="CB241" s="19"/>
      <c r="CC241" s="19"/>
      <c r="CD241" s="21" t="s">
        <v>98</v>
      </c>
      <c r="CE241" s="23"/>
      <c r="CF241" s="19"/>
      <c r="CG241" s="16" t="s">
        <v>128</v>
      </c>
      <c r="CH241" s="16" t="s">
        <v>100</v>
      </c>
      <c r="CI241" s="21" t="s">
        <v>101</v>
      </c>
      <c r="CJ241" s="22"/>
      <c r="CK241" s="23"/>
      <c r="CL241" s="21" t="s">
        <v>104</v>
      </c>
      <c r="CM241" s="23"/>
      <c r="CN241" s="16" t="s">
        <v>128</v>
      </c>
      <c r="CO241" s="21" t="s">
        <v>105</v>
      </c>
      <c r="CP241" s="23"/>
      <c r="CQ241" s="21" t="s">
        <v>107</v>
      </c>
      <c r="CR241" s="23"/>
      <c r="CS241" s="16" t="s">
        <v>109</v>
      </c>
      <c r="CT241" s="21" t="s">
        <v>110</v>
      </c>
      <c r="CU241" s="23"/>
      <c r="CV241" s="16" t="s">
        <v>128</v>
      </c>
      <c r="CW241" s="19"/>
      <c r="CX241" s="21" t="s">
        <v>112</v>
      </c>
      <c r="CY241" s="22"/>
      <c r="CZ241" s="23"/>
      <c r="DA241" s="21" t="s">
        <v>115</v>
      </c>
      <c r="DB241" s="23"/>
      <c r="DC241" s="16" t="s">
        <v>145</v>
      </c>
      <c r="DD241" s="16" t="s">
        <v>145</v>
      </c>
      <c r="DE241" s="16" t="s">
        <v>129</v>
      </c>
      <c r="DF241" s="16" t="s">
        <v>129</v>
      </c>
      <c r="DG241" s="16" t="s">
        <v>1365</v>
      </c>
      <c r="DH241" s="16" t="s">
        <v>1366</v>
      </c>
      <c r="DI241" s="16" t="s">
        <v>1367</v>
      </c>
      <c r="DJ241" s="21" t="s">
        <v>1368</v>
      </c>
      <c r="DK241" s="23"/>
      <c r="DL241" s="19"/>
      <c r="DM241" s="21" t="s">
        <v>1369</v>
      </c>
      <c r="DN241" s="23"/>
      <c r="DO241" s="19"/>
    </row>
    <row r="242" ht="15.75" customHeight="1">
      <c r="A242" s="15">
        <v>240.0</v>
      </c>
      <c r="B242" s="16" t="s">
        <v>1370</v>
      </c>
      <c r="C242" s="17">
        <v>3.1805122503964E13</v>
      </c>
      <c r="D242" s="18">
        <v>122.0</v>
      </c>
      <c r="E242" s="16" t="s">
        <v>241</v>
      </c>
      <c r="F242" s="16" t="s">
        <v>1331</v>
      </c>
      <c r="G242" s="16" t="s">
        <v>547</v>
      </c>
      <c r="H242" s="20">
        <v>43232.0</v>
      </c>
      <c r="I242" s="16"/>
      <c r="J242" s="18">
        <v>1.0</v>
      </c>
      <c r="K242" s="16" t="s">
        <v>1371</v>
      </c>
      <c r="L242" s="16" t="s">
        <v>122</v>
      </c>
      <c r="M242" s="19"/>
      <c r="N242" s="19"/>
      <c r="O242" s="19"/>
      <c r="P242" s="19"/>
      <c r="Q242" s="19"/>
      <c r="R242" s="19"/>
      <c r="S242" s="19"/>
      <c r="T242" s="19"/>
      <c r="U242" s="19"/>
      <c r="V242" s="16" t="s">
        <v>1372</v>
      </c>
      <c r="W242" s="16" t="s">
        <v>46</v>
      </c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21" t="s">
        <v>123</v>
      </c>
      <c r="AI242" s="23"/>
      <c r="AJ242" s="16" t="s">
        <v>449</v>
      </c>
      <c r="AK242" s="16" t="s">
        <v>125</v>
      </c>
      <c r="AL242" s="16" t="s">
        <v>126</v>
      </c>
      <c r="AM242" s="16" t="s">
        <v>126</v>
      </c>
      <c r="AN242" s="16" t="s">
        <v>181</v>
      </c>
      <c r="AO242" s="16" t="s">
        <v>126</v>
      </c>
      <c r="AP242" s="16" t="s">
        <v>126</v>
      </c>
      <c r="AQ242" s="16" t="s">
        <v>126</v>
      </c>
      <c r="AR242" s="16" t="s">
        <v>126</v>
      </c>
      <c r="AS242" s="21" t="s">
        <v>65</v>
      </c>
      <c r="AT242" s="22"/>
      <c r="AU242" s="23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8" t="s">
        <v>844</v>
      </c>
      <c r="BG242" s="21" t="s">
        <v>78</v>
      </c>
      <c r="BH242" s="23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8" t="s">
        <v>839</v>
      </c>
      <c r="BY242" s="19"/>
      <c r="BZ242" s="19"/>
      <c r="CA242" s="19"/>
      <c r="CB242" s="19"/>
      <c r="CC242" s="19"/>
      <c r="CD242" s="19"/>
      <c r="CE242" s="19"/>
      <c r="CF242" s="16" t="s">
        <v>144</v>
      </c>
      <c r="CG242" s="16" t="s">
        <v>128</v>
      </c>
      <c r="CH242" s="19"/>
      <c r="CI242" s="19"/>
      <c r="CJ242" s="21" t="s">
        <v>102</v>
      </c>
      <c r="CK242" s="22"/>
      <c r="CL242" s="23"/>
      <c r="CM242" s="19"/>
      <c r="CN242" s="16" t="s">
        <v>128</v>
      </c>
      <c r="CO242" s="19"/>
      <c r="CP242" s="19"/>
      <c r="CQ242" s="19"/>
      <c r="CR242" s="19"/>
      <c r="CS242" s="21" t="s">
        <v>109</v>
      </c>
      <c r="CT242" s="23"/>
      <c r="CU242" s="19"/>
      <c r="CV242" s="16" t="s">
        <v>128</v>
      </c>
      <c r="CW242" s="19"/>
      <c r="CX242" s="21" t="s">
        <v>112</v>
      </c>
      <c r="CY242" s="22"/>
      <c r="CZ242" s="23"/>
      <c r="DA242" s="19"/>
      <c r="DB242" s="19"/>
      <c r="DC242" s="16" t="s">
        <v>129</v>
      </c>
      <c r="DD242" s="16" t="s">
        <v>145</v>
      </c>
      <c r="DE242" s="19"/>
      <c r="DF242" s="19"/>
      <c r="DG242" s="16" t="s">
        <v>1058</v>
      </c>
      <c r="DH242" s="21" t="s">
        <v>1247</v>
      </c>
      <c r="DI242" s="23"/>
      <c r="DJ242" s="16" t="s">
        <v>144</v>
      </c>
      <c r="DK242" s="19"/>
      <c r="DL242" s="19"/>
      <c r="DM242" s="21" t="s">
        <v>1060</v>
      </c>
      <c r="DN242" s="23"/>
      <c r="DO242" s="19"/>
    </row>
    <row r="243" ht="15.75" customHeight="1">
      <c r="A243" s="15">
        <v>241.0</v>
      </c>
      <c r="B243" s="16" t="s">
        <v>1373</v>
      </c>
      <c r="C243" s="17">
        <v>3.2002202500972E13</v>
      </c>
      <c r="D243" s="18">
        <v>11.0</v>
      </c>
      <c r="E243" s="16" t="s">
        <v>1271</v>
      </c>
      <c r="F243" s="16" t="s">
        <v>1271</v>
      </c>
      <c r="G243" s="16" t="s">
        <v>547</v>
      </c>
      <c r="H243" s="19"/>
      <c r="I243" s="18">
        <v>1.0</v>
      </c>
      <c r="J243" s="19"/>
      <c r="K243" s="16" t="s">
        <v>1374</v>
      </c>
      <c r="L243" s="16" t="s">
        <v>122</v>
      </c>
      <c r="M243" s="19"/>
      <c r="N243" s="19"/>
      <c r="O243" s="19"/>
      <c r="P243" s="19"/>
      <c r="Q243" s="19"/>
      <c r="R243" s="19"/>
      <c r="S243" s="19"/>
      <c r="T243" s="19"/>
      <c r="U243" s="19"/>
      <c r="V243" s="16" t="s">
        <v>1375</v>
      </c>
      <c r="W243" s="16" t="s">
        <v>46</v>
      </c>
      <c r="X243" s="19"/>
      <c r="Y243" s="19"/>
      <c r="Z243" s="19"/>
      <c r="AA243" s="16" t="s">
        <v>50</v>
      </c>
      <c r="AB243" s="19"/>
      <c r="AC243" s="19"/>
      <c r="AD243" s="19"/>
      <c r="AE243" s="19"/>
      <c r="AF243" s="19"/>
      <c r="AG243" s="19"/>
      <c r="AH243" s="21" t="s">
        <v>123</v>
      </c>
      <c r="AI243" s="23"/>
      <c r="AJ243" s="16" t="s">
        <v>124</v>
      </c>
      <c r="AK243" s="16" t="s">
        <v>153</v>
      </c>
      <c r="AL243" s="16" t="s">
        <v>126</v>
      </c>
      <c r="AM243" s="16" t="s">
        <v>143</v>
      </c>
      <c r="AN243" s="16" t="s">
        <v>181</v>
      </c>
      <c r="AO243" s="16" t="s">
        <v>181</v>
      </c>
      <c r="AP243" s="16" t="s">
        <v>126</v>
      </c>
      <c r="AQ243" s="16" t="s">
        <v>181</v>
      </c>
      <c r="AR243" s="16" t="s">
        <v>143</v>
      </c>
      <c r="AS243" s="16" t="s">
        <v>65</v>
      </c>
      <c r="AT243" s="21" t="s">
        <v>66</v>
      </c>
      <c r="AU243" s="22"/>
      <c r="AV243" s="23"/>
      <c r="AW243" s="21" t="s">
        <v>69</v>
      </c>
      <c r="AX243" s="22"/>
      <c r="AY243" s="23"/>
      <c r="AZ243" s="19"/>
      <c r="BA243" s="19"/>
      <c r="BB243" s="19"/>
      <c r="BC243" s="19"/>
      <c r="BD243" s="19"/>
      <c r="BE243" s="19"/>
      <c r="BF243" s="16" t="s">
        <v>457</v>
      </c>
      <c r="BG243" s="21" t="s">
        <v>78</v>
      </c>
      <c r="BH243" s="23"/>
      <c r="BI243" s="19"/>
      <c r="BJ243" s="19"/>
      <c r="BK243" s="16" t="s">
        <v>81</v>
      </c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6" t="s">
        <v>457</v>
      </c>
      <c r="BY243" s="19"/>
      <c r="BZ243" s="19"/>
      <c r="CA243" s="19"/>
      <c r="CB243" s="19"/>
      <c r="CC243" s="19"/>
      <c r="CD243" s="19"/>
      <c r="CE243" s="19"/>
      <c r="CF243" s="16" t="s">
        <v>144</v>
      </c>
      <c r="CG243" s="16" t="s">
        <v>128</v>
      </c>
      <c r="CH243" s="16" t="s">
        <v>100</v>
      </c>
      <c r="CI243" s="16" t="s">
        <v>101</v>
      </c>
      <c r="CJ243" s="21" t="s">
        <v>102</v>
      </c>
      <c r="CK243" s="23"/>
      <c r="CL243" s="21" t="s">
        <v>104</v>
      </c>
      <c r="CM243" s="23"/>
      <c r="CN243" s="16" t="s">
        <v>128</v>
      </c>
      <c r="CO243" s="16" t="s">
        <v>105</v>
      </c>
      <c r="CP243" s="21" t="s">
        <v>106</v>
      </c>
      <c r="CQ243" s="23"/>
      <c r="CR243" s="21" t="s">
        <v>108</v>
      </c>
      <c r="CS243" s="23"/>
      <c r="CT243" s="19"/>
      <c r="CU243" s="19"/>
      <c r="CV243" s="21" t="s">
        <v>154</v>
      </c>
      <c r="CW243" s="23"/>
      <c r="CX243" s="19"/>
      <c r="CY243" s="19"/>
      <c r="CZ243" s="21" t="s">
        <v>114</v>
      </c>
      <c r="DA243" s="22"/>
      <c r="DB243" s="23"/>
      <c r="DC243" s="16" t="s">
        <v>145</v>
      </c>
      <c r="DD243" s="16" t="s">
        <v>129</v>
      </c>
      <c r="DE243" s="16" t="s">
        <v>129</v>
      </c>
      <c r="DF243" s="16" t="s">
        <v>129</v>
      </c>
      <c r="DG243" s="16" t="s">
        <v>1376</v>
      </c>
      <c r="DH243" s="21" t="s">
        <v>1377</v>
      </c>
      <c r="DI243" s="23"/>
      <c r="DJ243" s="16" t="s">
        <v>1378</v>
      </c>
      <c r="DK243" s="21" t="s">
        <v>1379</v>
      </c>
      <c r="DL243" s="23"/>
      <c r="DM243" s="16" t="s">
        <v>1380</v>
      </c>
      <c r="DN243" s="21" t="s">
        <v>1381</v>
      </c>
      <c r="DO243" s="23"/>
    </row>
    <row r="244" ht="15.75" customHeight="1">
      <c r="A244" s="15">
        <v>242.0</v>
      </c>
      <c r="B244" s="16" t="s">
        <v>1382</v>
      </c>
      <c r="C244" s="17">
        <v>3.1804302502315E13</v>
      </c>
      <c r="D244" s="18">
        <v>12.0</v>
      </c>
      <c r="E244" s="16" t="s">
        <v>1307</v>
      </c>
      <c r="F244" s="16" t="s">
        <v>595</v>
      </c>
      <c r="G244" s="16" t="s">
        <v>547</v>
      </c>
      <c r="H244" s="20">
        <v>43220.0</v>
      </c>
      <c r="I244" s="18">
        <v>1.0</v>
      </c>
      <c r="J244" s="19"/>
      <c r="K244" s="16" t="s">
        <v>1383</v>
      </c>
      <c r="L244" s="21" t="s">
        <v>138</v>
      </c>
      <c r="M244" s="23"/>
      <c r="N244" s="19"/>
      <c r="O244" s="19"/>
      <c r="P244" s="19"/>
      <c r="Q244" s="19"/>
      <c r="R244" s="19"/>
      <c r="S244" s="19"/>
      <c r="T244" s="19"/>
      <c r="U244" s="19"/>
      <c r="V244" s="16" t="s">
        <v>326</v>
      </c>
      <c r="W244" s="16" t="s">
        <v>46</v>
      </c>
      <c r="X244" s="19"/>
      <c r="Y244" s="21" t="s">
        <v>48</v>
      </c>
      <c r="Z244" s="23"/>
      <c r="AA244" s="19"/>
      <c r="AB244" s="19"/>
      <c r="AC244" s="19"/>
      <c r="AD244" s="19"/>
      <c r="AE244" s="19"/>
      <c r="AF244" s="19"/>
      <c r="AG244" s="19"/>
      <c r="AH244" s="21" t="s">
        <v>123</v>
      </c>
      <c r="AI244" s="23"/>
      <c r="AJ244" s="16" t="s">
        <v>124</v>
      </c>
      <c r="AK244" s="16" t="s">
        <v>142</v>
      </c>
      <c r="AL244" s="16" t="s">
        <v>126</v>
      </c>
      <c r="AM244" s="16" t="s">
        <v>126</v>
      </c>
      <c r="AN244" s="16" t="s">
        <v>126</v>
      </c>
      <c r="AO244" s="16" t="s">
        <v>143</v>
      </c>
      <c r="AP244" s="16" t="s">
        <v>126</v>
      </c>
      <c r="AQ244" s="16" t="s">
        <v>126</v>
      </c>
      <c r="AR244" s="16" t="s">
        <v>126</v>
      </c>
      <c r="AS244" s="21" t="s">
        <v>65</v>
      </c>
      <c r="AT244" s="23"/>
      <c r="AU244" s="16" t="s">
        <v>67</v>
      </c>
      <c r="AV244" s="16" t="s">
        <v>68</v>
      </c>
      <c r="AW244" s="16" t="s">
        <v>69</v>
      </c>
      <c r="AX244" s="16" t="s">
        <v>70</v>
      </c>
      <c r="AY244" s="21" t="s">
        <v>71</v>
      </c>
      <c r="AZ244" s="22"/>
      <c r="BA244" s="23"/>
      <c r="BB244" s="19"/>
      <c r="BC244" s="19"/>
      <c r="BD244" s="19"/>
      <c r="BE244" s="19"/>
      <c r="BF244" s="19"/>
      <c r="BG244" s="16" t="s">
        <v>78</v>
      </c>
      <c r="BH244" s="21" t="s">
        <v>79</v>
      </c>
      <c r="BI244" s="23"/>
      <c r="BJ244" s="19"/>
      <c r="BK244" s="16" t="s">
        <v>81</v>
      </c>
      <c r="BL244" s="19"/>
      <c r="BM244" s="19"/>
      <c r="BN244" s="19"/>
      <c r="BO244" s="21" t="s">
        <v>85</v>
      </c>
      <c r="BP244" s="22"/>
      <c r="BQ244" s="22"/>
      <c r="BR244" s="23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6" t="s">
        <v>127</v>
      </c>
      <c r="CG244" s="16" t="s">
        <v>128</v>
      </c>
      <c r="CH244" s="19"/>
      <c r="CI244" s="19"/>
      <c r="CJ244" s="21" t="s">
        <v>102</v>
      </c>
      <c r="CK244" s="22"/>
      <c r="CL244" s="23"/>
      <c r="CM244" s="19"/>
      <c r="CN244" s="16" t="s">
        <v>128</v>
      </c>
      <c r="CO244" s="19"/>
      <c r="CP244" s="21" t="s">
        <v>106</v>
      </c>
      <c r="CQ244" s="23"/>
      <c r="CR244" s="21" t="s">
        <v>108</v>
      </c>
      <c r="CS244" s="23"/>
      <c r="CT244" s="21" t="s">
        <v>110</v>
      </c>
      <c r="CU244" s="23"/>
      <c r="CV244" s="16" t="s">
        <v>128</v>
      </c>
      <c r="CW244" s="19"/>
      <c r="CX244" s="16" t="s">
        <v>112</v>
      </c>
      <c r="CY244" s="21" t="s">
        <v>113</v>
      </c>
      <c r="CZ244" s="23"/>
      <c r="DA244" s="21" t="s">
        <v>115</v>
      </c>
      <c r="DB244" s="23"/>
      <c r="DC244" s="16" t="s">
        <v>129</v>
      </c>
      <c r="DD244" s="16" t="s">
        <v>129</v>
      </c>
      <c r="DE244" s="16" t="s">
        <v>129</v>
      </c>
      <c r="DF244" s="16" t="s">
        <v>129</v>
      </c>
      <c r="DG244" s="16" t="s">
        <v>1384</v>
      </c>
      <c r="DH244" s="21" t="s">
        <v>1385</v>
      </c>
      <c r="DI244" s="23"/>
      <c r="DJ244" s="16" t="s">
        <v>144</v>
      </c>
      <c r="DK244" s="19"/>
      <c r="DL244" s="19"/>
      <c r="DM244" s="21" t="s">
        <v>1386</v>
      </c>
      <c r="DN244" s="22"/>
      <c r="DO244" s="23"/>
    </row>
    <row r="245" ht="15.75" customHeight="1">
      <c r="A245" s="15">
        <v>243.0</v>
      </c>
      <c r="B245" s="16" t="s">
        <v>1387</v>
      </c>
      <c r="C245" s="17">
        <v>3.1703272502195E13</v>
      </c>
      <c r="D245" s="18">
        <v>146.0</v>
      </c>
      <c r="E245" s="16" t="s">
        <v>1335</v>
      </c>
      <c r="F245" s="16" t="s">
        <v>606</v>
      </c>
      <c r="G245" s="16" t="s">
        <v>547</v>
      </c>
      <c r="H245" s="20">
        <v>42821.0</v>
      </c>
      <c r="I245" s="18">
        <v>1.0</v>
      </c>
      <c r="J245" s="19"/>
      <c r="K245" s="16" t="s">
        <v>1388</v>
      </c>
      <c r="L245" s="21" t="s">
        <v>138</v>
      </c>
      <c r="M245" s="23"/>
      <c r="N245" s="19"/>
      <c r="O245" s="19"/>
      <c r="P245" s="19"/>
      <c r="Q245" s="19"/>
      <c r="R245" s="19"/>
      <c r="S245" s="19"/>
      <c r="T245" s="19"/>
      <c r="U245" s="19"/>
      <c r="V245" s="16" t="s">
        <v>932</v>
      </c>
      <c r="W245" s="16" t="s">
        <v>46</v>
      </c>
      <c r="X245" s="21" t="s">
        <v>47</v>
      </c>
      <c r="Y245" s="23"/>
      <c r="Z245" s="19"/>
      <c r="AA245" s="16" t="s">
        <v>50</v>
      </c>
      <c r="AB245" s="19"/>
      <c r="AC245" s="19"/>
      <c r="AD245" s="19"/>
      <c r="AE245" s="19"/>
      <c r="AF245" s="19"/>
      <c r="AG245" s="18" t="s">
        <v>839</v>
      </c>
      <c r="AH245" s="16" t="s">
        <v>57</v>
      </c>
      <c r="AI245" s="18" t="s">
        <v>844</v>
      </c>
      <c r="AJ245" s="16" t="s">
        <v>168</v>
      </c>
      <c r="AK245" s="16" t="s">
        <v>153</v>
      </c>
      <c r="AL245" s="16" t="s">
        <v>181</v>
      </c>
      <c r="AM245" s="16" t="s">
        <v>181</v>
      </c>
      <c r="AN245" s="16" t="s">
        <v>181</v>
      </c>
      <c r="AO245" s="16" t="s">
        <v>126</v>
      </c>
      <c r="AP245" s="16" t="s">
        <v>181</v>
      </c>
      <c r="AQ245" s="16" t="s">
        <v>181</v>
      </c>
      <c r="AR245" s="16" t="s">
        <v>181</v>
      </c>
      <c r="AS245" s="21" t="s">
        <v>65</v>
      </c>
      <c r="AT245" s="23"/>
      <c r="AU245" s="16" t="s">
        <v>67</v>
      </c>
      <c r="AV245" s="16" t="s">
        <v>68</v>
      </c>
      <c r="AW245" s="16" t="s">
        <v>69</v>
      </c>
      <c r="AX245" s="16" t="s">
        <v>70</v>
      </c>
      <c r="AY245" s="16" t="s">
        <v>71</v>
      </c>
      <c r="AZ245" s="18" t="s">
        <v>839</v>
      </c>
      <c r="BA245" s="16" t="s">
        <v>73</v>
      </c>
      <c r="BB245" s="21" t="s">
        <v>74</v>
      </c>
      <c r="BC245" s="23"/>
      <c r="BD245" s="16" t="s">
        <v>76</v>
      </c>
      <c r="BE245" s="16" t="s">
        <v>77</v>
      </c>
      <c r="BF245" s="18" t="s">
        <v>839</v>
      </c>
      <c r="BG245" s="21" t="s">
        <v>78</v>
      </c>
      <c r="BH245" s="23"/>
      <c r="BI245" s="21" t="s">
        <v>52</v>
      </c>
      <c r="BJ245" s="23"/>
      <c r="BK245" s="16" t="s">
        <v>81</v>
      </c>
      <c r="BL245" s="19"/>
      <c r="BM245" s="19"/>
      <c r="BN245" s="16" t="s">
        <v>84</v>
      </c>
      <c r="BO245" s="16" t="s">
        <v>85</v>
      </c>
      <c r="BP245" s="18" t="s">
        <v>839</v>
      </c>
      <c r="BQ245" s="19"/>
      <c r="BR245" s="19"/>
      <c r="BS245" s="19"/>
      <c r="BT245" s="19"/>
      <c r="BU245" s="19"/>
      <c r="BV245" s="19"/>
      <c r="BW245" s="16" t="s">
        <v>92</v>
      </c>
      <c r="BX245" s="18" t="s">
        <v>844</v>
      </c>
      <c r="BY245" s="19"/>
      <c r="BZ245" s="19"/>
      <c r="CA245" s="19"/>
      <c r="CB245" s="16" t="s">
        <v>96</v>
      </c>
      <c r="CC245" s="21" t="s">
        <v>97</v>
      </c>
      <c r="CD245" s="23"/>
      <c r="CE245" s="19"/>
      <c r="CF245" s="18" t="s">
        <v>840</v>
      </c>
      <c r="CG245" s="16" t="s">
        <v>128</v>
      </c>
      <c r="CH245" s="19"/>
      <c r="CI245" s="16" t="s">
        <v>101</v>
      </c>
      <c r="CJ245" s="16" t="s">
        <v>102</v>
      </c>
      <c r="CK245" s="16" t="s">
        <v>103</v>
      </c>
      <c r="CL245" s="16" t="s">
        <v>104</v>
      </c>
      <c r="CM245" s="18">
        <v>0.0</v>
      </c>
      <c r="CN245" s="16" t="s">
        <v>128</v>
      </c>
      <c r="CO245" s="21" t="s">
        <v>105</v>
      </c>
      <c r="CP245" s="22"/>
      <c r="CQ245" s="23"/>
      <c r="CR245" s="21" t="s">
        <v>108</v>
      </c>
      <c r="CS245" s="23"/>
      <c r="CT245" s="19"/>
      <c r="CU245" s="18">
        <v>0.0</v>
      </c>
      <c r="CV245" s="21" t="s">
        <v>154</v>
      </c>
      <c r="CW245" s="23"/>
      <c r="CX245" s="19"/>
      <c r="CY245" s="19"/>
      <c r="CZ245" s="19"/>
      <c r="DA245" s="16" t="s">
        <v>115</v>
      </c>
      <c r="DB245" s="18">
        <v>0.0</v>
      </c>
      <c r="DC245" s="16" t="s">
        <v>145</v>
      </c>
      <c r="DD245" s="16" t="s">
        <v>129</v>
      </c>
      <c r="DE245" s="16" t="s">
        <v>129</v>
      </c>
      <c r="DF245" s="16" t="s">
        <v>129</v>
      </c>
      <c r="DG245" s="16" t="s">
        <v>841</v>
      </c>
      <c r="DH245" s="16" t="s">
        <v>873</v>
      </c>
      <c r="DI245" s="16" t="s">
        <v>843</v>
      </c>
      <c r="DJ245" s="16" t="s">
        <v>144</v>
      </c>
      <c r="DK245" s="18" t="s">
        <v>844</v>
      </c>
      <c r="DL245" s="18" t="s">
        <v>845</v>
      </c>
      <c r="DM245" s="16" t="s">
        <v>1244</v>
      </c>
      <c r="DN245" s="16" t="s">
        <v>901</v>
      </c>
      <c r="DO245" s="18">
        <v>0.0</v>
      </c>
    </row>
    <row r="246" ht="15.75" customHeight="1">
      <c r="A246" s="15">
        <v>244.0</v>
      </c>
      <c r="B246" s="16" t="s">
        <v>1389</v>
      </c>
      <c r="C246" s="17">
        <v>3.1601012513951E13</v>
      </c>
      <c r="D246" s="18">
        <v>21.0</v>
      </c>
      <c r="E246" s="16" t="s">
        <v>1307</v>
      </c>
      <c r="F246" s="16" t="s">
        <v>851</v>
      </c>
      <c r="G246" s="16" t="s">
        <v>547</v>
      </c>
      <c r="H246" s="20">
        <v>42644.0</v>
      </c>
      <c r="I246" s="18">
        <v>1.0</v>
      </c>
      <c r="J246" s="19"/>
      <c r="K246" s="16" t="s">
        <v>1390</v>
      </c>
      <c r="L246" s="21" t="s">
        <v>138</v>
      </c>
      <c r="M246" s="23"/>
      <c r="N246" s="19"/>
      <c r="O246" s="19"/>
      <c r="P246" s="19"/>
      <c r="Q246" s="19"/>
      <c r="R246" s="19"/>
      <c r="S246" s="19"/>
      <c r="T246" s="19"/>
      <c r="U246" s="19"/>
      <c r="V246" s="21" t="s">
        <v>910</v>
      </c>
      <c r="W246" s="23"/>
      <c r="X246" s="16" t="s">
        <v>47</v>
      </c>
      <c r="Y246" s="21" t="s">
        <v>48</v>
      </c>
      <c r="Z246" s="23"/>
      <c r="AA246" s="19"/>
      <c r="AB246" s="19"/>
      <c r="AC246" s="19"/>
      <c r="AD246" s="19"/>
      <c r="AE246" s="19"/>
      <c r="AF246" s="19"/>
      <c r="AG246" s="19"/>
      <c r="AH246" s="21" t="s">
        <v>357</v>
      </c>
      <c r="AI246" s="23"/>
      <c r="AJ246" s="16" t="s">
        <v>168</v>
      </c>
      <c r="AK246" s="16" t="s">
        <v>153</v>
      </c>
      <c r="AL246" s="16" t="s">
        <v>181</v>
      </c>
      <c r="AM246" s="16" t="s">
        <v>181</v>
      </c>
      <c r="AN246" s="16" t="s">
        <v>181</v>
      </c>
      <c r="AO246" s="16" t="s">
        <v>181</v>
      </c>
      <c r="AP246" s="16" t="s">
        <v>181</v>
      </c>
      <c r="AQ246" s="16" t="s">
        <v>181</v>
      </c>
      <c r="AR246" s="16" t="s">
        <v>181</v>
      </c>
      <c r="AS246" s="21" t="s">
        <v>65</v>
      </c>
      <c r="AT246" s="22"/>
      <c r="AU246" s="23"/>
      <c r="AV246" s="16" t="s">
        <v>68</v>
      </c>
      <c r="AW246" s="21" t="s">
        <v>69</v>
      </c>
      <c r="AX246" s="23"/>
      <c r="AY246" s="21" t="s">
        <v>71</v>
      </c>
      <c r="AZ246" s="22"/>
      <c r="BA246" s="23"/>
      <c r="BB246" s="19"/>
      <c r="BC246" s="19"/>
      <c r="BD246" s="19"/>
      <c r="BE246" s="19"/>
      <c r="BF246" s="19"/>
      <c r="BG246" s="21" t="s">
        <v>78</v>
      </c>
      <c r="BH246" s="23"/>
      <c r="BI246" s="19"/>
      <c r="BJ246" s="19"/>
      <c r="BK246" s="19"/>
      <c r="BL246" s="21" t="s">
        <v>82</v>
      </c>
      <c r="BM246" s="23"/>
      <c r="BN246" s="19"/>
      <c r="BO246" s="21" t="s">
        <v>85</v>
      </c>
      <c r="BP246" s="22"/>
      <c r="BQ246" s="22"/>
      <c r="BR246" s="23"/>
      <c r="BS246" s="19"/>
      <c r="BT246" s="19"/>
      <c r="BU246" s="19"/>
      <c r="BV246" s="19"/>
      <c r="BW246" s="19"/>
      <c r="BX246" s="16" t="s">
        <v>127</v>
      </c>
      <c r="BY246" s="19"/>
      <c r="BZ246" s="19"/>
      <c r="CA246" s="19"/>
      <c r="CB246" s="21" t="s">
        <v>96</v>
      </c>
      <c r="CC246" s="23"/>
      <c r="CD246" s="19"/>
      <c r="CE246" s="19"/>
      <c r="CF246" s="19"/>
      <c r="CG246" s="16" t="s">
        <v>128</v>
      </c>
      <c r="CH246" s="16" t="s">
        <v>100</v>
      </c>
      <c r="CI246" s="16" t="s">
        <v>101</v>
      </c>
      <c r="CJ246" s="21" t="s">
        <v>102</v>
      </c>
      <c r="CK246" s="22"/>
      <c r="CL246" s="23"/>
      <c r="CM246" s="19"/>
      <c r="CN246" s="16" t="s">
        <v>128</v>
      </c>
      <c r="CO246" s="16" t="s">
        <v>105</v>
      </c>
      <c r="CP246" s="21" t="s">
        <v>106</v>
      </c>
      <c r="CQ246" s="23"/>
      <c r="CR246" s="21" t="s">
        <v>108</v>
      </c>
      <c r="CS246" s="23"/>
      <c r="CT246" s="19"/>
      <c r="CU246" s="19"/>
      <c r="CV246" s="16" t="s">
        <v>128</v>
      </c>
      <c r="CW246" s="21" t="s">
        <v>111</v>
      </c>
      <c r="CX246" s="22"/>
      <c r="CY246" s="23"/>
      <c r="CZ246" s="21" t="s">
        <v>114</v>
      </c>
      <c r="DA246" s="22"/>
      <c r="DB246" s="23"/>
      <c r="DC246" s="16" t="s">
        <v>129</v>
      </c>
      <c r="DD246" s="16" t="s">
        <v>129</v>
      </c>
      <c r="DE246" s="16" t="s">
        <v>129</v>
      </c>
      <c r="DF246" s="16" t="s">
        <v>129</v>
      </c>
      <c r="DG246" s="21" t="s">
        <v>973</v>
      </c>
      <c r="DH246" s="22"/>
      <c r="DI246" s="23"/>
      <c r="DJ246" s="16" t="s">
        <v>127</v>
      </c>
      <c r="DK246" s="19"/>
      <c r="DL246" s="19"/>
      <c r="DM246" s="21" t="s">
        <v>1391</v>
      </c>
      <c r="DN246" s="23"/>
      <c r="DO246" s="19"/>
    </row>
    <row r="247" ht="15.75" customHeight="1">
      <c r="A247" s="15">
        <v>245.0</v>
      </c>
      <c r="B247" s="16" t="s">
        <v>1392</v>
      </c>
      <c r="C247" s="17">
        <v>3.1710262500611E13</v>
      </c>
      <c r="D247" s="18">
        <v>121.0</v>
      </c>
      <c r="E247" s="16" t="s">
        <v>241</v>
      </c>
      <c r="F247" s="16" t="s">
        <v>1331</v>
      </c>
      <c r="G247" s="16" t="s">
        <v>547</v>
      </c>
      <c r="H247" s="25">
        <v>43034.0</v>
      </c>
      <c r="I247" s="18">
        <v>1.0</v>
      </c>
      <c r="J247" s="19"/>
      <c r="K247" s="16" t="s">
        <v>1393</v>
      </c>
      <c r="L247" s="16" t="s">
        <v>122</v>
      </c>
      <c r="M247" s="19"/>
      <c r="N247" s="19"/>
      <c r="O247" s="19"/>
      <c r="P247" s="19"/>
      <c r="Q247" s="19"/>
      <c r="R247" s="19"/>
      <c r="S247" s="19"/>
      <c r="T247" s="21" t="s">
        <v>43</v>
      </c>
      <c r="U247" s="23"/>
      <c r="V247" s="19"/>
      <c r="W247" s="19"/>
      <c r="X247" s="19"/>
      <c r="Y247" s="21" t="s">
        <v>48</v>
      </c>
      <c r="Z247" s="23"/>
      <c r="AA247" s="19"/>
      <c r="AB247" s="19"/>
      <c r="AC247" s="19"/>
      <c r="AD247" s="19"/>
      <c r="AE247" s="19"/>
      <c r="AF247" s="19"/>
      <c r="AG247" s="19"/>
      <c r="AH247" s="21" t="s">
        <v>123</v>
      </c>
      <c r="AI247" s="23"/>
      <c r="AJ247" s="16" t="s">
        <v>141</v>
      </c>
      <c r="AK247" s="16" t="s">
        <v>244</v>
      </c>
      <c r="AL247" s="16" t="s">
        <v>126</v>
      </c>
      <c r="AM247" s="16" t="s">
        <v>126</v>
      </c>
      <c r="AN247" s="16" t="s">
        <v>181</v>
      </c>
      <c r="AO247" s="16" t="s">
        <v>181</v>
      </c>
      <c r="AP247" s="16" t="s">
        <v>126</v>
      </c>
      <c r="AQ247" s="16" t="s">
        <v>126</v>
      </c>
      <c r="AR247" s="16" t="s">
        <v>126</v>
      </c>
      <c r="AS247" s="21" t="s">
        <v>65</v>
      </c>
      <c r="AT247" s="22"/>
      <c r="AU247" s="23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8" t="s">
        <v>844</v>
      </c>
      <c r="BG247" s="21" t="s">
        <v>78</v>
      </c>
      <c r="BH247" s="23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8" t="s">
        <v>839</v>
      </c>
      <c r="BY247" s="19"/>
      <c r="BZ247" s="19"/>
      <c r="CA247" s="19"/>
      <c r="CB247" s="19"/>
      <c r="CC247" s="19"/>
      <c r="CD247" s="19"/>
      <c r="CE247" s="19"/>
      <c r="CF247" s="16" t="s">
        <v>144</v>
      </c>
      <c r="CG247" s="16" t="s">
        <v>128</v>
      </c>
      <c r="CH247" s="21" t="s">
        <v>100</v>
      </c>
      <c r="CI247" s="23"/>
      <c r="CJ247" s="19"/>
      <c r="CK247" s="19"/>
      <c r="CL247" s="19"/>
      <c r="CM247" s="19"/>
      <c r="CN247" s="16" t="s">
        <v>128</v>
      </c>
      <c r="CO247" s="21" t="s">
        <v>105</v>
      </c>
      <c r="CP247" s="22"/>
      <c r="CQ247" s="23"/>
      <c r="CR247" s="19"/>
      <c r="CS247" s="19"/>
      <c r="CT247" s="19"/>
      <c r="CU247" s="19"/>
      <c r="CV247" s="16" t="s">
        <v>128</v>
      </c>
      <c r="CW247" s="19"/>
      <c r="CX247" s="19"/>
      <c r="CY247" s="19"/>
      <c r="CZ247" s="19"/>
      <c r="DA247" s="21" t="s">
        <v>115</v>
      </c>
      <c r="DB247" s="23"/>
      <c r="DC247" s="16" t="s">
        <v>129</v>
      </c>
      <c r="DD247" s="16" t="s">
        <v>145</v>
      </c>
      <c r="DE247" s="19"/>
      <c r="DF247" s="19"/>
      <c r="DG247" s="21" t="s">
        <v>1058</v>
      </c>
      <c r="DH247" s="23"/>
      <c r="DI247" s="19"/>
      <c r="DJ247" s="16" t="s">
        <v>144</v>
      </c>
      <c r="DK247" s="19"/>
      <c r="DL247" s="19"/>
      <c r="DM247" s="21" t="s">
        <v>1060</v>
      </c>
      <c r="DN247" s="23"/>
      <c r="DO247" s="19"/>
    </row>
    <row r="248" ht="15.75" customHeight="1">
      <c r="A248" s="15">
        <v>246.0</v>
      </c>
      <c r="B248" s="16" t="s">
        <v>1394</v>
      </c>
      <c r="C248" s="17">
        <v>3.1804072502264E13</v>
      </c>
      <c r="D248" s="18">
        <v>11.0</v>
      </c>
      <c r="E248" s="16" t="s">
        <v>1338</v>
      </c>
      <c r="F248" s="16" t="s">
        <v>1339</v>
      </c>
      <c r="G248" s="16" t="s">
        <v>547</v>
      </c>
      <c r="H248" s="20">
        <v>43285.0</v>
      </c>
      <c r="I248" s="16"/>
      <c r="J248" s="18">
        <v>1.0</v>
      </c>
      <c r="K248" s="16" t="s">
        <v>1395</v>
      </c>
      <c r="L248" s="21" t="s">
        <v>138</v>
      </c>
      <c r="M248" s="23"/>
      <c r="N248" s="19"/>
      <c r="O248" s="19"/>
      <c r="P248" s="19"/>
      <c r="Q248" s="19"/>
      <c r="R248" s="19"/>
      <c r="S248" s="19"/>
      <c r="T248" s="19"/>
      <c r="U248" s="19"/>
      <c r="V248" s="21" t="s">
        <v>138</v>
      </c>
      <c r="W248" s="23"/>
      <c r="X248" s="19"/>
      <c r="Y248" s="21" t="s">
        <v>48</v>
      </c>
      <c r="Z248" s="23"/>
      <c r="AA248" s="19"/>
      <c r="AB248" s="19"/>
      <c r="AC248" s="19"/>
      <c r="AD248" s="19"/>
      <c r="AE248" s="19"/>
      <c r="AF248" s="19"/>
      <c r="AG248" s="19"/>
      <c r="AH248" s="21" t="s">
        <v>357</v>
      </c>
      <c r="AI248" s="23"/>
      <c r="AJ248" s="16" t="s">
        <v>663</v>
      </c>
      <c r="AK248" s="16" t="s">
        <v>153</v>
      </c>
      <c r="AL248" s="16" t="s">
        <v>181</v>
      </c>
      <c r="AM248" s="16" t="s">
        <v>181</v>
      </c>
      <c r="AN248" s="16" t="s">
        <v>181</v>
      </c>
      <c r="AO248" s="16" t="s">
        <v>181</v>
      </c>
      <c r="AP248" s="16" t="s">
        <v>181</v>
      </c>
      <c r="AQ248" s="19"/>
      <c r="AR248" s="16" t="s">
        <v>181</v>
      </c>
      <c r="AS248" s="19"/>
      <c r="AT248" s="19"/>
      <c r="AU248" s="19"/>
      <c r="AV248" s="21" t="s">
        <v>68</v>
      </c>
      <c r="AW248" s="22"/>
      <c r="AX248" s="23"/>
      <c r="AY248" s="19"/>
      <c r="AZ248" s="19"/>
      <c r="BA248" s="19"/>
      <c r="BB248" s="19"/>
      <c r="BC248" s="19"/>
      <c r="BD248" s="19"/>
      <c r="BE248" s="19"/>
      <c r="BF248" s="16" t="s">
        <v>144</v>
      </c>
      <c r="BG248" s="19"/>
      <c r="BH248" s="19"/>
      <c r="BI248" s="19"/>
      <c r="BJ248" s="19"/>
      <c r="BK248" s="19"/>
      <c r="BL248" s="21" t="s">
        <v>82</v>
      </c>
      <c r="BM248" s="23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6" t="s">
        <v>144</v>
      </c>
      <c r="BY248" s="19"/>
      <c r="BZ248" s="19"/>
      <c r="CA248" s="19"/>
      <c r="CB248" s="19"/>
      <c r="CC248" s="19"/>
      <c r="CD248" s="19"/>
      <c r="CE248" s="19"/>
      <c r="CF248" s="16" t="s">
        <v>144</v>
      </c>
      <c r="CG248" s="16" t="s">
        <v>128</v>
      </c>
      <c r="CH248" s="19"/>
      <c r="CI248" s="19"/>
      <c r="CJ248" s="19"/>
      <c r="CK248" s="21" t="s">
        <v>103</v>
      </c>
      <c r="CL248" s="23"/>
      <c r="CM248" s="19"/>
      <c r="CN248" s="16" t="s">
        <v>128</v>
      </c>
      <c r="CO248" s="19"/>
      <c r="CP248" s="19"/>
      <c r="CQ248" s="19"/>
      <c r="CR248" s="19"/>
      <c r="CS248" s="21" t="s">
        <v>109</v>
      </c>
      <c r="CT248" s="23"/>
      <c r="CU248" s="19"/>
      <c r="CV248" s="16" t="s">
        <v>128</v>
      </c>
      <c r="CW248" s="21" t="s">
        <v>111</v>
      </c>
      <c r="CX248" s="22"/>
      <c r="CY248" s="23"/>
      <c r="CZ248" s="19"/>
      <c r="DA248" s="19"/>
      <c r="DB248" s="19"/>
      <c r="DC248" s="16" t="s">
        <v>129</v>
      </c>
      <c r="DD248" s="16" t="s">
        <v>129</v>
      </c>
      <c r="DE248" s="16" t="s">
        <v>129</v>
      </c>
      <c r="DF248" s="16" t="s">
        <v>129</v>
      </c>
      <c r="DG248" s="16" t="s">
        <v>1396</v>
      </c>
      <c r="DH248" s="16" t="s">
        <v>1397</v>
      </c>
      <c r="DI248" s="16" t="s">
        <v>803</v>
      </c>
      <c r="DJ248" s="21" t="s">
        <v>699</v>
      </c>
      <c r="DK248" s="23"/>
      <c r="DL248" s="19"/>
      <c r="DM248" s="16" t="s">
        <v>144</v>
      </c>
      <c r="DN248" s="19"/>
      <c r="DO248" s="19"/>
    </row>
    <row r="249" ht="15.75" customHeight="1">
      <c r="A249" s="15">
        <v>247.0</v>
      </c>
      <c r="B249" s="16" t="s">
        <v>1398</v>
      </c>
      <c r="C249" s="17">
        <v>3.2108092502594E13</v>
      </c>
      <c r="D249" s="18">
        <v>197.0</v>
      </c>
      <c r="E249" s="16" t="s">
        <v>1399</v>
      </c>
      <c r="F249" s="16" t="s">
        <v>851</v>
      </c>
      <c r="G249" s="16" t="s">
        <v>547</v>
      </c>
      <c r="H249" s="20">
        <v>44417.0</v>
      </c>
      <c r="I249" s="18">
        <v>1.0</v>
      </c>
      <c r="J249" s="19"/>
      <c r="K249" s="16" t="s">
        <v>1400</v>
      </c>
      <c r="L249" s="21" t="s">
        <v>138</v>
      </c>
      <c r="M249" s="23"/>
      <c r="N249" s="19"/>
      <c r="O249" s="19"/>
      <c r="P249" s="19"/>
      <c r="Q249" s="19"/>
      <c r="R249" s="19"/>
      <c r="S249" s="19"/>
      <c r="T249" s="19"/>
      <c r="U249" s="19"/>
      <c r="V249" s="16" t="s">
        <v>1113</v>
      </c>
      <c r="W249" s="16" t="s">
        <v>46</v>
      </c>
      <c r="X249" s="21" t="s">
        <v>47</v>
      </c>
      <c r="Y249" s="23"/>
      <c r="Z249" s="19"/>
      <c r="AA249" s="19"/>
      <c r="AB249" s="19"/>
      <c r="AC249" s="21" t="s">
        <v>52</v>
      </c>
      <c r="AD249" s="23"/>
      <c r="AE249" s="19"/>
      <c r="AF249" s="19"/>
      <c r="AG249" s="19"/>
      <c r="AH249" s="21" t="s">
        <v>123</v>
      </c>
      <c r="AI249" s="23"/>
      <c r="AJ249" s="16" t="s">
        <v>449</v>
      </c>
      <c r="AK249" s="16" t="s">
        <v>125</v>
      </c>
      <c r="AL249" s="16" t="s">
        <v>181</v>
      </c>
      <c r="AM249" s="16" t="s">
        <v>181</v>
      </c>
      <c r="AN249" s="16" t="s">
        <v>181</v>
      </c>
      <c r="AO249" s="16" t="s">
        <v>181</v>
      </c>
      <c r="AP249" s="16" t="s">
        <v>181</v>
      </c>
      <c r="AQ249" s="16" t="s">
        <v>181</v>
      </c>
      <c r="AR249" s="16" t="s">
        <v>181</v>
      </c>
      <c r="AS249" s="21" t="s">
        <v>65</v>
      </c>
      <c r="AT249" s="22"/>
      <c r="AU249" s="23"/>
      <c r="AV249" s="19"/>
      <c r="AW249" s="19"/>
      <c r="AX249" s="21" t="s">
        <v>70</v>
      </c>
      <c r="AY249" s="22"/>
      <c r="AZ249" s="23"/>
      <c r="BA249" s="19"/>
      <c r="BB249" s="19"/>
      <c r="BC249" s="19"/>
      <c r="BD249" s="19"/>
      <c r="BE249" s="19"/>
      <c r="BF249" s="16" t="s">
        <v>457</v>
      </c>
      <c r="BG249" s="16" t="s">
        <v>78</v>
      </c>
      <c r="BH249" s="21" t="s">
        <v>79</v>
      </c>
      <c r="BI249" s="23"/>
      <c r="BJ249" s="19"/>
      <c r="BK249" s="16" t="s">
        <v>81</v>
      </c>
      <c r="BL249" s="19"/>
      <c r="BM249" s="19"/>
      <c r="BN249" s="19"/>
      <c r="BO249" s="19"/>
      <c r="BP249" s="16" t="s">
        <v>144</v>
      </c>
      <c r="BQ249" s="19"/>
      <c r="BR249" s="19"/>
      <c r="BS249" s="19"/>
      <c r="BT249" s="19"/>
      <c r="BU249" s="19"/>
      <c r="BV249" s="19"/>
      <c r="BW249" s="19"/>
      <c r="BX249" s="16" t="s">
        <v>457</v>
      </c>
      <c r="BY249" s="19"/>
      <c r="BZ249" s="19"/>
      <c r="CA249" s="19"/>
      <c r="CB249" s="19"/>
      <c r="CC249" s="19"/>
      <c r="CD249" s="19"/>
      <c r="CE249" s="19"/>
      <c r="CF249" s="16" t="s">
        <v>144</v>
      </c>
      <c r="CG249" s="16" t="s">
        <v>128</v>
      </c>
      <c r="CH249" s="16" t="s">
        <v>100</v>
      </c>
      <c r="CI249" s="21" t="s">
        <v>101</v>
      </c>
      <c r="CJ249" s="22"/>
      <c r="CK249" s="23"/>
      <c r="CL249" s="21" t="s">
        <v>104</v>
      </c>
      <c r="CM249" s="23"/>
      <c r="CN249" s="16" t="s">
        <v>128</v>
      </c>
      <c r="CO249" s="21" t="s">
        <v>105</v>
      </c>
      <c r="CP249" s="22"/>
      <c r="CQ249" s="23"/>
      <c r="CR249" s="21" t="s">
        <v>108</v>
      </c>
      <c r="CS249" s="23"/>
      <c r="CT249" s="21" t="s">
        <v>110</v>
      </c>
      <c r="CU249" s="23"/>
      <c r="CV249" s="16" t="s">
        <v>128</v>
      </c>
      <c r="CW249" s="19"/>
      <c r="CX249" s="21" t="s">
        <v>112</v>
      </c>
      <c r="CY249" s="22"/>
      <c r="CZ249" s="23"/>
      <c r="DA249" s="21" t="s">
        <v>115</v>
      </c>
      <c r="DB249" s="23"/>
      <c r="DC249" s="16" t="s">
        <v>145</v>
      </c>
      <c r="DD249" s="16" t="s">
        <v>145</v>
      </c>
      <c r="DE249" s="16" t="s">
        <v>129</v>
      </c>
      <c r="DF249" s="16" t="s">
        <v>145</v>
      </c>
      <c r="DG249" s="16" t="s">
        <v>1401</v>
      </c>
      <c r="DH249" s="21" t="s">
        <v>1402</v>
      </c>
      <c r="DI249" s="23"/>
      <c r="DJ249" s="16" t="s">
        <v>144</v>
      </c>
      <c r="DK249" s="19"/>
      <c r="DL249" s="19"/>
      <c r="DM249" s="21" t="s">
        <v>1403</v>
      </c>
      <c r="DN249" s="23"/>
      <c r="DO249" s="19"/>
    </row>
    <row r="250" ht="15.75" customHeight="1">
      <c r="A250" s="15">
        <v>248.0</v>
      </c>
      <c r="B250" s="16" t="s">
        <v>1404</v>
      </c>
      <c r="C250" s="17">
        <v>3.0911252504505E13</v>
      </c>
      <c r="D250" s="18">
        <v>137.0</v>
      </c>
      <c r="E250" s="16" t="s">
        <v>1307</v>
      </c>
      <c r="F250" s="16" t="s">
        <v>595</v>
      </c>
      <c r="G250" s="16" t="s">
        <v>547</v>
      </c>
      <c r="H250" s="25">
        <v>43794.0</v>
      </c>
      <c r="I250" s="16"/>
      <c r="J250" s="18">
        <v>1.0</v>
      </c>
      <c r="K250" s="16" t="s">
        <v>1405</v>
      </c>
      <c r="L250" s="21" t="s">
        <v>138</v>
      </c>
      <c r="M250" s="23"/>
      <c r="N250" s="19"/>
      <c r="O250" s="19"/>
      <c r="P250" s="19"/>
      <c r="Q250" s="19"/>
      <c r="R250" s="19"/>
      <c r="S250" s="19"/>
      <c r="T250" s="19"/>
      <c r="U250" s="19"/>
      <c r="V250" s="21" t="s">
        <v>728</v>
      </c>
      <c r="W250" s="23"/>
      <c r="X250" s="19"/>
      <c r="Y250" s="21" t="s">
        <v>48</v>
      </c>
      <c r="Z250" s="23"/>
      <c r="AA250" s="19"/>
      <c r="AB250" s="19"/>
      <c r="AC250" s="19"/>
      <c r="AD250" s="19"/>
      <c r="AE250" s="19"/>
      <c r="AF250" s="19"/>
      <c r="AG250" s="19"/>
      <c r="AH250" s="21" t="s">
        <v>123</v>
      </c>
      <c r="AI250" s="23"/>
      <c r="AJ250" s="16" t="s">
        <v>124</v>
      </c>
      <c r="AK250" s="16" t="s">
        <v>142</v>
      </c>
      <c r="AL250" s="16" t="s">
        <v>181</v>
      </c>
      <c r="AM250" s="16" t="s">
        <v>126</v>
      </c>
      <c r="AN250" s="16" t="s">
        <v>181</v>
      </c>
      <c r="AO250" s="19"/>
      <c r="AP250" s="16" t="s">
        <v>181</v>
      </c>
      <c r="AQ250" s="16" t="s">
        <v>181</v>
      </c>
      <c r="AR250" s="16" t="s">
        <v>181</v>
      </c>
      <c r="AS250" s="21" t="s">
        <v>65</v>
      </c>
      <c r="AT250" s="22"/>
      <c r="AU250" s="23"/>
      <c r="AV250" s="21" t="s">
        <v>68</v>
      </c>
      <c r="AW250" s="23"/>
      <c r="AX250" s="16" t="s">
        <v>70</v>
      </c>
      <c r="AY250" s="21" t="s">
        <v>71</v>
      </c>
      <c r="AZ250" s="22"/>
      <c r="BA250" s="23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21" t="s">
        <v>82</v>
      </c>
      <c r="BM250" s="23"/>
      <c r="BN250" s="19"/>
      <c r="BO250" s="21" t="s">
        <v>85</v>
      </c>
      <c r="BP250" s="22"/>
      <c r="BQ250" s="22"/>
      <c r="BR250" s="23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6" t="s">
        <v>144</v>
      </c>
      <c r="CG250" s="16" t="s">
        <v>128</v>
      </c>
      <c r="CH250" s="16" t="s">
        <v>100</v>
      </c>
      <c r="CI250" s="21" t="s">
        <v>101</v>
      </c>
      <c r="CJ250" s="23"/>
      <c r="CK250" s="16" t="s">
        <v>103</v>
      </c>
      <c r="CL250" s="21" t="s">
        <v>104</v>
      </c>
      <c r="CM250" s="23"/>
      <c r="CN250" s="16" t="s">
        <v>128</v>
      </c>
      <c r="CO250" s="21" t="s">
        <v>105</v>
      </c>
      <c r="CP250" s="22"/>
      <c r="CQ250" s="23"/>
      <c r="CR250" s="19"/>
      <c r="CS250" s="19"/>
      <c r="CT250" s="19"/>
      <c r="CU250" s="19"/>
      <c r="CV250" s="16" t="s">
        <v>128</v>
      </c>
      <c r="CW250" s="19"/>
      <c r="CX250" s="21" t="s">
        <v>112</v>
      </c>
      <c r="CY250" s="22"/>
      <c r="CZ250" s="23"/>
      <c r="DA250" s="21" t="s">
        <v>115</v>
      </c>
      <c r="DB250" s="23"/>
      <c r="DC250" s="16" t="s">
        <v>129</v>
      </c>
      <c r="DD250" s="16" t="s">
        <v>129</v>
      </c>
      <c r="DE250" s="16" t="s">
        <v>145</v>
      </c>
      <c r="DF250" s="16" t="s">
        <v>145</v>
      </c>
      <c r="DG250" s="16" t="s">
        <v>1406</v>
      </c>
      <c r="DH250" s="16" t="s">
        <v>1407</v>
      </c>
      <c r="DI250" s="16" t="s">
        <v>1408</v>
      </c>
      <c r="DJ250" s="16" t="s">
        <v>144</v>
      </c>
      <c r="DK250" s="19"/>
      <c r="DL250" s="19"/>
      <c r="DM250" s="16" t="s">
        <v>144</v>
      </c>
      <c r="DN250" s="19"/>
      <c r="DO250" s="19"/>
    </row>
    <row r="251" ht="15.75" customHeight="1">
      <c r="A251" s="15">
        <v>249.0</v>
      </c>
      <c r="B251" s="16" t="s">
        <v>1409</v>
      </c>
      <c r="C251" s="17">
        <v>3.1509252501302E13</v>
      </c>
      <c r="D251" s="18">
        <v>120.0</v>
      </c>
      <c r="E251" s="16" t="s">
        <v>241</v>
      </c>
      <c r="F251" s="16" t="s">
        <v>1331</v>
      </c>
      <c r="G251" s="16" t="s">
        <v>547</v>
      </c>
      <c r="H251" s="20">
        <v>42272.0</v>
      </c>
      <c r="I251" s="16"/>
      <c r="J251" s="18">
        <v>1.0</v>
      </c>
      <c r="K251" s="16" t="s">
        <v>1393</v>
      </c>
      <c r="L251" s="16" t="s">
        <v>122</v>
      </c>
      <c r="M251" s="19"/>
      <c r="N251" s="19"/>
      <c r="O251" s="19"/>
      <c r="P251" s="19"/>
      <c r="Q251" s="19"/>
      <c r="R251" s="19"/>
      <c r="S251" s="19"/>
      <c r="T251" s="21" t="s">
        <v>43</v>
      </c>
      <c r="U251" s="23"/>
      <c r="V251" s="16" t="s">
        <v>875</v>
      </c>
      <c r="W251" s="19"/>
      <c r="X251" s="19"/>
      <c r="Y251" s="21" t="s">
        <v>48</v>
      </c>
      <c r="Z251" s="23"/>
      <c r="AA251" s="19"/>
      <c r="AB251" s="19"/>
      <c r="AC251" s="19"/>
      <c r="AD251" s="19"/>
      <c r="AE251" s="19"/>
      <c r="AF251" s="19"/>
      <c r="AG251" s="19"/>
      <c r="AH251" s="21" t="s">
        <v>123</v>
      </c>
      <c r="AI251" s="23"/>
      <c r="AJ251" s="16" t="s">
        <v>141</v>
      </c>
      <c r="AK251" s="16" t="s">
        <v>244</v>
      </c>
      <c r="AL251" s="16" t="s">
        <v>126</v>
      </c>
      <c r="AM251" s="16" t="s">
        <v>181</v>
      </c>
      <c r="AN251" s="16" t="s">
        <v>181</v>
      </c>
      <c r="AO251" s="16" t="s">
        <v>126</v>
      </c>
      <c r="AP251" s="16" t="s">
        <v>126</v>
      </c>
      <c r="AQ251" s="16" t="s">
        <v>181</v>
      </c>
      <c r="AR251" s="16" t="s">
        <v>126</v>
      </c>
      <c r="AS251" s="21" t="s">
        <v>65</v>
      </c>
      <c r="AT251" s="22"/>
      <c r="AU251" s="23"/>
      <c r="AV251" s="21" t="s">
        <v>68</v>
      </c>
      <c r="AW251" s="22"/>
      <c r="AX251" s="23"/>
      <c r="AY251" s="19"/>
      <c r="AZ251" s="19"/>
      <c r="BA251" s="19"/>
      <c r="BB251" s="19"/>
      <c r="BC251" s="19"/>
      <c r="BD251" s="19"/>
      <c r="BE251" s="19"/>
      <c r="BF251" s="18" t="s">
        <v>844</v>
      </c>
      <c r="BG251" s="21" t="s">
        <v>78</v>
      </c>
      <c r="BH251" s="23"/>
      <c r="BI251" s="19"/>
      <c r="BJ251" s="19"/>
      <c r="BK251" s="19"/>
      <c r="BL251" s="19"/>
      <c r="BM251" s="19"/>
      <c r="BN251" s="21" t="s">
        <v>84</v>
      </c>
      <c r="BO251" s="22"/>
      <c r="BP251" s="23"/>
      <c r="BQ251" s="19"/>
      <c r="BR251" s="19"/>
      <c r="BS251" s="19"/>
      <c r="BT251" s="19"/>
      <c r="BU251" s="19"/>
      <c r="BV251" s="19"/>
      <c r="BW251" s="19"/>
      <c r="BX251" s="18" t="s">
        <v>839</v>
      </c>
      <c r="BY251" s="19"/>
      <c r="BZ251" s="19"/>
      <c r="CA251" s="19"/>
      <c r="CB251" s="19"/>
      <c r="CC251" s="19"/>
      <c r="CD251" s="19"/>
      <c r="CE251" s="19"/>
      <c r="CF251" s="16" t="s">
        <v>144</v>
      </c>
      <c r="CG251" s="16" t="s">
        <v>128</v>
      </c>
      <c r="CH251" s="19"/>
      <c r="CI251" s="19"/>
      <c r="CJ251" s="21" t="s">
        <v>102</v>
      </c>
      <c r="CK251" s="22"/>
      <c r="CL251" s="23"/>
      <c r="CM251" s="19"/>
      <c r="CN251" s="16" t="s">
        <v>128</v>
      </c>
      <c r="CO251" s="21" t="s">
        <v>105</v>
      </c>
      <c r="CP251" s="23"/>
      <c r="CQ251" s="21" t="s">
        <v>107</v>
      </c>
      <c r="CR251" s="22"/>
      <c r="CS251" s="23"/>
      <c r="CT251" s="19"/>
      <c r="CU251" s="19"/>
      <c r="CV251" s="16" t="s">
        <v>128</v>
      </c>
      <c r="CW251" s="19"/>
      <c r="CX251" s="19"/>
      <c r="CY251" s="19"/>
      <c r="CZ251" s="21" t="s">
        <v>114</v>
      </c>
      <c r="DA251" s="22"/>
      <c r="DB251" s="23"/>
      <c r="DC251" s="16" t="s">
        <v>145</v>
      </c>
      <c r="DD251" s="16" t="s">
        <v>129</v>
      </c>
      <c r="DE251" s="19"/>
      <c r="DF251" s="19"/>
      <c r="DG251" s="21" t="s">
        <v>1058</v>
      </c>
      <c r="DH251" s="23"/>
      <c r="DI251" s="19"/>
      <c r="DJ251" s="16" t="s">
        <v>875</v>
      </c>
      <c r="DK251" s="19"/>
      <c r="DL251" s="19"/>
      <c r="DM251" s="21" t="s">
        <v>1060</v>
      </c>
      <c r="DN251" s="23"/>
      <c r="DO251" s="19"/>
    </row>
    <row r="252" ht="15.75" customHeight="1">
      <c r="A252" s="15">
        <v>250.0</v>
      </c>
      <c r="B252" s="16" t="s">
        <v>1410</v>
      </c>
      <c r="C252" s="17">
        <v>3.1306192504376E13</v>
      </c>
      <c r="D252" s="18">
        <v>76.0</v>
      </c>
      <c r="E252" s="16" t="s">
        <v>1335</v>
      </c>
      <c r="F252" s="16" t="s">
        <v>606</v>
      </c>
      <c r="G252" s="16" t="s">
        <v>547</v>
      </c>
      <c r="H252" s="20">
        <v>41352.0</v>
      </c>
      <c r="I252" s="18">
        <v>1.0</v>
      </c>
      <c r="J252" s="19"/>
      <c r="K252" s="16" t="s">
        <v>1411</v>
      </c>
      <c r="L252" s="21" t="s">
        <v>138</v>
      </c>
      <c r="M252" s="23"/>
      <c r="N252" s="19"/>
      <c r="O252" s="19"/>
      <c r="P252" s="19"/>
      <c r="Q252" s="19"/>
      <c r="R252" s="19"/>
      <c r="S252" s="19"/>
      <c r="T252" s="19"/>
      <c r="U252" s="19"/>
      <c r="V252" s="16" t="s">
        <v>932</v>
      </c>
      <c r="W252" s="16" t="s">
        <v>46</v>
      </c>
      <c r="X252" s="21" t="s">
        <v>47</v>
      </c>
      <c r="Y252" s="23"/>
      <c r="Z252" s="19"/>
      <c r="AA252" s="16" t="s">
        <v>50</v>
      </c>
      <c r="AB252" s="19"/>
      <c r="AC252" s="19"/>
      <c r="AD252" s="19"/>
      <c r="AE252" s="19"/>
      <c r="AF252" s="16" t="s">
        <v>55</v>
      </c>
      <c r="AG252" s="18" t="s">
        <v>839</v>
      </c>
      <c r="AH252" s="16" t="s">
        <v>57</v>
      </c>
      <c r="AI252" s="18">
        <v>0.0</v>
      </c>
      <c r="AJ252" s="16" t="s">
        <v>124</v>
      </c>
      <c r="AK252" s="16" t="s">
        <v>153</v>
      </c>
      <c r="AL252" s="16" t="s">
        <v>181</v>
      </c>
      <c r="AM252" s="16" t="s">
        <v>181</v>
      </c>
      <c r="AN252" s="16" t="s">
        <v>181</v>
      </c>
      <c r="AO252" s="16" t="s">
        <v>181</v>
      </c>
      <c r="AP252" s="16" t="s">
        <v>126</v>
      </c>
      <c r="AQ252" s="16" t="s">
        <v>126</v>
      </c>
      <c r="AR252" s="16" t="s">
        <v>126</v>
      </c>
      <c r="AS252" s="21" t="s">
        <v>65</v>
      </c>
      <c r="AT252" s="23"/>
      <c r="AU252" s="21" t="s">
        <v>67</v>
      </c>
      <c r="AV252" s="23"/>
      <c r="AW252" s="16" t="s">
        <v>69</v>
      </c>
      <c r="AX252" s="16" t="s">
        <v>70</v>
      </c>
      <c r="AY252" s="16" t="s">
        <v>71</v>
      </c>
      <c r="AZ252" s="18" t="s">
        <v>844</v>
      </c>
      <c r="BA252" s="19"/>
      <c r="BB252" s="21" t="s">
        <v>74</v>
      </c>
      <c r="BC252" s="22"/>
      <c r="BD252" s="23"/>
      <c r="BE252" s="16" t="s">
        <v>77</v>
      </c>
      <c r="BF252" s="18" t="s">
        <v>844</v>
      </c>
      <c r="BG252" s="21" t="s">
        <v>78</v>
      </c>
      <c r="BH252" s="23"/>
      <c r="BI252" s="19"/>
      <c r="BJ252" s="19"/>
      <c r="BK252" s="16" t="s">
        <v>81</v>
      </c>
      <c r="BL252" s="16" t="s">
        <v>82</v>
      </c>
      <c r="BM252" s="16" t="s">
        <v>83</v>
      </c>
      <c r="BN252" s="16" t="s">
        <v>84</v>
      </c>
      <c r="BO252" s="16" t="s">
        <v>85</v>
      </c>
      <c r="BP252" s="18" t="s">
        <v>844</v>
      </c>
      <c r="BQ252" s="19"/>
      <c r="BR252" s="19"/>
      <c r="BS252" s="16" t="s">
        <v>88</v>
      </c>
      <c r="BT252" s="21" t="s">
        <v>89</v>
      </c>
      <c r="BU252" s="22"/>
      <c r="BV252" s="23"/>
      <c r="BW252" s="16" t="s">
        <v>92</v>
      </c>
      <c r="BX252" s="18" t="s">
        <v>844</v>
      </c>
      <c r="BY252" s="19"/>
      <c r="BZ252" s="19"/>
      <c r="CA252" s="19"/>
      <c r="CB252" s="21" t="s">
        <v>96</v>
      </c>
      <c r="CC252" s="23"/>
      <c r="CD252" s="19"/>
      <c r="CE252" s="19"/>
      <c r="CF252" s="18">
        <v>0.0</v>
      </c>
      <c r="CG252" s="16" t="s">
        <v>128</v>
      </c>
      <c r="CH252" s="19"/>
      <c r="CI252" s="16" t="s">
        <v>101</v>
      </c>
      <c r="CJ252" s="16" t="s">
        <v>102</v>
      </c>
      <c r="CK252" s="16" t="s">
        <v>103</v>
      </c>
      <c r="CL252" s="16" t="s">
        <v>104</v>
      </c>
      <c r="CM252" s="18" t="s">
        <v>839</v>
      </c>
      <c r="CN252" s="16" t="s">
        <v>128</v>
      </c>
      <c r="CO252" s="16" t="s">
        <v>105</v>
      </c>
      <c r="CP252" s="16" t="s">
        <v>106</v>
      </c>
      <c r="CQ252" s="16" t="s">
        <v>107</v>
      </c>
      <c r="CR252" s="16" t="s">
        <v>108</v>
      </c>
      <c r="CS252" s="16" t="s">
        <v>109</v>
      </c>
      <c r="CT252" s="16" t="s">
        <v>110</v>
      </c>
      <c r="CU252" s="18">
        <v>0.0</v>
      </c>
      <c r="CV252" s="21" t="s">
        <v>154</v>
      </c>
      <c r="CW252" s="23"/>
      <c r="CX252" s="19"/>
      <c r="CY252" s="19"/>
      <c r="CZ252" s="21" t="s">
        <v>114</v>
      </c>
      <c r="DA252" s="23"/>
      <c r="DB252" s="18" t="s">
        <v>839</v>
      </c>
      <c r="DC252" s="16" t="s">
        <v>129</v>
      </c>
      <c r="DD252" s="16" t="s">
        <v>145</v>
      </c>
      <c r="DE252" s="16" t="s">
        <v>129</v>
      </c>
      <c r="DF252" s="16" t="s">
        <v>129</v>
      </c>
      <c r="DG252" s="16" t="s">
        <v>841</v>
      </c>
      <c r="DH252" s="16" t="s">
        <v>897</v>
      </c>
      <c r="DI252" s="16" t="s">
        <v>1412</v>
      </c>
      <c r="DJ252" s="16" t="s">
        <v>1104</v>
      </c>
      <c r="DK252" s="18" t="s">
        <v>844</v>
      </c>
      <c r="DL252" s="18" t="s">
        <v>845</v>
      </c>
      <c r="DM252" s="16" t="s">
        <v>930</v>
      </c>
      <c r="DN252" s="16" t="s">
        <v>901</v>
      </c>
      <c r="DO252" s="18">
        <v>0.0</v>
      </c>
    </row>
    <row r="253" ht="15.75" customHeight="1">
      <c r="A253" s="15">
        <v>251.0</v>
      </c>
      <c r="B253" s="16" t="s">
        <v>1413</v>
      </c>
      <c r="C253" s="17">
        <v>3.1505072503891E13</v>
      </c>
      <c r="D253" s="18">
        <v>1.0</v>
      </c>
      <c r="E253" s="16" t="s">
        <v>1307</v>
      </c>
      <c r="F253" s="16" t="s">
        <v>595</v>
      </c>
      <c r="G253" s="16" t="s">
        <v>547</v>
      </c>
      <c r="H253" s="20">
        <v>42131.0</v>
      </c>
      <c r="I253" s="18">
        <v>1.0</v>
      </c>
      <c r="J253" s="19"/>
      <c r="K253" s="16" t="s">
        <v>1414</v>
      </c>
      <c r="L253" s="21" t="s">
        <v>138</v>
      </c>
      <c r="M253" s="23"/>
      <c r="N253" s="19"/>
      <c r="O253" s="19"/>
      <c r="P253" s="19"/>
      <c r="Q253" s="19"/>
      <c r="R253" s="19"/>
      <c r="S253" s="19"/>
      <c r="T253" s="19"/>
      <c r="U253" s="19"/>
      <c r="V253" s="16" t="s">
        <v>402</v>
      </c>
      <c r="W253" s="16" t="s">
        <v>46</v>
      </c>
      <c r="X253" s="21" t="s">
        <v>47</v>
      </c>
      <c r="Y253" s="23"/>
      <c r="Z253" s="19"/>
      <c r="AA253" s="19"/>
      <c r="AB253" s="19"/>
      <c r="AC253" s="19"/>
      <c r="AD253" s="19"/>
      <c r="AE253" s="19"/>
      <c r="AF253" s="19"/>
      <c r="AG253" s="19"/>
      <c r="AH253" s="21" t="s">
        <v>123</v>
      </c>
      <c r="AI253" s="23"/>
      <c r="AJ253" s="16" t="s">
        <v>168</v>
      </c>
      <c r="AK253" s="16" t="s">
        <v>153</v>
      </c>
      <c r="AL253" s="16" t="s">
        <v>126</v>
      </c>
      <c r="AM253" s="16" t="s">
        <v>126</v>
      </c>
      <c r="AN253" s="16" t="s">
        <v>126</v>
      </c>
      <c r="AO253" s="16" t="s">
        <v>181</v>
      </c>
      <c r="AP253" s="16" t="s">
        <v>181</v>
      </c>
      <c r="AQ253" s="16" t="s">
        <v>126</v>
      </c>
      <c r="AR253" s="16" t="s">
        <v>181</v>
      </c>
      <c r="AS253" s="21" t="s">
        <v>65</v>
      </c>
      <c r="AT253" s="23"/>
      <c r="AU253" s="21" t="s">
        <v>67</v>
      </c>
      <c r="AV253" s="22"/>
      <c r="AW253" s="23"/>
      <c r="AX253" s="19"/>
      <c r="AY253" s="19"/>
      <c r="AZ253" s="19"/>
      <c r="BA253" s="19"/>
      <c r="BB253" s="19"/>
      <c r="BC253" s="19"/>
      <c r="BD253" s="19"/>
      <c r="BE253" s="19"/>
      <c r="BF253" s="19"/>
      <c r="BG253" s="21" t="s">
        <v>78</v>
      </c>
      <c r="BH253" s="23"/>
      <c r="BI253" s="19"/>
      <c r="BJ253" s="19"/>
      <c r="BK253" s="16" t="s">
        <v>81</v>
      </c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21" t="s">
        <v>93</v>
      </c>
      <c r="BZ253" s="22"/>
      <c r="CA253" s="23"/>
      <c r="CB253" s="19"/>
      <c r="CC253" s="19"/>
      <c r="CD253" s="19"/>
      <c r="CE253" s="19"/>
      <c r="CF253" s="19"/>
      <c r="CG253" s="16" t="s">
        <v>128</v>
      </c>
      <c r="CH253" s="21" t="s">
        <v>100</v>
      </c>
      <c r="CI253" s="23"/>
      <c r="CJ253" s="16" t="s">
        <v>102</v>
      </c>
      <c r="CK253" s="21" t="s">
        <v>103</v>
      </c>
      <c r="CL253" s="23"/>
      <c r="CM253" s="19"/>
      <c r="CN253" s="16" t="s">
        <v>128</v>
      </c>
      <c r="CO253" s="19"/>
      <c r="CP253" s="19"/>
      <c r="CQ253" s="19"/>
      <c r="CR253" s="19"/>
      <c r="CS253" s="19"/>
      <c r="CT253" s="16" t="s">
        <v>110</v>
      </c>
      <c r="CU253" s="16" t="s">
        <v>1415</v>
      </c>
      <c r="CV253" s="16" t="s">
        <v>128</v>
      </c>
      <c r="CW253" s="19"/>
      <c r="CX253" s="21" t="s">
        <v>112</v>
      </c>
      <c r="CY253" s="23"/>
      <c r="CZ253" s="21" t="s">
        <v>114</v>
      </c>
      <c r="DA253" s="22"/>
      <c r="DB253" s="22"/>
      <c r="DC253" s="23"/>
      <c r="DD253" s="16" t="s">
        <v>129</v>
      </c>
      <c r="DE253" s="16" t="s">
        <v>129</v>
      </c>
      <c r="DF253" s="16" t="s">
        <v>129</v>
      </c>
      <c r="DG253" s="16" t="s">
        <v>1416</v>
      </c>
      <c r="DH253" s="21" t="s">
        <v>1417</v>
      </c>
      <c r="DI253" s="23"/>
      <c r="DJ253" s="16" t="s">
        <v>144</v>
      </c>
      <c r="DK253" s="19"/>
      <c r="DL253" s="19"/>
      <c r="DM253" s="21" t="s">
        <v>1418</v>
      </c>
      <c r="DN253" s="22"/>
      <c r="DO253" s="23"/>
    </row>
    <row r="254" ht="15.75" customHeight="1">
      <c r="A254" s="15">
        <v>252.0</v>
      </c>
      <c r="B254" s="16" t="s">
        <v>1419</v>
      </c>
      <c r="C254" s="17">
        <v>3.1603012801844E13</v>
      </c>
      <c r="D254" s="18">
        <v>129.0</v>
      </c>
      <c r="E254" s="16" t="s">
        <v>1307</v>
      </c>
      <c r="F254" s="16" t="s">
        <v>851</v>
      </c>
      <c r="G254" s="16" t="s">
        <v>547</v>
      </c>
      <c r="H254" s="20">
        <v>42430.0</v>
      </c>
      <c r="I254" s="16"/>
      <c r="J254" s="18">
        <v>1.0</v>
      </c>
      <c r="K254" s="16" t="s">
        <v>1420</v>
      </c>
      <c r="L254" s="21" t="s">
        <v>138</v>
      </c>
      <c r="M254" s="23"/>
      <c r="N254" s="19"/>
      <c r="O254" s="19"/>
      <c r="P254" s="19"/>
      <c r="Q254" s="19"/>
      <c r="R254" s="19"/>
      <c r="S254" s="19"/>
      <c r="T254" s="19"/>
      <c r="U254" s="19"/>
      <c r="V254" s="16" t="s">
        <v>910</v>
      </c>
      <c r="W254" s="16" t="s">
        <v>46</v>
      </c>
      <c r="X254" s="21" t="s">
        <v>47</v>
      </c>
      <c r="Y254" s="23"/>
      <c r="Z254" s="19"/>
      <c r="AA254" s="19"/>
      <c r="AB254" s="19"/>
      <c r="AC254" s="19"/>
      <c r="AD254" s="19"/>
      <c r="AE254" s="19"/>
      <c r="AF254" s="19"/>
      <c r="AG254" s="19"/>
      <c r="AH254" s="21" t="s">
        <v>357</v>
      </c>
      <c r="AI254" s="23"/>
      <c r="AJ254" s="16" t="s">
        <v>168</v>
      </c>
      <c r="AK254" s="16" t="s">
        <v>153</v>
      </c>
      <c r="AL254" s="16" t="s">
        <v>181</v>
      </c>
      <c r="AM254" s="16" t="s">
        <v>181</v>
      </c>
      <c r="AN254" s="16" t="s">
        <v>181</v>
      </c>
      <c r="AO254" s="16" t="s">
        <v>181</v>
      </c>
      <c r="AP254" s="19"/>
      <c r="AQ254" s="16" t="s">
        <v>181</v>
      </c>
      <c r="AR254" s="16" t="s">
        <v>181</v>
      </c>
      <c r="AS254" s="21" t="s">
        <v>65</v>
      </c>
      <c r="AT254" s="22"/>
      <c r="AU254" s="23"/>
      <c r="AV254" s="21" t="s">
        <v>68</v>
      </c>
      <c r="AW254" s="22"/>
      <c r="AX254" s="23"/>
      <c r="AY254" s="19"/>
      <c r="AZ254" s="19"/>
      <c r="BA254" s="19"/>
      <c r="BB254" s="19"/>
      <c r="BC254" s="19"/>
      <c r="BD254" s="19"/>
      <c r="BE254" s="19"/>
      <c r="BF254" s="19"/>
      <c r="BG254" s="21" t="s">
        <v>78</v>
      </c>
      <c r="BH254" s="23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6" t="s">
        <v>144</v>
      </c>
      <c r="CG254" s="16" t="s">
        <v>128</v>
      </c>
      <c r="CH254" s="16" t="s">
        <v>100</v>
      </c>
      <c r="CI254" s="21" t="s">
        <v>101</v>
      </c>
      <c r="CJ254" s="23"/>
      <c r="CK254" s="21" t="s">
        <v>103</v>
      </c>
      <c r="CL254" s="23"/>
      <c r="CM254" s="19"/>
      <c r="CN254" s="16" t="s">
        <v>128</v>
      </c>
      <c r="CO254" s="16" t="s">
        <v>105</v>
      </c>
      <c r="CP254" s="21" t="s">
        <v>106</v>
      </c>
      <c r="CQ254" s="22"/>
      <c r="CR254" s="22"/>
      <c r="CS254" s="23"/>
      <c r="CT254" s="19"/>
      <c r="CU254" s="19"/>
      <c r="CV254" s="16" t="s">
        <v>128</v>
      </c>
      <c r="CW254" s="21" t="s">
        <v>111</v>
      </c>
      <c r="CX254" s="22"/>
      <c r="CY254" s="23"/>
      <c r="CZ254" s="21" t="s">
        <v>114</v>
      </c>
      <c r="DA254" s="22"/>
      <c r="DB254" s="23"/>
      <c r="DC254" s="16" t="s">
        <v>129</v>
      </c>
      <c r="DD254" s="16" t="s">
        <v>129</v>
      </c>
      <c r="DE254" s="16" t="s">
        <v>129</v>
      </c>
      <c r="DF254" s="16" t="s">
        <v>129</v>
      </c>
      <c r="DG254" s="21" t="s">
        <v>1421</v>
      </c>
      <c r="DH254" s="23"/>
      <c r="DI254" s="19"/>
      <c r="DJ254" s="16" t="s">
        <v>144</v>
      </c>
      <c r="DK254" s="19"/>
      <c r="DL254" s="19"/>
      <c r="DM254" s="16" t="s">
        <v>144</v>
      </c>
      <c r="DN254" s="19"/>
      <c r="DO254" s="19"/>
    </row>
    <row r="255" ht="15.75" customHeight="1">
      <c r="A255" s="15">
        <v>253.0</v>
      </c>
      <c r="B255" s="16" t="s">
        <v>1422</v>
      </c>
      <c r="C255" s="17">
        <v>3.1911232501651E13</v>
      </c>
      <c r="D255" s="18">
        <v>240.0</v>
      </c>
      <c r="E255" s="16" t="s">
        <v>1271</v>
      </c>
      <c r="F255" s="16" t="s">
        <v>1271</v>
      </c>
      <c r="G255" s="16" t="s">
        <v>547</v>
      </c>
      <c r="H255" s="25">
        <v>43792.0</v>
      </c>
      <c r="I255" s="18">
        <v>1.0</v>
      </c>
      <c r="J255" s="19"/>
      <c r="K255" s="16" t="s">
        <v>1423</v>
      </c>
      <c r="L255" s="16" t="s">
        <v>122</v>
      </c>
      <c r="M255" s="19"/>
      <c r="N255" s="19"/>
      <c r="O255" s="19"/>
      <c r="P255" s="19"/>
      <c r="Q255" s="19"/>
      <c r="R255" s="19"/>
      <c r="S255" s="19"/>
      <c r="T255" s="19"/>
      <c r="U255" s="19"/>
      <c r="V255" s="21" t="s">
        <v>1424</v>
      </c>
      <c r="W255" s="23"/>
      <c r="X255" s="21" t="s">
        <v>47</v>
      </c>
      <c r="Y255" s="23"/>
      <c r="Z255" s="19"/>
      <c r="AA255" s="16" t="s">
        <v>50</v>
      </c>
      <c r="AB255" s="19"/>
      <c r="AC255" s="19"/>
      <c r="AD255" s="19"/>
      <c r="AE255" s="19"/>
      <c r="AF255" s="19"/>
      <c r="AG255" s="19"/>
      <c r="AH255" s="21" t="s">
        <v>357</v>
      </c>
      <c r="AI255" s="23"/>
      <c r="AJ255" s="16" t="s">
        <v>124</v>
      </c>
      <c r="AK255" s="16" t="s">
        <v>153</v>
      </c>
      <c r="AL255" s="16" t="s">
        <v>181</v>
      </c>
      <c r="AM255" s="16" t="s">
        <v>181</v>
      </c>
      <c r="AN255" s="16" t="s">
        <v>181</v>
      </c>
      <c r="AO255" s="16" t="s">
        <v>181</v>
      </c>
      <c r="AP255" s="16" t="s">
        <v>181</v>
      </c>
      <c r="AQ255" s="16" t="s">
        <v>181</v>
      </c>
      <c r="AR255" s="16" t="s">
        <v>181</v>
      </c>
      <c r="AS255" s="21" t="s">
        <v>65</v>
      </c>
      <c r="AT255" s="22"/>
      <c r="AU255" s="23"/>
      <c r="AV255" s="19"/>
      <c r="AW255" s="19"/>
      <c r="AX255" s="21" t="s">
        <v>70</v>
      </c>
      <c r="AY255" s="22"/>
      <c r="AZ255" s="23"/>
      <c r="BA255" s="19"/>
      <c r="BB255" s="19"/>
      <c r="BC255" s="19"/>
      <c r="BD255" s="19"/>
      <c r="BE255" s="19"/>
      <c r="BF255" s="16" t="s">
        <v>1295</v>
      </c>
      <c r="BG255" s="21" t="s">
        <v>78</v>
      </c>
      <c r="BH255" s="23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6" t="s">
        <v>1295</v>
      </c>
      <c r="BY255" s="19"/>
      <c r="BZ255" s="19"/>
      <c r="CA255" s="19"/>
      <c r="CB255" s="21" t="s">
        <v>96</v>
      </c>
      <c r="CC255" s="23"/>
      <c r="CD255" s="19"/>
      <c r="CE255" s="19"/>
      <c r="CF255" s="19"/>
      <c r="CG255" s="16" t="s">
        <v>128</v>
      </c>
      <c r="CH255" s="16" t="s">
        <v>100</v>
      </c>
      <c r="CI255" s="16" t="s">
        <v>101</v>
      </c>
      <c r="CJ255" s="21" t="s">
        <v>102</v>
      </c>
      <c r="CK255" s="23"/>
      <c r="CL255" s="21" t="s">
        <v>104</v>
      </c>
      <c r="CM255" s="23"/>
      <c r="CN255" s="16" t="s">
        <v>128</v>
      </c>
      <c r="CO255" s="16" t="s">
        <v>105</v>
      </c>
      <c r="CP255" s="21" t="s">
        <v>106</v>
      </c>
      <c r="CQ255" s="23"/>
      <c r="CR255" s="16" t="s">
        <v>108</v>
      </c>
      <c r="CS255" s="16" t="s">
        <v>109</v>
      </c>
      <c r="CT255" s="21" t="s">
        <v>110</v>
      </c>
      <c r="CU255" s="23"/>
      <c r="CV255" s="16" t="s">
        <v>128</v>
      </c>
      <c r="CW255" s="19"/>
      <c r="CX255" s="21" t="s">
        <v>112</v>
      </c>
      <c r="CY255" s="23"/>
      <c r="CZ255" s="16" t="s">
        <v>114</v>
      </c>
      <c r="DA255" s="21" t="s">
        <v>115</v>
      </c>
      <c r="DB255" s="22"/>
      <c r="DC255" s="22"/>
      <c r="DD255" s="23"/>
      <c r="DE255" s="19"/>
      <c r="DF255" s="19"/>
      <c r="DG255" s="19"/>
      <c r="DH255" s="19"/>
      <c r="DI255" s="19"/>
      <c r="DJ255" s="19"/>
      <c r="DK255" s="19"/>
      <c r="DL255" s="19"/>
      <c r="DM255" s="21" t="s">
        <v>1425</v>
      </c>
      <c r="DN255" s="22"/>
      <c r="DO255" s="23"/>
    </row>
    <row r="256" ht="15.75" customHeight="1">
      <c r="A256" s="15">
        <v>254.0</v>
      </c>
      <c r="B256" s="16" t="s">
        <v>1426</v>
      </c>
      <c r="C256" s="17">
        <v>3.2009072502832E13</v>
      </c>
      <c r="D256" s="18">
        <v>126.0</v>
      </c>
      <c r="E256" s="16" t="s">
        <v>1338</v>
      </c>
      <c r="F256" s="16" t="s">
        <v>1339</v>
      </c>
      <c r="G256" s="16" t="s">
        <v>547</v>
      </c>
      <c r="H256" s="20">
        <v>44081.0</v>
      </c>
      <c r="I256" s="18">
        <v>1.0</v>
      </c>
      <c r="J256" s="19"/>
      <c r="K256" s="16" t="s">
        <v>1427</v>
      </c>
      <c r="L256" s="21" t="s">
        <v>138</v>
      </c>
      <c r="M256" s="23"/>
      <c r="N256" s="19"/>
      <c r="O256" s="19"/>
      <c r="P256" s="19"/>
      <c r="Q256" s="19"/>
      <c r="R256" s="19"/>
      <c r="S256" s="19"/>
      <c r="T256" s="19"/>
      <c r="U256" s="19"/>
      <c r="V256" s="21" t="s">
        <v>138</v>
      </c>
      <c r="W256" s="23"/>
      <c r="X256" s="21" t="s">
        <v>47</v>
      </c>
      <c r="Y256" s="23"/>
      <c r="Z256" s="19"/>
      <c r="AA256" s="19"/>
      <c r="AB256" s="19"/>
      <c r="AC256" s="19"/>
      <c r="AD256" s="19"/>
      <c r="AE256" s="19"/>
      <c r="AF256" s="19"/>
      <c r="AG256" s="19"/>
      <c r="AH256" s="21" t="s">
        <v>123</v>
      </c>
      <c r="AI256" s="23"/>
      <c r="AJ256" s="16" t="s">
        <v>663</v>
      </c>
      <c r="AK256" s="16" t="s">
        <v>153</v>
      </c>
      <c r="AL256" s="16" t="s">
        <v>181</v>
      </c>
      <c r="AM256" s="16" t="s">
        <v>181</v>
      </c>
      <c r="AN256" s="16" t="s">
        <v>181</v>
      </c>
      <c r="AO256" s="16" t="s">
        <v>181</v>
      </c>
      <c r="AP256" s="16" t="s">
        <v>181</v>
      </c>
      <c r="AQ256" s="16" t="s">
        <v>181</v>
      </c>
      <c r="AR256" s="16" t="s">
        <v>181</v>
      </c>
      <c r="AS256" s="21" t="s">
        <v>65</v>
      </c>
      <c r="AT256" s="22"/>
      <c r="AU256" s="23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6" t="s">
        <v>144</v>
      </c>
      <c r="BG256" s="21" t="s">
        <v>78</v>
      </c>
      <c r="BH256" s="23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6" t="s">
        <v>144</v>
      </c>
      <c r="BY256" s="19"/>
      <c r="BZ256" s="19"/>
      <c r="CA256" s="19"/>
      <c r="CB256" s="19"/>
      <c r="CC256" s="19"/>
      <c r="CD256" s="19"/>
      <c r="CE256" s="19"/>
      <c r="CF256" s="16" t="s">
        <v>144</v>
      </c>
      <c r="CG256" s="16" t="s">
        <v>128</v>
      </c>
      <c r="CH256" s="19"/>
      <c r="CI256" s="19"/>
      <c r="CJ256" s="19"/>
      <c r="CK256" s="19"/>
      <c r="CL256" s="21" t="s">
        <v>104</v>
      </c>
      <c r="CM256" s="23"/>
      <c r="CN256" s="16" t="s">
        <v>128</v>
      </c>
      <c r="CO256" s="19"/>
      <c r="CP256" s="19"/>
      <c r="CQ256" s="19"/>
      <c r="CR256" s="19"/>
      <c r="CS256" s="21" t="s">
        <v>109</v>
      </c>
      <c r="CT256" s="23"/>
      <c r="CU256" s="19"/>
      <c r="CV256" s="16" t="s">
        <v>128</v>
      </c>
      <c r="CW256" s="19"/>
      <c r="CX256" s="19"/>
      <c r="CY256" s="19"/>
      <c r="CZ256" s="19"/>
      <c r="DA256" s="21" t="s">
        <v>115</v>
      </c>
      <c r="DB256" s="23"/>
      <c r="DC256" s="16" t="s">
        <v>129</v>
      </c>
      <c r="DD256" s="16" t="s">
        <v>129</v>
      </c>
      <c r="DE256" s="16" t="s">
        <v>129</v>
      </c>
      <c r="DF256" s="16" t="s">
        <v>129</v>
      </c>
      <c r="DG256" s="21" t="s">
        <v>1428</v>
      </c>
      <c r="DH256" s="23"/>
      <c r="DI256" s="19"/>
      <c r="DJ256" s="16" t="s">
        <v>144</v>
      </c>
      <c r="DK256" s="19"/>
      <c r="DL256" s="19"/>
      <c r="DM256" s="16" t="s">
        <v>144</v>
      </c>
      <c r="DN256" s="19"/>
      <c r="DO256" s="19"/>
    </row>
    <row r="257" ht="15.75" customHeight="1">
      <c r="A257" s="15">
        <v>255.0</v>
      </c>
      <c r="B257" s="16" t="s">
        <v>1429</v>
      </c>
      <c r="C257" s="17">
        <v>2.8505292500211E13</v>
      </c>
      <c r="D257" s="18">
        <v>67.0</v>
      </c>
      <c r="E257" s="16" t="s">
        <v>241</v>
      </c>
      <c r="F257" s="16" t="s">
        <v>1331</v>
      </c>
      <c r="G257" s="16" t="s">
        <v>547</v>
      </c>
      <c r="H257" s="20">
        <v>31196.0</v>
      </c>
      <c r="I257" s="18">
        <v>1.0</v>
      </c>
      <c r="J257" s="19"/>
      <c r="K257" s="16" t="s">
        <v>1393</v>
      </c>
      <c r="L257" s="21" t="s">
        <v>138</v>
      </c>
      <c r="M257" s="23"/>
      <c r="N257" s="19"/>
      <c r="O257" s="19"/>
      <c r="P257" s="19"/>
      <c r="Q257" s="19"/>
      <c r="R257" s="19"/>
      <c r="S257" s="19"/>
      <c r="T257" s="19"/>
      <c r="U257" s="19"/>
      <c r="V257" s="18" t="s">
        <v>839</v>
      </c>
      <c r="W257" s="19"/>
      <c r="X257" s="19"/>
      <c r="Y257" s="19"/>
      <c r="Z257" s="19"/>
      <c r="AA257" s="19"/>
      <c r="AB257" s="19"/>
      <c r="AC257" s="21" t="s">
        <v>52</v>
      </c>
      <c r="AD257" s="23"/>
      <c r="AE257" s="19"/>
      <c r="AF257" s="19"/>
      <c r="AG257" s="19"/>
      <c r="AH257" s="21" t="s">
        <v>123</v>
      </c>
      <c r="AI257" s="23"/>
      <c r="AJ257" s="16" t="s">
        <v>124</v>
      </c>
      <c r="AK257" s="16" t="s">
        <v>142</v>
      </c>
      <c r="AL257" s="16" t="s">
        <v>181</v>
      </c>
      <c r="AM257" s="16" t="s">
        <v>126</v>
      </c>
      <c r="AN257" s="16" t="s">
        <v>126</v>
      </c>
      <c r="AO257" s="16" t="s">
        <v>181</v>
      </c>
      <c r="AP257" s="16" t="s">
        <v>126</v>
      </c>
      <c r="AQ257" s="16" t="s">
        <v>181</v>
      </c>
      <c r="AR257" s="16" t="s">
        <v>126</v>
      </c>
      <c r="AS257" s="19"/>
      <c r="AT257" s="19"/>
      <c r="AU257" s="19"/>
      <c r="AV257" s="19"/>
      <c r="AW257" s="19"/>
      <c r="AX257" s="19"/>
      <c r="AY257" s="19"/>
      <c r="AZ257" s="18" t="s">
        <v>839</v>
      </c>
      <c r="BA257" s="19"/>
      <c r="BB257" s="21" t="s">
        <v>74</v>
      </c>
      <c r="BC257" s="22"/>
      <c r="BD257" s="23"/>
      <c r="BE257" s="21" t="s">
        <v>77</v>
      </c>
      <c r="BF257" s="22"/>
      <c r="BG257" s="22"/>
      <c r="BH257" s="23"/>
      <c r="BI257" s="19"/>
      <c r="BJ257" s="19"/>
      <c r="BK257" s="19"/>
      <c r="BL257" s="19"/>
      <c r="BM257" s="19"/>
      <c r="BN257" s="19"/>
      <c r="BO257" s="19"/>
      <c r="BP257" s="18" t="s">
        <v>839</v>
      </c>
      <c r="BQ257" s="19"/>
      <c r="BR257" s="19"/>
      <c r="BS257" s="19"/>
      <c r="BT257" s="19"/>
      <c r="BU257" s="19"/>
      <c r="BV257" s="19"/>
      <c r="BW257" s="19"/>
      <c r="BX257" s="16" t="s">
        <v>144</v>
      </c>
      <c r="BY257" s="19"/>
      <c r="BZ257" s="19"/>
      <c r="CA257" s="19"/>
      <c r="CB257" s="19"/>
      <c r="CC257" s="21" t="s">
        <v>97</v>
      </c>
      <c r="CD257" s="23"/>
      <c r="CE257" s="19"/>
      <c r="CF257" s="19"/>
      <c r="CG257" s="16" t="s">
        <v>128</v>
      </c>
      <c r="CH257" s="19"/>
      <c r="CI257" s="19"/>
      <c r="CJ257" s="19"/>
      <c r="CK257" s="19"/>
      <c r="CL257" s="21" t="s">
        <v>104</v>
      </c>
      <c r="CM257" s="23"/>
      <c r="CN257" s="16" t="s">
        <v>128</v>
      </c>
      <c r="CO257" s="21" t="s">
        <v>105</v>
      </c>
      <c r="CP257" s="22"/>
      <c r="CQ257" s="23"/>
      <c r="CR257" s="19"/>
      <c r="CS257" s="19"/>
      <c r="CT257" s="21" t="s">
        <v>110</v>
      </c>
      <c r="CU257" s="23"/>
      <c r="CV257" s="16" t="s">
        <v>128</v>
      </c>
      <c r="CW257" s="19"/>
      <c r="CX257" s="19"/>
      <c r="CY257" s="16" t="s">
        <v>113</v>
      </c>
      <c r="CZ257" s="21" t="s">
        <v>114</v>
      </c>
      <c r="DA257" s="22"/>
      <c r="DB257" s="22"/>
      <c r="DC257" s="23"/>
      <c r="DD257" s="19"/>
      <c r="DE257" s="19"/>
      <c r="DF257" s="19"/>
      <c r="DG257" s="16" t="s">
        <v>1129</v>
      </c>
      <c r="DH257" s="21" t="s">
        <v>1130</v>
      </c>
      <c r="DI257" s="23"/>
      <c r="DJ257" s="16" t="s">
        <v>144</v>
      </c>
      <c r="DK257" s="19"/>
      <c r="DL257" s="19"/>
      <c r="DM257" s="21" t="s">
        <v>1060</v>
      </c>
      <c r="DN257" s="23"/>
      <c r="DO257" s="19"/>
    </row>
    <row r="258" ht="15.75" customHeight="1">
      <c r="A258" s="15">
        <v>256.0</v>
      </c>
      <c r="B258" s="16" t="s">
        <v>1430</v>
      </c>
      <c r="C258" s="17">
        <v>3.1706182500621E13</v>
      </c>
      <c r="D258" s="18">
        <v>145.0</v>
      </c>
      <c r="E258" s="16" t="s">
        <v>1335</v>
      </c>
      <c r="F258" s="16" t="s">
        <v>606</v>
      </c>
      <c r="G258" s="16" t="s">
        <v>547</v>
      </c>
      <c r="H258" s="20">
        <v>42904.0</v>
      </c>
      <c r="I258" s="16"/>
      <c r="J258" s="18">
        <v>1.0</v>
      </c>
      <c r="K258" s="16" t="s">
        <v>1431</v>
      </c>
      <c r="L258" s="21" t="s">
        <v>138</v>
      </c>
      <c r="M258" s="23"/>
      <c r="N258" s="19"/>
      <c r="O258" s="19"/>
      <c r="P258" s="19"/>
      <c r="Q258" s="19"/>
      <c r="R258" s="19"/>
      <c r="S258" s="19"/>
      <c r="T258" s="19"/>
      <c r="U258" s="19"/>
      <c r="V258" s="16" t="s">
        <v>932</v>
      </c>
      <c r="W258" s="16" t="s">
        <v>46</v>
      </c>
      <c r="X258" s="21" t="s">
        <v>47</v>
      </c>
      <c r="Y258" s="23"/>
      <c r="Z258" s="19"/>
      <c r="AA258" s="16" t="s">
        <v>50</v>
      </c>
      <c r="AB258" s="19"/>
      <c r="AC258" s="19"/>
      <c r="AD258" s="19"/>
      <c r="AE258" s="19"/>
      <c r="AF258" s="19"/>
      <c r="AG258" s="18" t="s">
        <v>839</v>
      </c>
      <c r="AH258" s="16" t="s">
        <v>57</v>
      </c>
      <c r="AI258" s="18" t="s">
        <v>839</v>
      </c>
      <c r="AJ258" s="16" t="s">
        <v>124</v>
      </c>
      <c r="AK258" s="16" t="s">
        <v>153</v>
      </c>
      <c r="AL258" s="16" t="s">
        <v>181</v>
      </c>
      <c r="AM258" s="16" t="s">
        <v>181</v>
      </c>
      <c r="AN258" s="16" t="s">
        <v>181</v>
      </c>
      <c r="AO258" s="16" t="s">
        <v>181</v>
      </c>
      <c r="AP258" s="16" t="s">
        <v>181</v>
      </c>
      <c r="AQ258" s="16" t="s">
        <v>181</v>
      </c>
      <c r="AR258" s="16" t="s">
        <v>181</v>
      </c>
      <c r="AS258" s="21" t="s">
        <v>65</v>
      </c>
      <c r="AT258" s="22"/>
      <c r="AU258" s="23"/>
      <c r="AV258" s="19"/>
      <c r="AW258" s="21" t="s">
        <v>69</v>
      </c>
      <c r="AX258" s="23"/>
      <c r="AY258" s="16" t="s">
        <v>71</v>
      </c>
      <c r="AZ258" s="18" t="s">
        <v>839</v>
      </c>
      <c r="BA258" s="21" t="s">
        <v>73</v>
      </c>
      <c r="BB258" s="23"/>
      <c r="BC258" s="19"/>
      <c r="BD258" s="16" t="s">
        <v>76</v>
      </c>
      <c r="BE258" s="16" t="s">
        <v>77</v>
      </c>
      <c r="BF258" s="18">
        <v>0.0</v>
      </c>
      <c r="BG258" s="21" t="s">
        <v>78</v>
      </c>
      <c r="BH258" s="23"/>
      <c r="BI258" s="19"/>
      <c r="BJ258" s="19"/>
      <c r="BK258" s="16" t="s">
        <v>81</v>
      </c>
      <c r="BL258" s="19"/>
      <c r="BM258" s="19"/>
      <c r="BN258" s="16" t="s">
        <v>84</v>
      </c>
      <c r="BO258" s="16" t="s">
        <v>85</v>
      </c>
      <c r="BP258" s="18" t="s">
        <v>844</v>
      </c>
      <c r="BQ258" s="19"/>
      <c r="BR258" s="19"/>
      <c r="BS258" s="19"/>
      <c r="BT258" s="19"/>
      <c r="BU258" s="19"/>
      <c r="BV258" s="19"/>
      <c r="BW258" s="16" t="s">
        <v>92</v>
      </c>
      <c r="BX258" s="18">
        <v>0.0</v>
      </c>
      <c r="BY258" s="19"/>
      <c r="BZ258" s="19"/>
      <c r="CA258" s="19"/>
      <c r="CB258" s="21" t="s">
        <v>96</v>
      </c>
      <c r="CC258" s="23"/>
      <c r="CD258" s="19"/>
      <c r="CE258" s="19"/>
      <c r="CF258" s="18" t="s">
        <v>839</v>
      </c>
      <c r="CG258" s="16" t="s">
        <v>128</v>
      </c>
      <c r="CH258" s="19"/>
      <c r="CI258" s="16" t="s">
        <v>101</v>
      </c>
      <c r="CJ258" s="21" t="s">
        <v>102</v>
      </c>
      <c r="CK258" s="23"/>
      <c r="CL258" s="16" t="s">
        <v>104</v>
      </c>
      <c r="CM258" s="18">
        <v>0.0</v>
      </c>
      <c r="CN258" s="16" t="s">
        <v>128</v>
      </c>
      <c r="CO258" s="19"/>
      <c r="CP258" s="21" t="s">
        <v>106</v>
      </c>
      <c r="CQ258" s="23"/>
      <c r="CR258" s="16" t="s">
        <v>108</v>
      </c>
      <c r="CS258" s="21" t="s">
        <v>109</v>
      </c>
      <c r="CT258" s="23"/>
      <c r="CU258" s="18">
        <v>0.0</v>
      </c>
      <c r="CV258" s="19"/>
      <c r="CW258" s="19"/>
      <c r="CX258" s="19"/>
      <c r="CY258" s="16" t="s">
        <v>113</v>
      </c>
      <c r="CZ258" s="16" t="s">
        <v>114</v>
      </c>
      <c r="DA258" s="16" t="s">
        <v>115</v>
      </c>
      <c r="DB258" s="18" t="s">
        <v>839</v>
      </c>
      <c r="DC258" s="16" t="s">
        <v>129</v>
      </c>
      <c r="DD258" s="16" t="s">
        <v>129</v>
      </c>
      <c r="DE258" s="16" t="s">
        <v>129</v>
      </c>
      <c r="DF258" s="16" t="s">
        <v>129</v>
      </c>
      <c r="DG258" s="16" t="s">
        <v>841</v>
      </c>
      <c r="DH258" s="16" t="s">
        <v>842</v>
      </c>
      <c r="DI258" s="16" t="s">
        <v>914</v>
      </c>
      <c r="DJ258" s="16" t="s">
        <v>144</v>
      </c>
      <c r="DK258" s="18" t="s">
        <v>844</v>
      </c>
      <c r="DL258" s="18" t="s">
        <v>845</v>
      </c>
      <c r="DM258" s="16" t="s">
        <v>930</v>
      </c>
      <c r="DN258" s="18" t="s">
        <v>844</v>
      </c>
      <c r="DO258" s="18" t="s">
        <v>845</v>
      </c>
    </row>
    <row r="259" ht="15.75" customHeight="1">
      <c r="A259" s="15">
        <v>257.0</v>
      </c>
      <c r="B259" s="16" t="s">
        <v>1432</v>
      </c>
      <c r="C259" s="17">
        <v>3.180404253274E13</v>
      </c>
      <c r="D259" s="18">
        <v>63.0</v>
      </c>
      <c r="E259" s="16" t="s">
        <v>1399</v>
      </c>
      <c r="F259" s="16" t="s">
        <v>851</v>
      </c>
      <c r="G259" s="16" t="s">
        <v>547</v>
      </c>
      <c r="H259" s="20">
        <v>43194.0</v>
      </c>
      <c r="I259" s="18">
        <v>1.0</v>
      </c>
      <c r="J259" s="19"/>
      <c r="K259" s="16" t="s">
        <v>1433</v>
      </c>
      <c r="L259" s="21" t="s">
        <v>138</v>
      </c>
      <c r="M259" s="23"/>
      <c r="N259" s="19"/>
      <c r="O259" s="19"/>
      <c r="P259" s="19"/>
      <c r="Q259" s="19"/>
      <c r="R259" s="19"/>
      <c r="S259" s="19"/>
      <c r="T259" s="19"/>
      <c r="U259" s="19"/>
      <c r="V259" s="16" t="s">
        <v>1434</v>
      </c>
      <c r="W259" s="16" t="s">
        <v>46</v>
      </c>
      <c r="X259" s="21" t="s">
        <v>47</v>
      </c>
      <c r="Y259" s="23"/>
      <c r="Z259" s="19"/>
      <c r="AA259" s="16" t="s">
        <v>50</v>
      </c>
      <c r="AB259" s="19"/>
      <c r="AC259" s="21" t="s">
        <v>52</v>
      </c>
      <c r="AD259" s="23"/>
      <c r="AE259" s="19"/>
      <c r="AF259" s="19"/>
      <c r="AG259" s="19"/>
      <c r="AH259" s="21" t="s">
        <v>123</v>
      </c>
      <c r="AI259" s="23"/>
      <c r="AJ259" s="16" t="s">
        <v>168</v>
      </c>
      <c r="AK259" s="16" t="s">
        <v>153</v>
      </c>
      <c r="AL259" s="16" t="s">
        <v>181</v>
      </c>
      <c r="AM259" s="16" t="s">
        <v>181</v>
      </c>
      <c r="AN259" s="16" t="s">
        <v>181</v>
      </c>
      <c r="AO259" s="16" t="s">
        <v>181</v>
      </c>
      <c r="AP259" s="16" t="s">
        <v>181</v>
      </c>
      <c r="AQ259" s="16" t="s">
        <v>181</v>
      </c>
      <c r="AR259" s="16" t="s">
        <v>181</v>
      </c>
      <c r="AS259" s="21" t="s">
        <v>65</v>
      </c>
      <c r="AT259" s="23"/>
      <c r="AU259" s="21" t="s">
        <v>67</v>
      </c>
      <c r="AV259" s="23"/>
      <c r="AW259" s="16" t="s">
        <v>69</v>
      </c>
      <c r="AX259" s="16" t="s">
        <v>70</v>
      </c>
      <c r="AY259" s="21" t="s">
        <v>71</v>
      </c>
      <c r="AZ259" s="22"/>
      <c r="BA259" s="23"/>
      <c r="BB259" s="19"/>
      <c r="BC259" s="19"/>
      <c r="BD259" s="19"/>
      <c r="BE259" s="19"/>
      <c r="BF259" s="16" t="s">
        <v>457</v>
      </c>
      <c r="BG259" s="16" t="s">
        <v>78</v>
      </c>
      <c r="BH259" s="16" t="s">
        <v>79</v>
      </c>
      <c r="BI259" s="21" t="s">
        <v>52</v>
      </c>
      <c r="BJ259" s="23"/>
      <c r="BK259" s="16" t="s">
        <v>81</v>
      </c>
      <c r="BL259" s="19"/>
      <c r="BM259" s="19"/>
      <c r="BN259" s="19"/>
      <c r="BO259" s="21" t="s">
        <v>85</v>
      </c>
      <c r="BP259" s="22"/>
      <c r="BQ259" s="22"/>
      <c r="BR259" s="23"/>
      <c r="BS259" s="19"/>
      <c r="BT259" s="19"/>
      <c r="BU259" s="19"/>
      <c r="BV259" s="19"/>
      <c r="BW259" s="19"/>
      <c r="BX259" s="16" t="s">
        <v>457</v>
      </c>
      <c r="BY259" s="19"/>
      <c r="BZ259" s="19"/>
      <c r="CA259" s="19"/>
      <c r="CB259" s="19"/>
      <c r="CC259" s="19"/>
      <c r="CD259" s="19"/>
      <c r="CE259" s="19"/>
      <c r="CF259" s="16" t="s">
        <v>144</v>
      </c>
      <c r="CG259" s="16" t="s">
        <v>128</v>
      </c>
      <c r="CH259" s="19"/>
      <c r="CI259" s="16" t="s">
        <v>101</v>
      </c>
      <c r="CJ259" s="21" t="s">
        <v>102</v>
      </c>
      <c r="CK259" s="23"/>
      <c r="CL259" s="21" t="s">
        <v>104</v>
      </c>
      <c r="CM259" s="23"/>
      <c r="CN259" s="16" t="s">
        <v>128</v>
      </c>
      <c r="CO259" s="21" t="s">
        <v>105</v>
      </c>
      <c r="CP259" s="22"/>
      <c r="CQ259" s="23"/>
      <c r="CR259" s="16" t="s">
        <v>108</v>
      </c>
      <c r="CS259" s="16" t="s">
        <v>109</v>
      </c>
      <c r="CT259" s="21" t="s">
        <v>110</v>
      </c>
      <c r="CU259" s="23"/>
      <c r="CV259" s="16" t="s">
        <v>128</v>
      </c>
      <c r="CW259" s="19"/>
      <c r="CX259" s="21" t="s">
        <v>112</v>
      </c>
      <c r="CY259" s="22"/>
      <c r="CZ259" s="23"/>
      <c r="DA259" s="19"/>
      <c r="DB259" s="19"/>
      <c r="DC259" s="16" t="s">
        <v>129</v>
      </c>
      <c r="DD259" s="16" t="s">
        <v>129</v>
      </c>
      <c r="DE259" s="16" t="s">
        <v>129</v>
      </c>
      <c r="DF259" s="16" t="s">
        <v>129</v>
      </c>
      <c r="DG259" s="16" t="s">
        <v>1435</v>
      </c>
      <c r="DH259" s="16" t="s">
        <v>1436</v>
      </c>
      <c r="DI259" s="16" t="s">
        <v>1437</v>
      </c>
      <c r="DJ259" s="21" t="s">
        <v>1438</v>
      </c>
      <c r="DK259" s="22"/>
      <c r="DL259" s="23"/>
      <c r="DM259" s="21" t="s">
        <v>1439</v>
      </c>
      <c r="DN259" s="23"/>
      <c r="DO259" s="19"/>
    </row>
    <row r="260" ht="15.75" customHeight="1">
      <c r="A260" s="15">
        <v>258.0</v>
      </c>
      <c r="B260" s="16" t="s">
        <v>1440</v>
      </c>
      <c r="C260" s="17">
        <v>3.1805092502429E13</v>
      </c>
      <c r="D260" s="18">
        <v>21.0</v>
      </c>
      <c r="E260" s="16" t="s">
        <v>1271</v>
      </c>
      <c r="F260" s="16" t="s">
        <v>1271</v>
      </c>
      <c r="G260" s="16" t="s">
        <v>547</v>
      </c>
      <c r="H260" s="20">
        <v>43229.0</v>
      </c>
      <c r="I260" s="16"/>
      <c r="J260" s="18">
        <v>1.0</v>
      </c>
      <c r="K260" s="16" t="s">
        <v>1441</v>
      </c>
      <c r="L260" s="21" t="s">
        <v>138</v>
      </c>
      <c r="M260" s="23"/>
      <c r="N260" s="19"/>
      <c r="O260" s="19"/>
      <c r="P260" s="19"/>
      <c r="Q260" s="19"/>
      <c r="R260" s="19"/>
      <c r="S260" s="19"/>
      <c r="T260" s="19"/>
      <c r="U260" s="19"/>
      <c r="V260" s="16" t="s">
        <v>1303</v>
      </c>
      <c r="W260" s="16" t="s">
        <v>46</v>
      </c>
      <c r="X260" s="21" t="s">
        <v>47</v>
      </c>
      <c r="Y260" s="23"/>
      <c r="Z260" s="19"/>
      <c r="AA260" s="16" t="s">
        <v>50</v>
      </c>
      <c r="AB260" s="19"/>
      <c r="AC260" s="19"/>
      <c r="AD260" s="19"/>
      <c r="AE260" s="19"/>
      <c r="AF260" s="19"/>
      <c r="AG260" s="19"/>
      <c r="AH260" s="21" t="s">
        <v>228</v>
      </c>
      <c r="AI260" s="23"/>
      <c r="AJ260" s="16" t="s">
        <v>168</v>
      </c>
      <c r="AK260" s="16" t="s">
        <v>153</v>
      </c>
      <c r="AL260" s="16" t="s">
        <v>181</v>
      </c>
      <c r="AM260" s="16" t="s">
        <v>181</v>
      </c>
      <c r="AN260" s="16" t="s">
        <v>181</v>
      </c>
      <c r="AO260" s="16" t="s">
        <v>181</v>
      </c>
      <c r="AP260" s="16" t="s">
        <v>181</v>
      </c>
      <c r="AQ260" s="16" t="s">
        <v>181</v>
      </c>
      <c r="AR260" s="16" t="s">
        <v>143</v>
      </c>
      <c r="AS260" s="21" t="s">
        <v>65</v>
      </c>
      <c r="AT260" s="23"/>
      <c r="AU260" s="16" t="s">
        <v>67</v>
      </c>
      <c r="AV260" s="16" t="s">
        <v>68</v>
      </c>
      <c r="AW260" s="16" t="s">
        <v>69</v>
      </c>
      <c r="AX260" s="16" t="s">
        <v>70</v>
      </c>
      <c r="AY260" s="21" t="s">
        <v>71</v>
      </c>
      <c r="AZ260" s="22"/>
      <c r="BA260" s="23"/>
      <c r="BB260" s="19"/>
      <c r="BC260" s="19"/>
      <c r="BD260" s="19"/>
      <c r="BE260" s="19"/>
      <c r="BF260" s="16" t="s">
        <v>1295</v>
      </c>
      <c r="BG260" s="21" t="s">
        <v>78</v>
      </c>
      <c r="BH260" s="23"/>
      <c r="BI260" s="19"/>
      <c r="BJ260" s="19"/>
      <c r="BK260" s="16" t="s">
        <v>81</v>
      </c>
      <c r="BL260" s="19"/>
      <c r="BM260" s="19"/>
      <c r="BN260" s="19"/>
      <c r="BO260" s="21" t="s">
        <v>85</v>
      </c>
      <c r="BP260" s="22"/>
      <c r="BQ260" s="22"/>
      <c r="BR260" s="23"/>
      <c r="BS260" s="19"/>
      <c r="BT260" s="19"/>
      <c r="BU260" s="19"/>
      <c r="BV260" s="19"/>
      <c r="BW260" s="19"/>
      <c r="BX260" s="16" t="s">
        <v>1295</v>
      </c>
      <c r="BY260" s="19"/>
      <c r="BZ260" s="19"/>
      <c r="CA260" s="19"/>
      <c r="CB260" s="19"/>
      <c r="CC260" s="19"/>
      <c r="CD260" s="19"/>
      <c r="CE260" s="19"/>
      <c r="CF260" s="16" t="s">
        <v>144</v>
      </c>
      <c r="CG260" s="16" t="s">
        <v>128</v>
      </c>
      <c r="CH260" s="16" t="s">
        <v>100</v>
      </c>
      <c r="CI260" s="16" t="s">
        <v>101</v>
      </c>
      <c r="CJ260" s="16" t="s">
        <v>102</v>
      </c>
      <c r="CK260" s="16" t="s">
        <v>103</v>
      </c>
      <c r="CL260" s="21" t="s">
        <v>104</v>
      </c>
      <c r="CM260" s="23"/>
      <c r="CN260" s="16" t="s">
        <v>128</v>
      </c>
      <c r="CO260" s="16" t="s">
        <v>105</v>
      </c>
      <c r="CP260" s="21" t="s">
        <v>106</v>
      </c>
      <c r="CQ260" s="22"/>
      <c r="CR260" s="22"/>
      <c r="CS260" s="23"/>
      <c r="CT260" s="21" t="s">
        <v>110</v>
      </c>
      <c r="CU260" s="23"/>
      <c r="CV260" s="16" t="s">
        <v>128</v>
      </c>
      <c r="CW260" s="16" t="s">
        <v>111</v>
      </c>
      <c r="CX260" s="21" t="s">
        <v>112</v>
      </c>
      <c r="CY260" s="22"/>
      <c r="CZ260" s="23"/>
      <c r="DA260" s="19"/>
      <c r="DB260" s="19"/>
      <c r="DC260" s="16" t="s">
        <v>129</v>
      </c>
      <c r="DD260" s="16" t="s">
        <v>129</v>
      </c>
      <c r="DE260" s="16" t="s">
        <v>129</v>
      </c>
      <c r="DF260" s="16" t="s">
        <v>129</v>
      </c>
      <c r="DG260" s="16" t="s">
        <v>1442</v>
      </c>
      <c r="DH260" s="21" t="s">
        <v>1443</v>
      </c>
      <c r="DI260" s="23"/>
      <c r="DJ260" s="16" t="s">
        <v>144</v>
      </c>
      <c r="DK260" s="19"/>
      <c r="DL260" s="19"/>
      <c r="DM260" s="16" t="s">
        <v>144</v>
      </c>
      <c r="DN260" s="19"/>
      <c r="DO260" s="19"/>
    </row>
    <row r="261" ht="15.75" customHeight="1">
      <c r="A261" s="15">
        <v>259.0</v>
      </c>
      <c r="B261" s="16" t="s">
        <v>1444</v>
      </c>
      <c r="C261" s="17">
        <v>2.9703182501701E13</v>
      </c>
      <c r="D261" s="18">
        <v>71.0</v>
      </c>
      <c r="E261" s="16" t="s">
        <v>241</v>
      </c>
      <c r="F261" s="16" t="s">
        <v>1331</v>
      </c>
      <c r="G261" s="16" t="s">
        <v>547</v>
      </c>
      <c r="H261" s="20">
        <v>35507.0</v>
      </c>
      <c r="I261" s="16"/>
      <c r="J261" s="18">
        <v>1.0</v>
      </c>
      <c r="K261" s="16" t="s">
        <v>1444</v>
      </c>
      <c r="L261" s="21" t="s">
        <v>138</v>
      </c>
      <c r="M261" s="23"/>
      <c r="N261" s="19"/>
      <c r="O261" s="19"/>
      <c r="P261" s="19"/>
      <c r="Q261" s="19"/>
      <c r="R261" s="19"/>
      <c r="S261" s="19"/>
      <c r="T261" s="19"/>
      <c r="U261" s="19"/>
      <c r="V261" s="18" t="s">
        <v>839</v>
      </c>
      <c r="W261" s="19"/>
      <c r="X261" s="21" t="s">
        <v>47</v>
      </c>
      <c r="Y261" s="23"/>
      <c r="Z261" s="19"/>
      <c r="AA261" s="19"/>
      <c r="AB261" s="19"/>
      <c r="AC261" s="21" t="s">
        <v>52</v>
      </c>
      <c r="AD261" s="23"/>
      <c r="AE261" s="19"/>
      <c r="AF261" s="19"/>
      <c r="AG261" s="16" t="s">
        <v>1333</v>
      </c>
      <c r="AH261" s="21" t="s">
        <v>228</v>
      </c>
      <c r="AI261" s="23"/>
      <c r="AJ261" s="16" t="s">
        <v>124</v>
      </c>
      <c r="AK261" s="16" t="s">
        <v>142</v>
      </c>
      <c r="AL261" s="16" t="s">
        <v>126</v>
      </c>
      <c r="AM261" s="16" t="s">
        <v>126</v>
      </c>
      <c r="AN261" s="16" t="s">
        <v>181</v>
      </c>
      <c r="AO261" s="16" t="s">
        <v>126</v>
      </c>
      <c r="AP261" s="16" t="s">
        <v>126</v>
      </c>
      <c r="AQ261" s="16" t="s">
        <v>126</v>
      </c>
      <c r="AR261" s="16" t="s">
        <v>181</v>
      </c>
      <c r="AS261" s="19"/>
      <c r="AT261" s="19"/>
      <c r="AU261" s="19"/>
      <c r="AV261" s="19"/>
      <c r="AW261" s="19"/>
      <c r="AX261" s="19"/>
      <c r="AY261" s="19"/>
      <c r="AZ261" s="18" t="s">
        <v>839</v>
      </c>
      <c r="BA261" s="21" t="s">
        <v>73</v>
      </c>
      <c r="BB261" s="23"/>
      <c r="BC261" s="19"/>
      <c r="BD261" s="19"/>
      <c r="BE261" s="21" t="s">
        <v>77</v>
      </c>
      <c r="BF261" s="22"/>
      <c r="BG261" s="22"/>
      <c r="BH261" s="23"/>
      <c r="BI261" s="19"/>
      <c r="BJ261" s="19"/>
      <c r="BK261" s="19"/>
      <c r="BL261" s="19"/>
      <c r="BM261" s="19"/>
      <c r="BN261" s="19"/>
      <c r="BO261" s="19"/>
      <c r="BP261" s="18" t="s">
        <v>839</v>
      </c>
      <c r="BQ261" s="19"/>
      <c r="BR261" s="19"/>
      <c r="BS261" s="19"/>
      <c r="BT261" s="19"/>
      <c r="BU261" s="19"/>
      <c r="BV261" s="19"/>
      <c r="BW261" s="16" t="s">
        <v>92</v>
      </c>
      <c r="BX261" s="16" t="s">
        <v>1445</v>
      </c>
      <c r="BY261" s="19"/>
      <c r="BZ261" s="19"/>
      <c r="CA261" s="19"/>
      <c r="CB261" s="19"/>
      <c r="CC261" s="19"/>
      <c r="CD261" s="19"/>
      <c r="CE261" s="19"/>
      <c r="CF261" s="16" t="s">
        <v>1446</v>
      </c>
      <c r="CG261" s="16" t="s">
        <v>128</v>
      </c>
      <c r="CH261" s="21" t="s">
        <v>100</v>
      </c>
      <c r="CI261" s="23"/>
      <c r="CJ261" s="19"/>
      <c r="CK261" s="19"/>
      <c r="CL261" s="21" t="s">
        <v>104</v>
      </c>
      <c r="CM261" s="23"/>
      <c r="CN261" s="16" t="s">
        <v>128</v>
      </c>
      <c r="CO261" s="21" t="s">
        <v>105</v>
      </c>
      <c r="CP261" s="22"/>
      <c r="CQ261" s="23"/>
      <c r="CR261" s="19"/>
      <c r="CS261" s="19"/>
      <c r="CT261" s="19"/>
      <c r="CU261" s="19"/>
      <c r="CV261" s="16" t="s">
        <v>128</v>
      </c>
      <c r="CW261" s="19"/>
      <c r="CX261" s="19"/>
      <c r="CY261" s="19"/>
      <c r="CZ261" s="16" t="s">
        <v>114</v>
      </c>
      <c r="DA261" s="21" t="s">
        <v>115</v>
      </c>
      <c r="DB261" s="22"/>
      <c r="DC261" s="23"/>
      <c r="DD261" s="16" t="s">
        <v>145</v>
      </c>
      <c r="DE261" s="19"/>
      <c r="DF261" s="19"/>
      <c r="DG261" s="16" t="s">
        <v>1129</v>
      </c>
      <c r="DH261" s="21" t="s">
        <v>1247</v>
      </c>
      <c r="DI261" s="23"/>
      <c r="DJ261" s="16" t="s">
        <v>127</v>
      </c>
      <c r="DK261" s="19"/>
      <c r="DL261" s="19"/>
      <c r="DM261" s="21" t="s">
        <v>1060</v>
      </c>
      <c r="DN261" s="23"/>
      <c r="DO261" s="19"/>
    </row>
    <row r="262" ht="15.75" customHeight="1">
      <c r="A262" s="15">
        <v>260.0</v>
      </c>
      <c r="B262" s="16" t="s">
        <v>1447</v>
      </c>
      <c r="C262" s="17">
        <v>3.132152501269E12</v>
      </c>
      <c r="D262" s="18">
        <v>11.0</v>
      </c>
      <c r="E262" s="16" t="s">
        <v>1335</v>
      </c>
      <c r="F262" s="16" t="s">
        <v>606</v>
      </c>
      <c r="G262" s="16" t="s">
        <v>547</v>
      </c>
      <c r="H262" s="25">
        <v>41623.0</v>
      </c>
      <c r="I262" s="16"/>
      <c r="J262" s="18">
        <v>1.0</v>
      </c>
      <c r="K262" s="16" t="s">
        <v>1448</v>
      </c>
      <c r="L262" s="21" t="s">
        <v>138</v>
      </c>
      <c r="M262" s="23"/>
      <c r="N262" s="19"/>
      <c r="O262" s="19"/>
      <c r="P262" s="19"/>
      <c r="Q262" s="19"/>
      <c r="R262" s="19"/>
      <c r="S262" s="19"/>
      <c r="T262" s="19"/>
      <c r="U262" s="19"/>
      <c r="V262" s="21" t="s">
        <v>932</v>
      </c>
      <c r="W262" s="22"/>
      <c r="X262" s="23"/>
      <c r="Y262" s="21" t="s">
        <v>48</v>
      </c>
      <c r="Z262" s="23"/>
      <c r="AA262" s="16" t="s">
        <v>50</v>
      </c>
      <c r="AB262" s="19"/>
      <c r="AC262" s="19"/>
      <c r="AD262" s="19"/>
      <c r="AE262" s="19"/>
      <c r="AF262" s="16" t="s">
        <v>55</v>
      </c>
      <c r="AG262" s="18" t="s">
        <v>844</v>
      </c>
      <c r="AH262" s="16" t="s">
        <v>57</v>
      </c>
      <c r="AI262" s="18">
        <v>0.0</v>
      </c>
      <c r="AJ262" s="16" t="s">
        <v>168</v>
      </c>
      <c r="AK262" s="16" t="s">
        <v>153</v>
      </c>
      <c r="AL262" s="16" t="s">
        <v>181</v>
      </c>
      <c r="AM262" s="16" t="s">
        <v>181</v>
      </c>
      <c r="AN262" s="16" t="s">
        <v>181</v>
      </c>
      <c r="AO262" s="16" t="s">
        <v>181</v>
      </c>
      <c r="AP262" s="16" t="s">
        <v>181</v>
      </c>
      <c r="AQ262" s="16" t="s">
        <v>181</v>
      </c>
      <c r="AR262" s="16" t="s">
        <v>181</v>
      </c>
      <c r="AS262" s="21" t="s">
        <v>65</v>
      </c>
      <c r="AT262" s="22"/>
      <c r="AU262" s="23"/>
      <c r="AV262" s="19"/>
      <c r="AW262" s="19"/>
      <c r="AX262" s="21" t="s">
        <v>70</v>
      </c>
      <c r="AY262" s="23"/>
      <c r="AZ262" s="18" t="s">
        <v>839</v>
      </c>
      <c r="BA262" s="19"/>
      <c r="BB262" s="21" t="s">
        <v>74</v>
      </c>
      <c r="BC262" s="22"/>
      <c r="BD262" s="23"/>
      <c r="BE262" s="16" t="s">
        <v>77</v>
      </c>
      <c r="BF262" s="18" t="s">
        <v>839</v>
      </c>
      <c r="BG262" s="19"/>
      <c r="BH262" s="19"/>
      <c r="BI262" s="19"/>
      <c r="BJ262" s="19"/>
      <c r="BK262" s="16" t="s">
        <v>81</v>
      </c>
      <c r="BL262" s="21" t="s">
        <v>82</v>
      </c>
      <c r="BM262" s="23"/>
      <c r="BN262" s="16" t="s">
        <v>84</v>
      </c>
      <c r="BO262" s="16" t="s">
        <v>85</v>
      </c>
      <c r="BP262" s="18" t="s">
        <v>844</v>
      </c>
      <c r="BQ262" s="19"/>
      <c r="BR262" s="19"/>
      <c r="BS262" s="16" t="s">
        <v>88</v>
      </c>
      <c r="BT262" s="16" t="s">
        <v>89</v>
      </c>
      <c r="BU262" s="21" t="s">
        <v>90</v>
      </c>
      <c r="BV262" s="23"/>
      <c r="BW262" s="16" t="s">
        <v>92</v>
      </c>
      <c r="BX262" s="18" t="s">
        <v>844</v>
      </c>
      <c r="BY262" s="19"/>
      <c r="BZ262" s="19"/>
      <c r="CA262" s="19"/>
      <c r="CB262" s="21" t="s">
        <v>96</v>
      </c>
      <c r="CC262" s="23"/>
      <c r="CD262" s="19"/>
      <c r="CE262" s="19"/>
      <c r="CF262" s="18">
        <v>0.0</v>
      </c>
      <c r="CG262" s="16" t="s">
        <v>128</v>
      </c>
      <c r="CH262" s="16" t="s">
        <v>100</v>
      </c>
      <c r="CI262" s="16" t="s">
        <v>101</v>
      </c>
      <c r="CJ262" s="21" t="s">
        <v>102</v>
      </c>
      <c r="CK262" s="23"/>
      <c r="CL262" s="16" t="s">
        <v>104</v>
      </c>
      <c r="CM262" s="18">
        <v>0.0</v>
      </c>
      <c r="CN262" s="16" t="s">
        <v>128</v>
      </c>
      <c r="CO262" s="21" t="s">
        <v>105</v>
      </c>
      <c r="CP262" s="22"/>
      <c r="CQ262" s="23"/>
      <c r="CR262" s="21" t="s">
        <v>108</v>
      </c>
      <c r="CS262" s="23"/>
      <c r="CT262" s="16" t="s">
        <v>110</v>
      </c>
      <c r="CU262" s="18" t="s">
        <v>844</v>
      </c>
      <c r="CV262" s="16" t="s">
        <v>128</v>
      </c>
      <c r="CW262" s="19"/>
      <c r="CX262" s="19"/>
      <c r="CY262" s="16" t="s">
        <v>113</v>
      </c>
      <c r="CZ262" s="16" t="s">
        <v>114</v>
      </c>
      <c r="DA262" s="16" t="s">
        <v>115</v>
      </c>
      <c r="DB262" s="18">
        <v>0.0</v>
      </c>
      <c r="DC262" s="16" t="s">
        <v>129</v>
      </c>
      <c r="DD262" s="16" t="s">
        <v>129</v>
      </c>
      <c r="DE262" s="16" t="s">
        <v>129</v>
      </c>
      <c r="DF262" s="16" t="s">
        <v>129</v>
      </c>
      <c r="DG262" s="16" t="s">
        <v>841</v>
      </c>
      <c r="DH262" s="16" t="s">
        <v>1449</v>
      </c>
      <c r="DI262" s="16" t="s">
        <v>843</v>
      </c>
      <c r="DJ262" s="16" t="s">
        <v>144</v>
      </c>
      <c r="DK262" s="18" t="s">
        <v>844</v>
      </c>
      <c r="DL262" s="18" t="s">
        <v>845</v>
      </c>
      <c r="DM262" s="16" t="s">
        <v>1450</v>
      </c>
      <c r="DN262" s="18" t="s">
        <v>844</v>
      </c>
      <c r="DO262" s="18">
        <v>0.0</v>
      </c>
    </row>
    <row r="263" ht="15.75" customHeight="1">
      <c r="A263" s="15">
        <v>261.0</v>
      </c>
      <c r="B263" s="16" t="s">
        <v>1451</v>
      </c>
      <c r="C263" s="17">
        <v>3.1402012503279E13</v>
      </c>
      <c r="D263" s="18">
        <v>143.0</v>
      </c>
      <c r="E263" s="16" t="s">
        <v>1335</v>
      </c>
      <c r="F263" s="16" t="s">
        <v>606</v>
      </c>
      <c r="G263" s="16" t="s">
        <v>547</v>
      </c>
      <c r="H263" s="20">
        <v>41671.0</v>
      </c>
      <c r="I263" s="18">
        <v>1.0</v>
      </c>
      <c r="J263" s="19"/>
      <c r="K263" s="16" t="s">
        <v>1452</v>
      </c>
      <c r="L263" s="21" t="s">
        <v>138</v>
      </c>
      <c r="M263" s="23"/>
      <c r="N263" s="19"/>
      <c r="O263" s="19"/>
      <c r="P263" s="19"/>
      <c r="Q263" s="19"/>
      <c r="R263" s="19"/>
      <c r="S263" s="19"/>
      <c r="T263" s="19"/>
      <c r="U263" s="19"/>
      <c r="V263" s="21" t="s">
        <v>932</v>
      </c>
      <c r="W263" s="22"/>
      <c r="X263" s="23"/>
      <c r="Y263" s="21" t="s">
        <v>48</v>
      </c>
      <c r="Z263" s="23"/>
      <c r="AA263" s="16" t="s">
        <v>50</v>
      </c>
      <c r="AB263" s="19"/>
      <c r="AC263" s="21" t="s">
        <v>52</v>
      </c>
      <c r="AD263" s="23"/>
      <c r="AE263" s="19"/>
      <c r="AF263" s="16" t="s">
        <v>55</v>
      </c>
      <c r="AG263" s="18" t="s">
        <v>839</v>
      </c>
      <c r="AH263" s="16" t="s">
        <v>57</v>
      </c>
      <c r="AI263" s="18">
        <v>0.0</v>
      </c>
      <c r="AJ263" s="16" t="s">
        <v>124</v>
      </c>
      <c r="AK263" s="16" t="s">
        <v>153</v>
      </c>
      <c r="AL263" s="16" t="s">
        <v>181</v>
      </c>
      <c r="AM263" s="16" t="s">
        <v>181</v>
      </c>
      <c r="AN263" s="16" t="s">
        <v>181</v>
      </c>
      <c r="AO263" s="16" t="s">
        <v>181</v>
      </c>
      <c r="AP263" s="16" t="s">
        <v>126</v>
      </c>
      <c r="AQ263" s="16" t="s">
        <v>126</v>
      </c>
      <c r="AR263" s="16" t="s">
        <v>126</v>
      </c>
      <c r="AS263" s="21" t="s">
        <v>65</v>
      </c>
      <c r="AT263" s="22"/>
      <c r="AU263" s="23"/>
      <c r="AV263" s="19"/>
      <c r="AW263" s="16" t="s">
        <v>69</v>
      </c>
      <c r="AX263" s="16" t="s">
        <v>70</v>
      </c>
      <c r="AY263" s="16" t="s">
        <v>71</v>
      </c>
      <c r="AZ263" s="18" t="s">
        <v>839</v>
      </c>
      <c r="BA263" s="19"/>
      <c r="BB263" s="21" t="s">
        <v>74</v>
      </c>
      <c r="BC263" s="22"/>
      <c r="BD263" s="23"/>
      <c r="BE263" s="16" t="s">
        <v>77</v>
      </c>
      <c r="BF263" s="18" t="s">
        <v>839</v>
      </c>
      <c r="BG263" s="19"/>
      <c r="BH263" s="19"/>
      <c r="BI263" s="19"/>
      <c r="BJ263" s="19"/>
      <c r="BK263" s="16" t="s">
        <v>81</v>
      </c>
      <c r="BL263" s="19"/>
      <c r="BM263" s="19"/>
      <c r="BN263" s="16" t="s">
        <v>84</v>
      </c>
      <c r="BO263" s="16" t="s">
        <v>85</v>
      </c>
      <c r="BP263" s="18">
        <v>0.0</v>
      </c>
      <c r="BQ263" s="19"/>
      <c r="BR263" s="19"/>
      <c r="BS263" s="21" t="s">
        <v>88</v>
      </c>
      <c r="BT263" s="23"/>
      <c r="BU263" s="19"/>
      <c r="BV263" s="19"/>
      <c r="BW263" s="16" t="s">
        <v>92</v>
      </c>
      <c r="BX263" s="18" t="s">
        <v>844</v>
      </c>
      <c r="BY263" s="19"/>
      <c r="BZ263" s="19"/>
      <c r="CA263" s="19"/>
      <c r="CB263" s="19"/>
      <c r="CC263" s="21" t="s">
        <v>97</v>
      </c>
      <c r="CD263" s="23"/>
      <c r="CE263" s="19"/>
      <c r="CF263" s="18" t="s">
        <v>839</v>
      </c>
      <c r="CG263" s="16" t="s">
        <v>128</v>
      </c>
      <c r="CH263" s="19"/>
      <c r="CI263" s="16" t="s">
        <v>101</v>
      </c>
      <c r="CJ263" s="21" t="s">
        <v>102</v>
      </c>
      <c r="CK263" s="23"/>
      <c r="CL263" s="16" t="s">
        <v>104</v>
      </c>
      <c r="CM263" s="18" t="s">
        <v>839</v>
      </c>
      <c r="CN263" s="16" t="s">
        <v>128</v>
      </c>
      <c r="CO263" s="19"/>
      <c r="CP263" s="16" t="s">
        <v>106</v>
      </c>
      <c r="CQ263" s="16" t="s">
        <v>107</v>
      </c>
      <c r="CR263" s="21" t="s">
        <v>108</v>
      </c>
      <c r="CS263" s="23"/>
      <c r="CT263" s="19"/>
      <c r="CU263" s="18" t="s">
        <v>844</v>
      </c>
      <c r="CV263" s="21" t="s">
        <v>154</v>
      </c>
      <c r="CW263" s="23"/>
      <c r="CX263" s="19"/>
      <c r="CY263" s="19"/>
      <c r="CZ263" s="19"/>
      <c r="DA263" s="16" t="s">
        <v>115</v>
      </c>
      <c r="DB263" s="18" t="s">
        <v>839</v>
      </c>
      <c r="DC263" s="16" t="s">
        <v>129</v>
      </c>
      <c r="DD263" s="16" t="s">
        <v>129</v>
      </c>
      <c r="DE263" s="16" t="s">
        <v>129</v>
      </c>
      <c r="DF263" s="16" t="s">
        <v>129</v>
      </c>
      <c r="DG263" s="16" t="s">
        <v>841</v>
      </c>
      <c r="DH263" s="16" t="s">
        <v>842</v>
      </c>
      <c r="DI263" s="16" t="s">
        <v>1453</v>
      </c>
      <c r="DJ263" s="16" t="s">
        <v>1104</v>
      </c>
      <c r="DK263" s="18" t="s">
        <v>844</v>
      </c>
      <c r="DL263" s="18" t="s">
        <v>845</v>
      </c>
      <c r="DM263" s="16" t="s">
        <v>1244</v>
      </c>
      <c r="DN263" s="16" t="s">
        <v>901</v>
      </c>
      <c r="DO263" s="18" t="s">
        <v>845</v>
      </c>
    </row>
    <row r="264" ht="15.75" customHeight="1">
      <c r="A264" s="15">
        <v>262.0</v>
      </c>
      <c r="B264" s="16" t="s">
        <v>1454</v>
      </c>
      <c r="C264" s="17">
        <v>3.191010252609E12</v>
      </c>
      <c r="D264" s="18">
        <v>142.0</v>
      </c>
      <c r="E264" s="19"/>
      <c r="F264" s="16" t="s">
        <v>1271</v>
      </c>
      <c r="G264" s="16" t="s">
        <v>547</v>
      </c>
      <c r="H264" s="25">
        <v>43748.0</v>
      </c>
      <c r="I264" s="16"/>
      <c r="J264" s="18">
        <v>1.0</v>
      </c>
      <c r="K264" s="16" t="s">
        <v>1455</v>
      </c>
      <c r="L264" s="16" t="s">
        <v>122</v>
      </c>
      <c r="M264" s="19"/>
      <c r="N264" s="19"/>
      <c r="O264" s="19"/>
      <c r="P264" s="19"/>
      <c r="Q264" s="19"/>
      <c r="R264" s="19"/>
      <c r="S264" s="19"/>
      <c r="T264" s="19"/>
      <c r="U264" s="19"/>
      <c r="V264" s="16" t="s">
        <v>1424</v>
      </c>
      <c r="W264" s="16" t="s">
        <v>46</v>
      </c>
      <c r="X264" s="21" t="s">
        <v>47</v>
      </c>
      <c r="Y264" s="23"/>
      <c r="Z264" s="19"/>
      <c r="AA264" s="16" t="s">
        <v>50</v>
      </c>
      <c r="AB264" s="19"/>
      <c r="AC264" s="19"/>
      <c r="AD264" s="19"/>
      <c r="AE264" s="19"/>
      <c r="AF264" s="19"/>
      <c r="AG264" s="19"/>
      <c r="AH264" s="21" t="s">
        <v>123</v>
      </c>
      <c r="AI264" s="23"/>
      <c r="AJ264" s="16" t="s">
        <v>124</v>
      </c>
      <c r="AK264" s="16" t="s">
        <v>142</v>
      </c>
      <c r="AL264" s="16" t="s">
        <v>181</v>
      </c>
      <c r="AM264" s="16" t="s">
        <v>181</v>
      </c>
      <c r="AN264" s="16" t="s">
        <v>181</v>
      </c>
      <c r="AO264" s="16" t="s">
        <v>181</v>
      </c>
      <c r="AP264" s="16" t="s">
        <v>181</v>
      </c>
      <c r="AQ264" s="16" t="s">
        <v>181</v>
      </c>
      <c r="AR264" s="16" t="s">
        <v>181</v>
      </c>
      <c r="AS264" s="21" t="s">
        <v>65</v>
      </c>
      <c r="AT264" s="22"/>
      <c r="AU264" s="23"/>
      <c r="AV264" s="19"/>
      <c r="AW264" s="19"/>
      <c r="AX264" s="16" t="s">
        <v>70</v>
      </c>
      <c r="AY264" s="21" t="s">
        <v>71</v>
      </c>
      <c r="AZ264" s="22"/>
      <c r="BA264" s="23"/>
      <c r="BB264" s="19"/>
      <c r="BC264" s="19"/>
      <c r="BD264" s="19"/>
      <c r="BE264" s="19"/>
      <c r="BF264" s="16" t="s">
        <v>1295</v>
      </c>
      <c r="BG264" s="21" t="s">
        <v>78</v>
      </c>
      <c r="BH264" s="23"/>
      <c r="BI264" s="19"/>
      <c r="BJ264" s="19"/>
      <c r="BK264" s="16" t="s">
        <v>81</v>
      </c>
      <c r="BL264" s="19"/>
      <c r="BM264" s="19"/>
      <c r="BN264" s="19"/>
      <c r="BO264" s="21" t="s">
        <v>85</v>
      </c>
      <c r="BP264" s="22"/>
      <c r="BQ264" s="22"/>
      <c r="BR264" s="23"/>
      <c r="BS264" s="19"/>
      <c r="BT264" s="19"/>
      <c r="BU264" s="19"/>
      <c r="BV264" s="19"/>
      <c r="BW264" s="19"/>
      <c r="BX264" s="16" t="s">
        <v>1295</v>
      </c>
      <c r="BY264" s="19"/>
      <c r="BZ264" s="19"/>
      <c r="CA264" s="19"/>
      <c r="CB264" s="21" t="s">
        <v>96</v>
      </c>
      <c r="CC264" s="23"/>
      <c r="CD264" s="19"/>
      <c r="CE264" s="19"/>
      <c r="CF264" s="19"/>
      <c r="CG264" s="16" t="s">
        <v>128</v>
      </c>
      <c r="CH264" s="21" t="s">
        <v>100</v>
      </c>
      <c r="CI264" s="23"/>
      <c r="CJ264" s="21" t="s">
        <v>102</v>
      </c>
      <c r="CK264" s="22"/>
      <c r="CL264" s="23"/>
      <c r="CM264" s="19"/>
      <c r="CN264" s="16" t="s">
        <v>128</v>
      </c>
      <c r="CO264" s="16" t="s">
        <v>105</v>
      </c>
      <c r="CP264" s="21" t="s">
        <v>106</v>
      </c>
      <c r="CQ264" s="23"/>
      <c r="CR264" s="16" t="s">
        <v>108</v>
      </c>
      <c r="CS264" s="16" t="s">
        <v>109</v>
      </c>
      <c r="CT264" s="21" t="s">
        <v>110</v>
      </c>
      <c r="CU264" s="23"/>
      <c r="CV264" s="16" t="s">
        <v>128</v>
      </c>
      <c r="CW264" s="19"/>
      <c r="CX264" s="21" t="s">
        <v>112</v>
      </c>
      <c r="CY264" s="23"/>
      <c r="CZ264" s="16" t="s">
        <v>114</v>
      </c>
      <c r="DA264" s="21" t="s">
        <v>115</v>
      </c>
      <c r="DB264" s="23"/>
      <c r="DC264" s="16" t="s">
        <v>129</v>
      </c>
      <c r="DD264" s="16" t="s">
        <v>129</v>
      </c>
      <c r="DE264" s="16" t="s">
        <v>129</v>
      </c>
      <c r="DF264" s="16" t="s">
        <v>129</v>
      </c>
      <c r="DG264" s="16" t="s">
        <v>1296</v>
      </c>
      <c r="DH264" s="16" t="s">
        <v>1456</v>
      </c>
      <c r="DI264" s="16" t="s">
        <v>1298</v>
      </c>
      <c r="DJ264" s="21" t="s">
        <v>1457</v>
      </c>
      <c r="DK264" s="22"/>
      <c r="DL264" s="23"/>
      <c r="DM264" s="16" t="s">
        <v>1458</v>
      </c>
      <c r="DN264" s="21" t="s">
        <v>1459</v>
      </c>
      <c r="DO264" s="23"/>
    </row>
    <row r="265" ht="15.75" customHeight="1">
      <c r="A265" s="15">
        <v>263.0</v>
      </c>
      <c r="B265" s="16" t="s">
        <v>1460</v>
      </c>
      <c r="C265" s="17">
        <v>2.8701032506431E13</v>
      </c>
      <c r="D265" s="18">
        <v>67.0</v>
      </c>
      <c r="E265" s="16" t="s">
        <v>241</v>
      </c>
      <c r="F265" s="16" t="s">
        <v>1331</v>
      </c>
      <c r="G265" s="16" t="s">
        <v>547</v>
      </c>
      <c r="H265" s="25">
        <v>41969.0</v>
      </c>
      <c r="I265" s="18">
        <v>1.0</v>
      </c>
      <c r="J265" s="19"/>
      <c r="K265" s="16" t="s">
        <v>1461</v>
      </c>
      <c r="L265" s="21" t="s">
        <v>138</v>
      </c>
      <c r="M265" s="23"/>
      <c r="N265" s="19"/>
      <c r="O265" s="19"/>
      <c r="P265" s="19"/>
      <c r="Q265" s="19"/>
      <c r="R265" s="19"/>
      <c r="S265" s="19"/>
      <c r="T265" s="19"/>
      <c r="U265" s="19"/>
      <c r="V265" s="18" t="s">
        <v>839</v>
      </c>
      <c r="W265" s="19"/>
      <c r="X265" s="16" t="s">
        <v>47</v>
      </c>
      <c r="Y265" s="21" t="s">
        <v>48</v>
      </c>
      <c r="Z265" s="23"/>
      <c r="AA265" s="19"/>
      <c r="AB265" s="19"/>
      <c r="AC265" s="19"/>
      <c r="AD265" s="19"/>
      <c r="AE265" s="19"/>
      <c r="AF265" s="19"/>
      <c r="AG265" s="16" t="s">
        <v>1462</v>
      </c>
      <c r="AH265" s="19"/>
      <c r="AI265" s="19"/>
      <c r="AJ265" s="16" t="s">
        <v>124</v>
      </c>
      <c r="AK265" s="16" t="s">
        <v>153</v>
      </c>
      <c r="AL265" s="16" t="s">
        <v>181</v>
      </c>
      <c r="AM265" s="16" t="s">
        <v>126</v>
      </c>
      <c r="AN265" s="16" t="s">
        <v>126</v>
      </c>
      <c r="AO265" s="16" t="s">
        <v>181</v>
      </c>
      <c r="AP265" s="16" t="s">
        <v>126</v>
      </c>
      <c r="AQ265" s="16" t="s">
        <v>181</v>
      </c>
      <c r="AR265" s="16" t="s">
        <v>126</v>
      </c>
      <c r="AS265" s="21" t="s">
        <v>65</v>
      </c>
      <c r="AT265" s="22"/>
      <c r="AU265" s="23"/>
      <c r="AV265" s="19"/>
      <c r="AW265" s="19"/>
      <c r="AX265" s="16" t="s">
        <v>70</v>
      </c>
      <c r="AY265" s="21" t="s">
        <v>71</v>
      </c>
      <c r="AZ265" s="22"/>
      <c r="BA265" s="23"/>
      <c r="BB265" s="19"/>
      <c r="BC265" s="19"/>
      <c r="BD265" s="19"/>
      <c r="BE265" s="19"/>
      <c r="BF265" s="18" t="s">
        <v>844</v>
      </c>
      <c r="BG265" s="21" t="s">
        <v>78</v>
      </c>
      <c r="BH265" s="23"/>
      <c r="BI265" s="21" t="s">
        <v>52</v>
      </c>
      <c r="BJ265" s="23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8" t="s">
        <v>839</v>
      </c>
      <c r="BY265" s="19"/>
      <c r="BZ265" s="19"/>
      <c r="CA265" s="19"/>
      <c r="CB265" s="19"/>
      <c r="CC265" s="19"/>
      <c r="CD265" s="19"/>
      <c r="CE265" s="19"/>
      <c r="CF265" s="16" t="s">
        <v>1463</v>
      </c>
      <c r="CG265" s="16" t="s">
        <v>158</v>
      </c>
      <c r="CH265" s="19"/>
      <c r="CI265" s="19"/>
      <c r="CJ265" s="21" t="s">
        <v>102</v>
      </c>
      <c r="CK265" s="23"/>
      <c r="CL265" s="21" t="s">
        <v>104</v>
      </c>
      <c r="CM265" s="23"/>
      <c r="CN265" s="16" t="s">
        <v>128</v>
      </c>
      <c r="CO265" s="19"/>
      <c r="CP265" s="19"/>
      <c r="CQ265" s="19"/>
      <c r="CR265" s="21" t="s">
        <v>108</v>
      </c>
      <c r="CS265" s="23"/>
      <c r="CT265" s="19"/>
      <c r="CU265" s="19"/>
      <c r="CV265" s="16" t="s">
        <v>128</v>
      </c>
      <c r="CW265" s="19"/>
      <c r="CX265" s="19"/>
      <c r="CY265" s="19"/>
      <c r="CZ265" s="21" t="s">
        <v>114</v>
      </c>
      <c r="DA265" s="22"/>
      <c r="DB265" s="23"/>
      <c r="DC265" s="16" t="s">
        <v>129</v>
      </c>
      <c r="DD265" s="16" t="s">
        <v>145</v>
      </c>
      <c r="DE265" s="16" t="s">
        <v>145</v>
      </c>
      <c r="DF265" s="16" t="s">
        <v>145</v>
      </c>
      <c r="DG265" s="16" t="s">
        <v>1058</v>
      </c>
      <c r="DH265" s="21" t="s">
        <v>1247</v>
      </c>
      <c r="DI265" s="23"/>
      <c r="DJ265" s="16" t="s">
        <v>144</v>
      </c>
      <c r="DK265" s="19"/>
      <c r="DL265" s="19"/>
      <c r="DM265" s="16" t="s">
        <v>1060</v>
      </c>
      <c r="DN265" s="21" t="s">
        <v>1179</v>
      </c>
      <c r="DO265" s="23"/>
    </row>
    <row r="266" ht="15.75" customHeight="1">
      <c r="A266" s="15">
        <v>264.0</v>
      </c>
      <c r="B266" s="16" t="s">
        <v>1464</v>
      </c>
      <c r="C266" s="17">
        <v>3.1510182502576E13</v>
      </c>
      <c r="D266" s="18">
        <v>12.0</v>
      </c>
      <c r="E266" s="16" t="s">
        <v>1271</v>
      </c>
      <c r="F266" s="16" t="s">
        <v>1271</v>
      </c>
      <c r="G266" s="16" t="s">
        <v>547</v>
      </c>
      <c r="H266" s="25">
        <v>42295.0</v>
      </c>
      <c r="I266" s="18">
        <v>1.0</v>
      </c>
      <c r="J266" s="19"/>
      <c r="K266" s="16" t="s">
        <v>1441</v>
      </c>
      <c r="L266" s="21" t="s">
        <v>138</v>
      </c>
      <c r="M266" s="23"/>
      <c r="N266" s="19"/>
      <c r="O266" s="19"/>
      <c r="P266" s="19"/>
      <c r="Q266" s="19"/>
      <c r="R266" s="19"/>
      <c r="S266" s="19"/>
      <c r="T266" s="19"/>
      <c r="U266" s="19"/>
      <c r="V266" s="16" t="s">
        <v>1303</v>
      </c>
      <c r="W266" s="16" t="s">
        <v>46</v>
      </c>
      <c r="X266" s="16" t="s">
        <v>47</v>
      </c>
      <c r="Y266" s="21" t="s">
        <v>48</v>
      </c>
      <c r="Z266" s="23"/>
      <c r="AA266" s="16" t="s">
        <v>50</v>
      </c>
      <c r="AB266" s="19"/>
      <c r="AC266" s="19"/>
      <c r="AD266" s="19"/>
      <c r="AE266" s="19"/>
      <c r="AF266" s="19"/>
      <c r="AG266" s="19"/>
      <c r="AH266" s="21" t="s">
        <v>228</v>
      </c>
      <c r="AI266" s="23"/>
      <c r="AJ266" s="16" t="s">
        <v>168</v>
      </c>
      <c r="AK266" s="16" t="s">
        <v>142</v>
      </c>
      <c r="AL266" s="16" t="s">
        <v>181</v>
      </c>
      <c r="AM266" s="16" t="s">
        <v>181</v>
      </c>
      <c r="AN266" s="16" t="s">
        <v>181</v>
      </c>
      <c r="AO266" s="16" t="s">
        <v>181</v>
      </c>
      <c r="AP266" s="16" t="s">
        <v>181</v>
      </c>
      <c r="AQ266" s="16" t="s">
        <v>181</v>
      </c>
      <c r="AR266" s="16" t="s">
        <v>143</v>
      </c>
      <c r="AS266" s="21" t="s">
        <v>65</v>
      </c>
      <c r="AT266" s="23"/>
      <c r="AU266" s="16" t="s">
        <v>67</v>
      </c>
      <c r="AV266" s="16" t="s">
        <v>68</v>
      </c>
      <c r="AW266" s="16" t="s">
        <v>69</v>
      </c>
      <c r="AX266" s="16" t="s">
        <v>70</v>
      </c>
      <c r="AY266" s="21" t="s">
        <v>71</v>
      </c>
      <c r="AZ266" s="22"/>
      <c r="BA266" s="23"/>
      <c r="BB266" s="19"/>
      <c r="BC266" s="19"/>
      <c r="BD266" s="19"/>
      <c r="BE266" s="19"/>
      <c r="BF266" s="16" t="s">
        <v>457</v>
      </c>
      <c r="BG266" s="16" t="s">
        <v>78</v>
      </c>
      <c r="BH266" s="16" t="s">
        <v>79</v>
      </c>
      <c r="BI266" s="21" t="s">
        <v>52</v>
      </c>
      <c r="BJ266" s="23"/>
      <c r="BK266" s="16" t="s">
        <v>81</v>
      </c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6" t="s">
        <v>457</v>
      </c>
      <c r="BY266" s="19"/>
      <c r="BZ266" s="19"/>
      <c r="CA266" s="19"/>
      <c r="CB266" s="19"/>
      <c r="CC266" s="19"/>
      <c r="CD266" s="19"/>
      <c r="CE266" s="19"/>
      <c r="CF266" s="16" t="s">
        <v>1465</v>
      </c>
      <c r="CG266" s="16" t="s">
        <v>128</v>
      </c>
      <c r="CH266" s="16" t="s">
        <v>100</v>
      </c>
      <c r="CI266" s="16" t="s">
        <v>101</v>
      </c>
      <c r="CJ266" s="16" t="s">
        <v>102</v>
      </c>
      <c r="CK266" s="16" t="s">
        <v>103</v>
      </c>
      <c r="CL266" s="21" t="s">
        <v>104</v>
      </c>
      <c r="CM266" s="23"/>
      <c r="CN266" s="16" t="s">
        <v>128</v>
      </c>
      <c r="CO266" s="16" t="s">
        <v>105</v>
      </c>
      <c r="CP266" s="21" t="s">
        <v>106</v>
      </c>
      <c r="CQ266" s="23"/>
      <c r="CR266" s="21" t="s">
        <v>108</v>
      </c>
      <c r="CS266" s="23"/>
      <c r="CT266" s="21" t="s">
        <v>110</v>
      </c>
      <c r="CU266" s="23"/>
      <c r="CV266" s="16" t="s">
        <v>128</v>
      </c>
      <c r="CW266" s="21" t="s">
        <v>111</v>
      </c>
      <c r="CX266" s="22"/>
      <c r="CY266" s="23"/>
      <c r="CZ266" s="21" t="s">
        <v>114</v>
      </c>
      <c r="DA266" s="22"/>
      <c r="DB266" s="23"/>
      <c r="DC266" s="16" t="s">
        <v>129</v>
      </c>
      <c r="DD266" s="16" t="s">
        <v>129</v>
      </c>
      <c r="DE266" s="16" t="s">
        <v>129</v>
      </c>
      <c r="DF266" s="16" t="s">
        <v>129</v>
      </c>
      <c r="DG266" s="16" t="s">
        <v>1466</v>
      </c>
      <c r="DH266" s="21" t="s">
        <v>1467</v>
      </c>
      <c r="DI266" s="23"/>
      <c r="DJ266" s="16" t="s">
        <v>144</v>
      </c>
      <c r="DK266" s="19"/>
      <c r="DL266" s="19"/>
      <c r="DM266" s="16" t="s">
        <v>144</v>
      </c>
      <c r="DN266" s="19"/>
      <c r="DO266" s="19"/>
    </row>
    <row r="267" ht="15.75" customHeight="1">
      <c r="A267" s="15">
        <v>265.0</v>
      </c>
      <c r="B267" s="16" t="s">
        <v>1468</v>
      </c>
      <c r="C267" s="17">
        <v>3.1808262501472E13</v>
      </c>
      <c r="D267" s="18">
        <v>7.0</v>
      </c>
      <c r="E267" s="16" t="s">
        <v>241</v>
      </c>
      <c r="F267" s="16" t="s">
        <v>1331</v>
      </c>
      <c r="G267" s="16" t="s">
        <v>547</v>
      </c>
      <c r="H267" s="20">
        <v>43338.0</v>
      </c>
      <c r="I267" s="18">
        <v>1.0</v>
      </c>
      <c r="J267" s="19"/>
      <c r="K267" s="16" t="s">
        <v>1469</v>
      </c>
      <c r="L267" s="16" t="s">
        <v>122</v>
      </c>
      <c r="M267" s="19"/>
      <c r="N267" s="19"/>
      <c r="O267" s="19"/>
      <c r="P267" s="19"/>
      <c r="Q267" s="19"/>
      <c r="R267" s="19"/>
      <c r="S267" s="19"/>
      <c r="T267" s="19"/>
      <c r="U267" s="19"/>
      <c r="V267" s="16" t="s">
        <v>1470</v>
      </c>
      <c r="W267" s="16" t="s">
        <v>46</v>
      </c>
      <c r="X267" s="19"/>
      <c r="Y267" s="19"/>
      <c r="Z267" s="19"/>
      <c r="AA267" s="19"/>
      <c r="AB267" s="19"/>
      <c r="AC267" s="19"/>
      <c r="AD267" s="19"/>
      <c r="AE267" s="19"/>
      <c r="AF267" s="19"/>
      <c r="AG267" s="16" t="s">
        <v>1471</v>
      </c>
      <c r="AH267" s="21" t="s">
        <v>123</v>
      </c>
      <c r="AI267" s="23"/>
      <c r="AJ267" s="16" t="s">
        <v>449</v>
      </c>
      <c r="AK267" s="16" t="s">
        <v>142</v>
      </c>
      <c r="AL267" s="16" t="s">
        <v>126</v>
      </c>
      <c r="AM267" s="16" t="s">
        <v>181</v>
      </c>
      <c r="AN267" s="16" t="s">
        <v>181</v>
      </c>
      <c r="AO267" s="16" t="s">
        <v>126</v>
      </c>
      <c r="AP267" s="16" t="s">
        <v>181</v>
      </c>
      <c r="AQ267" s="16" t="s">
        <v>126</v>
      </c>
      <c r="AR267" s="16" t="s">
        <v>181</v>
      </c>
      <c r="AS267" s="21" t="s">
        <v>65</v>
      </c>
      <c r="AT267" s="23"/>
      <c r="AU267" s="21" t="s">
        <v>67</v>
      </c>
      <c r="AV267" s="22"/>
      <c r="AW267" s="23"/>
      <c r="AX267" s="19"/>
      <c r="AY267" s="19"/>
      <c r="AZ267" s="19"/>
      <c r="BA267" s="19"/>
      <c r="BB267" s="19"/>
      <c r="BC267" s="19"/>
      <c r="BD267" s="19"/>
      <c r="BE267" s="19"/>
      <c r="BF267" s="18" t="s">
        <v>844</v>
      </c>
      <c r="BG267" s="21" t="s">
        <v>78</v>
      </c>
      <c r="BH267" s="23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8" t="s">
        <v>839</v>
      </c>
      <c r="BY267" s="19"/>
      <c r="BZ267" s="19"/>
      <c r="CA267" s="19"/>
      <c r="CB267" s="19"/>
      <c r="CC267" s="19"/>
      <c r="CD267" s="19"/>
      <c r="CE267" s="21" t="s">
        <v>99</v>
      </c>
      <c r="CF267" s="23"/>
      <c r="CG267" s="16" t="s">
        <v>128</v>
      </c>
      <c r="CH267" s="19"/>
      <c r="CI267" s="19"/>
      <c r="CJ267" s="16" t="s">
        <v>102</v>
      </c>
      <c r="CK267" s="21" t="s">
        <v>103</v>
      </c>
      <c r="CL267" s="23"/>
      <c r="CM267" s="19"/>
      <c r="CN267" s="16" t="s">
        <v>128</v>
      </c>
      <c r="CO267" s="21" t="s">
        <v>105</v>
      </c>
      <c r="CP267" s="22"/>
      <c r="CQ267" s="23"/>
      <c r="CR267" s="19"/>
      <c r="CS267" s="19"/>
      <c r="CT267" s="19"/>
      <c r="CU267" s="19"/>
      <c r="CV267" s="16" t="s">
        <v>128</v>
      </c>
      <c r="CW267" s="19"/>
      <c r="CX267" s="19"/>
      <c r="CY267" s="19"/>
      <c r="CZ267" s="21" t="s">
        <v>114</v>
      </c>
      <c r="DA267" s="22"/>
      <c r="DB267" s="23"/>
      <c r="DC267" s="16" t="s">
        <v>145</v>
      </c>
      <c r="DD267" s="16" t="s">
        <v>145</v>
      </c>
      <c r="DE267" s="16" t="s">
        <v>129</v>
      </c>
      <c r="DF267" s="16" t="s">
        <v>145</v>
      </c>
      <c r="DG267" s="16" t="s">
        <v>1058</v>
      </c>
      <c r="DH267" s="21" t="s">
        <v>1097</v>
      </c>
      <c r="DI267" s="23"/>
      <c r="DJ267" s="16" t="s">
        <v>144</v>
      </c>
      <c r="DK267" s="19"/>
      <c r="DL267" s="19"/>
      <c r="DM267" s="21" t="s">
        <v>1060</v>
      </c>
      <c r="DN267" s="23"/>
      <c r="DO267" s="19"/>
    </row>
    <row r="268" ht="15.75" customHeight="1">
      <c r="A268" s="15">
        <v>266.0</v>
      </c>
      <c r="B268" s="16" t="s">
        <v>1472</v>
      </c>
      <c r="C268" s="17">
        <v>3.1601072502029E13</v>
      </c>
      <c r="D268" s="18">
        <v>26.0</v>
      </c>
      <c r="E268" s="16" t="s">
        <v>1335</v>
      </c>
      <c r="F268" s="16" t="s">
        <v>606</v>
      </c>
      <c r="G268" s="16" t="s">
        <v>547</v>
      </c>
      <c r="H268" s="20">
        <v>42376.0</v>
      </c>
      <c r="I268" s="18"/>
      <c r="J268" s="18">
        <v>1.0</v>
      </c>
      <c r="K268" s="16" t="s">
        <v>1473</v>
      </c>
      <c r="L268" s="21" t="s">
        <v>138</v>
      </c>
      <c r="M268" s="23"/>
      <c r="N268" s="19"/>
      <c r="O268" s="19"/>
      <c r="P268" s="19"/>
      <c r="Q268" s="19"/>
      <c r="R268" s="19"/>
      <c r="S268" s="19"/>
      <c r="T268" s="19"/>
      <c r="U268" s="19"/>
      <c r="V268" s="16" t="s">
        <v>932</v>
      </c>
      <c r="W268" s="16" t="s">
        <v>46</v>
      </c>
      <c r="X268" s="21" t="s">
        <v>47</v>
      </c>
      <c r="Y268" s="23"/>
      <c r="Z268" s="19"/>
      <c r="AA268" s="16" t="s">
        <v>50</v>
      </c>
      <c r="AB268" s="19"/>
      <c r="AC268" s="19"/>
      <c r="AD268" s="19"/>
      <c r="AE268" s="19"/>
      <c r="AF268" s="16" t="s">
        <v>55</v>
      </c>
      <c r="AG268" s="18" t="s">
        <v>839</v>
      </c>
      <c r="AH268" s="16" t="s">
        <v>57</v>
      </c>
      <c r="AI268" s="18" t="s">
        <v>839</v>
      </c>
      <c r="AJ268" s="16" t="s">
        <v>168</v>
      </c>
      <c r="AK268" s="16" t="s">
        <v>153</v>
      </c>
      <c r="AL268" s="16" t="s">
        <v>181</v>
      </c>
      <c r="AM268" s="16" t="s">
        <v>181</v>
      </c>
      <c r="AN268" s="16" t="s">
        <v>181</v>
      </c>
      <c r="AO268" s="16" t="s">
        <v>181</v>
      </c>
      <c r="AP268" s="16" t="s">
        <v>181</v>
      </c>
      <c r="AQ268" s="16" t="s">
        <v>181</v>
      </c>
      <c r="AR268" s="16" t="s">
        <v>181</v>
      </c>
      <c r="AS268" s="21" t="s">
        <v>65</v>
      </c>
      <c r="AT268" s="23"/>
      <c r="AU268" s="21" t="s">
        <v>67</v>
      </c>
      <c r="AV268" s="23"/>
      <c r="AW268" s="16" t="s">
        <v>69</v>
      </c>
      <c r="AX268" s="16" t="s">
        <v>70</v>
      </c>
      <c r="AY268" s="16" t="s">
        <v>71</v>
      </c>
      <c r="AZ268" s="18" t="s">
        <v>839</v>
      </c>
      <c r="BA268" s="16" t="s">
        <v>73</v>
      </c>
      <c r="BB268" s="21" t="s">
        <v>74</v>
      </c>
      <c r="BC268" s="22"/>
      <c r="BD268" s="23"/>
      <c r="BE268" s="16" t="s">
        <v>77</v>
      </c>
      <c r="BF268" s="18">
        <v>0.0</v>
      </c>
      <c r="BG268" s="21" t="s">
        <v>78</v>
      </c>
      <c r="BH268" s="23"/>
      <c r="BI268" s="21" t="s">
        <v>52</v>
      </c>
      <c r="BJ268" s="23"/>
      <c r="BK268" s="16" t="s">
        <v>81</v>
      </c>
      <c r="BL268" s="19"/>
      <c r="BM268" s="16" t="s">
        <v>83</v>
      </c>
      <c r="BN268" s="16" t="s">
        <v>84</v>
      </c>
      <c r="BO268" s="16" t="s">
        <v>85</v>
      </c>
      <c r="BP268" s="18" t="s">
        <v>839</v>
      </c>
      <c r="BQ268" s="19"/>
      <c r="BR268" s="19"/>
      <c r="BS268" s="16" t="s">
        <v>88</v>
      </c>
      <c r="BT268" s="21" t="s">
        <v>89</v>
      </c>
      <c r="BU268" s="22"/>
      <c r="BV268" s="23"/>
      <c r="BW268" s="16" t="s">
        <v>92</v>
      </c>
      <c r="BX268" s="18" t="s">
        <v>844</v>
      </c>
      <c r="BY268" s="19"/>
      <c r="BZ268" s="19"/>
      <c r="CA268" s="19"/>
      <c r="CB268" s="21" t="s">
        <v>96</v>
      </c>
      <c r="CC268" s="23"/>
      <c r="CD268" s="19"/>
      <c r="CE268" s="19"/>
      <c r="CF268" s="18" t="s">
        <v>840</v>
      </c>
      <c r="CG268" s="16" t="s">
        <v>128</v>
      </c>
      <c r="CH268" s="16" t="s">
        <v>100</v>
      </c>
      <c r="CI268" s="16" t="s">
        <v>101</v>
      </c>
      <c r="CJ268" s="21" t="s">
        <v>102</v>
      </c>
      <c r="CK268" s="23"/>
      <c r="CL268" s="16" t="s">
        <v>104</v>
      </c>
      <c r="CM268" s="18" t="s">
        <v>844</v>
      </c>
      <c r="CN268" s="16" t="s">
        <v>128</v>
      </c>
      <c r="CO268" s="16" t="s">
        <v>105</v>
      </c>
      <c r="CP268" s="16" t="s">
        <v>106</v>
      </c>
      <c r="CQ268" s="16" t="s">
        <v>107</v>
      </c>
      <c r="CR268" s="16" t="s">
        <v>108</v>
      </c>
      <c r="CS268" s="16" t="s">
        <v>109</v>
      </c>
      <c r="CT268" s="16" t="s">
        <v>110</v>
      </c>
      <c r="CU268" s="18" t="s">
        <v>844</v>
      </c>
      <c r="CV268" s="21" t="s">
        <v>154</v>
      </c>
      <c r="CW268" s="23"/>
      <c r="CX268" s="21" t="s">
        <v>112</v>
      </c>
      <c r="CY268" s="22"/>
      <c r="CZ268" s="23"/>
      <c r="DA268" s="16" t="s">
        <v>115</v>
      </c>
      <c r="DB268" s="18" t="s">
        <v>839</v>
      </c>
      <c r="DC268" s="16" t="s">
        <v>129</v>
      </c>
      <c r="DD268" s="16" t="s">
        <v>129</v>
      </c>
      <c r="DE268" s="16" t="s">
        <v>129</v>
      </c>
      <c r="DF268" s="16" t="s">
        <v>129</v>
      </c>
      <c r="DG268" s="16" t="s">
        <v>841</v>
      </c>
      <c r="DH268" s="16" t="s">
        <v>873</v>
      </c>
      <c r="DI268" s="16" t="s">
        <v>1474</v>
      </c>
      <c r="DJ268" s="16" t="s">
        <v>144</v>
      </c>
      <c r="DK268" s="18" t="s">
        <v>844</v>
      </c>
      <c r="DL268" s="18" t="s">
        <v>845</v>
      </c>
      <c r="DM268" s="16" t="s">
        <v>1475</v>
      </c>
      <c r="DN268" s="16" t="s">
        <v>901</v>
      </c>
      <c r="DO268" s="18" t="s">
        <v>845</v>
      </c>
    </row>
    <row r="269" ht="15.75" customHeight="1">
      <c r="A269" s="15">
        <v>267.0</v>
      </c>
      <c r="B269" s="16" t="s">
        <v>1476</v>
      </c>
      <c r="C269" s="17">
        <v>3.1608222501624E13</v>
      </c>
      <c r="D269" s="18">
        <v>14.0</v>
      </c>
      <c r="E269" s="16" t="s">
        <v>1271</v>
      </c>
      <c r="F269" s="16" t="s">
        <v>1271</v>
      </c>
      <c r="G269" s="16" t="s">
        <v>547</v>
      </c>
      <c r="H269" s="20">
        <v>42604.0</v>
      </c>
      <c r="I269" s="16"/>
      <c r="J269" s="18">
        <v>1.0</v>
      </c>
      <c r="K269" s="16" t="s">
        <v>1477</v>
      </c>
      <c r="L269" s="21" t="s">
        <v>138</v>
      </c>
      <c r="M269" s="23"/>
      <c r="N269" s="19"/>
      <c r="O269" s="19"/>
      <c r="P269" s="19"/>
      <c r="Q269" s="19"/>
      <c r="R269" s="19"/>
      <c r="S269" s="19"/>
      <c r="T269" s="19"/>
      <c r="U269" s="19"/>
      <c r="V269" s="16" t="s">
        <v>1324</v>
      </c>
      <c r="W269" s="16" t="s">
        <v>46</v>
      </c>
      <c r="X269" s="16" t="s">
        <v>47</v>
      </c>
      <c r="Y269" s="21" t="s">
        <v>48</v>
      </c>
      <c r="Z269" s="23"/>
      <c r="AA269" s="16" t="s">
        <v>50</v>
      </c>
      <c r="AB269" s="19"/>
      <c r="AC269" s="19"/>
      <c r="AD269" s="19"/>
      <c r="AE269" s="19"/>
      <c r="AF269" s="19"/>
      <c r="AG269" s="19"/>
      <c r="AH269" s="21" t="s">
        <v>228</v>
      </c>
      <c r="AI269" s="23"/>
      <c r="AJ269" s="16" t="s">
        <v>168</v>
      </c>
      <c r="AK269" s="16" t="s">
        <v>153</v>
      </c>
      <c r="AL269" s="16" t="s">
        <v>181</v>
      </c>
      <c r="AM269" s="16" t="s">
        <v>181</v>
      </c>
      <c r="AN269" s="16" t="s">
        <v>126</v>
      </c>
      <c r="AO269" s="16" t="s">
        <v>181</v>
      </c>
      <c r="AP269" s="16" t="s">
        <v>181</v>
      </c>
      <c r="AQ269" s="16" t="s">
        <v>181</v>
      </c>
      <c r="AR269" s="16" t="s">
        <v>597</v>
      </c>
      <c r="AS269" s="19"/>
      <c r="AT269" s="19"/>
      <c r="AU269" s="16" t="s">
        <v>67</v>
      </c>
      <c r="AV269" s="16" t="s">
        <v>68</v>
      </c>
      <c r="AW269" s="16" t="s">
        <v>69</v>
      </c>
      <c r="AX269" s="16" t="s">
        <v>70</v>
      </c>
      <c r="AY269" s="16" t="s">
        <v>71</v>
      </c>
      <c r="AZ269" s="21" t="s">
        <v>1478</v>
      </c>
      <c r="BA269" s="22"/>
      <c r="BB269" s="22"/>
      <c r="BC269" s="22"/>
      <c r="BD269" s="22"/>
      <c r="BE269" s="23"/>
      <c r="BF269" s="16" t="s">
        <v>1295</v>
      </c>
      <c r="BG269" s="21" t="s">
        <v>78</v>
      </c>
      <c r="BH269" s="23"/>
      <c r="BI269" s="19"/>
      <c r="BJ269" s="19"/>
      <c r="BK269" s="16" t="s">
        <v>81</v>
      </c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6" t="s">
        <v>457</v>
      </c>
      <c r="BY269" s="19"/>
      <c r="BZ269" s="19"/>
      <c r="CA269" s="19"/>
      <c r="CB269" s="21" t="s">
        <v>96</v>
      </c>
      <c r="CC269" s="23"/>
      <c r="CD269" s="19"/>
      <c r="CE269" s="19"/>
      <c r="CF269" s="16" t="s">
        <v>1479</v>
      </c>
      <c r="CG269" s="16" t="s">
        <v>128</v>
      </c>
      <c r="CH269" s="16" t="s">
        <v>100</v>
      </c>
      <c r="CI269" s="16" t="s">
        <v>101</v>
      </c>
      <c r="CJ269" s="16" t="s">
        <v>102</v>
      </c>
      <c r="CK269" s="16" t="s">
        <v>103</v>
      </c>
      <c r="CL269" s="21" t="s">
        <v>104</v>
      </c>
      <c r="CM269" s="23"/>
      <c r="CN269" s="16" t="s">
        <v>128</v>
      </c>
      <c r="CO269" s="19"/>
      <c r="CP269" s="19"/>
      <c r="CQ269" s="19"/>
      <c r="CR269" s="19"/>
      <c r="CS269" s="19"/>
      <c r="CT269" s="21" t="s">
        <v>110</v>
      </c>
      <c r="CU269" s="23"/>
      <c r="CV269" s="16" t="s">
        <v>128</v>
      </c>
      <c r="CW269" s="21" t="s">
        <v>111</v>
      </c>
      <c r="CX269" s="22"/>
      <c r="CY269" s="23"/>
      <c r="CZ269" s="21" t="s">
        <v>114</v>
      </c>
      <c r="DA269" s="22"/>
      <c r="DB269" s="23"/>
      <c r="DC269" s="16" t="s">
        <v>129</v>
      </c>
      <c r="DD269" s="16" t="s">
        <v>129</v>
      </c>
      <c r="DE269" s="16" t="s">
        <v>129</v>
      </c>
      <c r="DF269" s="16" t="s">
        <v>129</v>
      </c>
      <c r="DG269" s="16" t="s">
        <v>1480</v>
      </c>
      <c r="DH269" s="16" t="s">
        <v>1481</v>
      </c>
      <c r="DI269" s="16" t="s">
        <v>1482</v>
      </c>
      <c r="DJ269" s="16" t="s">
        <v>144</v>
      </c>
      <c r="DK269" s="19"/>
      <c r="DL269" s="19"/>
      <c r="DM269" s="16" t="s">
        <v>144</v>
      </c>
      <c r="DN269" s="19"/>
      <c r="DO269" s="19"/>
    </row>
    <row r="270" ht="15.75" customHeight="1">
      <c r="A270" s="15">
        <v>268.0</v>
      </c>
      <c r="B270" s="16" t="s">
        <v>1483</v>
      </c>
      <c r="C270" s="17">
        <v>3.2103172502852E13</v>
      </c>
      <c r="D270" s="18">
        <v>159.0</v>
      </c>
      <c r="E270" s="16" t="s">
        <v>1484</v>
      </c>
      <c r="F270" s="16" t="s">
        <v>595</v>
      </c>
      <c r="G270" s="16" t="s">
        <v>547</v>
      </c>
      <c r="H270" s="20">
        <v>44272.0</v>
      </c>
      <c r="I270" s="18">
        <v>1.0</v>
      </c>
      <c r="J270" s="19"/>
      <c r="K270" s="16" t="s">
        <v>1485</v>
      </c>
      <c r="L270" s="21" t="s">
        <v>138</v>
      </c>
      <c r="M270" s="23"/>
      <c r="N270" s="19"/>
      <c r="O270" s="19"/>
      <c r="P270" s="19"/>
      <c r="Q270" s="19"/>
      <c r="R270" s="19"/>
      <c r="S270" s="19"/>
      <c r="T270" s="19"/>
      <c r="U270" s="19"/>
      <c r="V270" s="16" t="s">
        <v>139</v>
      </c>
      <c r="W270" s="19"/>
      <c r="X270" s="21" t="s">
        <v>47</v>
      </c>
      <c r="Y270" s="23"/>
      <c r="Z270" s="19"/>
      <c r="AA270" s="19"/>
      <c r="AB270" s="19"/>
      <c r="AC270" s="19"/>
      <c r="AD270" s="19"/>
      <c r="AE270" s="19"/>
      <c r="AF270" s="19"/>
      <c r="AG270" s="19"/>
      <c r="AH270" s="21" t="s">
        <v>123</v>
      </c>
      <c r="AI270" s="23"/>
      <c r="AJ270" s="16" t="s">
        <v>449</v>
      </c>
      <c r="AK270" s="16" t="s">
        <v>125</v>
      </c>
      <c r="AL270" s="16" t="s">
        <v>143</v>
      </c>
      <c r="AM270" s="16" t="s">
        <v>143</v>
      </c>
      <c r="AN270" s="16" t="s">
        <v>143</v>
      </c>
      <c r="AO270" s="16" t="s">
        <v>143</v>
      </c>
      <c r="AP270" s="16" t="s">
        <v>143</v>
      </c>
      <c r="AQ270" s="16" t="s">
        <v>126</v>
      </c>
      <c r="AR270" s="16" t="s">
        <v>126</v>
      </c>
      <c r="AS270" s="21" t="s">
        <v>65</v>
      </c>
      <c r="AT270" s="22"/>
      <c r="AU270" s="23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21" t="s">
        <v>78</v>
      </c>
      <c r="BH270" s="23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6" t="s">
        <v>127</v>
      </c>
      <c r="CG270" s="16" t="s">
        <v>128</v>
      </c>
      <c r="CH270" s="19"/>
      <c r="CI270" s="19"/>
      <c r="CJ270" s="19"/>
      <c r="CK270" s="19"/>
      <c r="CL270" s="19"/>
      <c r="CM270" s="16" t="s">
        <v>1486</v>
      </c>
      <c r="CN270" s="16" t="s">
        <v>128</v>
      </c>
      <c r="CO270" s="21" t="s">
        <v>105</v>
      </c>
      <c r="CP270" s="22"/>
      <c r="CQ270" s="23"/>
      <c r="CR270" s="19"/>
      <c r="CS270" s="19"/>
      <c r="CT270" s="19"/>
      <c r="CU270" s="19"/>
      <c r="CV270" s="16" t="s">
        <v>128</v>
      </c>
      <c r="CW270" s="21" t="s">
        <v>111</v>
      </c>
      <c r="CX270" s="22"/>
      <c r="CY270" s="23"/>
      <c r="CZ270" s="19"/>
      <c r="DA270" s="19"/>
      <c r="DB270" s="19"/>
      <c r="DC270" s="16" t="s">
        <v>145</v>
      </c>
      <c r="DD270" s="19"/>
      <c r="DE270" s="16" t="s">
        <v>145</v>
      </c>
      <c r="DF270" s="16" t="s">
        <v>145</v>
      </c>
      <c r="DG270" s="21" t="s">
        <v>1487</v>
      </c>
      <c r="DH270" s="23"/>
      <c r="DI270" s="19"/>
      <c r="DJ270" s="16" t="s">
        <v>144</v>
      </c>
      <c r="DK270" s="19"/>
      <c r="DL270" s="19"/>
      <c r="DM270" s="16" t="s">
        <v>144</v>
      </c>
      <c r="DN270" s="19"/>
      <c r="DO270" s="19"/>
    </row>
    <row r="271" ht="15.75" customHeight="1">
      <c r="A271" s="15">
        <v>269.0</v>
      </c>
      <c r="B271" s="16" t="s">
        <v>1488</v>
      </c>
      <c r="C271" s="17">
        <v>2.9204202503857E13</v>
      </c>
      <c r="D271" s="18">
        <v>32.0</v>
      </c>
      <c r="E271" s="16" t="s">
        <v>241</v>
      </c>
      <c r="F271" s="16" t="s">
        <v>1331</v>
      </c>
      <c r="G271" s="16" t="s">
        <v>547</v>
      </c>
      <c r="H271" s="20">
        <v>33696.0</v>
      </c>
      <c r="I271" s="18">
        <v>1.0</v>
      </c>
      <c r="J271" s="19"/>
      <c r="K271" s="16" t="s">
        <v>1489</v>
      </c>
      <c r="L271" s="21" t="s">
        <v>138</v>
      </c>
      <c r="M271" s="23"/>
      <c r="N271" s="19"/>
      <c r="O271" s="19"/>
      <c r="P271" s="19"/>
      <c r="Q271" s="19"/>
      <c r="R271" s="19"/>
      <c r="S271" s="19"/>
      <c r="T271" s="19"/>
      <c r="U271" s="19"/>
      <c r="V271" s="18" t="s">
        <v>839</v>
      </c>
      <c r="W271" s="19"/>
      <c r="X271" s="19"/>
      <c r="Y271" s="19"/>
      <c r="Z271" s="19"/>
      <c r="AA271" s="19"/>
      <c r="AB271" s="19"/>
      <c r="AC271" s="21" t="s">
        <v>52</v>
      </c>
      <c r="AD271" s="23"/>
      <c r="AE271" s="19"/>
      <c r="AF271" s="19"/>
      <c r="AG271" s="16" t="s">
        <v>1333</v>
      </c>
      <c r="AH271" s="21" t="s">
        <v>228</v>
      </c>
      <c r="AI271" s="23"/>
      <c r="AJ271" s="16" t="s">
        <v>168</v>
      </c>
      <c r="AK271" s="16" t="s">
        <v>153</v>
      </c>
      <c r="AL271" s="16" t="s">
        <v>126</v>
      </c>
      <c r="AM271" s="16" t="s">
        <v>126</v>
      </c>
      <c r="AN271" s="16" t="s">
        <v>181</v>
      </c>
      <c r="AO271" s="16" t="s">
        <v>126</v>
      </c>
      <c r="AP271" s="16" t="s">
        <v>126</v>
      </c>
      <c r="AQ271" s="16" t="s">
        <v>181</v>
      </c>
      <c r="AR271" s="16" t="s">
        <v>126</v>
      </c>
      <c r="AS271" s="19"/>
      <c r="AT271" s="19"/>
      <c r="AU271" s="19"/>
      <c r="AV271" s="19"/>
      <c r="AW271" s="19"/>
      <c r="AX271" s="19"/>
      <c r="AY271" s="19"/>
      <c r="AZ271" s="18" t="s">
        <v>839</v>
      </c>
      <c r="BA271" s="19"/>
      <c r="BB271" s="21" t="s">
        <v>74</v>
      </c>
      <c r="BC271" s="22"/>
      <c r="BD271" s="23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8" t="s">
        <v>839</v>
      </c>
      <c r="BQ271" s="19"/>
      <c r="BR271" s="19"/>
      <c r="BS271" s="21" t="s">
        <v>88</v>
      </c>
      <c r="BT271" s="23"/>
      <c r="BU271" s="19"/>
      <c r="BV271" s="19"/>
      <c r="BW271" s="19"/>
      <c r="BX271" s="19"/>
      <c r="BY271" s="19"/>
      <c r="BZ271" s="19"/>
      <c r="CA271" s="19"/>
      <c r="CB271" s="21" t="s">
        <v>96</v>
      </c>
      <c r="CC271" s="23"/>
      <c r="CD271" s="19"/>
      <c r="CE271" s="19"/>
      <c r="CF271" s="19"/>
      <c r="CG271" s="16" t="s">
        <v>128</v>
      </c>
      <c r="CH271" s="19"/>
      <c r="CI271" s="19"/>
      <c r="CJ271" s="19"/>
      <c r="CK271" s="19"/>
      <c r="CL271" s="21" t="s">
        <v>104</v>
      </c>
      <c r="CM271" s="23"/>
      <c r="CN271" s="16" t="s">
        <v>128</v>
      </c>
      <c r="CO271" s="21" t="s">
        <v>105</v>
      </c>
      <c r="CP271" s="22"/>
      <c r="CQ271" s="23"/>
      <c r="CR271" s="19"/>
      <c r="CS271" s="19"/>
      <c r="CT271" s="21" t="s">
        <v>110</v>
      </c>
      <c r="CU271" s="23"/>
      <c r="CV271" s="16" t="s">
        <v>128</v>
      </c>
      <c r="CW271" s="19"/>
      <c r="CX271" s="19"/>
      <c r="CY271" s="21" t="s">
        <v>113</v>
      </c>
      <c r="CZ271" s="23"/>
      <c r="DA271" s="21" t="s">
        <v>115</v>
      </c>
      <c r="DB271" s="22"/>
      <c r="DC271" s="22"/>
      <c r="DD271" s="23"/>
      <c r="DE271" s="19"/>
      <c r="DF271" s="19"/>
      <c r="DG271" s="21" t="s">
        <v>1490</v>
      </c>
      <c r="DH271" s="23"/>
      <c r="DI271" s="19"/>
      <c r="DJ271" s="16" t="s">
        <v>144</v>
      </c>
      <c r="DK271" s="19"/>
      <c r="DL271" s="19"/>
      <c r="DM271" s="21" t="s">
        <v>1060</v>
      </c>
      <c r="DN271" s="23"/>
      <c r="DO271" s="19"/>
    </row>
    <row r="272" ht="15.75" customHeight="1">
      <c r="A272" s="15">
        <v>270.0</v>
      </c>
      <c r="B272" s="16" t="s">
        <v>1491</v>
      </c>
      <c r="C272" s="17">
        <v>3.1906152501517E13</v>
      </c>
      <c r="D272" s="18">
        <v>72.0</v>
      </c>
      <c r="E272" s="16" t="s">
        <v>1335</v>
      </c>
      <c r="F272" s="16" t="s">
        <v>606</v>
      </c>
      <c r="G272" s="16" t="s">
        <v>547</v>
      </c>
      <c r="H272" s="20">
        <v>42901.0</v>
      </c>
      <c r="I272" s="18">
        <v>1.0</v>
      </c>
      <c r="J272" s="19"/>
      <c r="K272" s="16" t="s">
        <v>1492</v>
      </c>
      <c r="L272" s="21" t="s">
        <v>138</v>
      </c>
      <c r="M272" s="23"/>
      <c r="N272" s="19"/>
      <c r="O272" s="19"/>
      <c r="P272" s="19"/>
      <c r="Q272" s="19"/>
      <c r="R272" s="19"/>
      <c r="S272" s="19"/>
      <c r="T272" s="19"/>
      <c r="U272" s="19"/>
      <c r="V272" s="21" t="s">
        <v>932</v>
      </c>
      <c r="W272" s="23"/>
      <c r="X272" s="21" t="s">
        <v>47</v>
      </c>
      <c r="Y272" s="23"/>
      <c r="Z272" s="19"/>
      <c r="AA272" s="16" t="s">
        <v>50</v>
      </c>
      <c r="AB272" s="19"/>
      <c r="AC272" s="19"/>
      <c r="AD272" s="19"/>
      <c r="AE272" s="19"/>
      <c r="AF272" s="16" t="s">
        <v>55</v>
      </c>
      <c r="AG272" s="18" t="s">
        <v>839</v>
      </c>
      <c r="AH272" s="16" t="s">
        <v>57</v>
      </c>
      <c r="AI272" s="18" t="s">
        <v>839</v>
      </c>
      <c r="AJ272" s="16" t="s">
        <v>168</v>
      </c>
      <c r="AK272" s="16" t="s">
        <v>153</v>
      </c>
      <c r="AL272" s="16" t="s">
        <v>181</v>
      </c>
      <c r="AM272" s="16" t="s">
        <v>181</v>
      </c>
      <c r="AN272" s="16" t="s">
        <v>181</v>
      </c>
      <c r="AO272" s="16" t="s">
        <v>181</v>
      </c>
      <c r="AP272" s="16" t="s">
        <v>126</v>
      </c>
      <c r="AQ272" s="16" t="s">
        <v>126</v>
      </c>
      <c r="AR272" s="16" t="s">
        <v>181</v>
      </c>
      <c r="AS272" s="21" t="s">
        <v>65</v>
      </c>
      <c r="AT272" s="23"/>
      <c r="AU272" s="21" t="s">
        <v>67</v>
      </c>
      <c r="AV272" s="23"/>
      <c r="AW272" s="16" t="s">
        <v>69</v>
      </c>
      <c r="AX272" s="16" t="s">
        <v>70</v>
      </c>
      <c r="AY272" s="16" t="s">
        <v>71</v>
      </c>
      <c r="AZ272" s="18" t="s">
        <v>845</v>
      </c>
      <c r="BA272" s="19"/>
      <c r="BB272" s="21" t="s">
        <v>74</v>
      </c>
      <c r="BC272" s="22"/>
      <c r="BD272" s="23"/>
      <c r="BE272" s="16" t="s">
        <v>77</v>
      </c>
      <c r="BF272" s="18">
        <v>0.0</v>
      </c>
      <c r="BG272" s="16" t="s">
        <v>78</v>
      </c>
      <c r="BH272" s="21" t="s">
        <v>79</v>
      </c>
      <c r="BI272" s="23"/>
      <c r="BJ272" s="19"/>
      <c r="BK272" s="19"/>
      <c r="BL272" s="19"/>
      <c r="BM272" s="19"/>
      <c r="BN272" s="16" t="s">
        <v>84</v>
      </c>
      <c r="BO272" s="16" t="s">
        <v>85</v>
      </c>
      <c r="BP272" s="18" t="s">
        <v>839</v>
      </c>
      <c r="BQ272" s="19"/>
      <c r="BR272" s="19"/>
      <c r="BS272" s="21" t="s">
        <v>88</v>
      </c>
      <c r="BT272" s="23"/>
      <c r="BU272" s="19"/>
      <c r="BV272" s="19"/>
      <c r="BW272" s="16" t="s">
        <v>92</v>
      </c>
      <c r="BX272" s="18" t="s">
        <v>844</v>
      </c>
      <c r="BY272" s="19"/>
      <c r="BZ272" s="19"/>
      <c r="CA272" s="19"/>
      <c r="CB272" s="19"/>
      <c r="CC272" s="21" t="s">
        <v>97</v>
      </c>
      <c r="CD272" s="23"/>
      <c r="CE272" s="19"/>
      <c r="CF272" s="18" t="s">
        <v>840</v>
      </c>
      <c r="CG272" s="16" t="s">
        <v>128</v>
      </c>
      <c r="CH272" s="16" t="s">
        <v>100</v>
      </c>
      <c r="CI272" s="16" t="s">
        <v>101</v>
      </c>
      <c r="CJ272" s="16" t="s">
        <v>102</v>
      </c>
      <c r="CK272" s="16" t="s">
        <v>103</v>
      </c>
      <c r="CL272" s="16" t="s">
        <v>104</v>
      </c>
      <c r="CM272" s="18" t="s">
        <v>839</v>
      </c>
      <c r="CN272" s="16" t="s">
        <v>128</v>
      </c>
      <c r="CO272" s="21" t="s">
        <v>105</v>
      </c>
      <c r="CP272" s="22"/>
      <c r="CQ272" s="23"/>
      <c r="CR272" s="21" t="s">
        <v>108</v>
      </c>
      <c r="CS272" s="23"/>
      <c r="CT272" s="16" t="s">
        <v>110</v>
      </c>
      <c r="CU272" s="18" t="s">
        <v>844</v>
      </c>
      <c r="CV272" s="16" t="s">
        <v>128</v>
      </c>
      <c r="CW272" s="19"/>
      <c r="CX272" s="19"/>
      <c r="CY272" s="16" t="s">
        <v>113</v>
      </c>
      <c r="CZ272" s="16" t="s">
        <v>114</v>
      </c>
      <c r="DA272" s="16" t="s">
        <v>115</v>
      </c>
      <c r="DB272" s="18">
        <v>0.0</v>
      </c>
      <c r="DC272" s="16" t="s">
        <v>129</v>
      </c>
      <c r="DD272" s="16" t="s">
        <v>129</v>
      </c>
      <c r="DE272" s="16" t="s">
        <v>129</v>
      </c>
      <c r="DF272" s="16" t="s">
        <v>129</v>
      </c>
      <c r="DG272" s="16" t="s">
        <v>841</v>
      </c>
      <c r="DH272" s="16" t="s">
        <v>873</v>
      </c>
      <c r="DI272" s="16" t="s">
        <v>843</v>
      </c>
      <c r="DJ272" s="16" t="s">
        <v>144</v>
      </c>
      <c r="DK272" s="18" t="s">
        <v>844</v>
      </c>
      <c r="DL272" s="18" t="s">
        <v>845</v>
      </c>
      <c r="DM272" s="16" t="s">
        <v>1493</v>
      </c>
      <c r="DN272" s="16" t="s">
        <v>847</v>
      </c>
      <c r="DO272" s="16" t="s">
        <v>1088</v>
      </c>
    </row>
    <row r="273" ht="15.75" customHeight="1">
      <c r="A273" s="15">
        <v>271.0</v>
      </c>
      <c r="B273" s="16" t="s">
        <v>1494</v>
      </c>
      <c r="C273" s="17">
        <v>2.8901162503262E13</v>
      </c>
      <c r="D273" s="18">
        <v>31.0</v>
      </c>
      <c r="E273" s="16" t="s">
        <v>241</v>
      </c>
      <c r="F273" s="16" t="s">
        <v>1331</v>
      </c>
      <c r="G273" s="16" t="s">
        <v>547</v>
      </c>
      <c r="H273" s="20">
        <v>32818.0</v>
      </c>
      <c r="I273" s="16"/>
      <c r="J273" s="18">
        <v>1.0</v>
      </c>
      <c r="K273" s="16" t="s">
        <v>1495</v>
      </c>
      <c r="L273" s="21" t="s">
        <v>138</v>
      </c>
      <c r="M273" s="23"/>
      <c r="N273" s="19"/>
      <c r="O273" s="19"/>
      <c r="P273" s="19"/>
      <c r="Q273" s="19"/>
      <c r="R273" s="19"/>
      <c r="S273" s="19"/>
      <c r="T273" s="19"/>
      <c r="U273" s="19"/>
      <c r="V273" s="18" t="s">
        <v>839</v>
      </c>
      <c r="W273" s="19"/>
      <c r="X273" s="19"/>
      <c r="Y273" s="19"/>
      <c r="Z273" s="16" t="s">
        <v>49</v>
      </c>
      <c r="AA273" s="19"/>
      <c r="AB273" s="16" t="s">
        <v>51</v>
      </c>
      <c r="AC273" s="16" t="s">
        <v>52</v>
      </c>
      <c r="AD273" s="16" t="s">
        <v>53</v>
      </c>
      <c r="AE273" s="19"/>
      <c r="AF273" s="19"/>
      <c r="AG273" s="16" t="s">
        <v>1471</v>
      </c>
      <c r="AH273" s="21" t="s">
        <v>228</v>
      </c>
      <c r="AI273" s="23"/>
      <c r="AJ273" s="16" t="s">
        <v>168</v>
      </c>
      <c r="AK273" s="16" t="s">
        <v>153</v>
      </c>
      <c r="AL273" s="16" t="s">
        <v>181</v>
      </c>
      <c r="AM273" s="16" t="s">
        <v>126</v>
      </c>
      <c r="AN273" s="16" t="s">
        <v>126</v>
      </c>
      <c r="AO273" s="16" t="s">
        <v>181</v>
      </c>
      <c r="AP273" s="16" t="s">
        <v>126</v>
      </c>
      <c r="AQ273" s="16" t="s">
        <v>181</v>
      </c>
      <c r="AR273" s="16" t="s">
        <v>126</v>
      </c>
      <c r="AS273" s="19"/>
      <c r="AT273" s="19"/>
      <c r="AU273" s="19"/>
      <c r="AV273" s="19"/>
      <c r="AW273" s="19"/>
      <c r="AX273" s="19"/>
      <c r="AY273" s="19"/>
      <c r="AZ273" s="18" t="s">
        <v>839</v>
      </c>
      <c r="BA273" s="19"/>
      <c r="BB273" s="19"/>
      <c r="BC273" s="19"/>
      <c r="BD273" s="19"/>
      <c r="BE273" s="21" t="s">
        <v>77</v>
      </c>
      <c r="BF273" s="22"/>
      <c r="BG273" s="22"/>
      <c r="BH273" s="23"/>
      <c r="BI273" s="19"/>
      <c r="BJ273" s="19"/>
      <c r="BK273" s="19"/>
      <c r="BL273" s="19"/>
      <c r="BM273" s="19"/>
      <c r="BN273" s="19"/>
      <c r="BO273" s="19"/>
      <c r="BP273" s="18" t="s">
        <v>839</v>
      </c>
      <c r="BQ273" s="19"/>
      <c r="BR273" s="16" t="s">
        <v>87</v>
      </c>
      <c r="BS273" s="21" t="s">
        <v>88</v>
      </c>
      <c r="BT273" s="23"/>
      <c r="BU273" s="19"/>
      <c r="BV273" s="19"/>
      <c r="BW273" s="19"/>
      <c r="BX273" s="16" t="s">
        <v>1496</v>
      </c>
      <c r="BY273" s="19"/>
      <c r="BZ273" s="19"/>
      <c r="CA273" s="19"/>
      <c r="CB273" s="21" t="s">
        <v>96</v>
      </c>
      <c r="CC273" s="23"/>
      <c r="CD273" s="19"/>
      <c r="CE273" s="19"/>
      <c r="CF273" s="19"/>
      <c r="CG273" s="16" t="s">
        <v>128</v>
      </c>
      <c r="CH273" s="19"/>
      <c r="CI273" s="19"/>
      <c r="CJ273" s="19"/>
      <c r="CK273" s="19"/>
      <c r="CL273" s="19"/>
      <c r="CM273" s="18" t="s">
        <v>840</v>
      </c>
      <c r="CN273" s="16" t="s">
        <v>128</v>
      </c>
      <c r="CO273" s="16" t="s">
        <v>105</v>
      </c>
      <c r="CP273" s="21" t="s">
        <v>106</v>
      </c>
      <c r="CQ273" s="22"/>
      <c r="CR273" s="22"/>
      <c r="CS273" s="23"/>
      <c r="CT273" s="19"/>
      <c r="CU273" s="19"/>
      <c r="CV273" s="16" t="s">
        <v>128</v>
      </c>
      <c r="CW273" s="19"/>
      <c r="CX273" s="19"/>
      <c r="CY273" s="21" t="s">
        <v>113</v>
      </c>
      <c r="CZ273" s="22"/>
      <c r="DA273" s="23"/>
      <c r="DB273" s="19"/>
      <c r="DC273" s="19"/>
      <c r="DD273" s="19"/>
      <c r="DE273" s="19"/>
      <c r="DF273" s="19"/>
      <c r="DG273" s="16" t="s">
        <v>1129</v>
      </c>
      <c r="DH273" s="21" t="s">
        <v>1059</v>
      </c>
      <c r="DI273" s="23"/>
      <c r="DJ273" s="16" t="s">
        <v>144</v>
      </c>
      <c r="DK273" s="19"/>
      <c r="DL273" s="19"/>
      <c r="DM273" s="21" t="s">
        <v>1060</v>
      </c>
      <c r="DN273" s="23"/>
      <c r="DO273" s="19"/>
    </row>
    <row r="274" ht="15.75" customHeight="1">
      <c r="A274" s="15">
        <v>272.0</v>
      </c>
      <c r="B274" s="16" t="s">
        <v>1497</v>
      </c>
      <c r="C274" s="17">
        <v>3.0706052502785E13</v>
      </c>
      <c r="D274" s="18">
        <v>50.0</v>
      </c>
      <c r="E274" s="16" t="s">
        <v>1484</v>
      </c>
      <c r="F274" s="16" t="s">
        <v>595</v>
      </c>
      <c r="G274" s="16" t="s">
        <v>547</v>
      </c>
      <c r="H274" s="20">
        <v>43866.0</v>
      </c>
      <c r="I274" s="16"/>
      <c r="J274" s="18">
        <v>1.0</v>
      </c>
      <c r="K274" s="16" t="s">
        <v>1497</v>
      </c>
      <c r="L274" s="21" t="s">
        <v>138</v>
      </c>
      <c r="M274" s="23"/>
      <c r="N274" s="19"/>
      <c r="O274" s="19"/>
      <c r="P274" s="19"/>
      <c r="Q274" s="19"/>
      <c r="R274" s="19"/>
      <c r="S274" s="19"/>
      <c r="T274" s="19"/>
      <c r="U274" s="19"/>
      <c r="V274" s="16" t="s">
        <v>402</v>
      </c>
      <c r="W274" s="19"/>
      <c r="X274" s="21" t="s">
        <v>47</v>
      </c>
      <c r="Y274" s="23"/>
      <c r="Z274" s="19"/>
      <c r="AA274" s="19"/>
      <c r="AB274" s="16" t="s">
        <v>51</v>
      </c>
      <c r="AC274" s="21" t="s">
        <v>52</v>
      </c>
      <c r="AD274" s="23"/>
      <c r="AE274" s="19"/>
      <c r="AF274" s="19"/>
      <c r="AG274" s="19"/>
      <c r="AH274" s="21" t="s">
        <v>152</v>
      </c>
      <c r="AI274" s="23"/>
      <c r="AJ274" s="16" t="s">
        <v>168</v>
      </c>
      <c r="AK274" s="16" t="s">
        <v>153</v>
      </c>
      <c r="AL274" s="16" t="s">
        <v>126</v>
      </c>
      <c r="AM274" s="16" t="s">
        <v>143</v>
      </c>
      <c r="AN274" s="16" t="s">
        <v>143</v>
      </c>
      <c r="AO274" s="16" t="s">
        <v>126</v>
      </c>
      <c r="AP274" s="16" t="s">
        <v>126</v>
      </c>
      <c r="AQ274" s="16" t="s">
        <v>126</v>
      </c>
      <c r="AR274" s="16" t="s">
        <v>126</v>
      </c>
      <c r="AS274" s="19"/>
      <c r="AT274" s="19"/>
      <c r="AU274" s="19"/>
      <c r="AV274" s="19"/>
      <c r="AW274" s="19"/>
      <c r="AX274" s="19"/>
      <c r="AY274" s="19"/>
      <c r="AZ274" s="21" t="s">
        <v>1498</v>
      </c>
      <c r="BA274" s="23"/>
      <c r="BB274" s="16" t="s">
        <v>74</v>
      </c>
      <c r="BC274" s="16" t="s">
        <v>75</v>
      </c>
      <c r="BD274" s="16" t="s">
        <v>76</v>
      </c>
      <c r="BE274" s="21" t="s">
        <v>77</v>
      </c>
      <c r="BF274" s="22"/>
      <c r="BG274" s="22"/>
      <c r="BH274" s="23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21" t="s">
        <v>90</v>
      </c>
      <c r="BV274" s="23"/>
      <c r="BW274" s="19"/>
      <c r="BX274" s="21" t="s">
        <v>1499</v>
      </c>
      <c r="BY274" s="23"/>
      <c r="BZ274" s="19"/>
      <c r="CA274" s="19"/>
      <c r="CB274" s="19"/>
      <c r="CC274" s="21" t="s">
        <v>97</v>
      </c>
      <c r="CD274" s="23"/>
      <c r="CE274" s="19"/>
      <c r="CF274" s="19"/>
      <c r="CG274" s="16" t="s">
        <v>128</v>
      </c>
      <c r="CH274" s="19"/>
      <c r="CI274" s="19"/>
      <c r="CJ274" s="19"/>
      <c r="CK274" s="19"/>
      <c r="CL274" s="21" t="s">
        <v>104</v>
      </c>
      <c r="CM274" s="23"/>
      <c r="CN274" s="16" t="s">
        <v>128</v>
      </c>
      <c r="CO274" s="19"/>
      <c r="CP274" s="19"/>
      <c r="CQ274" s="19"/>
      <c r="CR274" s="19"/>
      <c r="CS274" s="19"/>
      <c r="CT274" s="21" t="s">
        <v>110</v>
      </c>
      <c r="CU274" s="23"/>
      <c r="CV274" s="16" t="s">
        <v>128</v>
      </c>
      <c r="CW274" s="19"/>
      <c r="CX274" s="19"/>
      <c r="CY274" s="19"/>
      <c r="CZ274" s="19"/>
      <c r="DA274" s="21" t="s">
        <v>115</v>
      </c>
      <c r="DB274" s="22"/>
      <c r="DC274" s="23"/>
      <c r="DD274" s="16" t="s">
        <v>129</v>
      </c>
      <c r="DE274" s="16" t="s">
        <v>129</v>
      </c>
      <c r="DF274" s="16" t="s">
        <v>145</v>
      </c>
      <c r="DG274" s="16" t="s">
        <v>1500</v>
      </c>
      <c r="DH274" s="21" t="s">
        <v>1501</v>
      </c>
      <c r="DI274" s="23"/>
      <c r="DJ274" s="16" t="s">
        <v>144</v>
      </c>
      <c r="DK274" s="19"/>
      <c r="DL274" s="19"/>
      <c r="DM274" s="21" t="s">
        <v>1502</v>
      </c>
      <c r="DN274" s="22"/>
      <c r="DO274" s="23"/>
    </row>
    <row r="275" ht="15.75" customHeight="1">
      <c r="A275" s="15">
        <v>273.0</v>
      </c>
      <c r="B275" s="16" t="s">
        <v>1503</v>
      </c>
      <c r="C275" s="17">
        <v>3.1807102503103E13</v>
      </c>
      <c r="D275" s="18">
        <v>13.0</v>
      </c>
      <c r="E275" s="16" t="s">
        <v>1271</v>
      </c>
      <c r="F275" s="16" t="s">
        <v>1271</v>
      </c>
      <c r="G275" s="16" t="s">
        <v>547</v>
      </c>
      <c r="H275" s="20">
        <v>43291.0</v>
      </c>
      <c r="I275" s="16"/>
      <c r="J275" s="18">
        <v>1.0</v>
      </c>
      <c r="K275" s="16" t="s">
        <v>1477</v>
      </c>
      <c r="L275" s="21" t="s">
        <v>138</v>
      </c>
      <c r="M275" s="23"/>
      <c r="N275" s="19"/>
      <c r="O275" s="19"/>
      <c r="P275" s="19"/>
      <c r="Q275" s="19"/>
      <c r="R275" s="19"/>
      <c r="S275" s="19"/>
      <c r="T275" s="19"/>
      <c r="U275" s="19"/>
      <c r="V275" s="16" t="s">
        <v>1303</v>
      </c>
      <c r="W275" s="16" t="s">
        <v>46</v>
      </c>
      <c r="X275" s="21" t="s">
        <v>47</v>
      </c>
      <c r="Y275" s="23"/>
      <c r="Z275" s="19"/>
      <c r="AA275" s="16" t="s">
        <v>50</v>
      </c>
      <c r="AB275" s="19"/>
      <c r="AC275" s="19"/>
      <c r="AD275" s="19"/>
      <c r="AE275" s="19"/>
      <c r="AF275" s="19"/>
      <c r="AG275" s="19"/>
      <c r="AH275" s="21" t="s">
        <v>228</v>
      </c>
      <c r="AI275" s="23"/>
      <c r="AJ275" s="16" t="s">
        <v>168</v>
      </c>
      <c r="AK275" s="16" t="s">
        <v>153</v>
      </c>
      <c r="AL275" s="16" t="s">
        <v>181</v>
      </c>
      <c r="AM275" s="16" t="s">
        <v>126</v>
      </c>
      <c r="AN275" s="16" t="s">
        <v>126</v>
      </c>
      <c r="AO275" s="16" t="s">
        <v>181</v>
      </c>
      <c r="AP275" s="16" t="s">
        <v>181</v>
      </c>
      <c r="AQ275" s="16" t="s">
        <v>181</v>
      </c>
      <c r="AR275" s="16" t="s">
        <v>597</v>
      </c>
      <c r="AS275" s="21" t="s">
        <v>65</v>
      </c>
      <c r="AT275" s="23"/>
      <c r="AU275" s="16" t="s">
        <v>67</v>
      </c>
      <c r="AV275" s="16" t="s">
        <v>68</v>
      </c>
      <c r="AW275" s="16" t="s">
        <v>69</v>
      </c>
      <c r="AX275" s="16" t="s">
        <v>70</v>
      </c>
      <c r="AY275" s="21" t="s">
        <v>71</v>
      </c>
      <c r="AZ275" s="23"/>
      <c r="BA275" s="21" t="s">
        <v>73</v>
      </c>
      <c r="BB275" s="23"/>
      <c r="BC275" s="19"/>
      <c r="BD275" s="19"/>
      <c r="BE275" s="19"/>
      <c r="BF275" s="19"/>
      <c r="BG275" s="21" t="s">
        <v>78</v>
      </c>
      <c r="BH275" s="23"/>
      <c r="BI275" s="19"/>
      <c r="BJ275" s="19"/>
      <c r="BK275" s="16" t="s">
        <v>81</v>
      </c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6" t="s">
        <v>1295</v>
      </c>
      <c r="BY275" s="19"/>
      <c r="BZ275" s="19"/>
      <c r="CA275" s="19"/>
      <c r="CB275" s="19"/>
      <c r="CC275" s="19"/>
      <c r="CD275" s="19"/>
      <c r="CE275" s="19"/>
      <c r="CF275" s="16" t="s">
        <v>144</v>
      </c>
      <c r="CG275" s="16" t="s">
        <v>128</v>
      </c>
      <c r="CH275" s="16" t="s">
        <v>100</v>
      </c>
      <c r="CI275" s="16" t="s">
        <v>101</v>
      </c>
      <c r="CJ275" s="16" t="s">
        <v>102</v>
      </c>
      <c r="CK275" s="16" t="s">
        <v>103</v>
      </c>
      <c r="CL275" s="21" t="s">
        <v>104</v>
      </c>
      <c r="CM275" s="23"/>
      <c r="CN275" s="16" t="s">
        <v>128</v>
      </c>
      <c r="CO275" s="16" t="s">
        <v>105</v>
      </c>
      <c r="CP275" s="21" t="s">
        <v>106</v>
      </c>
      <c r="CQ275" s="23"/>
      <c r="CR275" s="21" t="s">
        <v>108</v>
      </c>
      <c r="CS275" s="23"/>
      <c r="CT275" s="21" t="s">
        <v>110</v>
      </c>
      <c r="CU275" s="23"/>
      <c r="CV275" s="16" t="s">
        <v>128</v>
      </c>
      <c r="CW275" s="21" t="s">
        <v>111</v>
      </c>
      <c r="CX275" s="22"/>
      <c r="CY275" s="23"/>
      <c r="CZ275" s="19"/>
      <c r="DA275" s="19"/>
      <c r="DB275" s="16" t="s">
        <v>1504</v>
      </c>
      <c r="DC275" s="16" t="s">
        <v>129</v>
      </c>
      <c r="DD275" s="16" t="s">
        <v>129</v>
      </c>
      <c r="DE275" s="16" t="s">
        <v>129</v>
      </c>
      <c r="DF275" s="16" t="s">
        <v>129</v>
      </c>
      <c r="DG275" s="16" t="s">
        <v>1480</v>
      </c>
      <c r="DH275" s="16" t="s">
        <v>1505</v>
      </c>
      <c r="DI275" s="16" t="s">
        <v>1506</v>
      </c>
      <c r="DJ275" s="16" t="s">
        <v>144</v>
      </c>
      <c r="DK275" s="19"/>
      <c r="DL275" s="19"/>
      <c r="DM275" s="16" t="s">
        <v>144</v>
      </c>
      <c r="DN275" s="19"/>
      <c r="DO275" s="19"/>
    </row>
    <row r="276" ht="15.75" customHeight="1">
      <c r="A276" s="15">
        <v>274.0</v>
      </c>
      <c r="B276" s="16" t="s">
        <v>1507</v>
      </c>
      <c r="C276" s="17">
        <v>3.1809292500159E13</v>
      </c>
      <c r="D276" s="18">
        <v>17.0</v>
      </c>
      <c r="E276" s="16" t="s">
        <v>1335</v>
      </c>
      <c r="F276" s="16" t="s">
        <v>606</v>
      </c>
      <c r="G276" s="16" t="s">
        <v>547</v>
      </c>
      <c r="H276" s="20">
        <v>43372.0</v>
      </c>
      <c r="I276" s="18">
        <v>1.0</v>
      </c>
      <c r="J276" s="19"/>
      <c r="K276" s="16" t="s">
        <v>1508</v>
      </c>
      <c r="L276" s="21" t="s">
        <v>138</v>
      </c>
      <c r="M276" s="23"/>
      <c r="N276" s="19"/>
      <c r="O276" s="19"/>
      <c r="P276" s="19"/>
      <c r="Q276" s="19"/>
      <c r="R276" s="19"/>
      <c r="S276" s="19"/>
      <c r="T276" s="19"/>
      <c r="U276" s="19"/>
      <c r="V276" s="21" t="s">
        <v>932</v>
      </c>
      <c r="W276" s="22"/>
      <c r="X276" s="23"/>
      <c r="Y276" s="21" t="s">
        <v>48</v>
      </c>
      <c r="Z276" s="23"/>
      <c r="AA276" s="16" t="s">
        <v>50</v>
      </c>
      <c r="AB276" s="19"/>
      <c r="AC276" s="19"/>
      <c r="AD276" s="19"/>
      <c r="AE276" s="19"/>
      <c r="AF276" s="19"/>
      <c r="AG276" s="18" t="s">
        <v>839</v>
      </c>
      <c r="AH276" s="16" t="s">
        <v>57</v>
      </c>
      <c r="AI276" s="18">
        <v>0.0</v>
      </c>
      <c r="AJ276" s="16" t="s">
        <v>168</v>
      </c>
      <c r="AK276" s="16" t="s">
        <v>153</v>
      </c>
      <c r="AL276" s="16" t="s">
        <v>181</v>
      </c>
      <c r="AM276" s="16" t="s">
        <v>126</v>
      </c>
      <c r="AN276" s="16" t="s">
        <v>181</v>
      </c>
      <c r="AO276" s="16" t="s">
        <v>181</v>
      </c>
      <c r="AP276" s="16" t="s">
        <v>181</v>
      </c>
      <c r="AQ276" s="16" t="s">
        <v>181</v>
      </c>
      <c r="AR276" s="16" t="s">
        <v>181</v>
      </c>
      <c r="AS276" s="21" t="s">
        <v>65</v>
      </c>
      <c r="AT276" s="23"/>
      <c r="AU276" s="16" t="s">
        <v>67</v>
      </c>
      <c r="AV276" s="16" t="s">
        <v>68</v>
      </c>
      <c r="AW276" s="16" t="s">
        <v>69</v>
      </c>
      <c r="AX276" s="16" t="s">
        <v>70</v>
      </c>
      <c r="AY276" s="16" t="s">
        <v>71</v>
      </c>
      <c r="AZ276" s="18" t="s">
        <v>839</v>
      </c>
      <c r="BA276" s="19"/>
      <c r="BB276" s="21" t="s">
        <v>74</v>
      </c>
      <c r="BC276" s="23"/>
      <c r="BD276" s="16" t="s">
        <v>76</v>
      </c>
      <c r="BE276" s="16" t="s">
        <v>77</v>
      </c>
      <c r="BF276" s="18" t="s">
        <v>839</v>
      </c>
      <c r="BG276" s="16" t="s">
        <v>78</v>
      </c>
      <c r="BH276" s="21" t="s">
        <v>79</v>
      </c>
      <c r="BI276" s="23"/>
      <c r="BJ276" s="19"/>
      <c r="BK276" s="19"/>
      <c r="BL276" s="19"/>
      <c r="BM276" s="19"/>
      <c r="BN276" s="19"/>
      <c r="BO276" s="19"/>
      <c r="BP276" s="18" t="s">
        <v>839</v>
      </c>
      <c r="BQ276" s="19"/>
      <c r="BR276" s="19"/>
      <c r="BS276" s="19"/>
      <c r="BT276" s="19"/>
      <c r="BU276" s="19"/>
      <c r="BV276" s="19"/>
      <c r="BW276" s="16" t="s">
        <v>92</v>
      </c>
      <c r="BX276" s="18" t="s">
        <v>844</v>
      </c>
      <c r="BY276" s="19"/>
      <c r="BZ276" s="19"/>
      <c r="CA276" s="19"/>
      <c r="CB276" s="19"/>
      <c r="CC276" s="21" t="s">
        <v>97</v>
      </c>
      <c r="CD276" s="23"/>
      <c r="CE276" s="19"/>
      <c r="CF276" s="18" t="s">
        <v>840</v>
      </c>
      <c r="CG276" s="16" t="s">
        <v>128</v>
      </c>
      <c r="CH276" s="19"/>
      <c r="CI276" s="16" t="s">
        <v>101</v>
      </c>
      <c r="CJ276" s="16" t="s">
        <v>102</v>
      </c>
      <c r="CK276" s="16" t="s">
        <v>103</v>
      </c>
      <c r="CL276" s="16" t="s">
        <v>104</v>
      </c>
      <c r="CM276" s="18" t="s">
        <v>844</v>
      </c>
      <c r="CN276" s="16" t="s">
        <v>128</v>
      </c>
      <c r="CO276" s="21" t="s">
        <v>105</v>
      </c>
      <c r="CP276" s="22"/>
      <c r="CQ276" s="23"/>
      <c r="CR276" s="21" t="s">
        <v>108</v>
      </c>
      <c r="CS276" s="23"/>
      <c r="CT276" s="16" t="s">
        <v>110</v>
      </c>
      <c r="CU276" s="18" t="s">
        <v>844</v>
      </c>
      <c r="CV276" s="16" t="s">
        <v>128</v>
      </c>
      <c r="CW276" s="21" t="s">
        <v>111</v>
      </c>
      <c r="CX276" s="22"/>
      <c r="CY276" s="23"/>
      <c r="CZ276" s="16" t="s">
        <v>114</v>
      </c>
      <c r="DA276" s="16" t="s">
        <v>115</v>
      </c>
      <c r="DB276" s="18" t="s">
        <v>839</v>
      </c>
      <c r="DC276" s="16" t="s">
        <v>129</v>
      </c>
      <c r="DD276" s="16" t="s">
        <v>129</v>
      </c>
      <c r="DE276" s="16" t="s">
        <v>129</v>
      </c>
      <c r="DF276" s="16" t="s">
        <v>129</v>
      </c>
      <c r="DG276" s="16" t="s">
        <v>841</v>
      </c>
      <c r="DH276" s="16" t="s">
        <v>1509</v>
      </c>
      <c r="DI276" s="16" t="s">
        <v>1510</v>
      </c>
      <c r="DJ276" s="16" t="s">
        <v>144</v>
      </c>
      <c r="DK276" s="18" t="s">
        <v>844</v>
      </c>
      <c r="DL276" s="18" t="s">
        <v>845</v>
      </c>
      <c r="DM276" s="16" t="s">
        <v>1244</v>
      </c>
      <c r="DN276" s="18" t="s">
        <v>844</v>
      </c>
      <c r="DO276" s="18" t="s">
        <v>845</v>
      </c>
    </row>
    <row r="277" ht="15.75" customHeight="1">
      <c r="A277" s="15">
        <v>275.0</v>
      </c>
      <c r="B277" s="16" t="s">
        <v>1511</v>
      </c>
      <c r="C277" s="17">
        <v>3.1941102503054E13</v>
      </c>
      <c r="D277" s="18">
        <v>139.0</v>
      </c>
      <c r="E277" s="16" t="s">
        <v>1512</v>
      </c>
      <c r="F277" s="16" t="s">
        <v>851</v>
      </c>
      <c r="G277" s="16" t="s">
        <v>547</v>
      </c>
      <c r="H277" s="20">
        <v>43566.0</v>
      </c>
      <c r="I277" s="16"/>
      <c r="J277" s="18">
        <v>1.0</v>
      </c>
      <c r="K277" s="16" t="s">
        <v>1513</v>
      </c>
      <c r="L277" s="21" t="s">
        <v>138</v>
      </c>
      <c r="M277" s="23"/>
      <c r="N277" s="19"/>
      <c r="O277" s="19"/>
      <c r="P277" s="19"/>
      <c r="Q277" s="19"/>
      <c r="R277" s="19"/>
      <c r="S277" s="19"/>
      <c r="T277" s="19"/>
      <c r="U277" s="19"/>
      <c r="V277" s="21" t="s">
        <v>910</v>
      </c>
      <c r="W277" s="23"/>
      <c r="X277" s="21" t="s">
        <v>47</v>
      </c>
      <c r="Y277" s="23"/>
      <c r="Z277" s="19"/>
      <c r="AA277" s="19"/>
      <c r="AB277" s="19"/>
      <c r="AC277" s="19"/>
      <c r="AD277" s="19"/>
      <c r="AE277" s="19"/>
      <c r="AF277" s="19"/>
      <c r="AG277" s="19"/>
      <c r="AH277" s="21" t="s">
        <v>228</v>
      </c>
      <c r="AI277" s="23"/>
      <c r="AJ277" s="16" t="s">
        <v>168</v>
      </c>
      <c r="AK277" s="16" t="s">
        <v>153</v>
      </c>
      <c r="AL277" s="16" t="s">
        <v>126</v>
      </c>
      <c r="AM277" s="16" t="s">
        <v>126</v>
      </c>
      <c r="AN277" s="16" t="s">
        <v>181</v>
      </c>
      <c r="AO277" s="19"/>
      <c r="AP277" s="16" t="s">
        <v>181</v>
      </c>
      <c r="AQ277" s="16" t="s">
        <v>126</v>
      </c>
      <c r="AR277" s="16" t="s">
        <v>126</v>
      </c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21" t="s">
        <v>97</v>
      </c>
      <c r="CD277" s="23"/>
      <c r="CE277" s="19"/>
      <c r="CF277" s="19"/>
      <c r="CG277" s="16" t="s">
        <v>128</v>
      </c>
      <c r="CH277" s="16" t="s">
        <v>100</v>
      </c>
      <c r="CI277" s="21" t="s">
        <v>101</v>
      </c>
      <c r="CJ277" s="22"/>
      <c r="CK277" s="23"/>
      <c r="CL277" s="19"/>
      <c r="CM277" s="19"/>
      <c r="CN277" s="16" t="s">
        <v>128</v>
      </c>
      <c r="CO277" s="21" t="s">
        <v>105</v>
      </c>
      <c r="CP277" s="22"/>
      <c r="CQ277" s="23"/>
      <c r="CR277" s="19"/>
      <c r="CS277" s="19"/>
      <c r="CT277" s="19"/>
      <c r="CU277" s="19"/>
      <c r="CV277" s="16" t="s">
        <v>128</v>
      </c>
      <c r="CW277" s="19"/>
      <c r="CX277" s="19"/>
      <c r="CY277" s="19"/>
      <c r="CZ277" s="21" t="s">
        <v>114</v>
      </c>
      <c r="DA277" s="22"/>
      <c r="DB277" s="23"/>
      <c r="DC277" s="16" t="s">
        <v>145</v>
      </c>
      <c r="DD277" s="16" t="s">
        <v>145</v>
      </c>
      <c r="DE277" s="16" t="s">
        <v>129</v>
      </c>
      <c r="DF277" s="16" t="s">
        <v>129</v>
      </c>
      <c r="DG277" s="21" t="s">
        <v>1514</v>
      </c>
      <c r="DH277" s="22"/>
      <c r="DI277" s="23"/>
      <c r="DJ277" s="16" t="s">
        <v>127</v>
      </c>
      <c r="DK277" s="19"/>
      <c r="DL277" s="19"/>
      <c r="DM277" s="16" t="s">
        <v>144</v>
      </c>
      <c r="DN277" s="19"/>
      <c r="DO277" s="19"/>
    </row>
    <row r="278" ht="15.75" customHeight="1">
      <c r="A278" s="15">
        <v>276.0</v>
      </c>
      <c r="B278" s="16" t="s">
        <v>1515</v>
      </c>
      <c r="C278" s="17">
        <v>3.2004142501543E13</v>
      </c>
      <c r="D278" s="18">
        <v>69.0</v>
      </c>
      <c r="E278" s="16" t="s">
        <v>241</v>
      </c>
      <c r="F278" s="16" t="s">
        <v>1331</v>
      </c>
      <c r="G278" s="16" t="s">
        <v>547</v>
      </c>
      <c r="H278" s="20">
        <v>43935.0</v>
      </c>
      <c r="I278" s="16"/>
      <c r="J278" s="18">
        <v>1.0</v>
      </c>
      <c r="K278" s="16" t="s">
        <v>1516</v>
      </c>
      <c r="L278" s="16" t="s">
        <v>122</v>
      </c>
      <c r="M278" s="21" t="s">
        <v>36</v>
      </c>
      <c r="N278" s="22"/>
      <c r="O278" s="22"/>
      <c r="P278" s="23"/>
      <c r="Q278" s="19"/>
      <c r="R278" s="19"/>
      <c r="S278" s="19"/>
      <c r="T278" s="19"/>
      <c r="U278" s="19"/>
      <c r="V278" s="19"/>
      <c r="W278" s="19"/>
      <c r="X278" s="21" t="s">
        <v>47</v>
      </c>
      <c r="Y278" s="23"/>
      <c r="Z278" s="19"/>
      <c r="AA278" s="19"/>
      <c r="AB278" s="19"/>
      <c r="AC278" s="19"/>
      <c r="AD278" s="19"/>
      <c r="AE278" s="19"/>
      <c r="AF278" s="19"/>
      <c r="AG278" s="21" t="s">
        <v>1333</v>
      </c>
      <c r="AH278" s="23"/>
      <c r="AI278" s="19"/>
      <c r="AJ278" s="16" t="s">
        <v>124</v>
      </c>
      <c r="AK278" s="16" t="s">
        <v>142</v>
      </c>
      <c r="AL278" s="16" t="s">
        <v>181</v>
      </c>
      <c r="AM278" s="16" t="s">
        <v>181</v>
      </c>
      <c r="AN278" s="16" t="s">
        <v>126</v>
      </c>
      <c r="AO278" s="16" t="s">
        <v>181</v>
      </c>
      <c r="AP278" s="16" t="s">
        <v>126</v>
      </c>
      <c r="AQ278" s="16" t="s">
        <v>181</v>
      </c>
      <c r="AR278" s="16" t="s">
        <v>126</v>
      </c>
      <c r="AS278" s="21" t="s">
        <v>65</v>
      </c>
      <c r="AT278" s="22"/>
      <c r="AU278" s="23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21" t="s">
        <v>78</v>
      </c>
      <c r="BH278" s="23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8" t="s">
        <v>839</v>
      </c>
      <c r="BY278" s="19"/>
      <c r="BZ278" s="19"/>
      <c r="CA278" s="19"/>
      <c r="CB278" s="19"/>
      <c r="CC278" s="19"/>
      <c r="CD278" s="19"/>
      <c r="CE278" s="21" t="s">
        <v>99</v>
      </c>
      <c r="CF278" s="23"/>
      <c r="CG278" s="16" t="s">
        <v>128</v>
      </c>
      <c r="CH278" s="21" t="s">
        <v>100</v>
      </c>
      <c r="CI278" s="23"/>
      <c r="CJ278" s="21" t="s">
        <v>102</v>
      </c>
      <c r="CK278" s="23"/>
      <c r="CL278" s="21" t="s">
        <v>104</v>
      </c>
      <c r="CM278" s="23"/>
      <c r="CN278" s="16" t="s">
        <v>128</v>
      </c>
      <c r="CO278" s="21" t="s">
        <v>105</v>
      </c>
      <c r="CP278" s="22"/>
      <c r="CQ278" s="23"/>
      <c r="CR278" s="19"/>
      <c r="CS278" s="19"/>
      <c r="CT278" s="19"/>
      <c r="CU278" s="19"/>
      <c r="CV278" s="16" t="s">
        <v>128</v>
      </c>
      <c r="CW278" s="19"/>
      <c r="CX278" s="16" t="s">
        <v>112</v>
      </c>
      <c r="CY278" s="16" t="s">
        <v>113</v>
      </c>
      <c r="CZ278" s="21" t="s">
        <v>114</v>
      </c>
      <c r="DA278" s="22"/>
      <c r="DB278" s="23"/>
      <c r="DC278" s="16" t="s">
        <v>129</v>
      </c>
      <c r="DD278" s="16" t="s">
        <v>129</v>
      </c>
      <c r="DE278" s="19"/>
      <c r="DF278" s="16" t="s">
        <v>145</v>
      </c>
      <c r="DG278" s="21" t="s">
        <v>1058</v>
      </c>
      <c r="DH278" s="23"/>
      <c r="DI278" s="19"/>
      <c r="DJ278" s="16" t="s">
        <v>144</v>
      </c>
      <c r="DK278" s="19"/>
      <c r="DL278" s="19"/>
      <c r="DM278" s="21" t="s">
        <v>1517</v>
      </c>
      <c r="DN278" s="22"/>
      <c r="DO278" s="23"/>
    </row>
    <row r="279" ht="15.75" customHeight="1">
      <c r="A279" s="15">
        <v>277.0</v>
      </c>
      <c r="B279" s="16" t="s">
        <v>1518</v>
      </c>
      <c r="C279" s="17">
        <v>3.1410142502536E13</v>
      </c>
      <c r="D279" s="18">
        <v>25.0</v>
      </c>
      <c r="E279" s="16" t="s">
        <v>1335</v>
      </c>
      <c r="F279" s="16" t="s">
        <v>606</v>
      </c>
      <c r="G279" s="16" t="s">
        <v>547</v>
      </c>
      <c r="H279" s="25">
        <v>41926.0</v>
      </c>
      <c r="I279" s="18">
        <v>1.0</v>
      </c>
      <c r="J279" s="19"/>
      <c r="K279" s="16" t="s">
        <v>1519</v>
      </c>
      <c r="L279" s="21" t="s">
        <v>138</v>
      </c>
      <c r="M279" s="23"/>
      <c r="N279" s="19"/>
      <c r="O279" s="19"/>
      <c r="P279" s="19"/>
      <c r="Q279" s="19"/>
      <c r="R279" s="19"/>
      <c r="S279" s="19"/>
      <c r="T279" s="19"/>
      <c r="U279" s="19"/>
      <c r="V279" s="16" t="s">
        <v>932</v>
      </c>
      <c r="W279" s="16" t="s">
        <v>46</v>
      </c>
      <c r="X279" s="21" t="s">
        <v>47</v>
      </c>
      <c r="Y279" s="23"/>
      <c r="Z279" s="19"/>
      <c r="AA279" s="16" t="s">
        <v>50</v>
      </c>
      <c r="AB279" s="19"/>
      <c r="AC279" s="19"/>
      <c r="AD279" s="19"/>
      <c r="AE279" s="19"/>
      <c r="AF279" s="19"/>
      <c r="AG279" s="18" t="s">
        <v>844</v>
      </c>
      <c r="AH279" s="21" t="s">
        <v>123</v>
      </c>
      <c r="AI279" s="23"/>
      <c r="AJ279" s="16" t="s">
        <v>168</v>
      </c>
      <c r="AK279" s="16" t="s">
        <v>153</v>
      </c>
      <c r="AL279" s="16" t="s">
        <v>181</v>
      </c>
      <c r="AM279" s="16" t="s">
        <v>181</v>
      </c>
      <c r="AN279" s="16" t="s">
        <v>181</v>
      </c>
      <c r="AO279" s="16" t="s">
        <v>181</v>
      </c>
      <c r="AP279" s="16" t="s">
        <v>181</v>
      </c>
      <c r="AQ279" s="16" t="s">
        <v>181</v>
      </c>
      <c r="AR279" s="16" t="s">
        <v>126</v>
      </c>
      <c r="AS279" s="21" t="s">
        <v>65</v>
      </c>
      <c r="AT279" s="22"/>
      <c r="AU279" s="23"/>
      <c r="AV279" s="19"/>
      <c r="AW279" s="16" t="s">
        <v>69</v>
      </c>
      <c r="AX279" s="16" t="s">
        <v>70</v>
      </c>
      <c r="AY279" s="16" t="s">
        <v>71</v>
      </c>
      <c r="AZ279" s="18" t="s">
        <v>844</v>
      </c>
      <c r="BA279" s="19"/>
      <c r="BB279" s="21" t="s">
        <v>74</v>
      </c>
      <c r="BC279" s="22"/>
      <c r="BD279" s="23"/>
      <c r="BE279" s="16" t="s">
        <v>77</v>
      </c>
      <c r="BF279" s="18" t="s">
        <v>839</v>
      </c>
      <c r="BG279" s="16" t="s">
        <v>78</v>
      </c>
      <c r="BH279" s="21" t="s">
        <v>79</v>
      </c>
      <c r="BI279" s="23"/>
      <c r="BJ279" s="19"/>
      <c r="BK279" s="16" t="s">
        <v>81</v>
      </c>
      <c r="BL279" s="19"/>
      <c r="BM279" s="19"/>
      <c r="BN279" s="19"/>
      <c r="BO279" s="16" t="s">
        <v>85</v>
      </c>
      <c r="BP279" s="18" t="s">
        <v>839</v>
      </c>
      <c r="BQ279" s="19"/>
      <c r="BR279" s="19"/>
      <c r="BS279" s="19"/>
      <c r="BT279" s="19"/>
      <c r="BU279" s="19"/>
      <c r="BV279" s="19"/>
      <c r="BW279" s="16" t="s">
        <v>92</v>
      </c>
      <c r="BX279" s="18" t="s">
        <v>844</v>
      </c>
      <c r="BY279" s="19"/>
      <c r="BZ279" s="19"/>
      <c r="CA279" s="19"/>
      <c r="CB279" s="21" t="s">
        <v>96</v>
      </c>
      <c r="CC279" s="23"/>
      <c r="CD279" s="19"/>
      <c r="CE279" s="19"/>
      <c r="CF279" s="18" t="s">
        <v>839</v>
      </c>
      <c r="CG279" s="16" t="s">
        <v>128</v>
      </c>
      <c r="CH279" s="16" t="s">
        <v>100</v>
      </c>
      <c r="CI279" s="16" t="s">
        <v>101</v>
      </c>
      <c r="CJ279" s="21" t="s">
        <v>102</v>
      </c>
      <c r="CK279" s="23"/>
      <c r="CL279" s="16" t="s">
        <v>104</v>
      </c>
      <c r="CM279" s="18" t="s">
        <v>844</v>
      </c>
      <c r="CN279" s="16" t="s">
        <v>128</v>
      </c>
      <c r="CO279" s="21" t="s">
        <v>105</v>
      </c>
      <c r="CP279" s="22"/>
      <c r="CQ279" s="23"/>
      <c r="CR279" s="21" t="s">
        <v>108</v>
      </c>
      <c r="CS279" s="23"/>
      <c r="CT279" s="16" t="s">
        <v>110</v>
      </c>
      <c r="CU279" s="18" t="s">
        <v>844</v>
      </c>
      <c r="CV279" s="21" t="s">
        <v>154</v>
      </c>
      <c r="CW279" s="23"/>
      <c r="CX279" s="21" t="s">
        <v>112</v>
      </c>
      <c r="CY279" s="23"/>
      <c r="CZ279" s="16" t="s">
        <v>114</v>
      </c>
      <c r="DA279" s="16" t="s">
        <v>115</v>
      </c>
      <c r="DB279" s="18">
        <v>0.0</v>
      </c>
      <c r="DC279" s="16" t="s">
        <v>129</v>
      </c>
      <c r="DD279" s="16" t="s">
        <v>129</v>
      </c>
      <c r="DE279" s="16" t="s">
        <v>129</v>
      </c>
      <c r="DF279" s="16" t="s">
        <v>129</v>
      </c>
      <c r="DG279" s="16" t="s">
        <v>841</v>
      </c>
      <c r="DH279" s="16" t="s">
        <v>873</v>
      </c>
      <c r="DI279" s="16" t="s">
        <v>843</v>
      </c>
      <c r="DJ279" s="16" t="s">
        <v>144</v>
      </c>
      <c r="DK279" s="18" t="s">
        <v>844</v>
      </c>
      <c r="DL279" s="18" t="s">
        <v>845</v>
      </c>
      <c r="DM279" s="16" t="s">
        <v>876</v>
      </c>
      <c r="DN279" s="18" t="s">
        <v>844</v>
      </c>
      <c r="DO279" s="18" t="s">
        <v>845</v>
      </c>
    </row>
    <row r="280" ht="15.75" customHeight="1">
      <c r="A280" s="15">
        <v>278.0</v>
      </c>
      <c r="B280" s="16" t="s">
        <v>1520</v>
      </c>
      <c r="C280" s="17">
        <v>3.0612023500861E13</v>
      </c>
      <c r="D280" s="18">
        <v>51.0</v>
      </c>
      <c r="E280" s="16" t="s">
        <v>1484</v>
      </c>
      <c r="F280" s="16" t="s">
        <v>595</v>
      </c>
      <c r="G280" s="16" t="s">
        <v>547</v>
      </c>
      <c r="H280" s="20">
        <v>38940.0</v>
      </c>
      <c r="I280" s="16"/>
      <c r="J280" s="18">
        <v>1.0</v>
      </c>
      <c r="K280" s="16" t="s">
        <v>1521</v>
      </c>
      <c r="L280" s="21" t="s">
        <v>138</v>
      </c>
      <c r="M280" s="23"/>
      <c r="N280" s="19"/>
      <c r="O280" s="19"/>
      <c r="P280" s="19"/>
      <c r="Q280" s="19"/>
      <c r="R280" s="19"/>
      <c r="S280" s="19"/>
      <c r="T280" s="19"/>
      <c r="U280" s="19"/>
      <c r="V280" s="16" t="s">
        <v>402</v>
      </c>
      <c r="W280" s="16" t="s">
        <v>46</v>
      </c>
      <c r="X280" s="19"/>
      <c r="Y280" s="19"/>
      <c r="Z280" s="19"/>
      <c r="AA280" s="19"/>
      <c r="AB280" s="21" t="s">
        <v>51</v>
      </c>
      <c r="AC280" s="23"/>
      <c r="AD280" s="19"/>
      <c r="AE280" s="19"/>
      <c r="AF280" s="19"/>
      <c r="AG280" s="19"/>
      <c r="AH280" s="21" t="s">
        <v>152</v>
      </c>
      <c r="AI280" s="23"/>
      <c r="AJ280" s="16" t="s">
        <v>168</v>
      </c>
      <c r="AK280" s="16" t="s">
        <v>153</v>
      </c>
      <c r="AL280" s="16" t="s">
        <v>143</v>
      </c>
      <c r="AM280" s="16" t="s">
        <v>126</v>
      </c>
      <c r="AN280" s="16" t="s">
        <v>143</v>
      </c>
      <c r="AO280" s="16" t="s">
        <v>143</v>
      </c>
      <c r="AP280" s="16" t="s">
        <v>126</v>
      </c>
      <c r="AQ280" s="16" t="s">
        <v>126</v>
      </c>
      <c r="AR280" s="16" t="s">
        <v>143</v>
      </c>
      <c r="AS280" s="19"/>
      <c r="AT280" s="19"/>
      <c r="AU280" s="19"/>
      <c r="AV280" s="19"/>
      <c r="AW280" s="19"/>
      <c r="AX280" s="19"/>
      <c r="AY280" s="19"/>
      <c r="AZ280" s="16" t="s">
        <v>1522</v>
      </c>
      <c r="BA280" s="21" t="s">
        <v>73</v>
      </c>
      <c r="BB280" s="23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21" t="s">
        <v>85</v>
      </c>
      <c r="BP280" s="22"/>
      <c r="BQ280" s="22"/>
      <c r="BR280" s="23"/>
      <c r="BS280" s="19"/>
      <c r="BT280" s="19"/>
      <c r="BU280" s="19"/>
      <c r="BV280" s="19"/>
      <c r="BW280" s="21" t="s">
        <v>92</v>
      </c>
      <c r="BX280" s="22"/>
      <c r="BY280" s="23"/>
      <c r="BZ280" s="19"/>
      <c r="CA280" s="19"/>
      <c r="CB280" s="19"/>
      <c r="CC280" s="19"/>
      <c r="CD280" s="19"/>
      <c r="CE280" s="19"/>
      <c r="CF280" s="16" t="s">
        <v>1523</v>
      </c>
      <c r="CG280" s="16" t="s">
        <v>128</v>
      </c>
      <c r="CH280" s="19"/>
      <c r="CI280" s="19"/>
      <c r="CJ280" s="21" t="s">
        <v>102</v>
      </c>
      <c r="CK280" s="22"/>
      <c r="CL280" s="23"/>
      <c r="CM280" s="16" t="s">
        <v>127</v>
      </c>
      <c r="CN280" s="19"/>
      <c r="CO280" s="19"/>
      <c r="CP280" s="19"/>
      <c r="CQ280" s="19"/>
      <c r="CR280" s="19"/>
      <c r="CS280" s="19"/>
      <c r="CT280" s="19"/>
      <c r="CU280" s="19"/>
      <c r="CV280" s="16" t="s">
        <v>128</v>
      </c>
      <c r="CW280" s="19"/>
      <c r="CX280" s="19"/>
      <c r="CY280" s="19"/>
      <c r="CZ280" s="19"/>
      <c r="DA280" s="21" t="s">
        <v>115</v>
      </c>
      <c r="DB280" s="22"/>
      <c r="DC280" s="22"/>
      <c r="DD280" s="23"/>
      <c r="DE280" s="16" t="s">
        <v>145</v>
      </c>
      <c r="DF280" s="16" t="s">
        <v>145</v>
      </c>
      <c r="DG280" s="16" t="s">
        <v>1524</v>
      </c>
      <c r="DH280" s="21" t="s">
        <v>1525</v>
      </c>
      <c r="DI280" s="23"/>
      <c r="DJ280" s="21" t="s">
        <v>1526</v>
      </c>
      <c r="DK280" s="22"/>
      <c r="DL280" s="23"/>
      <c r="DM280" s="16" t="s">
        <v>1527</v>
      </c>
      <c r="DN280" s="21" t="s">
        <v>1528</v>
      </c>
      <c r="DO280" s="23"/>
    </row>
    <row r="281" ht="15.75" customHeight="1">
      <c r="A281" s="15">
        <v>279.0</v>
      </c>
      <c r="B281" s="16" t="s">
        <v>1529</v>
      </c>
      <c r="C281" s="17">
        <v>3.1803082500883E13</v>
      </c>
      <c r="D281" s="18">
        <v>118.0</v>
      </c>
      <c r="E281" s="16" t="s">
        <v>241</v>
      </c>
      <c r="F281" s="16" t="s">
        <v>1331</v>
      </c>
      <c r="G281" s="16" t="s">
        <v>547</v>
      </c>
      <c r="H281" s="20">
        <v>43167.0</v>
      </c>
      <c r="I281" s="16"/>
      <c r="J281" s="18">
        <v>1.0</v>
      </c>
      <c r="K281" s="16" t="s">
        <v>1530</v>
      </c>
      <c r="L281" s="21" t="s">
        <v>138</v>
      </c>
      <c r="M281" s="23"/>
      <c r="N281" s="19"/>
      <c r="O281" s="19"/>
      <c r="P281" s="19"/>
      <c r="Q281" s="19"/>
      <c r="R281" s="19"/>
      <c r="S281" s="19"/>
      <c r="T281" s="19"/>
      <c r="U281" s="19"/>
      <c r="V281" s="18" t="s">
        <v>839</v>
      </c>
      <c r="W281" s="16" t="s">
        <v>46</v>
      </c>
      <c r="X281" s="21" t="s">
        <v>47</v>
      </c>
      <c r="Y281" s="23"/>
      <c r="Z281" s="19"/>
      <c r="AA281" s="16" t="s">
        <v>50</v>
      </c>
      <c r="AB281" s="19"/>
      <c r="AC281" s="19"/>
      <c r="AD281" s="16" t="s">
        <v>53</v>
      </c>
      <c r="AE281" s="19"/>
      <c r="AF281" s="19"/>
      <c r="AG281" s="19"/>
      <c r="AH281" s="21" t="s">
        <v>123</v>
      </c>
      <c r="AI281" s="23"/>
      <c r="AJ281" s="16" t="s">
        <v>124</v>
      </c>
      <c r="AK281" s="16" t="s">
        <v>153</v>
      </c>
      <c r="AL281" s="16" t="s">
        <v>181</v>
      </c>
      <c r="AM281" s="16" t="s">
        <v>181</v>
      </c>
      <c r="AN281" s="16" t="s">
        <v>181</v>
      </c>
      <c r="AO281" s="16" t="s">
        <v>181</v>
      </c>
      <c r="AP281" s="16" t="s">
        <v>126</v>
      </c>
      <c r="AQ281" s="16" t="s">
        <v>181</v>
      </c>
      <c r="AR281" s="16" t="s">
        <v>126</v>
      </c>
      <c r="AS281" s="21" t="s">
        <v>65</v>
      </c>
      <c r="AT281" s="23"/>
      <c r="AU281" s="21" t="s">
        <v>67</v>
      </c>
      <c r="AV281" s="22"/>
      <c r="AW281" s="23"/>
      <c r="AX281" s="19"/>
      <c r="AY281" s="19"/>
      <c r="AZ281" s="19"/>
      <c r="BA281" s="19"/>
      <c r="BB281" s="19"/>
      <c r="BC281" s="19"/>
      <c r="BD281" s="19"/>
      <c r="BE281" s="19"/>
      <c r="BF281" s="18" t="s">
        <v>844</v>
      </c>
      <c r="BG281" s="21" t="s">
        <v>78</v>
      </c>
      <c r="BH281" s="23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8" t="s">
        <v>839</v>
      </c>
      <c r="BY281" s="19"/>
      <c r="BZ281" s="19"/>
      <c r="CA281" s="19"/>
      <c r="CB281" s="19"/>
      <c r="CC281" s="19"/>
      <c r="CD281" s="19"/>
      <c r="CE281" s="19"/>
      <c r="CF281" s="18" t="s">
        <v>844</v>
      </c>
      <c r="CG281" s="16" t="s">
        <v>128</v>
      </c>
      <c r="CH281" s="19"/>
      <c r="CI281" s="19"/>
      <c r="CJ281" s="21" t="s">
        <v>102</v>
      </c>
      <c r="CK281" s="22"/>
      <c r="CL281" s="23"/>
      <c r="CM281" s="19"/>
      <c r="CN281" s="16" t="s">
        <v>128</v>
      </c>
      <c r="CO281" s="21" t="s">
        <v>105</v>
      </c>
      <c r="CP281" s="22"/>
      <c r="CQ281" s="23"/>
      <c r="CR281" s="19"/>
      <c r="CS281" s="19"/>
      <c r="CT281" s="21" t="s">
        <v>110</v>
      </c>
      <c r="CU281" s="23"/>
      <c r="CV281" s="16" t="s">
        <v>128</v>
      </c>
      <c r="CW281" s="19"/>
      <c r="CX281" s="19"/>
      <c r="CY281" s="19"/>
      <c r="CZ281" s="21" t="s">
        <v>114</v>
      </c>
      <c r="DA281" s="22"/>
      <c r="DB281" s="23"/>
      <c r="DC281" s="16" t="s">
        <v>129</v>
      </c>
      <c r="DD281" s="16" t="s">
        <v>145</v>
      </c>
      <c r="DE281" s="16" t="s">
        <v>145</v>
      </c>
      <c r="DF281" s="16" t="s">
        <v>129</v>
      </c>
      <c r="DG281" s="21" t="s">
        <v>1234</v>
      </c>
      <c r="DH281" s="23"/>
      <c r="DI281" s="19"/>
      <c r="DJ281" s="16" t="s">
        <v>144</v>
      </c>
      <c r="DK281" s="19"/>
      <c r="DL281" s="19"/>
      <c r="DM281" s="21" t="s">
        <v>1060</v>
      </c>
      <c r="DN281" s="23"/>
      <c r="DO281" s="19"/>
    </row>
    <row r="282" ht="15.75" customHeight="1">
      <c r="A282" s="15">
        <v>280.0</v>
      </c>
      <c r="B282" s="16" t="s">
        <v>1531</v>
      </c>
      <c r="C282" s="17">
        <v>3.2002112500834E13</v>
      </c>
      <c r="D282" s="18">
        <v>153.0</v>
      </c>
      <c r="E282" s="16" t="s">
        <v>1532</v>
      </c>
      <c r="F282" s="16" t="s">
        <v>1339</v>
      </c>
      <c r="G282" s="16" t="s">
        <v>547</v>
      </c>
      <c r="H282" s="20">
        <v>43875.0</v>
      </c>
      <c r="I282" s="18">
        <v>1.0</v>
      </c>
      <c r="J282" s="19"/>
      <c r="K282" s="16" t="s">
        <v>1533</v>
      </c>
      <c r="L282" s="21" t="s">
        <v>138</v>
      </c>
      <c r="M282" s="23"/>
      <c r="N282" s="19"/>
      <c r="O282" s="19"/>
      <c r="P282" s="19"/>
      <c r="Q282" s="19"/>
      <c r="R282" s="19"/>
      <c r="S282" s="19"/>
      <c r="T282" s="19"/>
      <c r="U282" s="19"/>
      <c r="V282" s="16" t="s">
        <v>127</v>
      </c>
      <c r="W282" s="19"/>
      <c r="X282" s="21" t="s">
        <v>47</v>
      </c>
      <c r="Y282" s="23"/>
      <c r="Z282" s="19"/>
      <c r="AA282" s="19"/>
      <c r="AB282" s="19"/>
      <c r="AC282" s="19"/>
      <c r="AD282" s="19"/>
      <c r="AE282" s="19"/>
      <c r="AF282" s="19"/>
      <c r="AG282" s="19"/>
      <c r="AH282" s="21" t="s">
        <v>123</v>
      </c>
      <c r="AI282" s="23"/>
      <c r="AJ282" s="16" t="s">
        <v>663</v>
      </c>
      <c r="AK282" s="16" t="s">
        <v>153</v>
      </c>
      <c r="AL282" s="16" t="s">
        <v>181</v>
      </c>
      <c r="AM282" s="16" t="s">
        <v>181</v>
      </c>
      <c r="AN282" s="16" t="s">
        <v>181</v>
      </c>
      <c r="AO282" s="16" t="s">
        <v>181</v>
      </c>
      <c r="AP282" s="16" t="s">
        <v>181</v>
      </c>
      <c r="AQ282" s="16" t="s">
        <v>181</v>
      </c>
      <c r="AR282" s="16" t="s">
        <v>181</v>
      </c>
      <c r="AS282" s="21" t="s">
        <v>65</v>
      </c>
      <c r="AT282" s="22"/>
      <c r="AU282" s="23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6" t="s">
        <v>144</v>
      </c>
      <c r="BG282" s="21" t="s">
        <v>78</v>
      </c>
      <c r="BH282" s="23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6" t="s">
        <v>144</v>
      </c>
      <c r="BY282" s="19"/>
      <c r="BZ282" s="19"/>
      <c r="CA282" s="19"/>
      <c r="CB282" s="19"/>
      <c r="CC282" s="19"/>
      <c r="CD282" s="19"/>
      <c r="CE282" s="19"/>
      <c r="CF282" s="16" t="s">
        <v>144</v>
      </c>
      <c r="CG282" s="16" t="s">
        <v>128</v>
      </c>
      <c r="CH282" s="19"/>
      <c r="CI282" s="19"/>
      <c r="CJ282" s="19"/>
      <c r="CK282" s="19"/>
      <c r="CL282" s="21" t="s">
        <v>104</v>
      </c>
      <c r="CM282" s="23"/>
      <c r="CN282" s="16" t="s">
        <v>128</v>
      </c>
      <c r="CO282" s="19"/>
      <c r="CP282" s="19"/>
      <c r="CQ282" s="19"/>
      <c r="CR282" s="19"/>
      <c r="CS282" s="21" t="s">
        <v>109</v>
      </c>
      <c r="CT282" s="23"/>
      <c r="CU282" s="19"/>
      <c r="CV282" s="16" t="s">
        <v>128</v>
      </c>
      <c r="CW282" s="19"/>
      <c r="CX282" s="19"/>
      <c r="CY282" s="19"/>
      <c r="CZ282" s="19"/>
      <c r="DA282" s="21" t="s">
        <v>115</v>
      </c>
      <c r="DB282" s="23"/>
      <c r="DC282" s="16" t="s">
        <v>129</v>
      </c>
      <c r="DD282" s="16" t="s">
        <v>129</v>
      </c>
      <c r="DE282" s="16" t="s">
        <v>129</v>
      </c>
      <c r="DF282" s="16" t="s">
        <v>129</v>
      </c>
      <c r="DG282" s="16" t="s">
        <v>1396</v>
      </c>
      <c r="DH282" s="16" t="s">
        <v>1534</v>
      </c>
      <c r="DI282" s="16" t="s">
        <v>1535</v>
      </c>
      <c r="DJ282" s="16" t="s">
        <v>144</v>
      </c>
      <c r="DK282" s="19"/>
      <c r="DL282" s="19"/>
      <c r="DM282" s="21" t="s">
        <v>1536</v>
      </c>
      <c r="DN282" s="23"/>
      <c r="DO282" s="19"/>
    </row>
    <row r="283" ht="15.75" customHeight="1">
      <c r="A283" s="15">
        <v>281.0</v>
      </c>
      <c r="B283" s="16" t="s">
        <v>1537</v>
      </c>
      <c r="C283" s="17">
        <v>3.1910252500159E13</v>
      </c>
      <c r="D283" s="18">
        <v>80.0</v>
      </c>
      <c r="E283" s="16" t="s">
        <v>1335</v>
      </c>
      <c r="F283" s="16" t="s">
        <v>606</v>
      </c>
      <c r="G283" s="16" t="s">
        <v>547</v>
      </c>
      <c r="H283" s="25">
        <v>43763.0</v>
      </c>
      <c r="I283" s="18">
        <v>1.0</v>
      </c>
      <c r="J283" s="19"/>
      <c r="K283" s="16" t="s">
        <v>1519</v>
      </c>
      <c r="L283" s="21" t="s">
        <v>138</v>
      </c>
      <c r="M283" s="23"/>
      <c r="N283" s="19"/>
      <c r="O283" s="19"/>
      <c r="P283" s="19"/>
      <c r="Q283" s="19"/>
      <c r="R283" s="19"/>
      <c r="S283" s="19"/>
      <c r="T283" s="19"/>
      <c r="U283" s="19"/>
      <c r="V283" s="16" t="s">
        <v>932</v>
      </c>
      <c r="W283" s="16" t="s">
        <v>46</v>
      </c>
      <c r="X283" s="21" t="s">
        <v>47</v>
      </c>
      <c r="Y283" s="23"/>
      <c r="Z283" s="19"/>
      <c r="AA283" s="16" t="s">
        <v>50</v>
      </c>
      <c r="AB283" s="19"/>
      <c r="AC283" s="19"/>
      <c r="AD283" s="19"/>
      <c r="AE283" s="19"/>
      <c r="AF283" s="19"/>
      <c r="AG283" s="18" t="s">
        <v>839</v>
      </c>
      <c r="AH283" s="21" t="s">
        <v>228</v>
      </c>
      <c r="AI283" s="23"/>
      <c r="AJ283" s="16" t="s">
        <v>168</v>
      </c>
      <c r="AK283" s="16" t="s">
        <v>153</v>
      </c>
      <c r="AL283" s="16" t="s">
        <v>181</v>
      </c>
      <c r="AM283" s="16" t="s">
        <v>181</v>
      </c>
      <c r="AN283" s="16" t="s">
        <v>181</v>
      </c>
      <c r="AO283" s="16" t="s">
        <v>181</v>
      </c>
      <c r="AP283" s="16" t="s">
        <v>181</v>
      </c>
      <c r="AQ283" s="16" t="s">
        <v>181</v>
      </c>
      <c r="AR283" s="16" t="s">
        <v>181</v>
      </c>
      <c r="AS283" s="21" t="s">
        <v>65</v>
      </c>
      <c r="AT283" s="23"/>
      <c r="AU283" s="21" t="s">
        <v>67</v>
      </c>
      <c r="AV283" s="23"/>
      <c r="AW283" s="16" t="s">
        <v>69</v>
      </c>
      <c r="AX283" s="16" t="s">
        <v>70</v>
      </c>
      <c r="AY283" s="16" t="s">
        <v>71</v>
      </c>
      <c r="AZ283" s="18" t="s">
        <v>844</v>
      </c>
      <c r="BA283" s="16" t="s">
        <v>73</v>
      </c>
      <c r="BB283" s="21" t="s">
        <v>74</v>
      </c>
      <c r="BC283" s="22"/>
      <c r="BD283" s="23"/>
      <c r="BE283" s="16" t="s">
        <v>77</v>
      </c>
      <c r="BF283" s="18">
        <v>0.0</v>
      </c>
      <c r="BG283" s="21" t="s">
        <v>78</v>
      </c>
      <c r="BH283" s="23"/>
      <c r="BI283" s="19"/>
      <c r="BJ283" s="19"/>
      <c r="BK283" s="16" t="s">
        <v>81</v>
      </c>
      <c r="BL283" s="19"/>
      <c r="BM283" s="19"/>
      <c r="BN283" s="16" t="s">
        <v>84</v>
      </c>
      <c r="BO283" s="16" t="s">
        <v>85</v>
      </c>
      <c r="BP283" s="18" t="s">
        <v>839</v>
      </c>
      <c r="BQ283" s="19"/>
      <c r="BR283" s="19"/>
      <c r="BS283" s="19"/>
      <c r="BT283" s="21" t="s">
        <v>89</v>
      </c>
      <c r="BU283" s="22"/>
      <c r="BV283" s="23"/>
      <c r="BW283" s="16" t="s">
        <v>92</v>
      </c>
      <c r="BX283" s="18" t="s">
        <v>844</v>
      </c>
      <c r="BY283" s="19"/>
      <c r="BZ283" s="19"/>
      <c r="CA283" s="19"/>
      <c r="CB283" s="21" t="s">
        <v>96</v>
      </c>
      <c r="CC283" s="23"/>
      <c r="CD283" s="19"/>
      <c r="CE283" s="19"/>
      <c r="CF283" s="18" t="s">
        <v>840</v>
      </c>
      <c r="CG283" s="16" t="s">
        <v>128</v>
      </c>
      <c r="CH283" s="16" t="s">
        <v>100</v>
      </c>
      <c r="CI283" s="16" t="s">
        <v>101</v>
      </c>
      <c r="CJ283" s="21" t="s">
        <v>102</v>
      </c>
      <c r="CK283" s="23"/>
      <c r="CL283" s="16" t="s">
        <v>104</v>
      </c>
      <c r="CM283" s="18" t="s">
        <v>844</v>
      </c>
      <c r="CN283" s="16" t="s">
        <v>128</v>
      </c>
      <c r="CO283" s="21" t="s">
        <v>105</v>
      </c>
      <c r="CP283" s="22"/>
      <c r="CQ283" s="23"/>
      <c r="CR283" s="21" t="s">
        <v>108</v>
      </c>
      <c r="CS283" s="23"/>
      <c r="CT283" s="16" t="s">
        <v>110</v>
      </c>
      <c r="CU283" s="18" t="s">
        <v>844</v>
      </c>
      <c r="CV283" s="21" t="s">
        <v>154</v>
      </c>
      <c r="CW283" s="23"/>
      <c r="CX283" s="19"/>
      <c r="CY283" s="19"/>
      <c r="CZ283" s="21" t="s">
        <v>114</v>
      </c>
      <c r="DA283" s="23"/>
      <c r="DB283" s="18" t="s">
        <v>839</v>
      </c>
      <c r="DC283" s="16" t="s">
        <v>129</v>
      </c>
      <c r="DD283" s="16" t="s">
        <v>129</v>
      </c>
      <c r="DE283" s="16" t="s">
        <v>129</v>
      </c>
      <c r="DF283" s="16" t="s">
        <v>129</v>
      </c>
      <c r="DG283" s="16" t="s">
        <v>841</v>
      </c>
      <c r="DH283" s="16" t="s">
        <v>1538</v>
      </c>
      <c r="DI283" s="16" t="s">
        <v>1539</v>
      </c>
      <c r="DJ283" s="16" t="s">
        <v>915</v>
      </c>
      <c r="DK283" s="18" t="s">
        <v>844</v>
      </c>
      <c r="DL283" s="18" t="s">
        <v>845</v>
      </c>
      <c r="DM283" s="16" t="s">
        <v>876</v>
      </c>
      <c r="DN283" s="18" t="s">
        <v>844</v>
      </c>
      <c r="DO283" s="18" t="s">
        <v>845</v>
      </c>
    </row>
    <row r="284" ht="15.75" customHeight="1">
      <c r="A284" s="15">
        <v>282.0</v>
      </c>
      <c r="B284" s="16" t="s">
        <v>1540</v>
      </c>
      <c r="C284" s="17">
        <v>3.14041422505705E14</v>
      </c>
      <c r="D284" s="18">
        <v>34.0</v>
      </c>
      <c r="E284" s="16" t="s">
        <v>1541</v>
      </c>
      <c r="F284" s="16" t="s">
        <v>851</v>
      </c>
      <c r="G284" s="16" t="s">
        <v>547</v>
      </c>
      <c r="H284" s="20">
        <v>45396.0</v>
      </c>
      <c r="I284" s="16"/>
      <c r="J284" s="18">
        <v>1.0</v>
      </c>
      <c r="K284" s="16" t="s">
        <v>1542</v>
      </c>
      <c r="L284" s="21" t="s">
        <v>138</v>
      </c>
      <c r="M284" s="23"/>
      <c r="N284" s="19"/>
      <c r="O284" s="19"/>
      <c r="P284" s="19"/>
      <c r="Q284" s="19"/>
      <c r="R284" s="19"/>
      <c r="S284" s="19"/>
      <c r="T284" s="19"/>
      <c r="U284" s="19"/>
      <c r="V284" s="21" t="s">
        <v>910</v>
      </c>
      <c r="W284" s="23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</row>
    <row r="285" ht="15.75" customHeight="1">
      <c r="A285" s="15">
        <v>283.0</v>
      </c>
      <c r="B285" s="16" t="s">
        <v>1543</v>
      </c>
      <c r="C285" s="17">
        <v>3.1502102504953E13</v>
      </c>
      <c r="D285" s="18">
        <v>69.0</v>
      </c>
      <c r="E285" s="16" t="s">
        <v>1544</v>
      </c>
      <c r="F285" s="16" t="s">
        <v>595</v>
      </c>
      <c r="G285" s="16" t="s">
        <v>547</v>
      </c>
      <c r="H285" s="20">
        <v>38393.0</v>
      </c>
      <c r="I285" s="18">
        <v>1.0</v>
      </c>
      <c r="J285" s="19"/>
      <c r="K285" s="16" t="s">
        <v>1545</v>
      </c>
      <c r="L285" s="21" t="s">
        <v>138</v>
      </c>
      <c r="M285" s="23"/>
      <c r="N285" s="19"/>
      <c r="O285" s="19"/>
      <c r="P285" s="19"/>
      <c r="Q285" s="19"/>
      <c r="R285" s="19"/>
      <c r="S285" s="19"/>
      <c r="T285" s="19"/>
      <c r="U285" s="19"/>
      <c r="V285" s="16" t="s">
        <v>728</v>
      </c>
      <c r="W285" s="16" t="s">
        <v>46</v>
      </c>
      <c r="X285" s="16" t="s">
        <v>47</v>
      </c>
      <c r="Y285" s="21" t="s">
        <v>48</v>
      </c>
      <c r="Z285" s="23"/>
      <c r="AA285" s="19"/>
      <c r="AB285" s="19"/>
      <c r="AC285" s="19"/>
      <c r="AD285" s="19"/>
      <c r="AE285" s="19"/>
      <c r="AF285" s="19"/>
      <c r="AG285" s="19"/>
      <c r="AH285" s="21" t="s">
        <v>123</v>
      </c>
      <c r="AI285" s="23"/>
      <c r="AJ285" s="16" t="s">
        <v>168</v>
      </c>
      <c r="AK285" s="16" t="s">
        <v>153</v>
      </c>
      <c r="AL285" s="16" t="s">
        <v>181</v>
      </c>
      <c r="AM285" s="16" t="s">
        <v>126</v>
      </c>
      <c r="AN285" s="16" t="s">
        <v>181</v>
      </c>
      <c r="AO285" s="16" t="s">
        <v>181</v>
      </c>
      <c r="AP285" s="16" t="s">
        <v>181</v>
      </c>
      <c r="AQ285" s="16" t="s">
        <v>181</v>
      </c>
      <c r="AR285" s="16" t="s">
        <v>181</v>
      </c>
      <c r="AS285" s="21" t="s">
        <v>65</v>
      </c>
      <c r="AT285" s="22"/>
      <c r="AU285" s="23"/>
      <c r="AV285" s="19"/>
      <c r="AW285" s="19"/>
      <c r="AX285" s="19"/>
      <c r="AY285" s="16" t="s">
        <v>71</v>
      </c>
      <c r="AZ285" s="21" t="s">
        <v>1546</v>
      </c>
      <c r="BA285" s="22"/>
      <c r="BB285" s="22"/>
      <c r="BC285" s="23"/>
      <c r="BD285" s="19"/>
      <c r="BE285" s="19"/>
      <c r="BF285" s="19"/>
      <c r="BG285" s="16" t="s">
        <v>78</v>
      </c>
      <c r="BH285" s="16" t="s">
        <v>79</v>
      </c>
      <c r="BI285" s="21" t="s">
        <v>52</v>
      </c>
      <c r="BJ285" s="23"/>
      <c r="BK285" s="16" t="s">
        <v>81</v>
      </c>
      <c r="BL285" s="19"/>
      <c r="BM285" s="19"/>
      <c r="BN285" s="21" t="s">
        <v>84</v>
      </c>
      <c r="BO285" s="22"/>
      <c r="BP285" s="23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6" t="s">
        <v>1547</v>
      </c>
      <c r="CG285" s="16" t="s">
        <v>128</v>
      </c>
      <c r="CH285" s="19"/>
      <c r="CI285" s="16" t="s">
        <v>101</v>
      </c>
      <c r="CJ285" s="21" t="s">
        <v>102</v>
      </c>
      <c r="CK285" s="23"/>
      <c r="CL285" s="16" t="s">
        <v>104</v>
      </c>
      <c r="CM285" s="16" t="s">
        <v>1548</v>
      </c>
      <c r="CN285" s="16" t="s">
        <v>128</v>
      </c>
      <c r="CO285" s="21" t="s">
        <v>105</v>
      </c>
      <c r="CP285" s="23"/>
      <c r="CQ285" s="21" t="s">
        <v>107</v>
      </c>
      <c r="CR285" s="22"/>
      <c r="CS285" s="23"/>
      <c r="CT285" s="19"/>
      <c r="CU285" s="16" t="s">
        <v>1549</v>
      </c>
      <c r="CV285" s="16" t="s">
        <v>128</v>
      </c>
      <c r="CW285" s="19"/>
      <c r="CX285" s="21" t="s">
        <v>112</v>
      </c>
      <c r="CY285" s="22"/>
      <c r="CZ285" s="23"/>
      <c r="DA285" s="21" t="s">
        <v>115</v>
      </c>
      <c r="DB285" s="23"/>
      <c r="DC285" s="16" t="s">
        <v>129</v>
      </c>
      <c r="DD285" s="16" t="s">
        <v>129</v>
      </c>
      <c r="DE285" s="16" t="s">
        <v>145</v>
      </c>
      <c r="DF285" s="16" t="s">
        <v>129</v>
      </c>
      <c r="DG285" s="16" t="s">
        <v>1550</v>
      </c>
      <c r="DH285" s="16" t="s">
        <v>1551</v>
      </c>
      <c r="DI285" s="16" t="s">
        <v>1552</v>
      </c>
      <c r="DJ285" s="16" t="s">
        <v>144</v>
      </c>
      <c r="DK285" s="19"/>
      <c r="DL285" s="19"/>
      <c r="DM285" s="16" t="s">
        <v>1547</v>
      </c>
      <c r="DN285" s="21" t="s">
        <v>1553</v>
      </c>
      <c r="DO285" s="23"/>
    </row>
    <row r="286" ht="15.75" customHeight="1">
      <c r="A286" s="15">
        <v>284.0</v>
      </c>
      <c r="B286" s="16" t="s">
        <v>1554</v>
      </c>
      <c r="C286" s="17">
        <v>3.1707052505261E13</v>
      </c>
      <c r="D286" s="18">
        <v>135.0</v>
      </c>
      <c r="E286" s="16" t="s">
        <v>1555</v>
      </c>
      <c r="F286" s="16" t="s">
        <v>1339</v>
      </c>
      <c r="G286" s="16" t="s">
        <v>547</v>
      </c>
      <c r="H286" s="20">
        <v>42921.0</v>
      </c>
      <c r="I286" s="16"/>
      <c r="J286" s="18">
        <v>1.0</v>
      </c>
      <c r="K286" s="16" t="s">
        <v>1556</v>
      </c>
      <c r="L286" s="21" t="s">
        <v>138</v>
      </c>
      <c r="M286" s="23"/>
      <c r="N286" s="19"/>
      <c r="O286" s="19"/>
      <c r="P286" s="19"/>
      <c r="Q286" s="19"/>
      <c r="R286" s="19"/>
      <c r="S286" s="19"/>
      <c r="T286" s="19"/>
      <c r="U286" s="19"/>
      <c r="V286" s="16" t="s">
        <v>144</v>
      </c>
      <c r="W286" s="19"/>
      <c r="X286" s="21" t="s">
        <v>47</v>
      </c>
      <c r="Y286" s="23"/>
      <c r="Z286" s="19"/>
      <c r="AA286" s="19"/>
      <c r="AB286" s="19"/>
      <c r="AC286" s="19"/>
      <c r="AD286" s="19"/>
      <c r="AE286" s="19"/>
      <c r="AF286" s="19"/>
      <c r="AG286" s="19"/>
      <c r="AH286" s="21" t="s">
        <v>228</v>
      </c>
      <c r="AI286" s="23"/>
      <c r="AJ286" s="16" t="s">
        <v>663</v>
      </c>
      <c r="AK286" s="16" t="s">
        <v>153</v>
      </c>
      <c r="AL286" s="16" t="s">
        <v>181</v>
      </c>
      <c r="AM286" s="16" t="s">
        <v>181</v>
      </c>
      <c r="AN286" s="16" t="s">
        <v>181</v>
      </c>
      <c r="AO286" s="16" t="s">
        <v>181</v>
      </c>
      <c r="AP286" s="16" t="s">
        <v>181</v>
      </c>
      <c r="AQ286" s="16" t="s">
        <v>181</v>
      </c>
      <c r="AR286" s="16" t="s">
        <v>181</v>
      </c>
      <c r="AS286" s="21" t="s">
        <v>65</v>
      </c>
      <c r="AT286" s="22"/>
      <c r="AU286" s="23"/>
      <c r="AV286" s="19"/>
      <c r="AW286" s="19"/>
      <c r="AX286" s="19"/>
      <c r="AY286" s="19"/>
      <c r="AZ286" s="16" t="s">
        <v>783</v>
      </c>
      <c r="BA286" s="19"/>
      <c r="BB286" s="19"/>
      <c r="BC286" s="19"/>
      <c r="BD286" s="19"/>
      <c r="BE286" s="19"/>
      <c r="BF286" s="16" t="s">
        <v>144</v>
      </c>
      <c r="BG286" s="21" t="s">
        <v>78</v>
      </c>
      <c r="BH286" s="23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6" t="s">
        <v>144</v>
      </c>
      <c r="BY286" s="19"/>
      <c r="BZ286" s="19"/>
      <c r="CA286" s="19"/>
      <c r="CB286" s="19"/>
      <c r="CC286" s="19"/>
      <c r="CD286" s="19"/>
      <c r="CE286" s="19"/>
      <c r="CF286" s="16" t="s">
        <v>144</v>
      </c>
      <c r="CG286" s="16" t="s">
        <v>128</v>
      </c>
      <c r="CH286" s="19"/>
      <c r="CI286" s="19"/>
      <c r="CJ286" s="19"/>
      <c r="CK286" s="19"/>
      <c r="CL286" s="21" t="s">
        <v>104</v>
      </c>
      <c r="CM286" s="23"/>
      <c r="CN286" s="16" t="s">
        <v>128</v>
      </c>
      <c r="CO286" s="19"/>
      <c r="CP286" s="19"/>
      <c r="CQ286" s="19"/>
      <c r="CR286" s="19"/>
      <c r="CS286" s="21" t="s">
        <v>109</v>
      </c>
      <c r="CT286" s="23"/>
      <c r="CU286" s="19"/>
      <c r="CV286" s="16" t="s">
        <v>128</v>
      </c>
      <c r="CW286" s="19"/>
      <c r="CX286" s="19"/>
      <c r="CY286" s="19"/>
      <c r="CZ286" s="19"/>
      <c r="DA286" s="21" t="s">
        <v>115</v>
      </c>
      <c r="DB286" s="23"/>
      <c r="DC286" s="16" t="s">
        <v>129</v>
      </c>
      <c r="DD286" s="16" t="s">
        <v>129</v>
      </c>
      <c r="DE286" s="16" t="s">
        <v>129</v>
      </c>
      <c r="DF286" s="16" t="s">
        <v>129</v>
      </c>
      <c r="DG286" s="16" t="s">
        <v>1557</v>
      </c>
      <c r="DH286" s="21" t="s">
        <v>1558</v>
      </c>
      <c r="DI286" s="23"/>
      <c r="DJ286" s="16" t="s">
        <v>144</v>
      </c>
      <c r="DK286" s="19"/>
      <c r="DL286" s="19"/>
      <c r="DM286" s="21" t="s">
        <v>1559</v>
      </c>
      <c r="DN286" s="23"/>
      <c r="DO286" s="19"/>
    </row>
    <row r="287" ht="15.75" customHeight="1">
      <c r="A287" s="15">
        <v>285.0</v>
      </c>
      <c r="B287" s="16" t="s">
        <v>1560</v>
      </c>
      <c r="C287" s="17">
        <v>3.1910082504057E13</v>
      </c>
      <c r="D287" s="18">
        <v>118.0</v>
      </c>
      <c r="E287" s="16" t="s">
        <v>1512</v>
      </c>
      <c r="F287" s="16" t="s">
        <v>851</v>
      </c>
      <c r="G287" s="16" t="s">
        <v>547</v>
      </c>
      <c r="H287" s="20">
        <v>43746.0</v>
      </c>
      <c r="I287" s="18">
        <v>1.0</v>
      </c>
      <c r="J287" s="19"/>
      <c r="K287" s="16" t="s">
        <v>1561</v>
      </c>
      <c r="L287" s="21" t="s">
        <v>138</v>
      </c>
      <c r="M287" s="23"/>
      <c r="N287" s="19"/>
      <c r="O287" s="19"/>
      <c r="P287" s="19"/>
      <c r="Q287" s="19"/>
      <c r="R287" s="19"/>
      <c r="S287" s="19"/>
      <c r="T287" s="19"/>
      <c r="U287" s="19"/>
      <c r="V287" s="16" t="s">
        <v>910</v>
      </c>
      <c r="W287" s="16" t="s">
        <v>46</v>
      </c>
      <c r="X287" s="21" t="s">
        <v>47</v>
      </c>
      <c r="Y287" s="23"/>
      <c r="Z287" s="19"/>
      <c r="AA287" s="19"/>
      <c r="AB287" s="19"/>
      <c r="AC287" s="19"/>
      <c r="AD287" s="19"/>
      <c r="AE287" s="19"/>
      <c r="AF287" s="19"/>
      <c r="AG287" s="19"/>
      <c r="AH287" s="21" t="s">
        <v>123</v>
      </c>
      <c r="AI287" s="23"/>
      <c r="AJ287" s="16" t="s">
        <v>168</v>
      </c>
      <c r="AK287" s="16" t="s">
        <v>153</v>
      </c>
      <c r="AL287" s="16" t="s">
        <v>181</v>
      </c>
      <c r="AM287" s="16" t="s">
        <v>181</v>
      </c>
      <c r="AN287" s="16" t="s">
        <v>181</v>
      </c>
      <c r="AO287" s="16" t="s">
        <v>181</v>
      </c>
      <c r="AP287" s="16" t="s">
        <v>181</v>
      </c>
      <c r="AQ287" s="16" t="s">
        <v>181</v>
      </c>
      <c r="AR287" s="16" t="s">
        <v>181</v>
      </c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21" t="s">
        <v>78</v>
      </c>
      <c r="BH287" s="23"/>
      <c r="BI287" s="19"/>
      <c r="BJ287" s="19"/>
      <c r="BK287" s="16" t="s">
        <v>81</v>
      </c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6" t="s">
        <v>144</v>
      </c>
      <c r="CG287" s="16" t="s">
        <v>128</v>
      </c>
      <c r="CH287" s="21" t="s">
        <v>100</v>
      </c>
      <c r="CI287" s="23"/>
      <c r="CJ287" s="19"/>
      <c r="CK287" s="19"/>
      <c r="CL287" s="19"/>
      <c r="CM287" s="19"/>
      <c r="CN287" s="16" t="s">
        <v>128</v>
      </c>
      <c r="CO287" s="21" t="s">
        <v>105</v>
      </c>
      <c r="CP287" s="22"/>
      <c r="CQ287" s="23"/>
      <c r="CR287" s="19"/>
      <c r="CS287" s="19"/>
      <c r="CT287" s="19"/>
      <c r="CU287" s="19"/>
      <c r="CV287" s="16" t="s">
        <v>128</v>
      </c>
      <c r="CW287" s="19"/>
      <c r="CX287" s="19"/>
      <c r="CY287" s="19"/>
      <c r="CZ287" s="21" t="s">
        <v>114</v>
      </c>
      <c r="DA287" s="22"/>
      <c r="DB287" s="23"/>
      <c r="DC287" s="16" t="s">
        <v>129</v>
      </c>
      <c r="DD287" s="16" t="s">
        <v>129</v>
      </c>
      <c r="DE287" s="16" t="s">
        <v>129</v>
      </c>
      <c r="DF287" s="16" t="s">
        <v>129</v>
      </c>
      <c r="DG287" s="16" t="s">
        <v>1226</v>
      </c>
      <c r="DH287" s="21" t="s">
        <v>966</v>
      </c>
      <c r="DI287" s="23"/>
      <c r="DJ287" s="16" t="s">
        <v>127</v>
      </c>
      <c r="DK287" s="19"/>
      <c r="DL287" s="19"/>
      <c r="DM287" s="16" t="s">
        <v>144</v>
      </c>
      <c r="DN287" s="19"/>
      <c r="DO287" s="19"/>
    </row>
    <row r="288" ht="15.75" customHeight="1">
      <c r="A288" s="15">
        <v>286.0</v>
      </c>
      <c r="B288" s="16" t="s">
        <v>1562</v>
      </c>
      <c r="C288" s="17">
        <v>3.1404122500081E13</v>
      </c>
      <c r="D288" s="18">
        <v>24.0</v>
      </c>
      <c r="E288" s="16" t="s">
        <v>1335</v>
      </c>
      <c r="F288" s="16" t="s">
        <v>606</v>
      </c>
      <c r="G288" s="16" t="s">
        <v>547</v>
      </c>
      <c r="H288" s="20">
        <v>41741.0</v>
      </c>
      <c r="I288" s="16"/>
      <c r="J288" s="18">
        <v>1.0</v>
      </c>
      <c r="K288" s="16" t="s">
        <v>1563</v>
      </c>
      <c r="L288" s="21" t="s">
        <v>138</v>
      </c>
      <c r="M288" s="23"/>
      <c r="N288" s="19"/>
      <c r="O288" s="19"/>
      <c r="P288" s="19"/>
      <c r="Q288" s="19"/>
      <c r="R288" s="19"/>
      <c r="S288" s="19"/>
      <c r="T288" s="19"/>
      <c r="U288" s="19"/>
      <c r="V288" s="21" t="s">
        <v>932</v>
      </c>
      <c r="W288" s="22"/>
      <c r="X288" s="23"/>
      <c r="Y288" s="21" t="s">
        <v>48</v>
      </c>
      <c r="Z288" s="23"/>
      <c r="AA288" s="19"/>
      <c r="AB288" s="19"/>
      <c r="AC288" s="19"/>
      <c r="AD288" s="19"/>
      <c r="AE288" s="19"/>
      <c r="AF288" s="19"/>
      <c r="AG288" s="18" t="s">
        <v>839</v>
      </c>
      <c r="AH288" s="16" t="s">
        <v>57</v>
      </c>
      <c r="AI288" s="18" t="s">
        <v>839</v>
      </c>
      <c r="AJ288" s="16" t="s">
        <v>124</v>
      </c>
      <c r="AK288" s="16" t="s">
        <v>153</v>
      </c>
      <c r="AL288" s="16" t="s">
        <v>181</v>
      </c>
      <c r="AM288" s="16" t="s">
        <v>126</v>
      </c>
      <c r="AN288" s="16" t="s">
        <v>126</v>
      </c>
      <c r="AO288" s="16" t="s">
        <v>181</v>
      </c>
      <c r="AP288" s="16" t="s">
        <v>126</v>
      </c>
      <c r="AQ288" s="16" t="s">
        <v>181</v>
      </c>
      <c r="AR288" s="16" t="s">
        <v>126</v>
      </c>
      <c r="AS288" s="21" t="s">
        <v>65</v>
      </c>
      <c r="AT288" s="23"/>
      <c r="AU288" s="16" t="s">
        <v>67</v>
      </c>
      <c r="AV288" s="16" t="s">
        <v>68</v>
      </c>
      <c r="AW288" s="16" t="s">
        <v>69</v>
      </c>
      <c r="AX288" s="16" t="s">
        <v>70</v>
      </c>
      <c r="AY288" s="16" t="s">
        <v>71</v>
      </c>
      <c r="AZ288" s="18" t="s">
        <v>839</v>
      </c>
      <c r="BA288" s="19"/>
      <c r="BB288" s="19"/>
      <c r="BC288" s="19"/>
      <c r="BD288" s="16" t="s">
        <v>76</v>
      </c>
      <c r="BE288" s="16" t="s">
        <v>77</v>
      </c>
      <c r="BF288" s="18">
        <v>0.0</v>
      </c>
      <c r="BG288" s="16" t="s">
        <v>78</v>
      </c>
      <c r="BH288" s="21" t="s">
        <v>79</v>
      </c>
      <c r="BI288" s="23"/>
      <c r="BJ288" s="19"/>
      <c r="BK288" s="16" t="s">
        <v>81</v>
      </c>
      <c r="BL288" s="19"/>
      <c r="BM288" s="19"/>
      <c r="BN288" s="16" t="s">
        <v>84</v>
      </c>
      <c r="BO288" s="16" t="s">
        <v>85</v>
      </c>
      <c r="BP288" s="18" t="s">
        <v>839</v>
      </c>
      <c r="BQ288" s="19"/>
      <c r="BR288" s="19"/>
      <c r="BS288" s="19"/>
      <c r="BT288" s="19"/>
      <c r="BU288" s="19"/>
      <c r="BV288" s="19"/>
      <c r="BW288" s="16" t="s">
        <v>92</v>
      </c>
      <c r="BX288" s="18" t="s">
        <v>844</v>
      </c>
      <c r="BY288" s="19"/>
      <c r="BZ288" s="19"/>
      <c r="CA288" s="19"/>
      <c r="CB288" s="21" t="s">
        <v>96</v>
      </c>
      <c r="CC288" s="23"/>
      <c r="CD288" s="19"/>
      <c r="CE288" s="19"/>
      <c r="CF288" s="18" t="s">
        <v>840</v>
      </c>
      <c r="CG288" s="16" t="s">
        <v>128</v>
      </c>
      <c r="CH288" s="19"/>
      <c r="CI288" s="16" t="s">
        <v>101</v>
      </c>
      <c r="CJ288" s="16" t="s">
        <v>102</v>
      </c>
      <c r="CK288" s="16" t="s">
        <v>103</v>
      </c>
      <c r="CL288" s="16" t="s">
        <v>104</v>
      </c>
      <c r="CM288" s="18" t="s">
        <v>844</v>
      </c>
      <c r="CN288" s="16" t="s">
        <v>128</v>
      </c>
      <c r="CO288" s="19"/>
      <c r="CP288" s="19"/>
      <c r="CQ288" s="16" t="s">
        <v>107</v>
      </c>
      <c r="CR288" s="21" t="s">
        <v>108</v>
      </c>
      <c r="CS288" s="23"/>
      <c r="CT288" s="19"/>
      <c r="CU288" s="18" t="s">
        <v>844</v>
      </c>
      <c r="CV288" s="16" t="s">
        <v>128</v>
      </c>
      <c r="CW288" s="19"/>
      <c r="CX288" s="21" t="s">
        <v>112</v>
      </c>
      <c r="CY288" s="23"/>
      <c r="CZ288" s="16" t="s">
        <v>114</v>
      </c>
      <c r="DA288" s="16" t="s">
        <v>115</v>
      </c>
      <c r="DB288" s="18" t="s">
        <v>839</v>
      </c>
      <c r="DC288" s="16" t="s">
        <v>129</v>
      </c>
      <c r="DD288" s="16" t="s">
        <v>129</v>
      </c>
      <c r="DE288" s="16" t="s">
        <v>129</v>
      </c>
      <c r="DF288" s="16" t="s">
        <v>129</v>
      </c>
      <c r="DG288" s="16" t="s">
        <v>841</v>
      </c>
      <c r="DH288" s="16" t="s">
        <v>842</v>
      </c>
      <c r="DI288" s="16" t="s">
        <v>1564</v>
      </c>
      <c r="DJ288" s="16" t="s">
        <v>144</v>
      </c>
      <c r="DK288" s="18" t="s">
        <v>844</v>
      </c>
      <c r="DL288" s="18" t="s">
        <v>845</v>
      </c>
      <c r="DM288" s="16" t="s">
        <v>1450</v>
      </c>
      <c r="DN288" s="18" t="s">
        <v>844</v>
      </c>
      <c r="DO288" s="18" t="s">
        <v>845</v>
      </c>
    </row>
    <row r="289" ht="15.75" customHeight="1">
      <c r="A289" s="15">
        <v>287.0</v>
      </c>
      <c r="B289" s="16" t="s">
        <v>1565</v>
      </c>
      <c r="C289" s="17">
        <v>3.1505242502135E13</v>
      </c>
      <c r="D289" s="18">
        <v>114.0</v>
      </c>
      <c r="E289" s="16" t="s">
        <v>241</v>
      </c>
      <c r="F289" s="16" t="s">
        <v>1331</v>
      </c>
      <c r="G289" s="16" t="s">
        <v>547</v>
      </c>
      <c r="H289" s="20">
        <v>42148.0</v>
      </c>
      <c r="I289" s="18">
        <v>1.0</v>
      </c>
      <c r="J289" s="19"/>
      <c r="K289" s="16" t="s">
        <v>1566</v>
      </c>
      <c r="L289" s="21" t="s">
        <v>138</v>
      </c>
      <c r="M289" s="23"/>
      <c r="N289" s="19"/>
      <c r="O289" s="19"/>
      <c r="P289" s="19"/>
      <c r="Q289" s="19"/>
      <c r="R289" s="19"/>
      <c r="S289" s="19"/>
      <c r="T289" s="19"/>
      <c r="U289" s="19"/>
      <c r="V289" s="16" t="s">
        <v>1567</v>
      </c>
      <c r="W289" s="19"/>
      <c r="X289" s="21" t="s">
        <v>47</v>
      </c>
      <c r="Y289" s="23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6" t="s">
        <v>449</v>
      </c>
      <c r="AK289" s="16" t="s">
        <v>142</v>
      </c>
      <c r="AL289" s="16" t="s">
        <v>181</v>
      </c>
      <c r="AM289" s="16" t="s">
        <v>126</v>
      </c>
      <c r="AN289" s="19"/>
      <c r="AO289" s="16" t="s">
        <v>181</v>
      </c>
      <c r="AP289" s="16" t="s">
        <v>181</v>
      </c>
      <c r="AQ289" s="16" t="s">
        <v>181</v>
      </c>
      <c r="AR289" s="16" t="s">
        <v>126</v>
      </c>
      <c r="AS289" s="21" t="s">
        <v>65</v>
      </c>
      <c r="AT289" s="22"/>
      <c r="AU289" s="23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21" t="s">
        <v>78</v>
      </c>
      <c r="BH289" s="23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6" t="s">
        <v>144</v>
      </c>
      <c r="CG289" s="16" t="s">
        <v>128</v>
      </c>
      <c r="CH289" s="21" t="s">
        <v>100</v>
      </c>
      <c r="CI289" s="23"/>
      <c r="CJ289" s="19"/>
      <c r="CK289" s="19"/>
      <c r="CL289" s="19"/>
      <c r="CM289" s="19"/>
      <c r="CN289" s="16" t="s">
        <v>128</v>
      </c>
      <c r="CO289" s="21" t="s">
        <v>105</v>
      </c>
      <c r="CP289" s="22"/>
      <c r="CQ289" s="23"/>
      <c r="CR289" s="19"/>
      <c r="CS289" s="19"/>
      <c r="CT289" s="19"/>
      <c r="CU289" s="19"/>
      <c r="CV289" s="16" t="s">
        <v>128</v>
      </c>
      <c r="CW289" s="19"/>
      <c r="CX289" s="19"/>
      <c r="CY289" s="19"/>
      <c r="CZ289" s="21" t="s">
        <v>114</v>
      </c>
      <c r="DA289" s="22"/>
      <c r="DB289" s="23"/>
      <c r="DC289" s="16" t="s">
        <v>145</v>
      </c>
      <c r="DD289" s="16" t="s">
        <v>129</v>
      </c>
      <c r="DE289" s="16" t="s">
        <v>145</v>
      </c>
      <c r="DF289" s="16" t="s">
        <v>145</v>
      </c>
      <c r="DG289" s="16" t="s">
        <v>1234</v>
      </c>
      <c r="DH289" s="21" t="s">
        <v>1097</v>
      </c>
      <c r="DI289" s="23"/>
      <c r="DJ289" s="21" t="s">
        <v>1568</v>
      </c>
      <c r="DK289" s="23"/>
      <c r="DL289" s="19"/>
      <c r="DM289" s="16" t="s">
        <v>1060</v>
      </c>
      <c r="DN289" s="21" t="s">
        <v>1179</v>
      </c>
      <c r="DO289" s="23"/>
    </row>
    <row r="290" ht="15.75" customHeight="1">
      <c r="A290" s="15">
        <v>288.0</v>
      </c>
      <c r="B290" s="16" t="s">
        <v>1569</v>
      </c>
      <c r="C290" s="17">
        <v>3.1403012508161E13</v>
      </c>
      <c r="D290" s="18">
        <v>6.0</v>
      </c>
      <c r="E290" s="16" t="s">
        <v>1570</v>
      </c>
      <c r="F290" s="16" t="s">
        <v>1339</v>
      </c>
      <c r="G290" s="16" t="s">
        <v>547</v>
      </c>
      <c r="H290" s="20">
        <v>41699.0</v>
      </c>
      <c r="I290" s="16"/>
      <c r="J290" s="18">
        <v>1.0</v>
      </c>
      <c r="K290" s="16" t="s">
        <v>1571</v>
      </c>
      <c r="L290" s="21" t="s">
        <v>138</v>
      </c>
      <c r="M290" s="23"/>
      <c r="N290" s="19"/>
      <c r="O290" s="19"/>
      <c r="P290" s="19"/>
      <c r="Q290" s="19"/>
      <c r="R290" s="19"/>
      <c r="S290" s="19"/>
      <c r="T290" s="19"/>
      <c r="U290" s="19"/>
      <c r="V290" s="16" t="s">
        <v>144</v>
      </c>
      <c r="W290" s="19"/>
      <c r="X290" s="21" t="s">
        <v>47</v>
      </c>
      <c r="Y290" s="23"/>
      <c r="Z290" s="19"/>
      <c r="AA290" s="19"/>
      <c r="AB290" s="19"/>
      <c r="AC290" s="19"/>
      <c r="AD290" s="19"/>
      <c r="AE290" s="19"/>
      <c r="AF290" s="19"/>
      <c r="AG290" s="16" t="s">
        <v>1572</v>
      </c>
      <c r="AH290" s="21" t="s">
        <v>123</v>
      </c>
      <c r="AI290" s="23"/>
      <c r="AJ290" s="16" t="s">
        <v>663</v>
      </c>
      <c r="AK290" s="16" t="s">
        <v>153</v>
      </c>
      <c r="AL290" s="16" t="s">
        <v>181</v>
      </c>
      <c r="AM290" s="16" t="s">
        <v>181</v>
      </c>
      <c r="AN290" s="16" t="s">
        <v>181</v>
      </c>
      <c r="AO290" s="16" t="s">
        <v>181</v>
      </c>
      <c r="AP290" s="19"/>
      <c r="AQ290" s="16" t="s">
        <v>181</v>
      </c>
      <c r="AR290" s="16" t="s">
        <v>181</v>
      </c>
      <c r="AS290" s="21" t="s">
        <v>65</v>
      </c>
      <c r="AT290" s="22"/>
      <c r="AU290" s="23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21" t="s">
        <v>78</v>
      </c>
      <c r="BH290" s="23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6" t="s">
        <v>144</v>
      </c>
      <c r="CG290" s="16" t="s">
        <v>128</v>
      </c>
      <c r="CH290" s="19"/>
      <c r="CI290" s="19"/>
      <c r="CJ290" s="19"/>
      <c r="CK290" s="19"/>
      <c r="CL290" s="21" t="s">
        <v>104</v>
      </c>
      <c r="CM290" s="23"/>
      <c r="CN290" s="16" t="s">
        <v>128</v>
      </c>
      <c r="CO290" s="21" t="s">
        <v>105</v>
      </c>
      <c r="CP290" s="22"/>
      <c r="CQ290" s="23"/>
      <c r="CR290" s="19"/>
      <c r="CS290" s="19"/>
      <c r="CT290" s="19"/>
      <c r="CU290" s="19"/>
      <c r="CV290" s="16" t="s">
        <v>128</v>
      </c>
      <c r="CW290" s="19"/>
      <c r="CX290" s="19"/>
      <c r="CY290" s="19"/>
      <c r="CZ290" s="19"/>
      <c r="DA290" s="21" t="s">
        <v>115</v>
      </c>
      <c r="DB290" s="23"/>
      <c r="DC290" s="16" t="s">
        <v>129</v>
      </c>
      <c r="DD290" s="16" t="s">
        <v>129</v>
      </c>
      <c r="DE290" s="16" t="s">
        <v>129</v>
      </c>
      <c r="DF290" s="16" t="s">
        <v>129</v>
      </c>
      <c r="DG290" s="16" t="s">
        <v>1573</v>
      </c>
      <c r="DH290" s="16" t="s">
        <v>1574</v>
      </c>
      <c r="DI290" s="16" t="s">
        <v>1575</v>
      </c>
      <c r="DJ290" s="16" t="s">
        <v>1576</v>
      </c>
      <c r="DK290" s="16" t="s">
        <v>774</v>
      </c>
      <c r="DL290" s="19"/>
      <c r="DM290" s="21" t="s">
        <v>1577</v>
      </c>
      <c r="DN290" s="23"/>
      <c r="DO290" s="19"/>
    </row>
    <row r="291" ht="15.75" customHeight="1">
      <c r="A291" s="15">
        <v>289.0</v>
      </c>
      <c r="B291" s="16" t="s">
        <v>1578</v>
      </c>
      <c r="C291" s="17">
        <v>3.2108212504707E13</v>
      </c>
      <c r="D291" s="18">
        <v>198.0</v>
      </c>
      <c r="E291" s="16" t="s">
        <v>1484</v>
      </c>
      <c r="F291" s="16" t="s">
        <v>595</v>
      </c>
      <c r="G291" s="16" t="s">
        <v>547</v>
      </c>
      <c r="H291" s="20">
        <v>44429.0</v>
      </c>
      <c r="I291" s="18">
        <v>1.0</v>
      </c>
      <c r="J291" s="19"/>
      <c r="K291" s="16" t="s">
        <v>1579</v>
      </c>
      <c r="L291" s="21" t="s">
        <v>138</v>
      </c>
      <c r="M291" s="23"/>
      <c r="N291" s="19"/>
      <c r="O291" s="19"/>
      <c r="P291" s="19"/>
      <c r="Q291" s="19"/>
      <c r="R291" s="19"/>
      <c r="S291" s="19"/>
      <c r="T291" s="19"/>
      <c r="U291" s="19"/>
      <c r="V291" s="21" t="s">
        <v>728</v>
      </c>
      <c r="W291" s="23"/>
      <c r="X291" s="21" t="s">
        <v>47</v>
      </c>
      <c r="Y291" s="23"/>
      <c r="Z291" s="19"/>
      <c r="AA291" s="19"/>
      <c r="AB291" s="19"/>
      <c r="AC291" s="19"/>
      <c r="AD291" s="19"/>
      <c r="AE291" s="19"/>
      <c r="AF291" s="19"/>
      <c r="AG291" s="19"/>
      <c r="AH291" s="21" t="s">
        <v>123</v>
      </c>
      <c r="AI291" s="23"/>
      <c r="AJ291" s="16" t="s">
        <v>141</v>
      </c>
      <c r="AK291" s="16" t="s">
        <v>125</v>
      </c>
      <c r="AL291" s="16" t="s">
        <v>181</v>
      </c>
      <c r="AM291" s="16" t="s">
        <v>126</v>
      </c>
      <c r="AN291" s="16" t="s">
        <v>126</v>
      </c>
      <c r="AO291" s="16" t="s">
        <v>126</v>
      </c>
      <c r="AP291" s="16" t="s">
        <v>181</v>
      </c>
      <c r="AQ291" s="16" t="s">
        <v>126</v>
      </c>
      <c r="AR291" s="16" t="s">
        <v>126</v>
      </c>
      <c r="AS291" s="21" t="s">
        <v>65</v>
      </c>
      <c r="AT291" s="22"/>
      <c r="AU291" s="23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21" t="s">
        <v>78</v>
      </c>
      <c r="BH291" s="23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6" t="s">
        <v>1310</v>
      </c>
      <c r="CG291" s="16" t="s">
        <v>128</v>
      </c>
      <c r="CH291" s="21" t="s">
        <v>100</v>
      </c>
      <c r="CI291" s="23"/>
      <c r="CJ291" s="21" t="s">
        <v>102</v>
      </c>
      <c r="CK291" s="22"/>
      <c r="CL291" s="23"/>
      <c r="CM291" s="19"/>
      <c r="CN291" s="19"/>
      <c r="CO291" s="19"/>
      <c r="CP291" s="19"/>
      <c r="CQ291" s="19"/>
      <c r="CR291" s="19"/>
      <c r="CS291" s="19"/>
      <c r="CT291" s="19"/>
      <c r="CU291" s="19"/>
      <c r="CV291" s="16" t="s">
        <v>128</v>
      </c>
      <c r="CW291" s="19"/>
      <c r="CX291" s="21" t="s">
        <v>112</v>
      </c>
      <c r="CY291" s="22"/>
      <c r="CZ291" s="23"/>
      <c r="DA291" s="19"/>
      <c r="DB291" s="19"/>
      <c r="DC291" s="16" t="s">
        <v>129</v>
      </c>
      <c r="DD291" s="16" t="s">
        <v>129</v>
      </c>
      <c r="DE291" s="16" t="s">
        <v>145</v>
      </c>
      <c r="DF291" s="16" t="s">
        <v>145</v>
      </c>
      <c r="DG291" s="16" t="s">
        <v>1580</v>
      </c>
      <c r="DH291" s="21" t="s">
        <v>1581</v>
      </c>
      <c r="DI291" s="23"/>
      <c r="DJ291" s="16" t="s">
        <v>144</v>
      </c>
      <c r="DK291" s="19"/>
      <c r="DL291" s="19"/>
      <c r="DM291" s="16" t="s">
        <v>144</v>
      </c>
      <c r="DN291" s="19"/>
      <c r="DO291" s="19"/>
    </row>
    <row r="292" ht="15.75" customHeight="1">
      <c r="A292" s="15">
        <v>290.0</v>
      </c>
      <c r="B292" s="16" t="s">
        <v>1582</v>
      </c>
      <c r="C292" s="17">
        <v>3.1403082504104E13</v>
      </c>
      <c r="D292" s="18">
        <v>148.0</v>
      </c>
      <c r="E292" s="16" t="s">
        <v>1335</v>
      </c>
      <c r="F292" s="16" t="s">
        <v>606</v>
      </c>
      <c r="G292" s="16" t="s">
        <v>547</v>
      </c>
      <c r="H292" s="20">
        <v>41706.0</v>
      </c>
      <c r="I292" s="16"/>
      <c r="J292" s="18">
        <v>1.0</v>
      </c>
      <c r="K292" s="16" t="s">
        <v>1583</v>
      </c>
      <c r="L292" s="21" t="s">
        <v>138</v>
      </c>
      <c r="M292" s="23"/>
      <c r="N292" s="19"/>
      <c r="O292" s="19"/>
      <c r="P292" s="19"/>
      <c r="Q292" s="19"/>
      <c r="R292" s="19"/>
      <c r="S292" s="19"/>
      <c r="T292" s="19"/>
      <c r="U292" s="19"/>
      <c r="V292" s="16" t="s">
        <v>932</v>
      </c>
      <c r="W292" s="16" t="s">
        <v>46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8" t="s">
        <v>844</v>
      </c>
      <c r="AH292" s="16" t="s">
        <v>57</v>
      </c>
      <c r="AI292" s="18" t="s">
        <v>839</v>
      </c>
      <c r="AJ292" s="16" t="s">
        <v>124</v>
      </c>
      <c r="AK292" s="16" t="s">
        <v>142</v>
      </c>
      <c r="AL292" s="16" t="s">
        <v>181</v>
      </c>
      <c r="AM292" s="16" t="s">
        <v>181</v>
      </c>
      <c r="AN292" s="16" t="s">
        <v>126</v>
      </c>
      <c r="AO292" s="16" t="s">
        <v>126</v>
      </c>
      <c r="AP292" s="16" t="s">
        <v>126</v>
      </c>
      <c r="AQ292" s="16" t="s">
        <v>126</v>
      </c>
      <c r="AR292" s="16" t="s">
        <v>126</v>
      </c>
      <c r="AS292" s="21" t="s">
        <v>65</v>
      </c>
      <c r="AT292" s="22"/>
      <c r="AU292" s="23"/>
      <c r="AV292" s="16" t="s">
        <v>68</v>
      </c>
      <c r="AW292" s="16" t="s">
        <v>69</v>
      </c>
      <c r="AX292" s="16" t="s">
        <v>70</v>
      </c>
      <c r="AY292" s="16" t="s">
        <v>71</v>
      </c>
      <c r="AZ292" s="18" t="s">
        <v>844</v>
      </c>
      <c r="BA292" s="19"/>
      <c r="BB292" s="19"/>
      <c r="BC292" s="19"/>
      <c r="BD292" s="19"/>
      <c r="BE292" s="16" t="s">
        <v>77</v>
      </c>
      <c r="BF292" s="18" t="s">
        <v>839</v>
      </c>
      <c r="BG292" s="19"/>
      <c r="BH292" s="21" t="s">
        <v>79</v>
      </c>
      <c r="BI292" s="23"/>
      <c r="BJ292" s="19"/>
      <c r="BK292" s="16" t="s">
        <v>81</v>
      </c>
      <c r="BL292" s="19"/>
      <c r="BM292" s="19"/>
      <c r="BN292" s="19"/>
      <c r="BO292" s="19"/>
      <c r="BP292" s="18" t="s">
        <v>839</v>
      </c>
      <c r="BQ292" s="19"/>
      <c r="BR292" s="19"/>
      <c r="BS292" s="21" t="s">
        <v>88</v>
      </c>
      <c r="BT292" s="23"/>
      <c r="BU292" s="19"/>
      <c r="BV292" s="19"/>
      <c r="BW292" s="16" t="s">
        <v>92</v>
      </c>
      <c r="BX292" s="18" t="s">
        <v>844</v>
      </c>
      <c r="BY292" s="21" t="s">
        <v>93</v>
      </c>
      <c r="BZ292" s="22"/>
      <c r="CA292" s="23"/>
      <c r="CB292" s="19"/>
      <c r="CC292" s="19"/>
      <c r="CD292" s="19"/>
      <c r="CE292" s="19"/>
      <c r="CF292" s="18" t="s">
        <v>839</v>
      </c>
      <c r="CG292" s="16" t="s">
        <v>128</v>
      </c>
      <c r="CH292" s="19"/>
      <c r="CI292" s="16" t="s">
        <v>101</v>
      </c>
      <c r="CJ292" s="16" t="s">
        <v>102</v>
      </c>
      <c r="CK292" s="16" t="s">
        <v>103</v>
      </c>
      <c r="CL292" s="16" t="s">
        <v>104</v>
      </c>
      <c r="CM292" s="18" t="s">
        <v>844</v>
      </c>
      <c r="CN292" s="16" t="s">
        <v>128</v>
      </c>
      <c r="CO292" s="16" t="s">
        <v>105</v>
      </c>
      <c r="CP292" s="21" t="s">
        <v>106</v>
      </c>
      <c r="CQ292" s="23"/>
      <c r="CR292" s="21" t="s">
        <v>108</v>
      </c>
      <c r="CS292" s="23"/>
      <c r="CT292" s="19"/>
      <c r="CU292" s="18" t="s">
        <v>844</v>
      </c>
      <c r="CV292" s="21" t="s">
        <v>154</v>
      </c>
      <c r="CW292" s="23"/>
      <c r="CX292" s="19"/>
      <c r="CY292" s="19"/>
      <c r="CZ292" s="19"/>
      <c r="DA292" s="16" t="s">
        <v>115</v>
      </c>
      <c r="DB292" s="18">
        <v>0.0</v>
      </c>
      <c r="DC292" s="16" t="s">
        <v>129</v>
      </c>
      <c r="DD292" s="16" t="s">
        <v>129</v>
      </c>
      <c r="DE292" s="16" t="s">
        <v>145</v>
      </c>
      <c r="DF292" s="16" t="s">
        <v>145</v>
      </c>
      <c r="DG292" s="16" t="s">
        <v>841</v>
      </c>
      <c r="DH292" s="16" t="s">
        <v>873</v>
      </c>
      <c r="DI292" s="16" t="s">
        <v>843</v>
      </c>
      <c r="DJ292" s="16" t="s">
        <v>915</v>
      </c>
      <c r="DK292" s="18" t="s">
        <v>844</v>
      </c>
      <c r="DL292" s="18" t="s">
        <v>845</v>
      </c>
      <c r="DM292" s="16" t="s">
        <v>1475</v>
      </c>
      <c r="DN292" s="16" t="s">
        <v>901</v>
      </c>
      <c r="DO292" s="18" t="s">
        <v>845</v>
      </c>
    </row>
    <row r="293" ht="15.75" customHeight="1">
      <c r="A293" s="15">
        <v>291.0</v>
      </c>
      <c r="B293" s="16" t="s">
        <v>1584</v>
      </c>
      <c r="C293" s="17">
        <v>3.1607302504199E13</v>
      </c>
      <c r="D293" s="18">
        <v>124.0</v>
      </c>
      <c r="E293" s="16" t="s">
        <v>1541</v>
      </c>
      <c r="F293" s="16" t="s">
        <v>851</v>
      </c>
      <c r="G293" s="16" t="s">
        <v>547</v>
      </c>
      <c r="H293" s="20">
        <v>42581.0</v>
      </c>
      <c r="I293" s="18">
        <v>1.0</v>
      </c>
      <c r="J293" s="19"/>
      <c r="K293" s="16" t="s">
        <v>1585</v>
      </c>
      <c r="L293" s="21" t="s">
        <v>138</v>
      </c>
      <c r="M293" s="23"/>
      <c r="N293" s="19"/>
      <c r="O293" s="19"/>
      <c r="P293" s="19"/>
      <c r="Q293" s="19"/>
      <c r="R293" s="19"/>
      <c r="S293" s="19"/>
      <c r="T293" s="19"/>
      <c r="U293" s="19"/>
      <c r="V293" s="16" t="s">
        <v>910</v>
      </c>
      <c r="W293" s="16" t="s">
        <v>46</v>
      </c>
      <c r="X293" s="21" t="s">
        <v>47</v>
      </c>
      <c r="Y293" s="23"/>
      <c r="Z293" s="19"/>
      <c r="AA293" s="19"/>
      <c r="AB293" s="19"/>
      <c r="AC293" s="19"/>
      <c r="AD293" s="19"/>
      <c r="AE293" s="19"/>
      <c r="AF293" s="19"/>
      <c r="AG293" s="19"/>
      <c r="AH293" s="21" t="s">
        <v>123</v>
      </c>
      <c r="AI293" s="23"/>
      <c r="AJ293" s="16" t="s">
        <v>168</v>
      </c>
      <c r="AK293" s="16" t="s">
        <v>153</v>
      </c>
      <c r="AL293" s="16" t="s">
        <v>126</v>
      </c>
      <c r="AM293" s="16" t="s">
        <v>181</v>
      </c>
      <c r="AN293" s="16" t="s">
        <v>181</v>
      </c>
      <c r="AO293" s="16" t="s">
        <v>181</v>
      </c>
      <c r="AP293" s="16" t="s">
        <v>181</v>
      </c>
      <c r="AQ293" s="16" t="s">
        <v>181</v>
      </c>
      <c r="AR293" s="16" t="s">
        <v>181</v>
      </c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21" t="s">
        <v>78</v>
      </c>
      <c r="BH293" s="23"/>
      <c r="BI293" s="19"/>
      <c r="BJ293" s="19"/>
      <c r="BK293" s="16" t="s">
        <v>81</v>
      </c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21" t="s">
        <v>97</v>
      </c>
      <c r="CD293" s="23"/>
      <c r="CE293" s="19"/>
      <c r="CF293" s="19"/>
      <c r="CG293" s="16" t="s">
        <v>128</v>
      </c>
      <c r="CH293" s="21" t="s">
        <v>100</v>
      </c>
      <c r="CI293" s="23"/>
      <c r="CJ293" s="21" t="s">
        <v>102</v>
      </c>
      <c r="CK293" s="22"/>
      <c r="CL293" s="23"/>
      <c r="CM293" s="19"/>
      <c r="CN293" s="16" t="s">
        <v>128</v>
      </c>
      <c r="CO293" s="16" t="s">
        <v>105</v>
      </c>
      <c r="CP293" s="21" t="s">
        <v>106</v>
      </c>
      <c r="CQ293" s="22"/>
      <c r="CR293" s="22"/>
      <c r="CS293" s="23"/>
      <c r="CT293" s="19"/>
      <c r="CU293" s="19"/>
      <c r="CV293" s="16" t="s">
        <v>128</v>
      </c>
      <c r="CW293" s="19"/>
      <c r="CX293" s="21" t="s">
        <v>112</v>
      </c>
      <c r="CY293" s="22"/>
      <c r="CZ293" s="23"/>
      <c r="DA293" s="19"/>
      <c r="DB293" s="19"/>
      <c r="DC293" s="16" t="s">
        <v>145</v>
      </c>
      <c r="DD293" s="16" t="s">
        <v>129</v>
      </c>
      <c r="DE293" s="16" t="s">
        <v>129</v>
      </c>
      <c r="DF293" s="16" t="s">
        <v>129</v>
      </c>
      <c r="DG293" s="16" t="s">
        <v>965</v>
      </c>
      <c r="DH293" s="21" t="s">
        <v>1227</v>
      </c>
      <c r="DI293" s="23"/>
      <c r="DJ293" s="16" t="s">
        <v>144</v>
      </c>
      <c r="DK293" s="19"/>
      <c r="DL293" s="19"/>
      <c r="DM293" s="16" t="s">
        <v>144</v>
      </c>
      <c r="DN293" s="19"/>
      <c r="DO293" s="19"/>
    </row>
    <row r="294" ht="15.75" customHeight="1">
      <c r="A294" s="15">
        <v>292.0</v>
      </c>
      <c r="B294" s="16" t="s">
        <v>1586</v>
      </c>
      <c r="C294" s="17">
        <v>3.0401202503554E13</v>
      </c>
      <c r="D294" s="18">
        <v>4.0</v>
      </c>
      <c r="E294" s="16" t="s">
        <v>1532</v>
      </c>
      <c r="F294" s="16" t="s">
        <v>1339</v>
      </c>
      <c r="G294" s="16" t="s">
        <v>547</v>
      </c>
      <c r="H294" s="20">
        <v>41659.0</v>
      </c>
      <c r="I294" s="18">
        <v>1.0</v>
      </c>
      <c r="J294" s="19"/>
      <c r="K294" s="16" t="s">
        <v>1587</v>
      </c>
      <c r="L294" s="21" t="s">
        <v>138</v>
      </c>
      <c r="M294" s="23"/>
      <c r="N294" s="19"/>
      <c r="O294" s="19"/>
      <c r="P294" s="19"/>
      <c r="Q294" s="19"/>
      <c r="R294" s="19"/>
      <c r="S294" s="19"/>
      <c r="T294" s="19"/>
      <c r="U294" s="19"/>
      <c r="V294" s="16" t="s">
        <v>127</v>
      </c>
      <c r="W294" s="19"/>
      <c r="X294" s="21" t="s">
        <v>47</v>
      </c>
      <c r="Y294" s="23"/>
      <c r="Z294" s="19"/>
      <c r="AA294" s="19"/>
      <c r="AB294" s="19"/>
      <c r="AC294" s="19"/>
      <c r="AD294" s="19"/>
      <c r="AE294" s="19"/>
      <c r="AF294" s="19"/>
      <c r="AG294" s="16" t="s">
        <v>1572</v>
      </c>
      <c r="AH294" s="21" t="s">
        <v>123</v>
      </c>
      <c r="AI294" s="23"/>
      <c r="AJ294" s="16" t="s">
        <v>663</v>
      </c>
      <c r="AK294" s="16" t="s">
        <v>153</v>
      </c>
      <c r="AL294" s="16" t="s">
        <v>181</v>
      </c>
      <c r="AM294" s="16" t="s">
        <v>181</v>
      </c>
      <c r="AN294" s="16" t="s">
        <v>181</v>
      </c>
      <c r="AO294" s="16" t="s">
        <v>181</v>
      </c>
      <c r="AP294" s="16" t="s">
        <v>181</v>
      </c>
      <c r="AQ294" s="16" t="s">
        <v>181</v>
      </c>
      <c r="AR294" s="16" t="s">
        <v>181</v>
      </c>
      <c r="AS294" s="19"/>
      <c r="AT294" s="19"/>
      <c r="AU294" s="19"/>
      <c r="AV294" s="19"/>
      <c r="AW294" s="19"/>
      <c r="AX294" s="19"/>
      <c r="AY294" s="21" t="s">
        <v>71</v>
      </c>
      <c r="AZ294" s="22"/>
      <c r="BA294" s="23"/>
      <c r="BB294" s="19"/>
      <c r="BC294" s="19"/>
      <c r="BD294" s="19"/>
      <c r="BE294" s="19"/>
      <c r="BF294" s="16" t="s">
        <v>144</v>
      </c>
      <c r="BG294" s="21" t="s">
        <v>78</v>
      </c>
      <c r="BH294" s="23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6" t="s">
        <v>144</v>
      </c>
      <c r="BY294" s="19"/>
      <c r="BZ294" s="19"/>
      <c r="CA294" s="19"/>
      <c r="CB294" s="19"/>
      <c r="CC294" s="19"/>
      <c r="CD294" s="19"/>
      <c r="CE294" s="19"/>
      <c r="CF294" s="16" t="s">
        <v>144</v>
      </c>
      <c r="CG294" s="16" t="s">
        <v>128</v>
      </c>
      <c r="CH294" s="19"/>
      <c r="CI294" s="19"/>
      <c r="CJ294" s="19"/>
      <c r="CK294" s="19"/>
      <c r="CL294" s="21" t="s">
        <v>104</v>
      </c>
      <c r="CM294" s="23"/>
      <c r="CN294" s="16" t="s">
        <v>128</v>
      </c>
      <c r="CO294" s="21" t="s">
        <v>105</v>
      </c>
      <c r="CP294" s="22"/>
      <c r="CQ294" s="23"/>
      <c r="CR294" s="19"/>
      <c r="CS294" s="19"/>
      <c r="CT294" s="19"/>
      <c r="CU294" s="19"/>
      <c r="CV294" s="16" t="s">
        <v>302</v>
      </c>
      <c r="CW294" s="19"/>
      <c r="CX294" s="19"/>
      <c r="CY294" s="19"/>
      <c r="CZ294" s="19"/>
      <c r="DA294" s="21" t="s">
        <v>115</v>
      </c>
      <c r="DB294" s="23"/>
      <c r="DC294" s="16" t="s">
        <v>129</v>
      </c>
      <c r="DD294" s="16" t="s">
        <v>129</v>
      </c>
      <c r="DE294" s="16" t="s">
        <v>129</v>
      </c>
      <c r="DF294" s="16" t="s">
        <v>129</v>
      </c>
      <c r="DG294" s="16" t="s">
        <v>1588</v>
      </c>
      <c r="DH294" s="16" t="s">
        <v>1589</v>
      </c>
      <c r="DI294" s="16" t="s">
        <v>1590</v>
      </c>
      <c r="DJ294" s="16" t="s">
        <v>144</v>
      </c>
      <c r="DK294" s="19"/>
      <c r="DL294" s="19"/>
      <c r="DM294" s="16" t="s">
        <v>144</v>
      </c>
      <c r="DN294" s="19"/>
      <c r="DO294" s="19"/>
    </row>
    <row r="295" ht="15.75" customHeight="1">
      <c r="A295" s="15">
        <v>293.0</v>
      </c>
      <c r="B295" s="16" t="s">
        <v>1591</v>
      </c>
      <c r="C295" s="17">
        <v>1.2345678908521E13</v>
      </c>
      <c r="D295" s="18">
        <v>1.23456489E10</v>
      </c>
      <c r="E295" s="16" t="s">
        <v>837</v>
      </c>
      <c r="F295" s="16" t="s">
        <v>1592</v>
      </c>
      <c r="G295" s="16" t="s">
        <v>547</v>
      </c>
      <c r="H295" s="20">
        <v>45682.0</v>
      </c>
      <c r="I295" s="18">
        <v>1.0</v>
      </c>
      <c r="J295" s="19"/>
      <c r="K295" s="16" t="s">
        <v>1593</v>
      </c>
      <c r="L295" s="16" t="s">
        <v>138</v>
      </c>
      <c r="M295" s="21" t="s">
        <v>36</v>
      </c>
      <c r="N295" s="22"/>
      <c r="O295" s="22"/>
      <c r="P295" s="23"/>
      <c r="Q295" s="19"/>
      <c r="R295" s="19"/>
      <c r="S295" s="19"/>
      <c r="T295" s="19"/>
      <c r="U295" s="19"/>
      <c r="V295" s="19"/>
      <c r="W295" s="16" t="s">
        <v>46</v>
      </c>
      <c r="X295" s="19"/>
      <c r="Y295" s="21" t="s">
        <v>48</v>
      </c>
      <c r="Z295" s="23"/>
      <c r="AA295" s="19"/>
      <c r="AB295" s="19"/>
      <c r="AC295" s="19"/>
      <c r="AD295" s="19"/>
      <c r="AE295" s="19"/>
      <c r="AF295" s="19"/>
      <c r="AG295" s="19"/>
      <c r="AH295" s="21" t="s">
        <v>123</v>
      </c>
      <c r="AI295" s="23"/>
      <c r="AJ295" s="16" t="s">
        <v>168</v>
      </c>
      <c r="AK295" s="16" t="s">
        <v>153</v>
      </c>
      <c r="AL295" s="16" t="s">
        <v>126</v>
      </c>
      <c r="AM295" s="16" t="s">
        <v>126</v>
      </c>
      <c r="AN295" s="16" t="s">
        <v>143</v>
      </c>
      <c r="AO295" s="16" t="s">
        <v>143</v>
      </c>
      <c r="AP295" s="16" t="s">
        <v>143</v>
      </c>
      <c r="AQ295" s="16" t="s">
        <v>597</v>
      </c>
      <c r="AR295" s="16" t="s">
        <v>126</v>
      </c>
      <c r="AS295" s="19"/>
      <c r="AT295" s="19"/>
      <c r="AU295" s="21" t="s">
        <v>67</v>
      </c>
      <c r="AV295" s="22"/>
      <c r="AW295" s="23"/>
      <c r="AX295" s="19"/>
      <c r="AY295" s="19"/>
      <c r="AZ295" s="19"/>
      <c r="BA295" s="19"/>
      <c r="BB295" s="19"/>
      <c r="BC295" s="19"/>
      <c r="BD295" s="19"/>
      <c r="BE295" s="21" t="s">
        <v>77</v>
      </c>
      <c r="BF295" s="22"/>
      <c r="BG295" s="23"/>
      <c r="BH295" s="21" t="s">
        <v>79</v>
      </c>
      <c r="BI295" s="23"/>
      <c r="BJ295" s="19"/>
      <c r="BK295" s="19"/>
      <c r="BL295" s="19"/>
      <c r="BM295" s="19"/>
      <c r="BN295" s="19"/>
      <c r="BO295" s="19"/>
      <c r="BP295" s="19"/>
      <c r="BQ295" s="21" t="s">
        <v>86</v>
      </c>
      <c r="BR295" s="22"/>
      <c r="BS295" s="23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21" t="s">
        <v>99</v>
      </c>
      <c r="CF295" s="23"/>
      <c r="CG295" s="16" t="s">
        <v>128</v>
      </c>
      <c r="CH295" s="21" t="s">
        <v>100</v>
      </c>
      <c r="CI295" s="23"/>
      <c r="CJ295" s="19"/>
      <c r="CK295" s="19"/>
      <c r="CL295" s="21" t="s">
        <v>104</v>
      </c>
      <c r="CM295" s="23"/>
      <c r="CN295" s="16" t="s">
        <v>128</v>
      </c>
      <c r="CO295" s="21" t="s">
        <v>105</v>
      </c>
      <c r="CP295" s="22"/>
      <c r="CQ295" s="23"/>
      <c r="CR295" s="19"/>
      <c r="CS295" s="19"/>
      <c r="CT295" s="21" t="s">
        <v>110</v>
      </c>
      <c r="CU295" s="22"/>
      <c r="CV295" s="22"/>
      <c r="CW295" s="23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</row>
    <row r="296" ht="15.75" customHeight="1">
      <c r="A296" s="15">
        <v>294.0</v>
      </c>
      <c r="B296" s="16" t="s">
        <v>1594</v>
      </c>
      <c r="C296" s="17">
        <v>2.5004172501249E13</v>
      </c>
      <c r="D296" s="18">
        <v>83.0</v>
      </c>
      <c r="E296" s="16" t="s">
        <v>1595</v>
      </c>
      <c r="F296" s="16" t="s">
        <v>851</v>
      </c>
      <c r="G296" s="16" t="s">
        <v>547</v>
      </c>
      <c r="H296" s="20">
        <v>18370.0</v>
      </c>
      <c r="I296" s="16"/>
      <c r="J296" s="18">
        <v>1.0</v>
      </c>
      <c r="K296" s="19"/>
      <c r="L296" s="21" t="s">
        <v>138</v>
      </c>
      <c r="M296" s="23"/>
      <c r="N296" s="19"/>
      <c r="O296" s="19"/>
      <c r="P296" s="19"/>
      <c r="Q296" s="19"/>
      <c r="R296" s="19"/>
      <c r="S296" s="19"/>
      <c r="T296" s="19"/>
      <c r="U296" s="19"/>
      <c r="V296" s="21" t="s">
        <v>1596</v>
      </c>
      <c r="W296" s="23"/>
      <c r="X296" s="19"/>
      <c r="Y296" s="19"/>
      <c r="Z296" s="19"/>
      <c r="AA296" s="19"/>
      <c r="AB296" s="21" t="s">
        <v>51</v>
      </c>
      <c r="AC296" s="23"/>
      <c r="AD296" s="19"/>
      <c r="AE296" s="19"/>
      <c r="AF296" s="19"/>
      <c r="AG296" s="19"/>
      <c r="AH296" s="21" t="s">
        <v>152</v>
      </c>
      <c r="AI296" s="23"/>
      <c r="AJ296" s="16" t="s">
        <v>168</v>
      </c>
      <c r="AK296" s="16" t="s">
        <v>153</v>
      </c>
      <c r="AL296" s="16" t="s">
        <v>181</v>
      </c>
      <c r="AM296" s="19"/>
      <c r="AN296" s="16" t="s">
        <v>126</v>
      </c>
      <c r="AO296" s="16" t="s">
        <v>181</v>
      </c>
      <c r="AP296" s="19"/>
      <c r="AQ296" s="16" t="s">
        <v>181</v>
      </c>
      <c r="AR296" s="16" t="s">
        <v>181</v>
      </c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21" t="s">
        <v>77</v>
      </c>
      <c r="BF296" s="22"/>
      <c r="BG296" s="22"/>
      <c r="BH296" s="23"/>
      <c r="BI296" s="19"/>
      <c r="BJ296" s="19"/>
      <c r="BK296" s="19"/>
      <c r="BL296" s="19"/>
      <c r="BM296" s="19"/>
      <c r="BN296" s="19"/>
      <c r="BO296" s="19"/>
      <c r="BP296" s="21" t="s">
        <v>51</v>
      </c>
      <c r="BQ296" s="23"/>
      <c r="BR296" s="21" t="s">
        <v>87</v>
      </c>
      <c r="BS296" s="23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21" t="s">
        <v>98</v>
      </c>
      <c r="CE296" s="23"/>
      <c r="CF296" s="19"/>
      <c r="CG296" s="16" t="s">
        <v>128</v>
      </c>
      <c r="CH296" s="19"/>
      <c r="CI296" s="19"/>
      <c r="CJ296" s="19"/>
      <c r="CK296" s="19"/>
      <c r="CL296" s="21" t="s">
        <v>104</v>
      </c>
      <c r="CM296" s="23"/>
      <c r="CN296" s="16" t="s">
        <v>128</v>
      </c>
      <c r="CO296" s="21" t="s">
        <v>105</v>
      </c>
      <c r="CP296" s="22"/>
      <c r="CQ296" s="23"/>
      <c r="CR296" s="16" t="s">
        <v>108</v>
      </c>
      <c r="CS296" s="21" t="s">
        <v>109</v>
      </c>
      <c r="CT296" s="23"/>
      <c r="CU296" s="19"/>
      <c r="CV296" s="16" t="s">
        <v>128</v>
      </c>
      <c r="CW296" s="16" t="s">
        <v>111</v>
      </c>
      <c r="CX296" s="16" t="s">
        <v>112</v>
      </c>
      <c r="CY296" s="16" t="s">
        <v>113</v>
      </c>
      <c r="CZ296" s="21" t="s">
        <v>114</v>
      </c>
      <c r="DA296" s="22"/>
      <c r="DB296" s="22"/>
      <c r="DC296" s="23"/>
      <c r="DD296" s="19"/>
      <c r="DE296" s="19"/>
      <c r="DF296" s="19"/>
      <c r="DG296" s="16" t="s">
        <v>1597</v>
      </c>
      <c r="DH296" s="21" t="s">
        <v>1598</v>
      </c>
      <c r="DI296" s="23"/>
      <c r="DJ296" s="16" t="s">
        <v>144</v>
      </c>
      <c r="DK296" s="19"/>
      <c r="DL296" s="19"/>
      <c r="DM296" s="16" t="s">
        <v>1599</v>
      </c>
      <c r="DN296" s="21" t="s">
        <v>1600</v>
      </c>
      <c r="DO296" s="23"/>
    </row>
    <row r="297" ht="15.75" customHeight="1">
      <c r="A297" s="15">
        <v>295.0</v>
      </c>
      <c r="B297" s="16" t="s">
        <v>1601</v>
      </c>
      <c r="C297" s="17">
        <v>3.0701082502508E13</v>
      </c>
      <c r="D297" s="18">
        <v>75.0</v>
      </c>
      <c r="E297" s="16" t="s">
        <v>1595</v>
      </c>
      <c r="F297" s="16" t="s">
        <v>1339</v>
      </c>
      <c r="G297" s="16" t="s">
        <v>547</v>
      </c>
      <c r="H297" s="19"/>
      <c r="I297" s="16"/>
      <c r="J297" s="18">
        <v>1.0</v>
      </c>
      <c r="K297" s="16" t="s">
        <v>1602</v>
      </c>
      <c r="L297" s="21" t="s">
        <v>138</v>
      </c>
      <c r="M297" s="23"/>
      <c r="N297" s="19"/>
      <c r="O297" s="19"/>
      <c r="P297" s="19"/>
      <c r="Q297" s="19"/>
      <c r="R297" s="19"/>
      <c r="S297" s="19"/>
      <c r="T297" s="19"/>
      <c r="U297" s="19"/>
      <c r="V297" s="16" t="s">
        <v>144</v>
      </c>
      <c r="W297" s="19"/>
      <c r="X297" s="19"/>
      <c r="Y297" s="19"/>
      <c r="Z297" s="19"/>
      <c r="AA297" s="19"/>
      <c r="AB297" s="21" t="s">
        <v>51</v>
      </c>
      <c r="AC297" s="23"/>
      <c r="AD297" s="19"/>
      <c r="AE297" s="19"/>
      <c r="AF297" s="19"/>
      <c r="AG297" s="19"/>
      <c r="AH297" s="16" t="s">
        <v>313</v>
      </c>
      <c r="AI297" s="19"/>
      <c r="AJ297" s="16" t="s">
        <v>764</v>
      </c>
      <c r="AK297" s="16" t="s">
        <v>153</v>
      </c>
      <c r="AL297" s="16" t="s">
        <v>181</v>
      </c>
      <c r="AM297" s="16" t="s">
        <v>181</v>
      </c>
      <c r="AN297" s="16" t="s">
        <v>181</v>
      </c>
      <c r="AO297" s="16" t="s">
        <v>181</v>
      </c>
      <c r="AP297" s="16" t="s">
        <v>181</v>
      </c>
      <c r="AQ297" s="16" t="s">
        <v>181</v>
      </c>
      <c r="AR297" s="16" t="s">
        <v>126</v>
      </c>
      <c r="AS297" s="19"/>
      <c r="AT297" s="19"/>
      <c r="AU297" s="19"/>
      <c r="AV297" s="19"/>
      <c r="AW297" s="19"/>
      <c r="AX297" s="19"/>
      <c r="AY297" s="19"/>
      <c r="AZ297" s="16" t="s">
        <v>144</v>
      </c>
      <c r="BA297" s="19"/>
      <c r="BB297" s="19"/>
      <c r="BC297" s="21" t="s">
        <v>75</v>
      </c>
      <c r="BD297" s="23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6" t="s">
        <v>144</v>
      </c>
      <c r="BQ297" s="19"/>
      <c r="BR297" s="19"/>
      <c r="BS297" s="19"/>
      <c r="BT297" s="19"/>
      <c r="BU297" s="19"/>
      <c r="BV297" s="16" t="s">
        <v>91</v>
      </c>
      <c r="BW297" s="19"/>
      <c r="BX297" s="19"/>
      <c r="BY297" s="21" t="s">
        <v>93</v>
      </c>
      <c r="BZ297" s="22"/>
      <c r="CA297" s="23"/>
      <c r="CB297" s="19"/>
      <c r="CC297" s="19"/>
      <c r="CD297" s="19"/>
      <c r="CE297" s="19"/>
      <c r="CF297" s="19"/>
      <c r="CG297" s="16" t="s">
        <v>128</v>
      </c>
      <c r="CH297" s="19"/>
      <c r="CI297" s="19"/>
      <c r="CJ297" s="19"/>
      <c r="CK297" s="19"/>
      <c r="CL297" s="21" t="s">
        <v>104</v>
      </c>
      <c r="CM297" s="23"/>
      <c r="CN297" s="16" t="s">
        <v>128</v>
      </c>
      <c r="CO297" s="21" t="s">
        <v>105</v>
      </c>
      <c r="CP297" s="22"/>
      <c r="CQ297" s="23"/>
      <c r="CR297" s="19"/>
      <c r="CS297" s="19"/>
      <c r="CT297" s="19"/>
      <c r="CU297" s="19"/>
      <c r="CV297" s="16" t="s">
        <v>128</v>
      </c>
      <c r="CW297" s="19"/>
      <c r="CX297" s="19"/>
      <c r="CY297" s="19"/>
      <c r="CZ297" s="19"/>
      <c r="DA297" s="21" t="s">
        <v>115</v>
      </c>
      <c r="DB297" s="22"/>
      <c r="DC297" s="22"/>
      <c r="DD297" s="23"/>
      <c r="DE297" s="16" t="s">
        <v>129</v>
      </c>
      <c r="DF297" s="16" t="s">
        <v>129</v>
      </c>
      <c r="DG297" s="21" t="s">
        <v>1603</v>
      </c>
      <c r="DH297" s="23"/>
      <c r="DI297" s="19"/>
      <c r="DJ297" s="16" t="s">
        <v>144</v>
      </c>
      <c r="DK297" s="19"/>
      <c r="DL297" s="19"/>
      <c r="DM297" s="16" t="s">
        <v>144</v>
      </c>
      <c r="DN297" s="19"/>
      <c r="DO297" s="19"/>
    </row>
    <row r="298" ht="15.75" customHeight="1">
      <c r="A298" s="15">
        <v>296.0</v>
      </c>
      <c r="B298" s="16" t="s">
        <v>1604</v>
      </c>
      <c r="C298" s="17">
        <v>2.7407082500469E13</v>
      </c>
      <c r="D298" s="18">
        <v>116.0</v>
      </c>
      <c r="E298" s="16" t="s">
        <v>1595</v>
      </c>
      <c r="F298" s="16" t="s">
        <v>851</v>
      </c>
      <c r="G298" s="16" t="s">
        <v>547</v>
      </c>
      <c r="H298" s="20">
        <v>27218.0</v>
      </c>
      <c r="I298" s="16"/>
      <c r="J298" s="18">
        <v>1.0</v>
      </c>
      <c r="K298" s="19"/>
      <c r="L298" s="21" t="s">
        <v>138</v>
      </c>
      <c r="M298" s="23"/>
      <c r="N298" s="19"/>
      <c r="O298" s="19"/>
      <c r="P298" s="19"/>
      <c r="Q298" s="19"/>
      <c r="R298" s="19"/>
      <c r="S298" s="19"/>
      <c r="T298" s="19"/>
      <c r="U298" s="19"/>
      <c r="V298" s="21" t="s">
        <v>674</v>
      </c>
      <c r="W298" s="23"/>
      <c r="X298" s="19"/>
      <c r="Y298" s="19"/>
      <c r="Z298" s="19"/>
      <c r="AA298" s="19"/>
      <c r="AB298" s="21" t="s">
        <v>51</v>
      </c>
      <c r="AC298" s="23"/>
      <c r="AD298" s="19"/>
      <c r="AE298" s="19"/>
      <c r="AF298" s="19"/>
      <c r="AG298" s="19"/>
      <c r="AH298" s="21" t="s">
        <v>152</v>
      </c>
      <c r="AI298" s="23"/>
      <c r="AJ298" s="16" t="s">
        <v>168</v>
      </c>
      <c r="AK298" s="16" t="s">
        <v>153</v>
      </c>
      <c r="AL298" s="16" t="s">
        <v>181</v>
      </c>
      <c r="AM298" s="16" t="s">
        <v>126</v>
      </c>
      <c r="AN298" s="16" t="s">
        <v>181</v>
      </c>
      <c r="AO298" s="16" t="s">
        <v>181</v>
      </c>
      <c r="AP298" s="19"/>
      <c r="AQ298" s="16" t="s">
        <v>181</v>
      </c>
      <c r="AR298" s="16" t="s">
        <v>181</v>
      </c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21" t="s">
        <v>1605</v>
      </c>
      <c r="BG298" s="23"/>
      <c r="BH298" s="19"/>
      <c r="BI298" s="19"/>
      <c r="BJ298" s="19"/>
      <c r="BK298" s="19"/>
      <c r="BL298" s="19"/>
      <c r="BM298" s="19"/>
      <c r="BN298" s="19"/>
      <c r="BO298" s="19"/>
      <c r="BP298" s="19"/>
      <c r="BQ298" s="21" t="s">
        <v>86</v>
      </c>
      <c r="BR298" s="22"/>
      <c r="BS298" s="23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21" t="s">
        <v>99</v>
      </c>
      <c r="CF298" s="23"/>
      <c r="CG298" s="16" t="s">
        <v>128</v>
      </c>
      <c r="CH298" s="19"/>
      <c r="CI298" s="19"/>
      <c r="CJ298" s="19"/>
      <c r="CK298" s="19"/>
      <c r="CL298" s="19"/>
      <c r="CM298" s="16" t="s">
        <v>1606</v>
      </c>
      <c r="CN298" s="16" t="s">
        <v>128</v>
      </c>
      <c r="CO298" s="19"/>
      <c r="CP298" s="19"/>
      <c r="CQ298" s="19"/>
      <c r="CR298" s="19"/>
      <c r="CS298" s="19"/>
      <c r="CT298" s="19"/>
      <c r="CU298" s="16" t="s">
        <v>1607</v>
      </c>
      <c r="CV298" s="16" t="s">
        <v>128</v>
      </c>
      <c r="CW298" s="19"/>
      <c r="CX298" s="19"/>
      <c r="CY298" s="21" t="s">
        <v>113</v>
      </c>
      <c r="CZ298" s="22"/>
      <c r="DA298" s="23"/>
      <c r="DB298" s="19"/>
      <c r="DC298" s="19"/>
      <c r="DD298" s="19"/>
      <c r="DE298" s="16" t="s">
        <v>129</v>
      </c>
      <c r="DF298" s="16" t="s">
        <v>129</v>
      </c>
      <c r="DG298" s="16" t="s">
        <v>1608</v>
      </c>
      <c r="DH298" s="21" t="s">
        <v>1607</v>
      </c>
      <c r="DI298" s="23"/>
      <c r="DJ298" s="16" t="s">
        <v>144</v>
      </c>
      <c r="DK298" s="19"/>
      <c r="DL298" s="19"/>
      <c r="DM298" s="21" t="s">
        <v>1609</v>
      </c>
      <c r="DN298" s="23"/>
      <c r="DO298" s="19"/>
    </row>
    <row r="299" ht="15.75" customHeight="1">
      <c r="A299" s="15">
        <v>297.0</v>
      </c>
      <c r="B299" s="16" t="s">
        <v>1610</v>
      </c>
      <c r="C299" s="17">
        <v>2.6303122500617E13</v>
      </c>
      <c r="D299" s="18">
        <v>67.0</v>
      </c>
      <c r="E299" s="16" t="s">
        <v>1595</v>
      </c>
      <c r="F299" s="16" t="s">
        <v>1339</v>
      </c>
      <c r="G299" s="16" t="s">
        <v>547</v>
      </c>
      <c r="H299" s="19"/>
      <c r="I299" s="16"/>
      <c r="J299" s="18">
        <v>1.0</v>
      </c>
      <c r="K299" s="16" t="s">
        <v>1611</v>
      </c>
      <c r="L299" s="21" t="s">
        <v>138</v>
      </c>
      <c r="M299" s="23"/>
      <c r="N299" s="19"/>
      <c r="O299" s="19"/>
      <c r="P299" s="19"/>
      <c r="Q299" s="19"/>
      <c r="R299" s="19"/>
      <c r="S299" s="19"/>
      <c r="T299" s="19"/>
      <c r="U299" s="19"/>
      <c r="V299" s="16" t="s">
        <v>144</v>
      </c>
      <c r="W299" s="19"/>
      <c r="X299" s="19"/>
      <c r="Y299" s="19"/>
      <c r="Z299" s="19"/>
      <c r="AA299" s="19"/>
      <c r="AB299" s="21" t="s">
        <v>51</v>
      </c>
      <c r="AC299" s="23"/>
      <c r="AD299" s="19"/>
      <c r="AE299" s="19"/>
      <c r="AF299" s="19"/>
      <c r="AG299" s="19"/>
      <c r="AH299" s="21" t="s">
        <v>152</v>
      </c>
      <c r="AI299" s="23"/>
      <c r="AJ299" s="16" t="s">
        <v>764</v>
      </c>
      <c r="AK299" s="16" t="s">
        <v>362</v>
      </c>
      <c r="AL299" s="16" t="s">
        <v>181</v>
      </c>
      <c r="AM299" s="16" t="s">
        <v>181</v>
      </c>
      <c r="AN299" s="19"/>
      <c r="AO299" s="16" t="s">
        <v>181</v>
      </c>
      <c r="AP299" s="16" t="s">
        <v>181</v>
      </c>
      <c r="AQ299" s="16" t="s">
        <v>181</v>
      </c>
      <c r="AR299" s="16" t="s">
        <v>181</v>
      </c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21" t="s">
        <v>75</v>
      </c>
      <c r="BD299" s="23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6" t="s">
        <v>144</v>
      </c>
      <c r="BY299" s="19"/>
      <c r="BZ299" s="19"/>
      <c r="CA299" s="19"/>
      <c r="CB299" s="19"/>
      <c r="CC299" s="19"/>
      <c r="CD299" s="19"/>
      <c r="CE299" s="19"/>
      <c r="CF299" s="16" t="s">
        <v>1612</v>
      </c>
      <c r="CG299" s="16" t="s">
        <v>128</v>
      </c>
      <c r="CH299" s="21" t="s">
        <v>100</v>
      </c>
      <c r="CI299" s="23"/>
      <c r="CJ299" s="19"/>
      <c r="CK299" s="19"/>
      <c r="CL299" s="19"/>
      <c r="CM299" s="19"/>
      <c r="CN299" s="16" t="s">
        <v>128</v>
      </c>
      <c r="CO299" s="19"/>
      <c r="CP299" s="19"/>
      <c r="CQ299" s="19"/>
      <c r="CR299" s="21" t="s">
        <v>108</v>
      </c>
      <c r="CS299" s="23"/>
      <c r="CT299" s="19"/>
      <c r="CU299" s="19"/>
      <c r="CV299" s="16" t="s">
        <v>128</v>
      </c>
      <c r="CW299" s="19"/>
      <c r="CX299" s="19"/>
      <c r="CY299" s="19"/>
      <c r="CZ299" s="19"/>
      <c r="DA299" s="21" t="s">
        <v>115</v>
      </c>
      <c r="DB299" s="22"/>
      <c r="DC299" s="22"/>
      <c r="DD299" s="23"/>
      <c r="DE299" s="16" t="s">
        <v>129</v>
      </c>
      <c r="DF299" s="16" t="s">
        <v>129</v>
      </c>
      <c r="DG299" s="21" t="s">
        <v>1613</v>
      </c>
      <c r="DH299" s="23"/>
      <c r="DI299" s="19"/>
      <c r="DJ299" s="16" t="s">
        <v>774</v>
      </c>
      <c r="DK299" s="19"/>
      <c r="DL299" s="19"/>
      <c r="DM299" s="21" t="s">
        <v>1614</v>
      </c>
      <c r="DN299" s="22"/>
      <c r="DO299" s="23"/>
    </row>
    <row r="300" ht="15.75" customHeight="1">
      <c r="A300" s="15">
        <v>298.0</v>
      </c>
      <c r="B300" s="16" t="s">
        <v>1615</v>
      </c>
      <c r="C300" s="17">
        <v>2.7704152500521E13</v>
      </c>
      <c r="D300" s="18">
        <v>171.0</v>
      </c>
      <c r="E300" s="16" t="s">
        <v>1595</v>
      </c>
      <c r="F300" s="16" t="s">
        <v>1339</v>
      </c>
      <c r="G300" s="16" t="s">
        <v>547</v>
      </c>
      <c r="H300" s="19"/>
      <c r="I300" s="16"/>
      <c r="J300" s="18">
        <v>1.0</v>
      </c>
      <c r="K300" s="16" t="s">
        <v>1615</v>
      </c>
      <c r="L300" s="21" t="s">
        <v>138</v>
      </c>
      <c r="M300" s="23"/>
      <c r="N300" s="19"/>
      <c r="O300" s="19"/>
      <c r="P300" s="19"/>
      <c r="Q300" s="19"/>
      <c r="R300" s="19"/>
      <c r="S300" s="19"/>
      <c r="T300" s="19"/>
      <c r="U300" s="19"/>
      <c r="V300" s="16" t="s">
        <v>144</v>
      </c>
      <c r="W300" s="19"/>
      <c r="X300" s="19"/>
      <c r="Y300" s="19"/>
      <c r="Z300" s="19"/>
      <c r="AA300" s="19"/>
      <c r="AB300" s="21" t="s">
        <v>51</v>
      </c>
      <c r="AC300" s="23"/>
      <c r="AD300" s="19"/>
      <c r="AE300" s="19"/>
      <c r="AF300" s="19"/>
      <c r="AG300" s="19"/>
      <c r="AH300" s="21" t="s">
        <v>152</v>
      </c>
      <c r="AI300" s="23"/>
      <c r="AJ300" s="16" t="s">
        <v>764</v>
      </c>
      <c r="AK300" s="16" t="s">
        <v>244</v>
      </c>
      <c r="AL300" s="16" t="s">
        <v>181</v>
      </c>
      <c r="AM300" s="16" t="s">
        <v>181</v>
      </c>
      <c r="AN300" s="16" t="s">
        <v>181</v>
      </c>
      <c r="AO300" s="16" t="s">
        <v>181</v>
      </c>
      <c r="AP300" s="16" t="s">
        <v>181</v>
      </c>
      <c r="AQ300" s="16" t="s">
        <v>181</v>
      </c>
      <c r="AR300" s="16" t="s">
        <v>181</v>
      </c>
      <c r="AS300" s="19"/>
      <c r="AT300" s="19"/>
      <c r="AU300" s="19"/>
      <c r="AV300" s="19"/>
      <c r="AW300" s="19"/>
      <c r="AX300" s="19"/>
      <c r="AY300" s="19"/>
      <c r="AZ300" s="16" t="s">
        <v>144</v>
      </c>
      <c r="BA300" s="19"/>
      <c r="BB300" s="19"/>
      <c r="BC300" s="21" t="s">
        <v>75</v>
      </c>
      <c r="BD300" s="23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6" t="s">
        <v>1616</v>
      </c>
      <c r="BQ300" s="19"/>
      <c r="BR300" s="19"/>
      <c r="BS300" s="19"/>
      <c r="BT300" s="19"/>
      <c r="BU300" s="19"/>
      <c r="BV300" s="19"/>
      <c r="BW300" s="19"/>
      <c r="BX300" s="16" t="s">
        <v>1617</v>
      </c>
      <c r="BY300" s="19"/>
      <c r="BZ300" s="19"/>
      <c r="CA300" s="19"/>
      <c r="CB300" s="19"/>
      <c r="CC300" s="19"/>
      <c r="CD300" s="19"/>
      <c r="CE300" s="19"/>
      <c r="CF300" s="16" t="s">
        <v>1618</v>
      </c>
      <c r="CG300" s="16" t="s">
        <v>128</v>
      </c>
      <c r="CH300" s="21" t="s">
        <v>100</v>
      </c>
      <c r="CI300" s="23"/>
      <c r="CJ300" s="19"/>
      <c r="CK300" s="19"/>
      <c r="CL300" s="19"/>
      <c r="CM300" s="19"/>
      <c r="CN300" s="16" t="s">
        <v>128</v>
      </c>
      <c r="CO300" s="19"/>
      <c r="CP300" s="19"/>
      <c r="CQ300" s="19"/>
      <c r="CR300" s="21" t="s">
        <v>108</v>
      </c>
      <c r="CS300" s="23"/>
      <c r="CT300" s="19"/>
      <c r="CU300" s="19"/>
      <c r="CV300" s="16" t="s">
        <v>128</v>
      </c>
      <c r="CW300" s="19"/>
      <c r="CX300" s="19"/>
      <c r="CY300" s="19"/>
      <c r="CZ300" s="19"/>
      <c r="DA300" s="21" t="s">
        <v>115</v>
      </c>
      <c r="DB300" s="23"/>
      <c r="DC300" s="16" t="s">
        <v>602</v>
      </c>
      <c r="DD300" s="19"/>
      <c r="DE300" s="16" t="s">
        <v>129</v>
      </c>
      <c r="DF300" s="16" t="s">
        <v>129</v>
      </c>
      <c r="DG300" s="16" t="s">
        <v>1619</v>
      </c>
      <c r="DH300" s="16" t="s">
        <v>1620</v>
      </c>
      <c r="DI300" s="16" t="s">
        <v>1621</v>
      </c>
      <c r="DJ300" s="16" t="s">
        <v>144</v>
      </c>
      <c r="DK300" s="21" t="s">
        <v>1622</v>
      </c>
      <c r="DL300" s="23"/>
      <c r="DM300" s="16" t="s">
        <v>144</v>
      </c>
      <c r="DN300" s="19"/>
      <c r="DO300" s="19"/>
    </row>
    <row r="301" ht="15.75" customHeight="1">
      <c r="A301" s="15">
        <v>299.0</v>
      </c>
      <c r="B301" s="16" t="s">
        <v>1623</v>
      </c>
      <c r="C301" s="17">
        <v>3.0404252502287E13</v>
      </c>
      <c r="D301" s="18">
        <v>140.0</v>
      </c>
      <c r="E301" s="16" t="s">
        <v>1595</v>
      </c>
      <c r="F301" s="16" t="s">
        <v>1339</v>
      </c>
      <c r="G301" s="16" t="s">
        <v>547</v>
      </c>
      <c r="H301" s="19"/>
      <c r="I301" s="16"/>
      <c r="J301" s="18">
        <v>1.0</v>
      </c>
      <c r="K301" s="16" t="s">
        <v>1624</v>
      </c>
      <c r="L301" s="21" t="s">
        <v>138</v>
      </c>
      <c r="M301" s="23"/>
      <c r="N301" s="19"/>
      <c r="O301" s="19"/>
      <c r="P301" s="19"/>
      <c r="Q301" s="19"/>
      <c r="R301" s="19"/>
      <c r="S301" s="19"/>
      <c r="T301" s="19"/>
      <c r="U301" s="19"/>
      <c r="V301" s="16" t="s">
        <v>144</v>
      </c>
      <c r="W301" s="19"/>
      <c r="X301" s="21" t="s">
        <v>47</v>
      </c>
      <c r="Y301" s="23"/>
      <c r="Z301" s="19"/>
      <c r="AA301" s="19"/>
      <c r="AB301" s="19"/>
      <c r="AC301" s="19"/>
      <c r="AD301" s="19"/>
      <c r="AE301" s="19"/>
      <c r="AF301" s="19"/>
      <c r="AG301" s="19"/>
      <c r="AH301" s="21" t="s">
        <v>123</v>
      </c>
      <c r="AI301" s="23"/>
      <c r="AJ301" s="16" t="s">
        <v>663</v>
      </c>
      <c r="AK301" s="16" t="s">
        <v>153</v>
      </c>
      <c r="AL301" s="16" t="s">
        <v>181</v>
      </c>
      <c r="AM301" s="16" t="s">
        <v>181</v>
      </c>
      <c r="AN301" s="16" t="s">
        <v>181</v>
      </c>
      <c r="AO301" s="16" t="s">
        <v>181</v>
      </c>
      <c r="AP301" s="16" t="s">
        <v>181</v>
      </c>
      <c r="AQ301" s="16" t="s">
        <v>181</v>
      </c>
      <c r="AR301" s="16" t="s">
        <v>181</v>
      </c>
      <c r="AS301" s="21" t="s">
        <v>65</v>
      </c>
      <c r="AT301" s="22"/>
      <c r="AU301" s="23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6" t="s">
        <v>144</v>
      </c>
      <c r="BG301" s="21" t="s">
        <v>78</v>
      </c>
      <c r="BH301" s="23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6" t="s">
        <v>144</v>
      </c>
      <c r="BY301" s="19"/>
      <c r="BZ301" s="19"/>
      <c r="CA301" s="19"/>
      <c r="CB301" s="19"/>
      <c r="CC301" s="19"/>
      <c r="CD301" s="19"/>
      <c r="CE301" s="19"/>
      <c r="CF301" s="16" t="s">
        <v>144</v>
      </c>
      <c r="CG301" s="16" t="s">
        <v>128</v>
      </c>
      <c r="CH301" s="19"/>
      <c r="CI301" s="19"/>
      <c r="CJ301" s="19"/>
      <c r="CK301" s="19"/>
      <c r="CL301" s="21" t="s">
        <v>104</v>
      </c>
      <c r="CM301" s="23"/>
      <c r="CN301" s="16" t="s">
        <v>128</v>
      </c>
      <c r="CO301" s="21" t="s">
        <v>105</v>
      </c>
      <c r="CP301" s="22"/>
      <c r="CQ301" s="23"/>
      <c r="CR301" s="19"/>
      <c r="CS301" s="19"/>
      <c r="CT301" s="19"/>
      <c r="CU301" s="19"/>
      <c r="CV301" s="16" t="s">
        <v>128</v>
      </c>
      <c r="CW301" s="19"/>
      <c r="CX301" s="19"/>
      <c r="CY301" s="19"/>
      <c r="CZ301" s="19"/>
      <c r="DA301" s="21" t="s">
        <v>115</v>
      </c>
      <c r="DB301" s="23"/>
      <c r="DC301" s="16" t="s">
        <v>129</v>
      </c>
      <c r="DD301" s="16" t="s">
        <v>129</v>
      </c>
      <c r="DE301" s="16" t="s">
        <v>129</v>
      </c>
      <c r="DF301" s="16" t="s">
        <v>129</v>
      </c>
      <c r="DG301" s="16" t="s">
        <v>1625</v>
      </c>
      <c r="DH301" s="16" t="s">
        <v>1626</v>
      </c>
      <c r="DI301" s="19"/>
      <c r="DJ301" s="16" t="s">
        <v>144</v>
      </c>
      <c r="DK301" s="19"/>
      <c r="DL301" s="19"/>
      <c r="DM301" s="16" t="s">
        <v>144</v>
      </c>
      <c r="DN301" s="19"/>
      <c r="DO301" s="19"/>
    </row>
    <row r="302" ht="15.75" customHeight="1">
      <c r="A302" s="15">
        <v>300.0</v>
      </c>
      <c r="B302" s="16" t="s">
        <v>1627</v>
      </c>
      <c r="C302" s="17">
        <v>3.1701122505037E13</v>
      </c>
      <c r="D302" s="18">
        <v>41.0</v>
      </c>
      <c r="E302" s="16" t="s">
        <v>1595</v>
      </c>
      <c r="F302" s="16" t="s">
        <v>851</v>
      </c>
      <c r="G302" s="16" t="s">
        <v>547</v>
      </c>
      <c r="H302" s="20">
        <v>42747.0</v>
      </c>
      <c r="I302" s="18">
        <v>1.0</v>
      </c>
      <c r="J302" s="19"/>
      <c r="K302" s="16" t="s">
        <v>1628</v>
      </c>
      <c r="L302" s="21" t="s">
        <v>138</v>
      </c>
      <c r="M302" s="23"/>
      <c r="N302" s="19"/>
      <c r="O302" s="19"/>
      <c r="P302" s="19"/>
      <c r="Q302" s="19"/>
      <c r="R302" s="19"/>
      <c r="S302" s="19"/>
      <c r="T302" s="19"/>
      <c r="U302" s="19"/>
      <c r="V302" s="21" t="s">
        <v>674</v>
      </c>
      <c r="W302" s="23"/>
      <c r="X302" s="19"/>
      <c r="Y302" s="19"/>
      <c r="Z302" s="19"/>
      <c r="AA302" s="19"/>
      <c r="AB302" s="19"/>
      <c r="AC302" s="19"/>
      <c r="AD302" s="19"/>
      <c r="AE302" s="19"/>
      <c r="AF302" s="19"/>
      <c r="AG302" s="16" t="s">
        <v>1629</v>
      </c>
      <c r="AH302" s="21" t="s">
        <v>123</v>
      </c>
      <c r="AI302" s="23"/>
      <c r="AJ302" s="16" t="s">
        <v>168</v>
      </c>
      <c r="AK302" s="16" t="s">
        <v>153</v>
      </c>
      <c r="AL302" s="16" t="s">
        <v>181</v>
      </c>
      <c r="AM302" s="16" t="s">
        <v>126</v>
      </c>
      <c r="AN302" s="16" t="s">
        <v>181</v>
      </c>
      <c r="AO302" s="16" t="s">
        <v>126</v>
      </c>
      <c r="AP302" s="16" t="s">
        <v>181</v>
      </c>
      <c r="AQ302" s="16" t="s">
        <v>181</v>
      </c>
      <c r="AR302" s="16" t="s">
        <v>181</v>
      </c>
      <c r="AS302" s="21" t="s">
        <v>65</v>
      </c>
      <c r="AT302" s="22"/>
      <c r="AU302" s="23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21" t="s">
        <v>78</v>
      </c>
      <c r="BH302" s="23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21" t="s">
        <v>93</v>
      </c>
      <c r="BZ302" s="22"/>
      <c r="CA302" s="23"/>
      <c r="CB302" s="19"/>
      <c r="CC302" s="19"/>
      <c r="CD302" s="19"/>
      <c r="CE302" s="19"/>
      <c r="CF302" s="19"/>
      <c r="CG302" s="16" t="s">
        <v>128</v>
      </c>
      <c r="CH302" s="19"/>
      <c r="CI302" s="19"/>
      <c r="CJ302" s="19"/>
      <c r="CK302" s="19"/>
      <c r="CL302" s="21" t="s">
        <v>104</v>
      </c>
      <c r="CM302" s="23"/>
      <c r="CN302" s="16" t="s">
        <v>128</v>
      </c>
      <c r="CO302" s="19"/>
      <c r="CP302" s="19"/>
      <c r="CQ302" s="19"/>
      <c r="CR302" s="19"/>
      <c r="CS302" s="21" t="s">
        <v>109</v>
      </c>
      <c r="CT302" s="23"/>
      <c r="CU302" s="19"/>
      <c r="CV302" s="16" t="s">
        <v>128</v>
      </c>
      <c r="CW302" s="19"/>
      <c r="CX302" s="19"/>
      <c r="CY302" s="19"/>
      <c r="CZ302" s="19"/>
      <c r="DA302" s="21" t="s">
        <v>115</v>
      </c>
      <c r="DB302" s="23"/>
      <c r="DC302" s="16" t="s">
        <v>129</v>
      </c>
      <c r="DD302" s="16" t="s">
        <v>129</v>
      </c>
      <c r="DE302" s="16" t="s">
        <v>129</v>
      </c>
      <c r="DF302" s="16" t="s">
        <v>129</v>
      </c>
      <c r="DG302" s="16" t="s">
        <v>677</v>
      </c>
      <c r="DH302" s="21" t="s">
        <v>79</v>
      </c>
      <c r="DI302" s="23"/>
      <c r="DJ302" s="16" t="s">
        <v>144</v>
      </c>
      <c r="DK302" s="19"/>
      <c r="DL302" s="19"/>
      <c r="DM302" s="16" t="s">
        <v>679</v>
      </c>
      <c r="DN302" s="21" t="s">
        <v>680</v>
      </c>
      <c r="DO302" s="23"/>
    </row>
    <row r="303" ht="15.75" customHeight="1">
      <c r="A303" s="15">
        <v>301.0</v>
      </c>
      <c r="B303" s="16" t="s">
        <v>1630</v>
      </c>
      <c r="C303" s="17">
        <v>3.9703242500881E13</v>
      </c>
      <c r="D303" s="18">
        <v>79.0</v>
      </c>
      <c r="E303" s="16" t="s">
        <v>1595</v>
      </c>
      <c r="F303" s="16" t="s">
        <v>1339</v>
      </c>
      <c r="G303" s="16" t="s">
        <v>547</v>
      </c>
      <c r="H303" s="19"/>
      <c r="I303" s="16"/>
      <c r="J303" s="18">
        <v>1.0</v>
      </c>
      <c r="K303" s="16" t="s">
        <v>1631</v>
      </c>
      <c r="L303" s="21" t="s">
        <v>138</v>
      </c>
      <c r="M303" s="23"/>
      <c r="N303" s="19"/>
      <c r="O303" s="19"/>
      <c r="P303" s="19"/>
      <c r="Q303" s="19"/>
      <c r="R303" s="19"/>
      <c r="S303" s="19"/>
      <c r="T303" s="19"/>
      <c r="U303" s="19"/>
      <c r="V303" s="16" t="s">
        <v>144</v>
      </c>
      <c r="W303" s="19"/>
      <c r="X303" s="19"/>
      <c r="Y303" s="19"/>
      <c r="Z303" s="19"/>
      <c r="AA303" s="19"/>
      <c r="AB303" s="21" t="s">
        <v>51</v>
      </c>
      <c r="AC303" s="23"/>
      <c r="AD303" s="19"/>
      <c r="AE303" s="19"/>
      <c r="AF303" s="19"/>
      <c r="AG303" s="19"/>
      <c r="AH303" s="21" t="s">
        <v>357</v>
      </c>
      <c r="AI303" s="23"/>
      <c r="AJ303" s="16" t="s">
        <v>663</v>
      </c>
      <c r="AK303" s="16" t="s">
        <v>153</v>
      </c>
      <c r="AL303" s="16" t="s">
        <v>181</v>
      </c>
      <c r="AM303" s="16" t="s">
        <v>181</v>
      </c>
      <c r="AN303" s="16" t="s">
        <v>181</v>
      </c>
      <c r="AO303" s="16" t="s">
        <v>181</v>
      </c>
      <c r="AP303" s="16" t="s">
        <v>181</v>
      </c>
      <c r="AQ303" s="16" t="s">
        <v>181</v>
      </c>
      <c r="AR303" s="16" t="s">
        <v>181</v>
      </c>
      <c r="AS303" s="19"/>
      <c r="AT303" s="19"/>
      <c r="AU303" s="19"/>
      <c r="AV303" s="19"/>
      <c r="AW303" s="19"/>
      <c r="AX303" s="19"/>
      <c r="AY303" s="19"/>
      <c r="AZ303" s="16" t="s">
        <v>144</v>
      </c>
      <c r="BA303" s="19"/>
      <c r="BB303" s="19"/>
      <c r="BC303" s="19"/>
      <c r="BD303" s="19"/>
      <c r="BE303" s="19"/>
      <c r="BF303" s="21" t="s">
        <v>1632</v>
      </c>
      <c r="BG303" s="23"/>
      <c r="BH303" s="19"/>
      <c r="BI303" s="19"/>
      <c r="BJ303" s="19"/>
      <c r="BK303" s="19"/>
      <c r="BL303" s="19"/>
      <c r="BM303" s="19"/>
      <c r="BN303" s="19"/>
      <c r="BO303" s="19"/>
      <c r="BP303" s="16" t="s">
        <v>144</v>
      </c>
      <c r="BQ303" s="19"/>
      <c r="BR303" s="19"/>
      <c r="BS303" s="19"/>
      <c r="BT303" s="19"/>
      <c r="BU303" s="19"/>
      <c r="BV303" s="16" t="s">
        <v>91</v>
      </c>
      <c r="BW303" s="19"/>
      <c r="BX303" s="19"/>
      <c r="BY303" s="19"/>
      <c r="BZ303" s="21" t="s">
        <v>94</v>
      </c>
      <c r="CA303" s="22"/>
      <c r="CB303" s="23"/>
      <c r="CC303" s="19"/>
      <c r="CD303" s="19"/>
      <c r="CE303" s="19"/>
      <c r="CF303" s="19"/>
      <c r="CG303" s="16" t="s">
        <v>128</v>
      </c>
      <c r="CH303" s="21" t="s">
        <v>100</v>
      </c>
      <c r="CI303" s="23"/>
      <c r="CJ303" s="19"/>
      <c r="CK303" s="19"/>
      <c r="CL303" s="19"/>
      <c r="CM303" s="19"/>
      <c r="CN303" s="16" t="s">
        <v>128</v>
      </c>
      <c r="CO303" s="21" t="s">
        <v>105</v>
      </c>
      <c r="CP303" s="22"/>
      <c r="CQ303" s="23"/>
      <c r="CR303" s="19"/>
      <c r="CS303" s="19"/>
      <c r="CT303" s="19"/>
      <c r="CU303" s="19"/>
      <c r="CV303" s="16" t="s">
        <v>128</v>
      </c>
      <c r="CW303" s="19"/>
      <c r="CX303" s="19"/>
      <c r="CY303" s="19"/>
      <c r="CZ303" s="19"/>
      <c r="DA303" s="21" t="s">
        <v>115</v>
      </c>
      <c r="DB303" s="23"/>
      <c r="DC303" s="16" t="s">
        <v>129</v>
      </c>
      <c r="DD303" s="16" t="s">
        <v>129</v>
      </c>
      <c r="DE303" s="16" t="s">
        <v>129</v>
      </c>
      <c r="DF303" s="16" t="s">
        <v>129</v>
      </c>
      <c r="DG303" s="21" t="s">
        <v>736</v>
      </c>
      <c r="DH303" s="23"/>
      <c r="DI303" s="19"/>
      <c r="DJ303" s="16" t="s">
        <v>144</v>
      </c>
      <c r="DK303" s="19"/>
      <c r="DL303" s="19"/>
      <c r="DM303" s="16" t="s">
        <v>144</v>
      </c>
      <c r="DN303" s="19"/>
      <c r="DO303" s="19"/>
    </row>
    <row r="304" ht="15.75" customHeight="1">
      <c r="A304" s="15">
        <v>302.0</v>
      </c>
      <c r="B304" s="16" t="s">
        <v>1633</v>
      </c>
      <c r="C304" s="26">
        <v>3.1902152500167E13</v>
      </c>
      <c r="D304" s="18">
        <v>1.0</v>
      </c>
      <c r="E304" s="16" t="s">
        <v>1595</v>
      </c>
      <c r="F304" s="16" t="s">
        <v>851</v>
      </c>
      <c r="G304" s="16" t="s">
        <v>547</v>
      </c>
      <c r="H304" s="20">
        <v>43512.0</v>
      </c>
      <c r="I304" s="16"/>
      <c r="J304" s="18">
        <v>1.0</v>
      </c>
      <c r="K304" s="16" t="s">
        <v>1634</v>
      </c>
      <c r="L304" s="21" t="s">
        <v>138</v>
      </c>
      <c r="M304" s="23"/>
      <c r="N304" s="19"/>
      <c r="O304" s="19"/>
      <c r="P304" s="19"/>
      <c r="Q304" s="19"/>
      <c r="R304" s="19"/>
      <c r="S304" s="19"/>
      <c r="T304" s="19"/>
      <c r="U304" s="19"/>
      <c r="V304" s="21" t="s">
        <v>674</v>
      </c>
      <c r="W304" s="23"/>
      <c r="X304" s="19"/>
      <c r="Y304" s="19"/>
      <c r="Z304" s="19"/>
      <c r="AA304" s="19"/>
      <c r="AB304" s="19"/>
      <c r="AC304" s="19"/>
      <c r="AD304" s="19"/>
      <c r="AE304" s="19"/>
      <c r="AF304" s="19"/>
      <c r="AG304" s="16" t="s">
        <v>1629</v>
      </c>
      <c r="AH304" s="21" t="s">
        <v>123</v>
      </c>
      <c r="AI304" s="23"/>
      <c r="AJ304" s="16" t="s">
        <v>168</v>
      </c>
      <c r="AK304" s="16" t="s">
        <v>153</v>
      </c>
      <c r="AL304" s="16" t="s">
        <v>181</v>
      </c>
      <c r="AM304" s="16" t="s">
        <v>126</v>
      </c>
      <c r="AN304" s="16" t="s">
        <v>181</v>
      </c>
      <c r="AO304" s="16" t="s">
        <v>126</v>
      </c>
      <c r="AP304" s="16" t="s">
        <v>126</v>
      </c>
      <c r="AQ304" s="16" t="s">
        <v>126</v>
      </c>
      <c r="AR304" s="16" t="s">
        <v>181</v>
      </c>
      <c r="AS304" s="21" t="s">
        <v>65</v>
      </c>
      <c r="AT304" s="22"/>
      <c r="AU304" s="23"/>
      <c r="AV304" s="19"/>
      <c r="AW304" s="19"/>
      <c r="AX304" s="19"/>
      <c r="AY304" s="21" t="s">
        <v>71</v>
      </c>
      <c r="AZ304" s="22"/>
      <c r="BA304" s="23"/>
      <c r="BB304" s="19"/>
      <c r="BC304" s="19"/>
      <c r="BD304" s="19"/>
      <c r="BE304" s="19"/>
      <c r="BF304" s="19"/>
      <c r="BG304" s="19"/>
      <c r="BH304" s="19"/>
      <c r="BI304" s="19"/>
      <c r="BJ304" s="19"/>
      <c r="BK304" s="16" t="s">
        <v>81</v>
      </c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21" t="s">
        <v>92</v>
      </c>
      <c r="BX304" s="22"/>
      <c r="BY304" s="23"/>
      <c r="BZ304" s="19"/>
      <c r="CA304" s="21" t="s">
        <v>95</v>
      </c>
      <c r="CB304" s="22"/>
      <c r="CC304" s="23"/>
      <c r="CD304" s="19"/>
      <c r="CE304" s="19"/>
      <c r="CF304" s="19"/>
      <c r="CG304" s="16" t="s">
        <v>128</v>
      </c>
      <c r="CH304" s="19"/>
      <c r="CI304" s="19"/>
      <c r="CJ304" s="19"/>
      <c r="CK304" s="19"/>
      <c r="CL304" s="21" t="s">
        <v>104</v>
      </c>
      <c r="CM304" s="23"/>
      <c r="CN304" s="16" t="s">
        <v>128</v>
      </c>
      <c r="CO304" s="19"/>
      <c r="CP304" s="19"/>
      <c r="CQ304" s="21" t="s">
        <v>107</v>
      </c>
      <c r="CR304" s="22"/>
      <c r="CS304" s="23"/>
      <c r="CT304" s="19"/>
      <c r="CU304" s="19"/>
      <c r="CV304" s="16" t="s">
        <v>128</v>
      </c>
      <c r="CW304" s="21" t="s">
        <v>111</v>
      </c>
      <c r="CX304" s="22"/>
      <c r="CY304" s="23"/>
      <c r="CZ304" s="19"/>
      <c r="DA304" s="19"/>
      <c r="DB304" s="19"/>
      <c r="DC304" s="16" t="s">
        <v>129</v>
      </c>
      <c r="DD304" s="16" t="s">
        <v>129</v>
      </c>
      <c r="DE304" s="16" t="s">
        <v>145</v>
      </c>
      <c r="DF304" s="16" t="s">
        <v>145</v>
      </c>
      <c r="DG304" s="16" t="s">
        <v>1635</v>
      </c>
      <c r="DH304" s="21" t="s">
        <v>79</v>
      </c>
      <c r="DI304" s="23"/>
      <c r="DJ304" s="16" t="s">
        <v>144</v>
      </c>
      <c r="DK304" s="19"/>
      <c r="DL304" s="19"/>
      <c r="DM304" s="21" t="s">
        <v>679</v>
      </c>
      <c r="DN304" s="23"/>
      <c r="DO304" s="19"/>
    </row>
    <row r="305" ht="15.75" customHeight="1">
      <c r="A305" s="15">
        <v>303.0</v>
      </c>
      <c r="B305" s="16" t="s">
        <v>1636</v>
      </c>
      <c r="C305" s="17">
        <v>2.8712052504789E13</v>
      </c>
      <c r="D305" s="18">
        <v>72.0</v>
      </c>
      <c r="E305" s="16" t="s">
        <v>1595</v>
      </c>
      <c r="F305" s="16" t="s">
        <v>1339</v>
      </c>
      <c r="G305" s="16" t="s">
        <v>547</v>
      </c>
      <c r="H305" s="19"/>
      <c r="I305" s="16"/>
      <c r="J305" s="18">
        <v>1.0</v>
      </c>
      <c r="K305" s="16" t="s">
        <v>1636</v>
      </c>
      <c r="L305" s="21" t="s">
        <v>138</v>
      </c>
      <c r="M305" s="23"/>
      <c r="N305" s="19"/>
      <c r="O305" s="19"/>
      <c r="P305" s="19"/>
      <c r="Q305" s="19"/>
      <c r="R305" s="19"/>
      <c r="S305" s="19"/>
      <c r="T305" s="19"/>
      <c r="U305" s="19"/>
      <c r="V305" s="16" t="s">
        <v>144</v>
      </c>
      <c r="W305" s="19"/>
      <c r="X305" s="19"/>
      <c r="Y305" s="19"/>
      <c r="Z305" s="19"/>
      <c r="AA305" s="19"/>
      <c r="AB305" s="21" t="s">
        <v>51</v>
      </c>
      <c r="AC305" s="23"/>
      <c r="AD305" s="19"/>
      <c r="AE305" s="19"/>
      <c r="AF305" s="19"/>
      <c r="AG305" s="19"/>
      <c r="AH305" s="21" t="s">
        <v>152</v>
      </c>
      <c r="AI305" s="23"/>
      <c r="AJ305" s="16" t="s">
        <v>764</v>
      </c>
      <c r="AK305" s="16" t="s">
        <v>920</v>
      </c>
      <c r="AL305" s="16" t="s">
        <v>181</v>
      </c>
      <c r="AM305" s="16" t="s">
        <v>181</v>
      </c>
      <c r="AN305" s="16" t="s">
        <v>181</v>
      </c>
      <c r="AO305" s="16" t="s">
        <v>181</v>
      </c>
      <c r="AP305" s="16" t="s">
        <v>181</v>
      </c>
      <c r="AQ305" s="16" t="s">
        <v>181</v>
      </c>
      <c r="AR305" s="16" t="s">
        <v>181</v>
      </c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21" t="s">
        <v>77</v>
      </c>
      <c r="BF305" s="22"/>
      <c r="BG305" s="22"/>
      <c r="BH305" s="23"/>
      <c r="BI305" s="21" t="s">
        <v>52</v>
      </c>
      <c r="BJ305" s="23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21" t="s">
        <v>90</v>
      </c>
      <c r="BV305" s="23"/>
      <c r="BW305" s="19"/>
      <c r="BX305" s="19"/>
      <c r="BY305" s="19"/>
      <c r="BZ305" s="19"/>
      <c r="CA305" s="19"/>
      <c r="CB305" s="19"/>
      <c r="CC305" s="19"/>
      <c r="CD305" s="19"/>
      <c r="CE305" s="19"/>
      <c r="CF305" s="16" t="s">
        <v>144</v>
      </c>
      <c r="CG305" s="16" t="s">
        <v>128</v>
      </c>
      <c r="CH305" s="19"/>
      <c r="CI305" s="19"/>
      <c r="CJ305" s="19"/>
      <c r="CK305" s="19"/>
      <c r="CL305" s="21" t="s">
        <v>104</v>
      </c>
      <c r="CM305" s="23"/>
      <c r="CN305" s="16" t="s">
        <v>128</v>
      </c>
      <c r="CO305" s="19"/>
      <c r="CP305" s="19"/>
      <c r="CQ305" s="19"/>
      <c r="CR305" s="21" t="s">
        <v>108</v>
      </c>
      <c r="CS305" s="23"/>
      <c r="CT305" s="19"/>
      <c r="CU305" s="19"/>
      <c r="CV305" s="16" t="s">
        <v>302</v>
      </c>
      <c r="CW305" s="19"/>
      <c r="CX305" s="19"/>
      <c r="CY305" s="19"/>
      <c r="CZ305" s="19"/>
      <c r="DA305" s="21" t="s">
        <v>115</v>
      </c>
      <c r="DB305" s="23"/>
      <c r="DC305" s="16" t="s">
        <v>129</v>
      </c>
      <c r="DD305" s="16" t="s">
        <v>129</v>
      </c>
      <c r="DE305" s="16" t="s">
        <v>129</v>
      </c>
      <c r="DF305" s="16" t="s">
        <v>129</v>
      </c>
      <c r="DG305" s="16" t="s">
        <v>52</v>
      </c>
      <c r="DH305" s="21" t="s">
        <v>1637</v>
      </c>
      <c r="DI305" s="23"/>
      <c r="DJ305" s="16" t="s">
        <v>144</v>
      </c>
      <c r="DK305" s="19"/>
      <c r="DL305" s="19"/>
      <c r="DM305" s="16" t="s">
        <v>1638</v>
      </c>
      <c r="DN305" s="21" t="s">
        <v>1639</v>
      </c>
      <c r="DO305" s="23"/>
    </row>
    <row r="306" ht="15.75" customHeight="1">
      <c r="A306" s="15">
        <v>304.0</v>
      </c>
      <c r="B306" s="16" t="s">
        <v>1640</v>
      </c>
      <c r="C306" s="17">
        <v>2.8610132501352E13</v>
      </c>
      <c r="D306" s="18">
        <v>200.0</v>
      </c>
      <c r="E306" s="16" t="s">
        <v>1595</v>
      </c>
      <c r="F306" s="16" t="s">
        <v>851</v>
      </c>
      <c r="G306" s="16" t="s">
        <v>547</v>
      </c>
      <c r="H306" s="25">
        <v>31698.0</v>
      </c>
      <c r="I306" s="16"/>
      <c r="J306" s="18">
        <v>1.0</v>
      </c>
      <c r="K306" s="19"/>
      <c r="L306" s="21" t="s">
        <v>138</v>
      </c>
      <c r="M306" s="23"/>
      <c r="N306" s="19"/>
      <c r="O306" s="19"/>
      <c r="P306" s="19"/>
      <c r="Q306" s="19"/>
      <c r="R306" s="19"/>
      <c r="S306" s="19"/>
      <c r="T306" s="19"/>
      <c r="U306" s="19"/>
      <c r="V306" s="21" t="s">
        <v>1596</v>
      </c>
      <c r="W306" s="23"/>
      <c r="X306" s="19"/>
      <c r="Y306" s="19"/>
      <c r="Z306" s="19"/>
      <c r="AA306" s="19"/>
      <c r="AB306" s="21" t="s">
        <v>51</v>
      </c>
      <c r="AC306" s="23"/>
      <c r="AD306" s="19"/>
      <c r="AE306" s="19"/>
      <c r="AF306" s="19"/>
      <c r="AG306" s="19"/>
      <c r="AH306" s="21" t="s">
        <v>152</v>
      </c>
      <c r="AI306" s="23"/>
      <c r="AJ306" s="16" t="s">
        <v>168</v>
      </c>
      <c r="AK306" s="16" t="s">
        <v>153</v>
      </c>
      <c r="AL306" s="16" t="s">
        <v>181</v>
      </c>
      <c r="AM306" s="16" t="s">
        <v>181</v>
      </c>
      <c r="AN306" s="16" t="s">
        <v>181</v>
      </c>
      <c r="AO306" s="16" t="s">
        <v>181</v>
      </c>
      <c r="AP306" s="16" t="s">
        <v>181</v>
      </c>
      <c r="AQ306" s="16" t="s">
        <v>181</v>
      </c>
      <c r="AR306" s="16" t="s">
        <v>181</v>
      </c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21" t="s">
        <v>77</v>
      </c>
      <c r="BF306" s="22"/>
      <c r="BG306" s="22"/>
      <c r="BH306" s="23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21" t="s">
        <v>88</v>
      </c>
      <c r="BT306" s="23"/>
      <c r="BU306" s="19"/>
      <c r="BV306" s="19"/>
      <c r="BW306" s="19"/>
      <c r="BX306" s="19"/>
      <c r="BY306" s="19"/>
      <c r="BZ306" s="19"/>
      <c r="CA306" s="19"/>
      <c r="CB306" s="21" t="s">
        <v>96</v>
      </c>
      <c r="CC306" s="23"/>
      <c r="CD306" s="19"/>
      <c r="CE306" s="19"/>
      <c r="CF306" s="19"/>
      <c r="CG306" s="16" t="s">
        <v>128</v>
      </c>
      <c r="CH306" s="19"/>
      <c r="CI306" s="19"/>
      <c r="CJ306" s="19"/>
      <c r="CK306" s="19"/>
      <c r="CL306" s="21" t="s">
        <v>104</v>
      </c>
      <c r="CM306" s="23"/>
      <c r="CN306" s="16" t="s">
        <v>128</v>
      </c>
      <c r="CO306" s="19"/>
      <c r="CP306" s="19"/>
      <c r="CQ306" s="19"/>
      <c r="CR306" s="19"/>
      <c r="CS306" s="19"/>
      <c r="CT306" s="19"/>
      <c r="CU306" s="16" t="s">
        <v>398</v>
      </c>
      <c r="CV306" s="16" t="s">
        <v>302</v>
      </c>
      <c r="CW306" s="19"/>
      <c r="CX306" s="19"/>
      <c r="CY306" s="21" t="s">
        <v>113</v>
      </c>
      <c r="CZ306" s="22"/>
      <c r="DA306" s="23"/>
      <c r="DB306" s="19"/>
      <c r="DC306" s="19"/>
      <c r="DD306" s="19"/>
      <c r="DE306" s="16" t="s">
        <v>129</v>
      </c>
      <c r="DF306" s="16" t="s">
        <v>129</v>
      </c>
      <c r="DG306" s="21" t="s">
        <v>1641</v>
      </c>
      <c r="DH306" s="23"/>
      <c r="DI306" s="19"/>
      <c r="DJ306" s="16" t="s">
        <v>144</v>
      </c>
      <c r="DK306" s="19"/>
      <c r="DL306" s="19"/>
      <c r="DM306" s="16" t="s">
        <v>1642</v>
      </c>
      <c r="DN306" s="21" t="s">
        <v>1605</v>
      </c>
      <c r="DO306" s="23"/>
    </row>
    <row r="307" ht="15.75" customHeight="1">
      <c r="A307" s="15">
        <v>305.0</v>
      </c>
      <c r="B307" s="16" t="s">
        <v>1643</v>
      </c>
      <c r="C307" s="17">
        <v>3.1501142500849E13</v>
      </c>
      <c r="D307" s="18">
        <v>3.0</v>
      </c>
      <c r="E307" s="16" t="s">
        <v>1595</v>
      </c>
      <c r="F307" s="16" t="s">
        <v>1339</v>
      </c>
      <c r="G307" s="16" t="s">
        <v>547</v>
      </c>
      <c r="H307" s="19"/>
      <c r="I307" s="16"/>
      <c r="J307" s="18">
        <v>1.0</v>
      </c>
      <c r="K307" s="16" t="s">
        <v>1644</v>
      </c>
      <c r="L307" s="21" t="s">
        <v>138</v>
      </c>
      <c r="M307" s="23"/>
      <c r="N307" s="19"/>
      <c r="O307" s="19"/>
      <c r="P307" s="19"/>
      <c r="Q307" s="19"/>
      <c r="R307" s="19"/>
      <c r="S307" s="19"/>
      <c r="T307" s="19"/>
      <c r="U307" s="19"/>
      <c r="V307" s="16" t="s">
        <v>144</v>
      </c>
      <c r="W307" s="19"/>
      <c r="X307" s="21" t="s">
        <v>47</v>
      </c>
      <c r="Y307" s="23"/>
      <c r="Z307" s="19"/>
      <c r="AA307" s="19"/>
      <c r="AB307" s="19"/>
      <c r="AC307" s="19"/>
      <c r="AD307" s="19"/>
      <c r="AE307" s="19"/>
      <c r="AF307" s="19"/>
      <c r="AG307" s="19"/>
      <c r="AH307" s="21" t="s">
        <v>123</v>
      </c>
      <c r="AI307" s="23"/>
      <c r="AJ307" s="16" t="s">
        <v>663</v>
      </c>
      <c r="AK307" s="16" t="s">
        <v>153</v>
      </c>
      <c r="AL307" s="16" t="s">
        <v>181</v>
      </c>
      <c r="AM307" s="16" t="s">
        <v>181</v>
      </c>
      <c r="AN307" s="16" t="s">
        <v>181</v>
      </c>
      <c r="AO307" s="16" t="s">
        <v>181</v>
      </c>
      <c r="AP307" s="16" t="s">
        <v>181</v>
      </c>
      <c r="AQ307" s="16" t="s">
        <v>181</v>
      </c>
      <c r="AR307" s="16" t="s">
        <v>181</v>
      </c>
      <c r="AS307" s="21" t="s">
        <v>65</v>
      </c>
      <c r="AT307" s="22"/>
      <c r="AU307" s="23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6" t="s">
        <v>144</v>
      </c>
      <c r="BG307" s="21" t="s">
        <v>78</v>
      </c>
      <c r="BH307" s="23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6" t="s">
        <v>144</v>
      </c>
      <c r="BY307" s="19"/>
      <c r="BZ307" s="19"/>
      <c r="CA307" s="19"/>
      <c r="CB307" s="19"/>
      <c r="CC307" s="19"/>
      <c r="CD307" s="19"/>
      <c r="CE307" s="21" t="s">
        <v>99</v>
      </c>
      <c r="CF307" s="23"/>
      <c r="CG307" s="16" t="s">
        <v>128</v>
      </c>
      <c r="CH307" s="19"/>
      <c r="CI307" s="19"/>
      <c r="CJ307" s="19"/>
      <c r="CK307" s="19"/>
      <c r="CL307" s="21" t="s">
        <v>104</v>
      </c>
      <c r="CM307" s="23"/>
      <c r="CN307" s="16" t="s">
        <v>128</v>
      </c>
      <c r="CO307" s="21" t="s">
        <v>105</v>
      </c>
      <c r="CP307" s="22"/>
      <c r="CQ307" s="23"/>
      <c r="CR307" s="19"/>
      <c r="CS307" s="19"/>
      <c r="CT307" s="19"/>
      <c r="CU307" s="19"/>
      <c r="CV307" s="16" t="s">
        <v>128</v>
      </c>
      <c r="CW307" s="19"/>
      <c r="CX307" s="19"/>
      <c r="CY307" s="19"/>
      <c r="CZ307" s="19"/>
      <c r="DA307" s="21" t="s">
        <v>115</v>
      </c>
      <c r="DB307" s="23"/>
      <c r="DC307" s="16" t="s">
        <v>129</v>
      </c>
      <c r="DD307" s="16" t="s">
        <v>129</v>
      </c>
      <c r="DE307" s="16" t="s">
        <v>129</v>
      </c>
      <c r="DF307" s="16" t="s">
        <v>129</v>
      </c>
      <c r="DG307" s="16" t="s">
        <v>774</v>
      </c>
      <c r="DH307" s="21" t="s">
        <v>1645</v>
      </c>
      <c r="DI307" s="23"/>
      <c r="DJ307" s="21" t="s">
        <v>1646</v>
      </c>
      <c r="DK307" s="23"/>
      <c r="DL307" s="19"/>
      <c r="DM307" s="16" t="s">
        <v>1647</v>
      </c>
      <c r="DN307" s="16" t="s">
        <v>1648</v>
      </c>
      <c r="DO307" s="19"/>
    </row>
    <row r="308" ht="15.75" customHeight="1">
      <c r="A308" s="15">
        <v>306.0</v>
      </c>
      <c r="B308" s="16" t="s">
        <v>1649</v>
      </c>
      <c r="C308" s="26">
        <v>3.1902152500167E13</v>
      </c>
      <c r="D308" s="18">
        <v>2.0</v>
      </c>
      <c r="E308" s="16" t="s">
        <v>1595</v>
      </c>
      <c r="F308" s="16" t="s">
        <v>1339</v>
      </c>
      <c r="G308" s="16" t="s">
        <v>547</v>
      </c>
      <c r="H308" s="19"/>
      <c r="I308" s="18">
        <v>1.0</v>
      </c>
      <c r="J308" s="19"/>
      <c r="K308" s="16" t="s">
        <v>1650</v>
      </c>
      <c r="L308" s="21" t="s">
        <v>138</v>
      </c>
      <c r="M308" s="23"/>
      <c r="N308" s="19"/>
      <c r="O308" s="19"/>
      <c r="P308" s="19"/>
      <c r="Q308" s="19"/>
      <c r="R308" s="19"/>
      <c r="S308" s="19"/>
      <c r="T308" s="19"/>
      <c r="U308" s="19"/>
      <c r="V308" s="16" t="s">
        <v>144</v>
      </c>
      <c r="W308" s="19"/>
      <c r="X308" s="21" t="s">
        <v>47</v>
      </c>
      <c r="Y308" s="23"/>
      <c r="Z308" s="19"/>
      <c r="AA308" s="19"/>
      <c r="AB308" s="19"/>
      <c r="AC308" s="19"/>
      <c r="AD308" s="19"/>
      <c r="AE308" s="19"/>
      <c r="AF308" s="19"/>
      <c r="AG308" s="19"/>
      <c r="AH308" s="21" t="s">
        <v>123</v>
      </c>
      <c r="AI308" s="23"/>
      <c r="AJ308" s="16" t="s">
        <v>663</v>
      </c>
      <c r="AK308" s="16" t="s">
        <v>153</v>
      </c>
      <c r="AL308" s="16" t="s">
        <v>181</v>
      </c>
      <c r="AM308" s="16" t="s">
        <v>181</v>
      </c>
      <c r="AN308" s="16" t="s">
        <v>181</v>
      </c>
      <c r="AO308" s="16" t="s">
        <v>181</v>
      </c>
      <c r="AP308" s="16" t="s">
        <v>181</v>
      </c>
      <c r="AQ308" s="16" t="s">
        <v>181</v>
      </c>
      <c r="AR308" s="16" t="s">
        <v>181</v>
      </c>
      <c r="AS308" s="21" t="s">
        <v>65</v>
      </c>
      <c r="AT308" s="22"/>
      <c r="AU308" s="23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6" t="s">
        <v>144</v>
      </c>
      <c r="BG308" s="21" t="s">
        <v>78</v>
      </c>
      <c r="BH308" s="23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6" t="s">
        <v>144</v>
      </c>
      <c r="BY308" s="19"/>
      <c r="BZ308" s="19"/>
      <c r="CA308" s="19"/>
      <c r="CB308" s="19"/>
      <c r="CC308" s="19"/>
      <c r="CD308" s="19"/>
      <c r="CE308" s="19"/>
      <c r="CF308" s="16" t="s">
        <v>1651</v>
      </c>
      <c r="CG308" s="16" t="s">
        <v>128</v>
      </c>
      <c r="CH308" s="19"/>
      <c r="CI308" s="19"/>
      <c r="CJ308" s="19"/>
      <c r="CK308" s="19"/>
      <c r="CL308" s="19"/>
      <c r="CM308" s="16" t="s">
        <v>1652</v>
      </c>
      <c r="CN308" s="16" t="s">
        <v>128</v>
      </c>
      <c r="CO308" s="19"/>
      <c r="CP308" s="19"/>
      <c r="CQ308" s="19"/>
      <c r="CR308" s="19"/>
      <c r="CS308" s="21" t="s">
        <v>109</v>
      </c>
      <c r="CT308" s="23"/>
      <c r="CU308" s="19"/>
      <c r="CV308" s="16" t="s">
        <v>128</v>
      </c>
      <c r="CW308" s="19"/>
      <c r="CX308" s="19"/>
      <c r="CY308" s="19"/>
      <c r="CZ308" s="19"/>
      <c r="DA308" s="21" t="s">
        <v>115</v>
      </c>
      <c r="DB308" s="23"/>
      <c r="DC308" s="16" t="s">
        <v>129</v>
      </c>
      <c r="DD308" s="16" t="s">
        <v>129</v>
      </c>
      <c r="DE308" s="16" t="s">
        <v>129</v>
      </c>
      <c r="DF308" s="16" t="s">
        <v>129</v>
      </c>
      <c r="DG308" s="21" t="s">
        <v>1622</v>
      </c>
      <c r="DH308" s="23"/>
      <c r="DI308" s="19"/>
      <c r="DJ308" s="16" t="s">
        <v>144</v>
      </c>
      <c r="DK308" s="19"/>
      <c r="DL308" s="19"/>
      <c r="DM308" s="21" t="s">
        <v>1653</v>
      </c>
      <c r="DN308" s="23"/>
      <c r="DO308" s="19"/>
    </row>
    <row r="309" ht="15.75" customHeight="1">
      <c r="A309" s="15">
        <v>307.0</v>
      </c>
      <c r="B309" s="16" t="s">
        <v>1654</v>
      </c>
      <c r="C309" s="17">
        <v>3.1010012509468E13</v>
      </c>
      <c r="D309" s="18">
        <v>5.0</v>
      </c>
      <c r="E309" s="16" t="s">
        <v>1595</v>
      </c>
      <c r="F309" s="16" t="s">
        <v>851</v>
      </c>
      <c r="G309" s="16" t="s">
        <v>547</v>
      </c>
      <c r="H309" s="20">
        <v>40452.0</v>
      </c>
      <c r="I309" s="16"/>
      <c r="J309" s="18">
        <v>1.0</v>
      </c>
      <c r="K309" s="16" t="s">
        <v>1655</v>
      </c>
      <c r="L309" s="16" t="s">
        <v>122</v>
      </c>
      <c r="M309" s="21" t="s">
        <v>36</v>
      </c>
      <c r="N309" s="22"/>
      <c r="O309" s="22"/>
      <c r="P309" s="23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6" t="s">
        <v>1629</v>
      </c>
      <c r="AH309" s="21" t="s">
        <v>123</v>
      </c>
      <c r="AI309" s="23"/>
      <c r="AJ309" s="16" t="s">
        <v>168</v>
      </c>
      <c r="AK309" s="16" t="s">
        <v>153</v>
      </c>
      <c r="AL309" s="16" t="s">
        <v>181</v>
      </c>
      <c r="AM309" s="16" t="s">
        <v>126</v>
      </c>
      <c r="AN309" s="16" t="s">
        <v>126</v>
      </c>
      <c r="AO309" s="16" t="s">
        <v>126</v>
      </c>
      <c r="AP309" s="16" t="s">
        <v>181</v>
      </c>
      <c r="AQ309" s="16" t="s">
        <v>126</v>
      </c>
      <c r="AR309" s="16" t="s">
        <v>126</v>
      </c>
      <c r="AS309" s="21" t="s">
        <v>65</v>
      </c>
      <c r="AT309" s="22"/>
      <c r="AU309" s="23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21" t="s">
        <v>78</v>
      </c>
      <c r="BH309" s="23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6" t="s">
        <v>1656</v>
      </c>
      <c r="CG309" s="16" t="s">
        <v>158</v>
      </c>
      <c r="CH309" s="19"/>
      <c r="CI309" s="19"/>
      <c r="CJ309" s="19"/>
      <c r="CK309" s="19"/>
      <c r="CL309" s="19"/>
      <c r="CM309" s="16" t="s">
        <v>1657</v>
      </c>
      <c r="CN309" s="16" t="s">
        <v>128</v>
      </c>
      <c r="CO309" s="21" t="s">
        <v>105</v>
      </c>
      <c r="CP309" s="22"/>
      <c r="CQ309" s="23"/>
      <c r="CR309" s="19"/>
      <c r="CS309" s="19"/>
      <c r="CT309" s="19"/>
      <c r="CU309" s="19"/>
      <c r="CV309" s="16" t="s">
        <v>128</v>
      </c>
      <c r="CW309" s="19"/>
      <c r="CX309" s="19"/>
      <c r="CY309" s="19"/>
      <c r="CZ309" s="19"/>
      <c r="DA309" s="21" t="s">
        <v>115</v>
      </c>
      <c r="DB309" s="23"/>
      <c r="DC309" s="16" t="s">
        <v>129</v>
      </c>
      <c r="DD309" s="16" t="s">
        <v>129</v>
      </c>
      <c r="DE309" s="16" t="s">
        <v>145</v>
      </c>
      <c r="DF309" s="16" t="s">
        <v>145</v>
      </c>
      <c r="DG309" s="16" t="s">
        <v>707</v>
      </c>
      <c r="DH309" s="21" t="s">
        <v>79</v>
      </c>
      <c r="DI309" s="23"/>
      <c r="DJ309" s="21" t="s">
        <v>1658</v>
      </c>
      <c r="DK309" s="23"/>
      <c r="DL309" s="19"/>
      <c r="DM309" s="21" t="s">
        <v>1659</v>
      </c>
      <c r="DN309" s="22"/>
      <c r="DO309" s="23"/>
    </row>
    <row r="310" ht="15.75" customHeight="1">
      <c r="A310" s="15">
        <v>308.0</v>
      </c>
      <c r="B310" s="16" t="s">
        <v>1660</v>
      </c>
      <c r="C310" s="17">
        <v>3.1205222501503E13</v>
      </c>
      <c r="D310" s="18">
        <v>131.0</v>
      </c>
      <c r="E310" s="16" t="s">
        <v>1595</v>
      </c>
      <c r="F310" s="16" t="s">
        <v>1339</v>
      </c>
      <c r="G310" s="16" t="s">
        <v>547</v>
      </c>
      <c r="H310" s="19"/>
      <c r="I310" s="16"/>
      <c r="J310" s="18">
        <v>1.0</v>
      </c>
      <c r="K310" s="16" t="s">
        <v>1661</v>
      </c>
      <c r="L310" s="21" t="s">
        <v>138</v>
      </c>
      <c r="M310" s="23"/>
      <c r="N310" s="19"/>
      <c r="O310" s="19"/>
      <c r="P310" s="19"/>
      <c r="Q310" s="19"/>
      <c r="R310" s="19"/>
      <c r="S310" s="19"/>
      <c r="T310" s="19"/>
      <c r="U310" s="19"/>
      <c r="V310" s="16" t="s">
        <v>144</v>
      </c>
      <c r="W310" s="19"/>
      <c r="X310" s="19"/>
      <c r="Y310" s="21" t="s">
        <v>48</v>
      </c>
      <c r="Z310" s="23"/>
      <c r="AA310" s="19"/>
      <c r="AB310" s="19"/>
      <c r="AC310" s="19"/>
      <c r="AD310" s="19"/>
      <c r="AE310" s="19"/>
      <c r="AF310" s="19"/>
      <c r="AG310" s="16" t="s">
        <v>1011</v>
      </c>
      <c r="AH310" s="21" t="s">
        <v>152</v>
      </c>
      <c r="AI310" s="23"/>
      <c r="AJ310" s="16" t="s">
        <v>764</v>
      </c>
      <c r="AK310" s="16" t="s">
        <v>153</v>
      </c>
      <c r="AL310" s="16" t="s">
        <v>181</v>
      </c>
      <c r="AM310" s="16" t="s">
        <v>181</v>
      </c>
      <c r="AN310" s="16" t="s">
        <v>181</v>
      </c>
      <c r="AO310" s="16" t="s">
        <v>181</v>
      </c>
      <c r="AP310" s="16" t="s">
        <v>181</v>
      </c>
      <c r="AQ310" s="16" t="s">
        <v>181</v>
      </c>
      <c r="AR310" s="16" t="s">
        <v>181</v>
      </c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21" t="s">
        <v>1662</v>
      </c>
      <c r="BG310" s="23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6" t="s">
        <v>91</v>
      </c>
      <c r="BW310" s="19"/>
      <c r="BX310" s="19"/>
      <c r="BY310" s="19"/>
      <c r="BZ310" s="21" t="s">
        <v>94</v>
      </c>
      <c r="CA310" s="22"/>
      <c r="CB310" s="23"/>
      <c r="CC310" s="19"/>
      <c r="CD310" s="19"/>
      <c r="CE310" s="19"/>
      <c r="CF310" s="19"/>
      <c r="CG310" s="16" t="s">
        <v>128</v>
      </c>
      <c r="CH310" s="19"/>
      <c r="CI310" s="19"/>
      <c r="CJ310" s="19"/>
      <c r="CK310" s="19"/>
      <c r="CL310" s="21" t="s">
        <v>104</v>
      </c>
      <c r="CM310" s="23"/>
      <c r="CN310" s="16" t="s">
        <v>128</v>
      </c>
      <c r="CO310" s="19"/>
      <c r="CP310" s="19"/>
      <c r="CQ310" s="19"/>
      <c r="CR310" s="19"/>
      <c r="CS310" s="21" t="s">
        <v>109</v>
      </c>
      <c r="CT310" s="23"/>
      <c r="CU310" s="19"/>
      <c r="CV310" s="16" t="s">
        <v>128</v>
      </c>
      <c r="CW310" s="19"/>
      <c r="CX310" s="19"/>
      <c r="CY310" s="19"/>
      <c r="CZ310" s="21" t="s">
        <v>114</v>
      </c>
      <c r="DA310" s="22"/>
      <c r="DB310" s="23"/>
      <c r="DC310" s="16" t="s">
        <v>129</v>
      </c>
      <c r="DD310" s="16" t="s">
        <v>129</v>
      </c>
      <c r="DE310" s="16" t="s">
        <v>129</v>
      </c>
      <c r="DF310" s="16" t="s">
        <v>129</v>
      </c>
      <c r="DG310" s="16" t="s">
        <v>1663</v>
      </c>
      <c r="DH310" s="16" t="s">
        <v>1664</v>
      </c>
      <c r="DI310" s="19"/>
      <c r="DJ310" s="16" t="s">
        <v>144</v>
      </c>
      <c r="DK310" s="19"/>
      <c r="DL310" s="19"/>
      <c r="DM310" s="21" t="s">
        <v>1665</v>
      </c>
      <c r="DN310" s="23"/>
      <c r="DO310" s="19"/>
    </row>
    <row r="311" ht="15.75" customHeight="1">
      <c r="A311" s="15">
        <v>309.0</v>
      </c>
      <c r="B311" s="16" t="s">
        <v>1666</v>
      </c>
      <c r="C311" s="17">
        <v>2.7603042502284E13</v>
      </c>
      <c r="D311" s="18">
        <v>40.0</v>
      </c>
      <c r="E311" s="16" t="s">
        <v>1667</v>
      </c>
      <c r="F311" s="16" t="s">
        <v>606</v>
      </c>
      <c r="G311" s="16" t="s">
        <v>547</v>
      </c>
      <c r="H311" s="20">
        <v>45676.0</v>
      </c>
      <c r="I311" s="16"/>
      <c r="J311" s="18">
        <v>1.0</v>
      </c>
      <c r="K311" s="16" t="s">
        <v>1668</v>
      </c>
      <c r="L311" s="21" t="s">
        <v>138</v>
      </c>
      <c r="M311" s="23"/>
      <c r="N311" s="19"/>
      <c r="O311" s="19"/>
      <c r="P311" s="19"/>
      <c r="Q311" s="19"/>
      <c r="R311" s="19"/>
      <c r="S311" s="19"/>
      <c r="T311" s="21" t="s">
        <v>43</v>
      </c>
      <c r="U311" s="23"/>
      <c r="V311" s="21" t="s">
        <v>1669</v>
      </c>
      <c r="W311" s="23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</row>
    <row r="312" ht="15.75" customHeight="1">
      <c r="A312" s="15">
        <v>310.0</v>
      </c>
      <c r="B312" s="16" t="s">
        <v>1670</v>
      </c>
      <c r="C312" s="17">
        <v>3.210625252143E12</v>
      </c>
      <c r="D312" s="18">
        <v>5.0</v>
      </c>
      <c r="E312" s="16" t="s">
        <v>444</v>
      </c>
      <c r="F312" s="16" t="s">
        <v>851</v>
      </c>
      <c r="G312" s="16" t="s">
        <v>547</v>
      </c>
      <c r="H312" s="20">
        <v>44368.0</v>
      </c>
      <c r="I312" s="16"/>
      <c r="J312" s="18">
        <v>1.0</v>
      </c>
      <c r="K312" s="16" t="s">
        <v>1671</v>
      </c>
      <c r="L312" s="21" t="s">
        <v>138</v>
      </c>
      <c r="M312" s="23"/>
      <c r="N312" s="19"/>
      <c r="O312" s="19"/>
      <c r="P312" s="19"/>
      <c r="Q312" s="19"/>
      <c r="R312" s="19"/>
      <c r="S312" s="19"/>
      <c r="T312" s="19"/>
      <c r="U312" s="19"/>
      <c r="V312" s="16" t="s">
        <v>674</v>
      </c>
      <c r="W312" s="16" t="s">
        <v>46</v>
      </c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21" t="s">
        <v>123</v>
      </c>
      <c r="AI312" s="23"/>
      <c r="AJ312" s="16" t="s">
        <v>168</v>
      </c>
      <c r="AK312" s="16" t="s">
        <v>153</v>
      </c>
      <c r="AL312" s="16" t="s">
        <v>181</v>
      </c>
      <c r="AM312" s="16" t="s">
        <v>181</v>
      </c>
      <c r="AN312" s="16" t="s">
        <v>181</v>
      </c>
      <c r="AO312" s="16" t="s">
        <v>181</v>
      </c>
      <c r="AP312" s="16" t="s">
        <v>181</v>
      </c>
      <c r="AQ312" s="16" t="s">
        <v>181</v>
      </c>
      <c r="AR312" s="16" t="s">
        <v>126</v>
      </c>
      <c r="AS312" s="21" t="s">
        <v>65</v>
      </c>
      <c r="AT312" s="22"/>
      <c r="AU312" s="23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21" t="s">
        <v>1629</v>
      </c>
      <c r="BQ312" s="23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6" t="s">
        <v>676</v>
      </c>
      <c r="CG312" s="16" t="s">
        <v>128</v>
      </c>
      <c r="CH312" s="19"/>
      <c r="CI312" s="19"/>
      <c r="CJ312" s="19"/>
      <c r="CK312" s="19"/>
      <c r="CL312" s="21" t="s">
        <v>104</v>
      </c>
      <c r="CM312" s="23"/>
      <c r="CN312" s="16" t="s">
        <v>128</v>
      </c>
      <c r="CO312" s="21" t="s">
        <v>105</v>
      </c>
      <c r="CP312" s="22"/>
      <c r="CQ312" s="23"/>
      <c r="CR312" s="19"/>
      <c r="CS312" s="19"/>
      <c r="CT312" s="19"/>
      <c r="CU312" s="19"/>
      <c r="CV312" s="16" t="s">
        <v>128</v>
      </c>
      <c r="CW312" s="19"/>
      <c r="CX312" s="19"/>
      <c r="CY312" s="19"/>
      <c r="CZ312" s="19"/>
      <c r="DA312" s="21" t="s">
        <v>115</v>
      </c>
      <c r="DB312" s="23"/>
      <c r="DC312" s="16" t="s">
        <v>602</v>
      </c>
      <c r="DD312" s="16" t="s">
        <v>129</v>
      </c>
      <c r="DE312" s="16" t="s">
        <v>145</v>
      </c>
      <c r="DF312" s="16" t="s">
        <v>145</v>
      </c>
      <c r="DG312" s="16" t="s">
        <v>1672</v>
      </c>
      <c r="DH312" s="21" t="s">
        <v>79</v>
      </c>
      <c r="DI312" s="23"/>
      <c r="DJ312" s="16" t="s">
        <v>144</v>
      </c>
      <c r="DK312" s="19"/>
      <c r="DL312" s="19"/>
      <c r="DM312" s="16" t="s">
        <v>679</v>
      </c>
      <c r="DN312" s="21" t="s">
        <v>680</v>
      </c>
      <c r="DO312" s="23"/>
    </row>
    <row r="313" ht="15.75" customHeight="1">
      <c r="A313" s="15">
        <v>311.0</v>
      </c>
      <c r="B313" s="16" t="s">
        <v>1673</v>
      </c>
      <c r="C313" s="17">
        <v>3.1810132504083E13</v>
      </c>
      <c r="D313" s="18">
        <v>72.0</v>
      </c>
      <c r="E313" s="16" t="s">
        <v>444</v>
      </c>
      <c r="F313" s="16" t="s">
        <v>1339</v>
      </c>
      <c r="G313" s="16" t="s">
        <v>547</v>
      </c>
      <c r="H313" s="20">
        <v>43376.0</v>
      </c>
      <c r="I313" s="16"/>
      <c r="J313" s="18">
        <v>1.0</v>
      </c>
      <c r="K313" s="16" t="s">
        <v>1674</v>
      </c>
      <c r="L313" s="21" t="s">
        <v>138</v>
      </c>
      <c r="M313" s="23"/>
      <c r="N313" s="19"/>
      <c r="O313" s="19"/>
      <c r="P313" s="19"/>
      <c r="Q313" s="19"/>
      <c r="R313" s="19"/>
      <c r="S313" s="19"/>
      <c r="T313" s="19"/>
      <c r="U313" s="19"/>
      <c r="V313" s="16" t="s">
        <v>1675</v>
      </c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6" t="s">
        <v>1676</v>
      </c>
      <c r="AH313" s="21" t="s">
        <v>123</v>
      </c>
      <c r="AI313" s="23"/>
      <c r="AJ313" s="16" t="s">
        <v>764</v>
      </c>
      <c r="AK313" s="16" t="s">
        <v>153</v>
      </c>
      <c r="AL313" s="16" t="s">
        <v>181</v>
      </c>
      <c r="AM313" s="16" t="s">
        <v>181</v>
      </c>
      <c r="AN313" s="16" t="s">
        <v>181</v>
      </c>
      <c r="AO313" s="16" t="s">
        <v>181</v>
      </c>
      <c r="AP313" s="16" t="s">
        <v>181</v>
      </c>
      <c r="AQ313" s="16" t="s">
        <v>181</v>
      </c>
      <c r="AR313" s="16" t="s">
        <v>181</v>
      </c>
      <c r="AS313" s="19"/>
      <c r="AT313" s="19"/>
      <c r="AU313" s="19"/>
      <c r="AV313" s="19"/>
      <c r="AW313" s="19"/>
      <c r="AX313" s="19"/>
      <c r="AY313" s="19"/>
      <c r="AZ313" s="21" t="s">
        <v>1677</v>
      </c>
      <c r="BA313" s="22"/>
      <c r="BB313" s="23"/>
      <c r="BC313" s="19"/>
      <c r="BD313" s="19"/>
      <c r="BE313" s="19"/>
      <c r="BF313" s="16" t="s">
        <v>144</v>
      </c>
      <c r="BG313" s="19"/>
      <c r="BH313" s="21" t="s">
        <v>79</v>
      </c>
      <c r="BI313" s="23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6" t="s">
        <v>144</v>
      </c>
      <c r="BY313" s="19"/>
      <c r="BZ313" s="19"/>
      <c r="CA313" s="21" t="s">
        <v>95</v>
      </c>
      <c r="CB313" s="22"/>
      <c r="CC313" s="23"/>
      <c r="CD313" s="19"/>
      <c r="CE313" s="19"/>
      <c r="CF313" s="19"/>
      <c r="CG313" s="16" t="s">
        <v>128</v>
      </c>
      <c r="CH313" s="19"/>
      <c r="CI313" s="19"/>
      <c r="CJ313" s="19"/>
      <c r="CK313" s="19"/>
      <c r="CL313" s="21" t="s">
        <v>104</v>
      </c>
      <c r="CM313" s="23"/>
      <c r="CN313" s="16" t="s">
        <v>128</v>
      </c>
      <c r="CO313" s="21" t="s">
        <v>105</v>
      </c>
      <c r="CP313" s="22"/>
      <c r="CQ313" s="23"/>
      <c r="CR313" s="19"/>
      <c r="CS313" s="19"/>
      <c r="CT313" s="19"/>
      <c r="CU313" s="19"/>
      <c r="CV313" s="16" t="s">
        <v>128</v>
      </c>
      <c r="CW313" s="19"/>
      <c r="CX313" s="19"/>
      <c r="CY313" s="19"/>
      <c r="CZ313" s="19"/>
      <c r="DA313" s="21" t="s">
        <v>115</v>
      </c>
      <c r="DB313" s="23"/>
      <c r="DC313" s="16" t="s">
        <v>129</v>
      </c>
      <c r="DD313" s="16" t="s">
        <v>129</v>
      </c>
      <c r="DE313" s="16" t="s">
        <v>129</v>
      </c>
      <c r="DF313" s="16" t="s">
        <v>129</v>
      </c>
      <c r="DG313" s="21" t="s">
        <v>1678</v>
      </c>
      <c r="DH313" s="23"/>
      <c r="DI313" s="19"/>
      <c r="DJ313" s="21" t="s">
        <v>699</v>
      </c>
      <c r="DK313" s="23"/>
      <c r="DL313" s="19"/>
      <c r="DM313" s="16" t="s">
        <v>739</v>
      </c>
      <c r="DN313" s="19"/>
      <c r="DO313" s="19"/>
    </row>
    <row r="314" ht="15.75" customHeight="1">
      <c r="A314" s="15">
        <v>312.0</v>
      </c>
      <c r="B314" s="16" t="s">
        <v>1679</v>
      </c>
      <c r="C314" s="17">
        <v>2.1702242502275E13</v>
      </c>
      <c r="D314" s="18">
        <v>7.0</v>
      </c>
      <c r="E314" s="16" t="s">
        <v>444</v>
      </c>
      <c r="F314" s="16" t="s">
        <v>1339</v>
      </c>
      <c r="G314" s="16" t="s">
        <v>547</v>
      </c>
      <c r="H314" s="20">
        <v>42790.0</v>
      </c>
      <c r="I314" s="18">
        <v>1.0</v>
      </c>
      <c r="J314" s="19"/>
      <c r="K314" s="16" t="s">
        <v>1680</v>
      </c>
      <c r="L314" s="21" t="s">
        <v>138</v>
      </c>
      <c r="M314" s="23"/>
      <c r="N314" s="19"/>
      <c r="O314" s="19"/>
      <c r="P314" s="19"/>
      <c r="Q314" s="19"/>
      <c r="R314" s="19"/>
      <c r="S314" s="19"/>
      <c r="T314" s="19"/>
      <c r="U314" s="19"/>
      <c r="V314" s="16" t="s">
        <v>144</v>
      </c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6" t="s">
        <v>1681</v>
      </c>
      <c r="AH314" s="21" t="s">
        <v>123</v>
      </c>
      <c r="AI314" s="23"/>
      <c r="AJ314" s="16" t="s">
        <v>663</v>
      </c>
      <c r="AK314" s="16" t="s">
        <v>153</v>
      </c>
      <c r="AL314" s="16" t="s">
        <v>181</v>
      </c>
      <c r="AM314" s="16" t="s">
        <v>181</v>
      </c>
      <c r="AN314" s="16" t="s">
        <v>181</v>
      </c>
      <c r="AO314" s="16" t="s">
        <v>181</v>
      </c>
      <c r="AP314" s="16" t="s">
        <v>181</v>
      </c>
      <c r="AQ314" s="16" t="s">
        <v>181</v>
      </c>
      <c r="AR314" s="16" t="s">
        <v>181</v>
      </c>
      <c r="AS314" s="19"/>
      <c r="AT314" s="19"/>
      <c r="AU314" s="19"/>
      <c r="AV314" s="19"/>
      <c r="AW314" s="19"/>
      <c r="AX314" s="19"/>
      <c r="AY314" s="19"/>
      <c r="AZ314" s="21" t="s">
        <v>1682</v>
      </c>
      <c r="BA314" s="23"/>
      <c r="BB314" s="19"/>
      <c r="BC314" s="19"/>
      <c r="BD314" s="19"/>
      <c r="BE314" s="19"/>
      <c r="BF314" s="16" t="s">
        <v>144</v>
      </c>
      <c r="BG314" s="19"/>
      <c r="BH314" s="21" t="s">
        <v>79</v>
      </c>
      <c r="BI314" s="23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6" t="s">
        <v>144</v>
      </c>
      <c r="BY314" s="19"/>
      <c r="BZ314" s="19"/>
      <c r="CA314" s="19"/>
      <c r="CB314" s="19"/>
      <c r="CC314" s="19"/>
      <c r="CD314" s="19"/>
      <c r="CE314" s="19"/>
      <c r="CF314" s="16" t="s">
        <v>144</v>
      </c>
      <c r="CG314" s="16" t="s">
        <v>128</v>
      </c>
      <c r="CH314" s="19"/>
      <c r="CI314" s="19"/>
      <c r="CJ314" s="19"/>
      <c r="CK314" s="19"/>
      <c r="CL314" s="21" t="s">
        <v>104</v>
      </c>
      <c r="CM314" s="23"/>
      <c r="CN314" s="16" t="s">
        <v>128</v>
      </c>
      <c r="CO314" s="19"/>
      <c r="CP314" s="19"/>
      <c r="CQ314" s="19"/>
      <c r="CR314" s="19"/>
      <c r="CS314" s="21" t="s">
        <v>109</v>
      </c>
      <c r="CT314" s="23"/>
      <c r="CU314" s="19"/>
      <c r="CV314" s="16" t="s">
        <v>128</v>
      </c>
      <c r="CW314" s="19"/>
      <c r="CX314" s="19"/>
      <c r="CY314" s="19"/>
      <c r="CZ314" s="19"/>
      <c r="DA314" s="21" t="s">
        <v>115</v>
      </c>
      <c r="DB314" s="23"/>
      <c r="DC314" s="16" t="s">
        <v>129</v>
      </c>
      <c r="DD314" s="16" t="s">
        <v>129</v>
      </c>
      <c r="DE314" s="16" t="s">
        <v>129</v>
      </c>
      <c r="DF314" s="16" t="s">
        <v>145</v>
      </c>
      <c r="DG314" s="16" t="s">
        <v>1683</v>
      </c>
      <c r="DH314" s="16" t="s">
        <v>1199</v>
      </c>
      <c r="DI314" s="19"/>
      <c r="DJ314" s="21" t="s">
        <v>1684</v>
      </c>
      <c r="DK314" s="23"/>
      <c r="DL314" s="19"/>
      <c r="DM314" s="16" t="s">
        <v>739</v>
      </c>
      <c r="DN314" s="19"/>
      <c r="DO314" s="19"/>
    </row>
    <row r="315" ht="15.75" customHeight="1">
      <c r="A315" s="15">
        <v>313.0</v>
      </c>
      <c r="B315" s="16" t="s">
        <v>1685</v>
      </c>
      <c r="C315" s="17">
        <v>3.1811082502498E13</v>
      </c>
      <c r="D315" s="18">
        <v>39.0</v>
      </c>
      <c r="E315" s="16" t="s">
        <v>444</v>
      </c>
      <c r="F315" s="16" t="s">
        <v>851</v>
      </c>
      <c r="G315" s="16" t="s">
        <v>547</v>
      </c>
      <c r="H315" s="20">
        <v>42921.0</v>
      </c>
      <c r="I315" s="18">
        <v>1.0</v>
      </c>
      <c r="J315" s="19"/>
      <c r="K315" s="16" t="s">
        <v>1686</v>
      </c>
      <c r="L315" s="21" t="s">
        <v>138</v>
      </c>
      <c r="M315" s="23"/>
      <c r="N315" s="19"/>
      <c r="O315" s="19"/>
      <c r="P315" s="19"/>
      <c r="Q315" s="19"/>
      <c r="R315" s="19"/>
      <c r="S315" s="19"/>
      <c r="T315" s="19"/>
      <c r="U315" s="19"/>
      <c r="V315" s="21" t="s">
        <v>674</v>
      </c>
      <c r="W315" s="23"/>
      <c r="X315" s="19"/>
      <c r="Y315" s="19"/>
      <c r="Z315" s="19"/>
      <c r="AA315" s="19"/>
      <c r="AB315" s="19"/>
      <c r="AC315" s="19"/>
      <c r="AD315" s="19"/>
      <c r="AE315" s="19"/>
      <c r="AF315" s="19"/>
      <c r="AG315" s="16" t="s">
        <v>1687</v>
      </c>
      <c r="AH315" s="21" t="s">
        <v>123</v>
      </c>
      <c r="AI315" s="23"/>
      <c r="AJ315" s="16" t="s">
        <v>168</v>
      </c>
      <c r="AK315" s="16" t="s">
        <v>153</v>
      </c>
      <c r="AL315" s="16" t="s">
        <v>181</v>
      </c>
      <c r="AM315" s="16" t="s">
        <v>181</v>
      </c>
      <c r="AN315" s="16" t="s">
        <v>126</v>
      </c>
      <c r="AO315" s="16" t="s">
        <v>126</v>
      </c>
      <c r="AP315" s="16" t="s">
        <v>181</v>
      </c>
      <c r="AQ315" s="16" t="s">
        <v>126</v>
      </c>
      <c r="AR315" s="16" t="s">
        <v>181</v>
      </c>
      <c r="AS315" s="19"/>
      <c r="AT315" s="19"/>
      <c r="AU315" s="19"/>
      <c r="AV315" s="21" t="s">
        <v>68</v>
      </c>
      <c r="AW315" s="22"/>
      <c r="AX315" s="23"/>
      <c r="AY315" s="19"/>
      <c r="AZ315" s="19"/>
      <c r="BA315" s="19"/>
      <c r="BB315" s="19"/>
      <c r="BC315" s="19"/>
      <c r="BD315" s="19"/>
      <c r="BE315" s="19"/>
      <c r="BF315" s="19"/>
      <c r="BG315" s="19"/>
      <c r="BH315" s="21" t="s">
        <v>79</v>
      </c>
      <c r="BI315" s="23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6" t="s">
        <v>1656</v>
      </c>
      <c r="CG315" s="16" t="s">
        <v>128</v>
      </c>
      <c r="CH315" s="19"/>
      <c r="CI315" s="19"/>
      <c r="CJ315" s="19"/>
      <c r="CK315" s="19"/>
      <c r="CL315" s="21" t="s">
        <v>104</v>
      </c>
      <c r="CM315" s="23"/>
      <c r="CN315" s="16" t="s">
        <v>128</v>
      </c>
      <c r="CO315" s="19"/>
      <c r="CP315" s="19"/>
      <c r="CQ315" s="19"/>
      <c r="CR315" s="19"/>
      <c r="CS315" s="21" t="s">
        <v>109</v>
      </c>
      <c r="CT315" s="23"/>
      <c r="CU315" s="19"/>
      <c r="CV315" s="16" t="s">
        <v>128</v>
      </c>
      <c r="CW315" s="19"/>
      <c r="CX315" s="19"/>
      <c r="CY315" s="19"/>
      <c r="CZ315" s="19"/>
      <c r="DA315" s="21" t="s">
        <v>115</v>
      </c>
      <c r="DB315" s="23"/>
      <c r="DC315" s="16" t="s">
        <v>129</v>
      </c>
      <c r="DD315" s="16" t="s">
        <v>129</v>
      </c>
      <c r="DE315" s="16" t="s">
        <v>145</v>
      </c>
      <c r="DF315" s="16" t="s">
        <v>145</v>
      </c>
      <c r="DG315" s="21" t="s">
        <v>1635</v>
      </c>
      <c r="DH315" s="23"/>
      <c r="DI315" s="19"/>
      <c r="DJ315" s="16" t="s">
        <v>144</v>
      </c>
      <c r="DK315" s="19"/>
      <c r="DL315" s="19"/>
      <c r="DM315" s="21" t="s">
        <v>679</v>
      </c>
      <c r="DN315" s="23"/>
      <c r="DO315" s="19"/>
    </row>
    <row r="316" ht="15.75" customHeight="1">
      <c r="A316" s="15">
        <v>314.0</v>
      </c>
      <c r="B316" s="16" t="s">
        <v>1688</v>
      </c>
      <c r="C316" s="17">
        <v>3.2112332502219E13</v>
      </c>
      <c r="D316" s="18">
        <v>60.0</v>
      </c>
      <c r="E316" s="16" t="s">
        <v>444</v>
      </c>
      <c r="F316" s="16" t="s">
        <v>1339</v>
      </c>
      <c r="G316" s="16" t="s">
        <v>547</v>
      </c>
      <c r="H316" s="25">
        <v>44158.0</v>
      </c>
      <c r="I316" s="18">
        <v>1.0</v>
      </c>
      <c r="J316" s="19"/>
      <c r="K316" s="16" t="s">
        <v>1689</v>
      </c>
      <c r="L316" s="16" t="s">
        <v>122</v>
      </c>
      <c r="M316" s="19"/>
      <c r="N316" s="19"/>
      <c r="O316" s="19"/>
      <c r="P316" s="19"/>
      <c r="Q316" s="19"/>
      <c r="R316" s="19"/>
      <c r="S316" s="19"/>
      <c r="T316" s="19"/>
      <c r="U316" s="19"/>
      <c r="V316" s="16" t="s">
        <v>1675</v>
      </c>
      <c r="W316" s="16" t="s">
        <v>46</v>
      </c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21" t="s">
        <v>152</v>
      </c>
      <c r="AI316" s="23"/>
      <c r="AJ316" s="16" t="s">
        <v>1690</v>
      </c>
      <c r="AK316" s="16" t="s">
        <v>153</v>
      </c>
      <c r="AL316" s="16" t="s">
        <v>181</v>
      </c>
      <c r="AM316" s="16" t="s">
        <v>181</v>
      </c>
      <c r="AN316" s="16" t="s">
        <v>181</v>
      </c>
      <c r="AO316" s="16" t="s">
        <v>181</v>
      </c>
      <c r="AP316" s="16" t="s">
        <v>181</v>
      </c>
      <c r="AQ316" s="16" t="s">
        <v>181</v>
      </c>
      <c r="AR316" s="16" t="s">
        <v>181</v>
      </c>
      <c r="AS316" s="19"/>
      <c r="AT316" s="19"/>
      <c r="AU316" s="19"/>
      <c r="AV316" s="19"/>
      <c r="AW316" s="19"/>
      <c r="AX316" s="19"/>
      <c r="AY316" s="19"/>
      <c r="AZ316" s="21" t="s">
        <v>1691</v>
      </c>
      <c r="BA316" s="23"/>
      <c r="BB316" s="19"/>
      <c r="BC316" s="19"/>
      <c r="BD316" s="19"/>
      <c r="BE316" s="19"/>
      <c r="BF316" s="16" t="s">
        <v>144</v>
      </c>
      <c r="BG316" s="19"/>
      <c r="BH316" s="21" t="s">
        <v>79</v>
      </c>
      <c r="BI316" s="23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6" t="s">
        <v>144</v>
      </c>
      <c r="BY316" s="19"/>
      <c r="BZ316" s="19"/>
      <c r="CA316" s="19"/>
      <c r="CB316" s="19"/>
      <c r="CC316" s="19"/>
      <c r="CD316" s="19"/>
      <c r="CE316" s="19"/>
      <c r="CF316" s="16" t="s">
        <v>144</v>
      </c>
      <c r="CG316" s="16" t="s">
        <v>128</v>
      </c>
      <c r="CH316" s="19"/>
      <c r="CI316" s="19"/>
      <c r="CJ316" s="19"/>
      <c r="CK316" s="19"/>
      <c r="CL316" s="21" t="s">
        <v>104</v>
      </c>
      <c r="CM316" s="23"/>
      <c r="CN316" s="16" t="s">
        <v>128</v>
      </c>
      <c r="CO316" s="21" t="s">
        <v>105</v>
      </c>
      <c r="CP316" s="22"/>
      <c r="CQ316" s="23"/>
      <c r="CR316" s="19"/>
      <c r="CS316" s="19"/>
      <c r="CT316" s="19"/>
      <c r="CU316" s="19"/>
      <c r="CV316" s="16" t="s">
        <v>128</v>
      </c>
      <c r="CW316" s="19"/>
      <c r="CX316" s="19"/>
      <c r="CY316" s="19"/>
      <c r="CZ316" s="19"/>
      <c r="DA316" s="21" t="s">
        <v>115</v>
      </c>
      <c r="DB316" s="23"/>
      <c r="DC316" s="16" t="s">
        <v>129</v>
      </c>
      <c r="DD316" s="16" t="s">
        <v>129</v>
      </c>
      <c r="DE316" s="16" t="s">
        <v>129</v>
      </c>
      <c r="DF316" s="16" t="s">
        <v>129</v>
      </c>
      <c r="DG316" s="16" t="s">
        <v>1692</v>
      </c>
      <c r="DH316" s="16" t="s">
        <v>1693</v>
      </c>
      <c r="DI316" s="19"/>
      <c r="DJ316" s="21" t="s">
        <v>1694</v>
      </c>
      <c r="DK316" s="23"/>
      <c r="DL316" s="19"/>
      <c r="DM316" s="21" t="s">
        <v>1695</v>
      </c>
      <c r="DN316" s="22"/>
      <c r="DO316" s="23"/>
    </row>
    <row r="317" ht="15.75" customHeight="1">
      <c r="A317" s="15">
        <v>315.0</v>
      </c>
      <c r="B317" s="16" t="s">
        <v>1696</v>
      </c>
      <c r="C317" s="17">
        <v>3.1408282502574E13</v>
      </c>
      <c r="D317" s="18">
        <v>26.0</v>
      </c>
      <c r="E317" s="16" t="s">
        <v>444</v>
      </c>
      <c r="F317" s="16" t="s">
        <v>851</v>
      </c>
      <c r="G317" s="16" t="s">
        <v>547</v>
      </c>
      <c r="H317" s="20">
        <v>41879.0</v>
      </c>
      <c r="I317" s="18">
        <v>1.0</v>
      </c>
      <c r="J317" s="19"/>
      <c r="K317" s="16" t="s">
        <v>1697</v>
      </c>
      <c r="L317" s="21" t="s">
        <v>138</v>
      </c>
      <c r="M317" s="23"/>
      <c r="N317" s="19"/>
      <c r="O317" s="19"/>
      <c r="P317" s="19"/>
      <c r="Q317" s="19"/>
      <c r="R317" s="19"/>
      <c r="S317" s="19"/>
      <c r="T317" s="19"/>
      <c r="U317" s="19"/>
      <c r="V317" s="16" t="s">
        <v>674</v>
      </c>
      <c r="W317" s="16" t="s">
        <v>46</v>
      </c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21" t="s">
        <v>123</v>
      </c>
      <c r="AI317" s="23"/>
      <c r="AJ317" s="16" t="s">
        <v>168</v>
      </c>
      <c r="AK317" s="16" t="s">
        <v>153</v>
      </c>
      <c r="AL317" s="16" t="s">
        <v>181</v>
      </c>
      <c r="AM317" s="16" t="s">
        <v>181</v>
      </c>
      <c r="AN317" s="16" t="s">
        <v>181</v>
      </c>
      <c r="AO317" s="16" t="s">
        <v>126</v>
      </c>
      <c r="AP317" s="16" t="s">
        <v>126</v>
      </c>
      <c r="AQ317" s="16" t="s">
        <v>181</v>
      </c>
      <c r="AR317" s="16" t="s">
        <v>126</v>
      </c>
      <c r="AS317" s="19"/>
      <c r="AT317" s="19"/>
      <c r="AU317" s="19"/>
      <c r="AV317" s="21" t="s">
        <v>68</v>
      </c>
      <c r="AW317" s="22"/>
      <c r="AX317" s="23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6" t="s">
        <v>81</v>
      </c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6" t="s">
        <v>676</v>
      </c>
      <c r="CG317" s="16" t="s">
        <v>128</v>
      </c>
      <c r="CH317" s="19"/>
      <c r="CI317" s="19"/>
      <c r="CJ317" s="19"/>
      <c r="CK317" s="19"/>
      <c r="CL317" s="21" t="s">
        <v>104</v>
      </c>
      <c r="CM317" s="23"/>
      <c r="CN317" s="16" t="s">
        <v>128</v>
      </c>
      <c r="CO317" s="19"/>
      <c r="CP317" s="19"/>
      <c r="CQ317" s="19"/>
      <c r="CR317" s="19"/>
      <c r="CS317" s="21" t="s">
        <v>109</v>
      </c>
      <c r="CT317" s="23"/>
      <c r="CU317" s="19"/>
      <c r="CV317" s="16" t="s">
        <v>128</v>
      </c>
      <c r="CW317" s="21" t="s">
        <v>111</v>
      </c>
      <c r="CX317" s="22"/>
      <c r="CY317" s="23"/>
      <c r="CZ317" s="19"/>
      <c r="DA317" s="19"/>
      <c r="DB317" s="19"/>
      <c r="DC317" s="16" t="s">
        <v>129</v>
      </c>
      <c r="DD317" s="16" t="s">
        <v>129</v>
      </c>
      <c r="DE317" s="16" t="s">
        <v>129</v>
      </c>
      <c r="DF317" s="16" t="s">
        <v>145</v>
      </c>
      <c r="DG317" s="16" t="s">
        <v>1635</v>
      </c>
      <c r="DH317" s="16" t="s">
        <v>79</v>
      </c>
      <c r="DI317" s="16" t="s">
        <v>770</v>
      </c>
      <c r="DJ317" s="16" t="s">
        <v>144</v>
      </c>
      <c r="DK317" s="19"/>
      <c r="DL317" s="19"/>
      <c r="DM317" s="21" t="s">
        <v>679</v>
      </c>
      <c r="DN317" s="23"/>
      <c r="DO317" s="19"/>
    </row>
    <row r="318" ht="15.75" customHeight="1">
      <c r="A318" s="15">
        <v>316.0</v>
      </c>
      <c r="B318" s="16" t="s">
        <v>1698</v>
      </c>
      <c r="C318" s="17">
        <v>3.1707232501817E13</v>
      </c>
      <c r="D318" s="18">
        <v>141.0</v>
      </c>
      <c r="E318" s="16" t="s">
        <v>444</v>
      </c>
      <c r="F318" s="16" t="s">
        <v>1339</v>
      </c>
      <c r="G318" s="16" t="s">
        <v>547</v>
      </c>
      <c r="H318" s="20">
        <v>42937.0</v>
      </c>
      <c r="I318" s="18">
        <v>1.0</v>
      </c>
      <c r="J318" s="19"/>
      <c r="K318" s="16" t="s">
        <v>1699</v>
      </c>
      <c r="L318" s="21" t="s">
        <v>138</v>
      </c>
      <c r="M318" s="23"/>
      <c r="N318" s="19"/>
      <c r="O318" s="19"/>
      <c r="P318" s="19"/>
      <c r="Q318" s="19"/>
      <c r="R318" s="19"/>
      <c r="S318" s="19"/>
      <c r="T318" s="19"/>
      <c r="U318" s="19"/>
      <c r="V318" s="16" t="s">
        <v>144</v>
      </c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6" t="s">
        <v>662</v>
      </c>
      <c r="AH318" s="21" t="s">
        <v>123</v>
      </c>
      <c r="AI318" s="23"/>
      <c r="AJ318" s="16" t="s">
        <v>663</v>
      </c>
      <c r="AK318" s="16" t="s">
        <v>153</v>
      </c>
      <c r="AL318" s="16" t="s">
        <v>181</v>
      </c>
      <c r="AM318" s="16" t="s">
        <v>181</v>
      </c>
      <c r="AN318" s="16" t="s">
        <v>181</v>
      </c>
      <c r="AO318" s="16" t="s">
        <v>181</v>
      </c>
      <c r="AP318" s="16" t="s">
        <v>181</v>
      </c>
      <c r="AQ318" s="16" t="s">
        <v>181</v>
      </c>
      <c r="AR318" s="16" t="s">
        <v>181</v>
      </c>
      <c r="AS318" s="19"/>
      <c r="AT318" s="19"/>
      <c r="AU318" s="19"/>
      <c r="AV318" s="19"/>
      <c r="AW318" s="19"/>
      <c r="AX318" s="19"/>
      <c r="AY318" s="19"/>
      <c r="AZ318" s="21" t="s">
        <v>1700</v>
      </c>
      <c r="BA318" s="23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21" t="s">
        <v>82</v>
      </c>
      <c r="BM318" s="23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6" t="s">
        <v>1701</v>
      </c>
      <c r="BY318" s="19"/>
      <c r="BZ318" s="19"/>
      <c r="CA318" s="19"/>
      <c r="CB318" s="19"/>
      <c r="CC318" s="19"/>
      <c r="CD318" s="19"/>
      <c r="CE318" s="19"/>
      <c r="CF318" s="16" t="s">
        <v>144</v>
      </c>
      <c r="CG318" s="16" t="s">
        <v>128</v>
      </c>
      <c r="CH318" s="19"/>
      <c r="CI318" s="19"/>
      <c r="CJ318" s="19"/>
      <c r="CK318" s="21" t="s">
        <v>103</v>
      </c>
      <c r="CL318" s="23"/>
      <c r="CM318" s="19"/>
      <c r="CN318" s="16" t="s">
        <v>128</v>
      </c>
      <c r="CO318" s="19"/>
      <c r="CP318" s="19"/>
      <c r="CQ318" s="19"/>
      <c r="CR318" s="19"/>
      <c r="CS318" s="21" t="s">
        <v>109</v>
      </c>
      <c r="CT318" s="23"/>
      <c r="CU318" s="19"/>
      <c r="CV318" s="16" t="s">
        <v>128</v>
      </c>
      <c r="CW318" s="19"/>
      <c r="CX318" s="19"/>
      <c r="CY318" s="19"/>
      <c r="CZ318" s="19"/>
      <c r="DA318" s="21" t="s">
        <v>115</v>
      </c>
      <c r="DB318" s="23"/>
      <c r="DC318" s="16" t="s">
        <v>129</v>
      </c>
      <c r="DD318" s="16" t="s">
        <v>129</v>
      </c>
      <c r="DE318" s="16" t="s">
        <v>129</v>
      </c>
      <c r="DF318" s="16" t="s">
        <v>129</v>
      </c>
      <c r="DG318" s="16" t="s">
        <v>1702</v>
      </c>
      <c r="DH318" s="19"/>
      <c r="DI318" s="19"/>
      <c r="DJ318" s="16" t="s">
        <v>144</v>
      </c>
      <c r="DK318" s="19"/>
      <c r="DL318" s="19"/>
      <c r="DM318" s="21" t="s">
        <v>1703</v>
      </c>
      <c r="DN318" s="23"/>
      <c r="DO318" s="19"/>
    </row>
    <row r="319" ht="15.75" customHeight="1">
      <c r="A319" s="15">
        <v>317.0</v>
      </c>
      <c r="B319" s="16" t="s">
        <v>1704</v>
      </c>
      <c r="C319" s="17">
        <v>3.1407272501735E13</v>
      </c>
      <c r="D319" s="18">
        <v>44.0</v>
      </c>
      <c r="E319" s="16" t="s">
        <v>1667</v>
      </c>
      <c r="F319" s="16" t="s">
        <v>606</v>
      </c>
      <c r="G319" s="16" t="s">
        <v>547</v>
      </c>
      <c r="H319" s="20">
        <v>41877.0</v>
      </c>
      <c r="I319" s="18">
        <v>1.0</v>
      </c>
      <c r="J319" s="19"/>
      <c r="K319" s="16" t="s">
        <v>1705</v>
      </c>
      <c r="L319" s="16" t="s">
        <v>122</v>
      </c>
      <c r="M319" s="19"/>
      <c r="N319" s="19"/>
      <c r="O319" s="19"/>
      <c r="P319" s="19"/>
      <c r="Q319" s="19"/>
      <c r="R319" s="19"/>
      <c r="S319" s="19"/>
      <c r="T319" s="19"/>
      <c r="U319" s="16" t="s">
        <v>44</v>
      </c>
      <c r="V319" s="16" t="s">
        <v>1669</v>
      </c>
      <c r="W319" s="16" t="s">
        <v>46</v>
      </c>
      <c r="X319" s="19"/>
      <c r="Y319" s="21" t="s">
        <v>48</v>
      </c>
      <c r="Z319" s="23"/>
      <c r="AA319" s="19"/>
      <c r="AB319" s="19"/>
      <c r="AC319" s="19"/>
      <c r="AD319" s="19"/>
      <c r="AE319" s="19"/>
      <c r="AF319" s="19"/>
      <c r="AG319" s="16" t="s">
        <v>1706</v>
      </c>
      <c r="AH319" s="16" t="s">
        <v>57</v>
      </c>
      <c r="AI319" s="18" t="s">
        <v>839</v>
      </c>
      <c r="AJ319" s="16" t="s">
        <v>243</v>
      </c>
      <c r="AK319" s="16" t="s">
        <v>153</v>
      </c>
      <c r="AL319" s="16" t="s">
        <v>126</v>
      </c>
      <c r="AM319" s="16" t="s">
        <v>126</v>
      </c>
      <c r="AN319" s="16" t="s">
        <v>181</v>
      </c>
      <c r="AO319" s="16" t="s">
        <v>181</v>
      </c>
      <c r="AP319" s="16" t="s">
        <v>181</v>
      </c>
      <c r="AQ319" s="16" t="s">
        <v>181</v>
      </c>
      <c r="AR319" s="16" t="s">
        <v>181</v>
      </c>
      <c r="AS319" s="19"/>
      <c r="AT319" s="19"/>
      <c r="AU319" s="19"/>
      <c r="AV319" s="19"/>
      <c r="AW319" s="16" t="s">
        <v>69</v>
      </c>
      <c r="AX319" s="21" t="s">
        <v>70</v>
      </c>
      <c r="AY319" s="23"/>
      <c r="AZ319" s="18" t="s">
        <v>839</v>
      </c>
      <c r="BA319" s="19"/>
      <c r="BB319" s="21" t="s">
        <v>74</v>
      </c>
      <c r="BC319" s="22"/>
      <c r="BD319" s="23"/>
      <c r="BE319" s="16" t="s">
        <v>77</v>
      </c>
      <c r="BF319" s="18">
        <v>0.0</v>
      </c>
      <c r="BG319" s="19"/>
      <c r="BH319" s="21" t="s">
        <v>79</v>
      </c>
      <c r="BI319" s="23"/>
      <c r="BJ319" s="19"/>
      <c r="BK319" s="16" t="s">
        <v>81</v>
      </c>
      <c r="BL319" s="19"/>
      <c r="BM319" s="19"/>
      <c r="BN319" s="21" t="s">
        <v>84</v>
      </c>
      <c r="BO319" s="23"/>
      <c r="BP319" s="18" t="s">
        <v>839</v>
      </c>
      <c r="BQ319" s="19"/>
      <c r="BR319" s="19"/>
      <c r="BS319" s="21" t="s">
        <v>88</v>
      </c>
      <c r="BT319" s="23"/>
      <c r="BU319" s="19"/>
      <c r="BV319" s="19"/>
      <c r="BW319" s="16" t="s">
        <v>92</v>
      </c>
      <c r="BX319" s="18" t="s">
        <v>844</v>
      </c>
      <c r="BY319" s="19"/>
      <c r="BZ319" s="19"/>
      <c r="CA319" s="21" t="s">
        <v>95</v>
      </c>
      <c r="CB319" s="22"/>
      <c r="CC319" s="23"/>
      <c r="CD319" s="19"/>
      <c r="CE319" s="19"/>
      <c r="CF319" s="18" t="s">
        <v>840</v>
      </c>
      <c r="CG319" s="16" t="s">
        <v>128</v>
      </c>
      <c r="CH319" s="19"/>
      <c r="CI319" s="19"/>
      <c r="CJ319" s="21" t="s">
        <v>102</v>
      </c>
      <c r="CK319" s="23"/>
      <c r="CL319" s="16" t="s">
        <v>104</v>
      </c>
      <c r="CM319" s="18" t="s">
        <v>844</v>
      </c>
      <c r="CN319" s="16" t="s">
        <v>128</v>
      </c>
      <c r="CO319" s="19"/>
      <c r="CP319" s="21" t="s">
        <v>106</v>
      </c>
      <c r="CQ319" s="22"/>
      <c r="CR319" s="22"/>
      <c r="CS319" s="23"/>
      <c r="CT319" s="19"/>
      <c r="CU319" s="18" t="s">
        <v>844</v>
      </c>
      <c r="CV319" s="21" t="s">
        <v>154</v>
      </c>
      <c r="CW319" s="23"/>
      <c r="CX319" s="19"/>
      <c r="CY319" s="21" t="s">
        <v>113</v>
      </c>
      <c r="CZ319" s="23"/>
      <c r="DA319" s="21" t="s">
        <v>115</v>
      </c>
      <c r="DB319" s="23"/>
      <c r="DC319" s="16" t="s">
        <v>129</v>
      </c>
      <c r="DD319" s="16" t="s">
        <v>129</v>
      </c>
      <c r="DE319" s="16" t="s">
        <v>129</v>
      </c>
      <c r="DF319" s="16" t="s">
        <v>129</v>
      </c>
      <c r="DG319" s="16" t="s">
        <v>841</v>
      </c>
      <c r="DH319" s="16" t="s">
        <v>873</v>
      </c>
      <c r="DI319" s="16" t="s">
        <v>843</v>
      </c>
      <c r="DJ319" s="16" t="s">
        <v>1126</v>
      </c>
      <c r="DK319" s="18" t="s">
        <v>844</v>
      </c>
      <c r="DL319" s="18" t="s">
        <v>845</v>
      </c>
      <c r="DM319" s="16" t="s">
        <v>1088</v>
      </c>
      <c r="DN319" s="18" t="s">
        <v>844</v>
      </c>
      <c r="DO319" s="18" t="s">
        <v>845</v>
      </c>
    </row>
    <row r="320" ht="15.75" customHeight="1">
      <c r="A320" s="15">
        <v>318.0</v>
      </c>
      <c r="B320" s="16" t="s">
        <v>1707</v>
      </c>
      <c r="C320" s="17">
        <v>3.2103032503603E13</v>
      </c>
      <c r="D320" s="18">
        <v>92.0</v>
      </c>
      <c r="E320" s="16" t="s">
        <v>444</v>
      </c>
      <c r="F320" s="16" t="s">
        <v>851</v>
      </c>
      <c r="G320" s="16" t="s">
        <v>547</v>
      </c>
      <c r="H320" s="20">
        <v>44258.0</v>
      </c>
      <c r="I320" s="16"/>
      <c r="J320" s="18">
        <v>1.0</v>
      </c>
      <c r="K320" s="16" t="s">
        <v>1708</v>
      </c>
      <c r="L320" s="21" t="s">
        <v>138</v>
      </c>
      <c r="M320" s="23"/>
      <c r="N320" s="19"/>
      <c r="O320" s="19"/>
      <c r="P320" s="19"/>
      <c r="Q320" s="19"/>
      <c r="R320" s="19"/>
      <c r="S320" s="19"/>
      <c r="T320" s="19"/>
      <c r="U320" s="19"/>
      <c r="V320" s="21" t="s">
        <v>674</v>
      </c>
      <c r="W320" s="23"/>
      <c r="X320" s="21" t="s">
        <v>47</v>
      </c>
      <c r="Y320" s="23"/>
      <c r="Z320" s="19"/>
      <c r="AA320" s="19"/>
      <c r="AB320" s="19"/>
      <c r="AC320" s="19"/>
      <c r="AD320" s="19"/>
      <c r="AE320" s="19"/>
      <c r="AF320" s="19"/>
      <c r="AG320" s="19"/>
      <c r="AH320" s="21" t="s">
        <v>123</v>
      </c>
      <c r="AI320" s="23"/>
      <c r="AJ320" s="16" t="s">
        <v>168</v>
      </c>
      <c r="AK320" s="16" t="s">
        <v>153</v>
      </c>
      <c r="AL320" s="16" t="s">
        <v>181</v>
      </c>
      <c r="AM320" s="16" t="s">
        <v>126</v>
      </c>
      <c r="AN320" s="16" t="s">
        <v>181</v>
      </c>
      <c r="AO320" s="16" t="s">
        <v>181</v>
      </c>
      <c r="AP320" s="16" t="s">
        <v>126</v>
      </c>
      <c r="AQ320" s="16" t="s">
        <v>126</v>
      </c>
      <c r="AR320" s="16" t="s">
        <v>181</v>
      </c>
      <c r="AS320" s="21" t="s">
        <v>65</v>
      </c>
      <c r="AT320" s="22"/>
      <c r="AU320" s="23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21" t="s">
        <v>78</v>
      </c>
      <c r="BH320" s="23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6" t="s">
        <v>91</v>
      </c>
      <c r="BW320" s="19"/>
      <c r="BX320" s="19"/>
      <c r="BY320" s="19"/>
      <c r="BZ320" s="19"/>
      <c r="CA320" s="19"/>
      <c r="CB320" s="19"/>
      <c r="CC320" s="19"/>
      <c r="CD320" s="19"/>
      <c r="CE320" s="19"/>
      <c r="CF320" s="16" t="s">
        <v>676</v>
      </c>
      <c r="CG320" s="16" t="s">
        <v>128</v>
      </c>
      <c r="CH320" s="19"/>
      <c r="CI320" s="19"/>
      <c r="CJ320" s="19"/>
      <c r="CK320" s="19"/>
      <c r="CL320" s="21" t="s">
        <v>104</v>
      </c>
      <c r="CM320" s="23"/>
      <c r="CN320" s="16" t="s">
        <v>128</v>
      </c>
      <c r="CO320" s="19"/>
      <c r="CP320" s="19"/>
      <c r="CQ320" s="21" t="s">
        <v>107</v>
      </c>
      <c r="CR320" s="22"/>
      <c r="CS320" s="23"/>
      <c r="CT320" s="19"/>
      <c r="CU320" s="19"/>
      <c r="CV320" s="16" t="s">
        <v>128</v>
      </c>
      <c r="CW320" s="19"/>
      <c r="CX320" s="21" t="s">
        <v>112</v>
      </c>
      <c r="CY320" s="22"/>
      <c r="CZ320" s="23"/>
      <c r="DA320" s="19"/>
      <c r="DB320" s="19"/>
      <c r="DC320" s="16" t="s">
        <v>129</v>
      </c>
      <c r="DD320" s="16" t="s">
        <v>129</v>
      </c>
      <c r="DE320" s="16" t="s">
        <v>129</v>
      </c>
      <c r="DF320" s="16" t="s">
        <v>129</v>
      </c>
      <c r="DG320" s="16" t="s">
        <v>1635</v>
      </c>
      <c r="DH320" s="16" t="s">
        <v>79</v>
      </c>
      <c r="DI320" s="16" t="s">
        <v>1709</v>
      </c>
      <c r="DJ320" s="16" t="s">
        <v>144</v>
      </c>
      <c r="DK320" s="19"/>
      <c r="DL320" s="19"/>
      <c r="DM320" s="21" t="s">
        <v>708</v>
      </c>
      <c r="DN320" s="23"/>
      <c r="DO320" s="19"/>
    </row>
    <row r="321" ht="15.75" customHeight="1">
      <c r="A321" s="15">
        <v>319.0</v>
      </c>
      <c r="B321" s="16" t="s">
        <v>1710</v>
      </c>
      <c r="C321" s="17">
        <v>3.0510052503402E13</v>
      </c>
      <c r="D321" s="18">
        <v>121.0</v>
      </c>
      <c r="E321" s="16" t="s">
        <v>1667</v>
      </c>
      <c r="F321" s="16" t="s">
        <v>606</v>
      </c>
      <c r="G321" s="16" t="s">
        <v>547</v>
      </c>
      <c r="H321" s="25">
        <v>38643.0</v>
      </c>
      <c r="I321" s="16"/>
      <c r="J321" s="18">
        <v>1.0</v>
      </c>
      <c r="K321" s="16" t="s">
        <v>1711</v>
      </c>
      <c r="L321" s="21" t="s">
        <v>138</v>
      </c>
      <c r="M321" s="23"/>
      <c r="N321" s="19"/>
      <c r="O321" s="19"/>
      <c r="P321" s="19"/>
      <c r="Q321" s="19"/>
      <c r="R321" s="19"/>
      <c r="S321" s="19"/>
      <c r="T321" s="19"/>
      <c r="U321" s="19"/>
      <c r="V321" s="21" t="s">
        <v>919</v>
      </c>
      <c r="W321" s="22"/>
      <c r="X321" s="22"/>
      <c r="Y321" s="23"/>
      <c r="Z321" s="19"/>
      <c r="AA321" s="19"/>
      <c r="AB321" s="21" t="s">
        <v>51</v>
      </c>
      <c r="AC321" s="23"/>
      <c r="AD321" s="19"/>
      <c r="AE321" s="19"/>
      <c r="AF321" s="19"/>
      <c r="AG321" s="18" t="s">
        <v>839</v>
      </c>
      <c r="AH321" s="16" t="s">
        <v>57</v>
      </c>
      <c r="AI321" s="18" t="s">
        <v>839</v>
      </c>
      <c r="AJ321" s="16" t="s">
        <v>168</v>
      </c>
      <c r="AK321" s="16" t="s">
        <v>142</v>
      </c>
      <c r="AL321" s="16" t="s">
        <v>126</v>
      </c>
      <c r="AM321" s="16" t="s">
        <v>126</v>
      </c>
      <c r="AN321" s="16" t="s">
        <v>126</v>
      </c>
      <c r="AO321" s="16" t="s">
        <v>126</v>
      </c>
      <c r="AP321" s="16" t="s">
        <v>126</v>
      </c>
      <c r="AQ321" s="16" t="s">
        <v>181</v>
      </c>
      <c r="AR321" s="16" t="s">
        <v>126</v>
      </c>
      <c r="AS321" s="19"/>
      <c r="AT321" s="19"/>
      <c r="AU321" s="19"/>
      <c r="AV321" s="19"/>
      <c r="AW321" s="21" t="s">
        <v>69</v>
      </c>
      <c r="AX321" s="22"/>
      <c r="AY321" s="23"/>
      <c r="AZ321" s="18" t="s">
        <v>839</v>
      </c>
      <c r="BA321" s="19"/>
      <c r="BB321" s="19"/>
      <c r="BC321" s="19"/>
      <c r="BD321" s="19"/>
      <c r="BE321" s="16" t="s">
        <v>77</v>
      </c>
      <c r="BF321" s="18">
        <v>0.0</v>
      </c>
      <c r="BG321" s="19"/>
      <c r="BH321" s="19"/>
      <c r="BI321" s="21" t="s">
        <v>52</v>
      </c>
      <c r="BJ321" s="23"/>
      <c r="BK321" s="19"/>
      <c r="BL321" s="19"/>
      <c r="BM321" s="19"/>
      <c r="BN321" s="21" t="s">
        <v>84</v>
      </c>
      <c r="BO321" s="23"/>
      <c r="BP321" s="18" t="s">
        <v>839</v>
      </c>
      <c r="BQ321" s="19"/>
      <c r="BR321" s="19"/>
      <c r="BS321" s="19"/>
      <c r="BT321" s="19"/>
      <c r="BU321" s="19"/>
      <c r="BV321" s="19"/>
      <c r="BW321" s="16" t="s">
        <v>92</v>
      </c>
      <c r="BX321" s="18" t="s">
        <v>844</v>
      </c>
      <c r="BY321" s="19"/>
      <c r="BZ321" s="19"/>
      <c r="CA321" s="21" t="s">
        <v>95</v>
      </c>
      <c r="CB321" s="22"/>
      <c r="CC321" s="23"/>
      <c r="CD321" s="19"/>
      <c r="CE321" s="19"/>
      <c r="CF321" s="18" t="s">
        <v>839</v>
      </c>
      <c r="CG321" s="16" t="s">
        <v>128</v>
      </c>
      <c r="CH321" s="21" t="s">
        <v>100</v>
      </c>
      <c r="CI321" s="23"/>
      <c r="CJ321" s="21" t="s">
        <v>102</v>
      </c>
      <c r="CK321" s="23"/>
      <c r="CL321" s="16" t="s">
        <v>104</v>
      </c>
      <c r="CM321" s="18" t="s">
        <v>839</v>
      </c>
      <c r="CN321" s="16" t="s">
        <v>128</v>
      </c>
      <c r="CO321" s="16" t="s">
        <v>105</v>
      </c>
      <c r="CP321" s="21" t="s">
        <v>106</v>
      </c>
      <c r="CQ321" s="22"/>
      <c r="CR321" s="22"/>
      <c r="CS321" s="23"/>
      <c r="CT321" s="19"/>
      <c r="CU321" s="18" t="s">
        <v>844</v>
      </c>
      <c r="CV321" s="21" t="s">
        <v>154</v>
      </c>
      <c r="CW321" s="23"/>
      <c r="CX321" s="19"/>
      <c r="CY321" s="19"/>
      <c r="CZ321" s="21" t="s">
        <v>114</v>
      </c>
      <c r="DA321" s="23"/>
      <c r="DB321" s="18">
        <v>0.0</v>
      </c>
      <c r="DC321" s="16" t="s">
        <v>145</v>
      </c>
      <c r="DD321" s="16" t="s">
        <v>129</v>
      </c>
      <c r="DE321" s="16" t="s">
        <v>129</v>
      </c>
      <c r="DF321" s="16" t="s">
        <v>129</v>
      </c>
      <c r="DG321" s="16" t="s">
        <v>896</v>
      </c>
      <c r="DH321" s="16" t="s">
        <v>1712</v>
      </c>
      <c r="DI321" s="18" t="s">
        <v>839</v>
      </c>
      <c r="DJ321" s="16" t="s">
        <v>144</v>
      </c>
      <c r="DK321" s="18" t="s">
        <v>844</v>
      </c>
      <c r="DL321" s="18" t="s">
        <v>845</v>
      </c>
      <c r="DM321" s="16" t="s">
        <v>1713</v>
      </c>
      <c r="DN321" s="18" t="s">
        <v>844</v>
      </c>
      <c r="DO321" s="18" t="s">
        <v>845</v>
      </c>
    </row>
    <row r="322" ht="15.75" customHeight="1">
      <c r="A322" s="15">
        <v>320.0</v>
      </c>
      <c r="B322" s="16" t="s">
        <v>1714</v>
      </c>
      <c r="C322" s="17">
        <v>3.1806222500348E13</v>
      </c>
      <c r="D322" s="18">
        <v>92.0</v>
      </c>
      <c r="E322" s="16" t="s">
        <v>444</v>
      </c>
      <c r="F322" s="16" t="s">
        <v>851</v>
      </c>
      <c r="G322" s="16" t="s">
        <v>547</v>
      </c>
      <c r="H322" s="20">
        <v>43273.0</v>
      </c>
      <c r="I322" s="16"/>
      <c r="J322" s="18">
        <v>1.0</v>
      </c>
      <c r="K322" s="16" t="s">
        <v>1708</v>
      </c>
      <c r="L322" s="21" t="s">
        <v>138</v>
      </c>
      <c r="M322" s="23"/>
      <c r="N322" s="19"/>
      <c r="O322" s="19"/>
      <c r="P322" s="19"/>
      <c r="Q322" s="19"/>
      <c r="R322" s="19"/>
      <c r="S322" s="19"/>
      <c r="T322" s="19"/>
      <c r="U322" s="19"/>
      <c r="V322" s="16" t="s">
        <v>674</v>
      </c>
      <c r="W322" s="16" t="s">
        <v>46</v>
      </c>
      <c r="X322" s="19"/>
      <c r="Y322" s="19"/>
      <c r="Z322" s="16" t="s">
        <v>49</v>
      </c>
      <c r="AA322" s="19"/>
      <c r="AB322" s="19"/>
      <c r="AC322" s="19"/>
      <c r="AD322" s="19"/>
      <c r="AE322" s="19"/>
      <c r="AF322" s="19"/>
      <c r="AG322" s="19"/>
      <c r="AH322" s="21" t="s">
        <v>123</v>
      </c>
      <c r="AI322" s="23"/>
      <c r="AJ322" s="16" t="s">
        <v>168</v>
      </c>
      <c r="AK322" s="16" t="s">
        <v>153</v>
      </c>
      <c r="AL322" s="16" t="s">
        <v>181</v>
      </c>
      <c r="AM322" s="16" t="s">
        <v>181</v>
      </c>
      <c r="AN322" s="16" t="s">
        <v>181</v>
      </c>
      <c r="AO322" s="16" t="s">
        <v>126</v>
      </c>
      <c r="AP322" s="16" t="s">
        <v>181</v>
      </c>
      <c r="AQ322" s="16" t="s">
        <v>181</v>
      </c>
      <c r="AR322" s="16" t="s">
        <v>181</v>
      </c>
      <c r="AS322" s="19"/>
      <c r="AT322" s="19"/>
      <c r="AU322" s="19"/>
      <c r="AV322" s="19"/>
      <c r="AW322" s="19"/>
      <c r="AX322" s="19"/>
      <c r="AY322" s="21" t="s">
        <v>71</v>
      </c>
      <c r="AZ322" s="22"/>
      <c r="BA322" s="23"/>
      <c r="BB322" s="19"/>
      <c r="BC322" s="19"/>
      <c r="BD322" s="19"/>
      <c r="BE322" s="19"/>
      <c r="BF322" s="19"/>
      <c r="BG322" s="19"/>
      <c r="BH322" s="19"/>
      <c r="BI322" s="19"/>
      <c r="BJ322" s="21" t="s">
        <v>80</v>
      </c>
      <c r="BK322" s="23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6" t="s">
        <v>676</v>
      </c>
      <c r="CG322" s="16" t="s">
        <v>128</v>
      </c>
      <c r="CH322" s="19"/>
      <c r="CI322" s="19"/>
      <c r="CJ322" s="19"/>
      <c r="CK322" s="19"/>
      <c r="CL322" s="21" t="s">
        <v>104</v>
      </c>
      <c r="CM322" s="23"/>
      <c r="CN322" s="16" t="s">
        <v>128</v>
      </c>
      <c r="CO322" s="19"/>
      <c r="CP322" s="19"/>
      <c r="CQ322" s="19"/>
      <c r="CR322" s="19"/>
      <c r="CS322" s="21" t="s">
        <v>109</v>
      </c>
      <c r="CT322" s="23"/>
      <c r="CU322" s="19"/>
      <c r="CV322" s="16" t="s">
        <v>128</v>
      </c>
      <c r="CW322" s="19"/>
      <c r="CX322" s="19"/>
      <c r="CY322" s="19"/>
      <c r="CZ322" s="19"/>
      <c r="DA322" s="21" t="s">
        <v>115</v>
      </c>
      <c r="DB322" s="23"/>
      <c r="DC322" s="16" t="s">
        <v>129</v>
      </c>
      <c r="DD322" s="16" t="s">
        <v>129</v>
      </c>
      <c r="DE322" s="16" t="s">
        <v>129</v>
      </c>
      <c r="DF322" s="16" t="s">
        <v>145</v>
      </c>
      <c r="DG322" s="16" t="s">
        <v>1715</v>
      </c>
      <c r="DH322" s="16" t="s">
        <v>742</v>
      </c>
      <c r="DI322" s="16" t="s">
        <v>1709</v>
      </c>
      <c r="DJ322" s="16" t="s">
        <v>144</v>
      </c>
      <c r="DK322" s="19"/>
      <c r="DL322" s="19"/>
      <c r="DM322" s="21" t="s">
        <v>679</v>
      </c>
      <c r="DN322" s="23"/>
      <c r="DO322" s="19"/>
    </row>
    <row r="323" ht="15.75" customHeight="1">
      <c r="A323" s="15">
        <v>321.0</v>
      </c>
      <c r="B323" s="16" t="s">
        <v>1716</v>
      </c>
      <c r="C323" s="17">
        <v>3.2005292501963E13</v>
      </c>
      <c r="D323" s="18">
        <v>121.0</v>
      </c>
      <c r="E323" s="16" t="s">
        <v>444</v>
      </c>
      <c r="F323" s="16" t="s">
        <v>1339</v>
      </c>
      <c r="G323" s="16" t="s">
        <v>547</v>
      </c>
      <c r="H323" s="20">
        <v>43614.0</v>
      </c>
      <c r="I323" s="16"/>
      <c r="J323" s="18">
        <v>1.0</v>
      </c>
      <c r="K323" s="16" t="s">
        <v>1717</v>
      </c>
      <c r="L323" s="21" t="s">
        <v>138</v>
      </c>
      <c r="M323" s="23"/>
      <c r="N323" s="19"/>
      <c r="O323" s="19"/>
      <c r="P323" s="19"/>
      <c r="Q323" s="19"/>
      <c r="R323" s="19"/>
      <c r="S323" s="19"/>
      <c r="T323" s="19"/>
      <c r="U323" s="19"/>
      <c r="V323" s="16" t="s">
        <v>144</v>
      </c>
      <c r="W323" s="19"/>
      <c r="X323" s="21" t="s">
        <v>47</v>
      </c>
      <c r="Y323" s="23"/>
      <c r="Z323" s="19"/>
      <c r="AA323" s="19"/>
      <c r="AB323" s="19"/>
      <c r="AC323" s="19"/>
      <c r="AD323" s="19"/>
      <c r="AE323" s="19"/>
      <c r="AF323" s="19"/>
      <c r="AG323" s="19"/>
      <c r="AH323" s="21" t="s">
        <v>357</v>
      </c>
      <c r="AI323" s="23"/>
      <c r="AJ323" s="16" t="s">
        <v>663</v>
      </c>
      <c r="AK323" s="16" t="s">
        <v>153</v>
      </c>
      <c r="AL323" s="16" t="s">
        <v>181</v>
      </c>
      <c r="AM323" s="16" t="s">
        <v>126</v>
      </c>
      <c r="AN323" s="16" t="s">
        <v>126</v>
      </c>
      <c r="AO323" s="16" t="s">
        <v>181</v>
      </c>
      <c r="AP323" s="16" t="s">
        <v>181</v>
      </c>
      <c r="AQ323" s="16" t="s">
        <v>181</v>
      </c>
      <c r="AR323" s="16" t="s">
        <v>181</v>
      </c>
      <c r="AS323" s="21" t="s">
        <v>65</v>
      </c>
      <c r="AT323" s="22"/>
      <c r="AU323" s="23"/>
      <c r="AV323" s="19"/>
      <c r="AW323" s="19"/>
      <c r="AX323" s="19"/>
      <c r="AY323" s="19"/>
      <c r="AZ323" s="16" t="s">
        <v>1718</v>
      </c>
      <c r="BA323" s="19"/>
      <c r="BB323" s="19"/>
      <c r="BC323" s="19"/>
      <c r="BD323" s="19"/>
      <c r="BE323" s="19"/>
      <c r="BF323" s="19"/>
      <c r="BG323" s="21" t="s">
        <v>78</v>
      </c>
      <c r="BH323" s="23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6" t="s">
        <v>144</v>
      </c>
      <c r="CG323" s="16" t="s">
        <v>128</v>
      </c>
      <c r="CH323" s="19"/>
      <c r="CI323" s="19"/>
      <c r="CJ323" s="19"/>
      <c r="CK323" s="19"/>
      <c r="CL323" s="21" t="s">
        <v>104</v>
      </c>
      <c r="CM323" s="23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</row>
    <row r="324" ht="15.75" customHeight="1">
      <c r="A324" s="15">
        <v>322.0</v>
      </c>
      <c r="B324" s="16" t="s">
        <v>1719</v>
      </c>
      <c r="C324" s="17">
        <v>3.1506142503645E13</v>
      </c>
      <c r="D324" s="18">
        <v>64.0</v>
      </c>
      <c r="E324" s="16" t="s">
        <v>1667</v>
      </c>
      <c r="F324" s="16" t="s">
        <v>606</v>
      </c>
      <c r="G324" s="16" t="s">
        <v>547</v>
      </c>
      <c r="H324" s="20">
        <v>42169.0</v>
      </c>
      <c r="I324" s="16"/>
      <c r="J324" s="18">
        <v>1.0</v>
      </c>
      <c r="K324" s="16" t="s">
        <v>1720</v>
      </c>
      <c r="L324" s="21" t="s">
        <v>138</v>
      </c>
      <c r="M324" s="23"/>
      <c r="N324" s="19"/>
      <c r="O324" s="19"/>
      <c r="P324" s="19"/>
      <c r="Q324" s="19"/>
      <c r="R324" s="19"/>
      <c r="S324" s="19"/>
      <c r="T324" s="19"/>
      <c r="U324" s="19"/>
      <c r="V324" s="16" t="s">
        <v>932</v>
      </c>
      <c r="W324" s="16" t="s">
        <v>46</v>
      </c>
      <c r="X324" s="16" t="s">
        <v>47</v>
      </c>
      <c r="Y324" s="21" t="s">
        <v>48</v>
      </c>
      <c r="Z324" s="23"/>
      <c r="AA324" s="19"/>
      <c r="AB324" s="19"/>
      <c r="AC324" s="19"/>
      <c r="AD324" s="19"/>
      <c r="AE324" s="19"/>
      <c r="AF324" s="19"/>
      <c r="AG324" s="18" t="s">
        <v>839</v>
      </c>
      <c r="AH324" s="16" t="s">
        <v>57</v>
      </c>
      <c r="AI324" s="18" t="s">
        <v>839</v>
      </c>
      <c r="AJ324" s="16" t="s">
        <v>168</v>
      </c>
      <c r="AK324" s="16" t="s">
        <v>153</v>
      </c>
      <c r="AL324" s="16" t="s">
        <v>126</v>
      </c>
      <c r="AM324" s="16" t="s">
        <v>126</v>
      </c>
      <c r="AN324" s="16" t="s">
        <v>181</v>
      </c>
      <c r="AO324" s="16" t="s">
        <v>181</v>
      </c>
      <c r="AP324" s="16" t="s">
        <v>181</v>
      </c>
      <c r="AQ324" s="16" t="s">
        <v>181</v>
      </c>
      <c r="AR324" s="16" t="s">
        <v>181</v>
      </c>
      <c r="AS324" s="21" t="s">
        <v>65</v>
      </c>
      <c r="AT324" s="22"/>
      <c r="AU324" s="23"/>
      <c r="AV324" s="19"/>
      <c r="AW324" s="16" t="s">
        <v>69</v>
      </c>
      <c r="AX324" s="21" t="s">
        <v>70</v>
      </c>
      <c r="AY324" s="23"/>
      <c r="AZ324" s="18" t="s">
        <v>844</v>
      </c>
      <c r="BA324" s="19"/>
      <c r="BB324" s="21" t="s">
        <v>74</v>
      </c>
      <c r="BC324" s="22"/>
      <c r="BD324" s="23"/>
      <c r="BE324" s="16" t="s">
        <v>77</v>
      </c>
      <c r="BF324" s="18">
        <v>0.0</v>
      </c>
      <c r="BG324" s="16" t="s">
        <v>78</v>
      </c>
      <c r="BH324" s="21" t="s">
        <v>79</v>
      </c>
      <c r="BI324" s="23"/>
      <c r="BJ324" s="19"/>
      <c r="BK324" s="16" t="s">
        <v>81</v>
      </c>
      <c r="BL324" s="19"/>
      <c r="BM324" s="19"/>
      <c r="BN324" s="16" t="s">
        <v>84</v>
      </c>
      <c r="BO324" s="16" t="s">
        <v>85</v>
      </c>
      <c r="BP324" s="18" t="s">
        <v>839</v>
      </c>
      <c r="BQ324" s="19"/>
      <c r="BR324" s="19"/>
      <c r="BS324" s="19"/>
      <c r="BT324" s="19"/>
      <c r="BU324" s="19"/>
      <c r="BV324" s="19"/>
      <c r="BW324" s="16" t="s">
        <v>92</v>
      </c>
      <c r="BX324" s="18" t="s">
        <v>844</v>
      </c>
      <c r="BY324" s="19"/>
      <c r="BZ324" s="19"/>
      <c r="CA324" s="21" t="s">
        <v>95</v>
      </c>
      <c r="CB324" s="22"/>
      <c r="CC324" s="23"/>
      <c r="CD324" s="19"/>
      <c r="CE324" s="19"/>
      <c r="CF324" s="18" t="s">
        <v>840</v>
      </c>
      <c r="CG324" s="16" t="s">
        <v>128</v>
      </c>
      <c r="CH324" s="19"/>
      <c r="CI324" s="19"/>
      <c r="CJ324" s="21" t="s">
        <v>102</v>
      </c>
      <c r="CK324" s="23"/>
      <c r="CL324" s="16" t="s">
        <v>104</v>
      </c>
      <c r="CM324" s="18" t="s">
        <v>839</v>
      </c>
      <c r="CN324" s="16" t="s">
        <v>128</v>
      </c>
      <c r="CO324" s="21" t="s">
        <v>105</v>
      </c>
      <c r="CP324" s="22"/>
      <c r="CQ324" s="23"/>
      <c r="CR324" s="21" t="s">
        <v>108</v>
      </c>
      <c r="CS324" s="23"/>
      <c r="CT324" s="19"/>
      <c r="CU324" s="18" t="s">
        <v>844</v>
      </c>
      <c r="CV324" s="21" t="s">
        <v>154</v>
      </c>
      <c r="CW324" s="23"/>
      <c r="CX324" s="19"/>
      <c r="CY324" s="19"/>
      <c r="CZ324" s="19"/>
      <c r="DA324" s="16" t="s">
        <v>115</v>
      </c>
      <c r="DB324" s="18" t="s">
        <v>839</v>
      </c>
      <c r="DC324" s="16" t="s">
        <v>129</v>
      </c>
      <c r="DD324" s="16" t="s">
        <v>129</v>
      </c>
      <c r="DE324" s="16" t="s">
        <v>129</v>
      </c>
      <c r="DF324" s="16" t="s">
        <v>129</v>
      </c>
      <c r="DG324" s="16" t="s">
        <v>841</v>
      </c>
      <c r="DH324" s="16" t="s">
        <v>1721</v>
      </c>
      <c r="DI324" s="16" t="s">
        <v>1722</v>
      </c>
      <c r="DJ324" s="16" t="s">
        <v>1104</v>
      </c>
      <c r="DK324" s="16" t="s">
        <v>1071</v>
      </c>
      <c r="DL324" s="18" t="s">
        <v>845</v>
      </c>
      <c r="DM324" s="16" t="s">
        <v>1723</v>
      </c>
      <c r="DN324" s="18" t="s">
        <v>845</v>
      </c>
      <c r="DO324" s="18" t="s">
        <v>845</v>
      </c>
    </row>
    <row r="325" ht="15.75" customHeight="1">
      <c r="A325" s="15">
        <v>323.0</v>
      </c>
      <c r="B325" s="16" t="s">
        <v>1724</v>
      </c>
      <c r="C325" s="17">
        <v>3.1910012500137E13</v>
      </c>
      <c r="D325" s="18">
        <v>93.0</v>
      </c>
      <c r="E325" s="16" t="s">
        <v>444</v>
      </c>
      <c r="F325" s="16" t="s">
        <v>1339</v>
      </c>
      <c r="G325" s="16" t="s">
        <v>547</v>
      </c>
      <c r="H325" s="20">
        <v>43739.0</v>
      </c>
      <c r="I325" s="18">
        <v>1.0</v>
      </c>
      <c r="J325" s="19"/>
      <c r="K325" s="16" t="s">
        <v>1725</v>
      </c>
      <c r="L325" s="21" t="s">
        <v>138</v>
      </c>
      <c r="M325" s="23"/>
      <c r="N325" s="19"/>
      <c r="O325" s="19"/>
      <c r="P325" s="19"/>
      <c r="Q325" s="19"/>
      <c r="R325" s="19"/>
      <c r="S325" s="19"/>
      <c r="T325" s="19"/>
      <c r="U325" s="19"/>
      <c r="V325" s="16" t="s">
        <v>144</v>
      </c>
      <c r="W325" s="19"/>
      <c r="X325" s="21" t="s">
        <v>47</v>
      </c>
      <c r="Y325" s="23"/>
      <c r="Z325" s="19"/>
      <c r="AA325" s="19"/>
      <c r="AB325" s="19"/>
      <c r="AC325" s="19"/>
      <c r="AD325" s="19"/>
      <c r="AE325" s="19"/>
      <c r="AF325" s="19"/>
      <c r="AG325" s="16" t="s">
        <v>1726</v>
      </c>
      <c r="AH325" s="21" t="s">
        <v>123</v>
      </c>
      <c r="AI325" s="23"/>
      <c r="AJ325" s="16" t="s">
        <v>663</v>
      </c>
      <c r="AK325" s="16" t="s">
        <v>153</v>
      </c>
      <c r="AL325" s="16" t="s">
        <v>181</v>
      </c>
      <c r="AM325" s="16" t="s">
        <v>181</v>
      </c>
      <c r="AN325" s="16" t="s">
        <v>181</v>
      </c>
      <c r="AO325" s="16" t="s">
        <v>181</v>
      </c>
      <c r="AP325" s="16" t="s">
        <v>181</v>
      </c>
      <c r="AQ325" s="16" t="s">
        <v>181</v>
      </c>
      <c r="AR325" s="16" t="s">
        <v>181</v>
      </c>
      <c r="AS325" s="21" t="s">
        <v>65</v>
      </c>
      <c r="AT325" s="22"/>
      <c r="AU325" s="23"/>
      <c r="AV325" s="19"/>
      <c r="AW325" s="19"/>
      <c r="AX325" s="19"/>
      <c r="AY325" s="19"/>
      <c r="AZ325" s="16" t="s">
        <v>1727</v>
      </c>
      <c r="BA325" s="19"/>
      <c r="BB325" s="19"/>
      <c r="BC325" s="19"/>
      <c r="BD325" s="19"/>
      <c r="BE325" s="19"/>
      <c r="BF325" s="16" t="s">
        <v>144</v>
      </c>
      <c r="BG325" s="21" t="s">
        <v>78</v>
      </c>
      <c r="BH325" s="23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6" t="s">
        <v>144</v>
      </c>
      <c r="BY325" s="19"/>
      <c r="BZ325" s="19"/>
      <c r="CA325" s="19"/>
      <c r="CB325" s="19"/>
      <c r="CC325" s="19"/>
      <c r="CD325" s="19"/>
      <c r="CE325" s="19"/>
      <c r="CF325" s="16" t="s">
        <v>144</v>
      </c>
      <c r="CG325" s="16" t="s">
        <v>128</v>
      </c>
      <c r="CH325" s="19"/>
      <c r="CI325" s="19"/>
      <c r="CJ325" s="19"/>
      <c r="CK325" s="19"/>
      <c r="CL325" s="21" t="s">
        <v>104</v>
      </c>
      <c r="CM325" s="23"/>
      <c r="CN325" s="16" t="s">
        <v>128</v>
      </c>
      <c r="CO325" s="19"/>
      <c r="CP325" s="19"/>
      <c r="CQ325" s="19"/>
      <c r="CR325" s="19"/>
      <c r="CS325" s="21" t="s">
        <v>109</v>
      </c>
      <c r="CT325" s="23"/>
      <c r="CU325" s="16" t="s">
        <v>1728</v>
      </c>
      <c r="CV325" s="16" t="s">
        <v>128</v>
      </c>
      <c r="CW325" s="19"/>
      <c r="CX325" s="19"/>
      <c r="CY325" s="19"/>
      <c r="CZ325" s="19"/>
      <c r="DA325" s="21" t="s">
        <v>115</v>
      </c>
      <c r="DB325" s="23"/>
      <c r="DC325" s="16" t="s">
        <v>129</v>
      </c>
      <c r="DD325" s="16" t="s">
        <v>129</v>
      </c>
      <c r="DE325" s="16" t="s">
        <v>129</v>
      </c>
      <c r="DF325" s="16" t="s">
        <v>129</v>
      </c>
      <c r="DG325" s="16" t="s">
        <v>1729</v>
      </c>
      <c r="DH325" s="16" t="s">
        <v>1730</v>
      </c>
      <c r="DI325" s="16" t="s">
        <v>1731</v>
      </c>
      <c r="DJ325" s="16" t="s">
        <v>144</v>
      </c>
      <c r="DK325" s="19"/>
      <c r="DL325" s="19"/>
      <c r="DM325" s="21" t="s">
        <v>1732</v>
      </c>
      <c r="DN325" s="22"/>
      <c r="DO325" s="23"/>
    </row>
    <row r="326" ht="15.75" customHeight="1">
      <c r="A326" s="15">
        <v>324.0</v>
      </c>
      <c r="B326" s="16" t="s">
        <v>1733</v>
      </c>
      <c r="C326" s="17">
        <v>3.0510052503364E13</v>
      </c>
      <c r="D326" s="18">
        <v>121.0</v>
      </c>
      <c r="E326" s="16" t="s">
        <v>1667</v>
      </c>
      <c r="F326" s="16" t="s">
        <v>606</v>
      </c>
      <c r="G326" s="16" t="s">
        <v>547</v>
      </c>
      <c r="H326" s="25">
        <v>38643.0</v>
      </c>
      <c r="I326" s="16"/>
      <c r="J326" s="18">
        <v>1.0</v>
      </c>
      <c r="K326" s="16" t="s">
        <v>1711</v>
      </c>
      <c r="L326" s="21" t="s">
        <v>138</v>
      </c>
      <c r="M326" s="23"/>
      <c r="N326" s="19"/>
      <c r="O326" s="19"/>
      <c r="P326" s="19"/>
      <c r="Q326" s="19"/>
      <c r="R326" s="19"/>
      <c r="S326" s="19"/>
      <c r="T326" s="19"/>
      <c r="U326" s="19"/>
      <c r="V326" s="21" t="s">
        <v>919</v>
      </c>
      <c r="W326" s="22"/>
      <c r="X326" s="22"/>
      <c r="Y326" s="23"/>
      <c r="Z326" s="19"/>
      <c r="AA326" s="19"/>
      <c r="AB326" s="21" t="s">
        <v>51</v>
      </c>
      <c r="AC326" s="23"/>
      <c r="AD326" s="19"/>
      <c r="AE326" s="19"/>
      <c r="AF326" s="19"/>
      <c r="AG326" s="18" t="s">
        <v>839</v>
      </c>
      <c r="AH326" s="16" t="s">
        <v>57</v>
      </c>
      <c r="AI326" s="18" t="s">
        <v>839</v>
      </c>
      <c r="AJ326" s="16" t="s">
        <v>168</v>
      </c>
      <c r="AK326" s="16" t="s">
        <v>142</v>
      </c>
      <c r="AL326" s="16" t="s">
        <v>126</v>
      </c>
      <c r="AM326" s="16" t="s">
        <v>126</v>
      </c>
      <c r="AN326" s="16" t="s">
        <v>126</v>
      </c>
      <c r="AO326" s="16" t="s">
        <v>126</v>
      </c>
      <c r="AP326" s="16" t="s">
        <v>126</v>
      </c>
      <c r="AQ326" s="16" t="s">
        <v>126</v>
      </c>
      <c r="AR326" s="16" t="s">
        <v>181</v>
      </c>
      <c r="AS326" s="21" t="s">
        <v>65</v>
      </c>
      <c r="AT326" s="22"/>
      <c r="AU326" s="23"/>
      <c r="AV326" s="19"/>
      <c r="AW326" s="19"/>
      <c r="AX326" s="19"/>
      <c r="AY326" s="19"/>
      <c r="AZ326" s="18" t="s">
        <v>839</v>
      </c>
      <c r="BA326" s="19"/>
      <c r="BB326" s="19"/>
      <c r="BC326" s="19"/>
      <c r="BD326" s="16" t="s">
        <v>76</v>
      </c>
      <c r="BE326" s="16" t="s">
        <v>77</v>
      </c>
      <c r="BF326" s="18">
        <v>0.0</v>
      </c>
      <c r="BG326" s="19"/>
      <c r="BH326" s="19"/>
      <c r="BI326" s="21" t="s">
        <v>52</v>
      </c>
      <c r="BJ326" s="23"/>
      <c r="BK326" s="19"/>
      <c r="BL326" s="19"/>
      <c r="BM326" s="19"/>
      <c r="BN326" s="19"/>
      <c r="BO326" s="19"/>
      <c r="BP326" s="18" t="s">
        <v>839</v>
      </c>
      <c r="BQ326" s="19"/>
      <c r="BR326" s="19"/>
      <c r="BS326" s="21" t="s">
        <v>88</v>
      </c>
      <c r="BT326" s="23"/>
      <c r="BU326" s="19"/>
      <c r="BV326" s="19"/>
      <c r="BW326" s="16" t="s">
        <v>92</v>
      </c>
      <c r="BX326" s="18" t="s">
        <v>844</v>
      </c>
      <c r="BY326" s="19"/>
      <c r="BZ326" s="19"/>
      <c r="CA326" s="21" t="s">
        <v>95</v>
      </c>
      <c r="CB326" s="22"/>
      <c r="CC326" s="23"/>
      <c r="CD326" s="19"/>
      <c r="CE326" s="19"/>
      <c r="CF326" s="18" t="s">
        <v>839</v>
      </c>
      <c r="CG326" s="16" t="s">
        <v>128</v>
      </c>
      <c r="CH326" s="21" t="s">
        <v>100</v>
      </c>
      <c r="CI326" s="23"/>
      <c r="CJ326" s="19"/>
      <c r="CK326" s="19"/>
      <c r="CL326" s="16" t="s">
        <v>104</v>
      </c>
      <c r="CM326" s="18" t="s">
        <v>844</v>
      </c>
      <c r="CN326" s="16" t="s">
        <v>128</v>
      </c>
      <c r="CO326" s="21" t="s">
        <v>105</v>
      </c>
      <c r="CP326" s="22"/>
      <c r="CQ326" s="23"/>
      <c r="CR326" s="19"/>
      <c r="CS326" s="19"/>
      <c r="CT326" s="16" t="s">
        <v>110</v>
      </c>
      <c r="CU326" s="18" t="s">
        <v>839</v>
      </c>
      <c r="CV326" s="21" t="s">
        <v>154</v>
      </c>
      <c r="CW326" s="23"/>
      <c r="CX326" s="19"/>
      <c r="CY326" s="19"/>
      <c r="CZ326" s="19"/>
      <c r="DA326" s="16" t="s">
        <v>115</v>
      </c>
      <c r="DB326" s="18">
        <v>0.0</v>
      </c>
      <c r="DC326" s="16" t="s">
        <v>129</v>
      </c>
      <c r="DD326" s="16" t="s">
        <v>129</v>
      </c>
      <c r="DE326" s="16" t="s">
        <v>145</v>
      </c>
      <c r="DF326" s="16" t="s">
        <v>145</v>
      </c>
      <c r="DG326" s="16" t="s">
        <v>896</v>
      </c>
      <c r="DH326" s="16" t="s">
        <v>1734</v>
      </c>
      <c r="DI326" s="16" t="s">
        <v>1735</v>
      </c>
      <c r="DJ326" s="16" t="s">
        <v>1450</v>
      </c>
      <c r="DK326" s="18" t="s">
        <v>844</v>
      </c>
      <c r="DL326" s="18" t="s">
        <v>845</v>
      </c>
      <c r="DM326" s="16" t="s">
        <v>1475</v>
      </c>
      <c r="DN326" s="18" t="s">
        <v>844</v>
      </c>
      <c r="DO326" s="18" t="s">
        <v>845</v>
      </c>
    </row>
    <row r="327" ht="15.75" customHeight="1">
      <c r="A327" s="15">
        <v>325.0</v>
      </c>
      <c r="B327" s="16" t="s">
        <v>1736</v>
      </c>
      <c r="C327" s="17">
        <v>3.2001052504153E13</v>
      </c>
      <c r="D327" s="18">
        <v>137.0</v>
      </c>
      <c r="E327" s="16" t="s">
        <v>444</v>
      </c>
      <c r="F327" s="16" t="s">
        <v>1339</v>
      </c>
      <c r="G327" s="16" t="s">
        <v>547</v>
      </c>
      <c r="H327" s="20">
        <v>43835.0</v>
      </c>
      <c r="I327" s="18">
        <v>1.0</v>
      </c>
      <c r="J327" s="19"/>
      <c r="K327" s="16" t="s">
        <v>1737</v>
      </c>
      <c r="L327" s="21" t="s">
        <v>138</v>
      </c>
      <c r="M327" s="23"/>
      <c r="N327" s="19"/>
      <c r="O327" s="19"/>
      <c r="P327" s="19"/>
      <c r="Q327" s="19"/>
      <c r="R327" s="19"/>
      <c r="S327" s="19"/>
      <c r="T327" s="19"/>
      <c r="U327" s="19"/>
      <c r="V327" s="16" t="s">
        <v>144</v>
      </c>
      <c r="W327" s="16" t="s">
        <v>46</v>
      </c>
      <c r="X327" s="19"/>
      <c r="Y327" s="19"/>
      <c r="Z327" s="19"/>
      <c r="AA327" s="19"/>
      <c r="AB327" s="19"/>
      <c r="AC327" s="19"/>
      <c r="AD327" s="19"/>
      <c r="AE327" s="19"/>
      <c r="AF327" s="19"/>
      <c r="AG327" s="16" t="s">
        <v>1738</v>
      </c>
      <c r="AH327" s="21" t="s">
        <v>357</v>
      </c>
      <c r="AI327" s="23"/>
      <c r="AJ327" s="16" t="s">
        <v>663</v>
      </c>
      <c r="AK327" s="16" t="s">
        <v>153</v>
      </c>
      <c r="AL327" s="16" t="s">
        <v>126</v>
      </c>
      <c r="AM327" s="16" t="s">
        <v>143</v>
      </c>
      <c r="AN327" s="16" t="s">
        <v>126</v>
      </c>
      <c r="AO327" s="16" t="s">
        <v>143</v>
      </c>
      <c r="AP327" s="16" t="s">
        <v>597</v>
      </c>
      <c r="AQ327" s="16" t="s">
        <v>143</v>
      </c>
      <c r="AR327" s="16" t="s">
        <v>143</v>
      </c>
      <c r="AS327" s="19"/>
      <c r="AT327" s="19"/>
      <c r="AU327" s="19"/>
      <c r="AV327" s="19"/>
      <c r="AW327" s="19"/>
      <c r="AX327" s="19"/>
      <c r="AY327" s="19"/>
      <c r="AZ327" s="16" t="s">
        <v>1739</v>
      </c>
      <c r="BA327" s="19"/>
      <c r="BB327" s="19"/>
      <c r="BC327" s="19"/>
      <c r="BD327" s="19"/>
      <c r="BE327" s="19"/>
      <c r="BF327" s="19"/>
      <c r="BG327" s="19"/>
      <c r="BH327" s="21" t="s">
        <v>79</v>
      </c>
      <c r="BI327" s="23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6" t="s">
        <v>144</v>
      </c>
      <c r="BY327" s="19"/>
      <c r="BZ327" s="19"/>
      <c r="CA327" s="19"/>
      <c r="CB327" s="19"/>
      <c r="CC327" s="19"/>
      <c r="CD327" s="19"/>
      <c r="CE327" s="19"/>
      <c r="CF327" s="16" t="s">
        <v>1740</v>
      </c>
      <c r="CG327" s="16" t="s">
        <v>128</v>
      </c>
      <c r="CH327" s="19"/>
      <c r="CI327" s="19"/>
      <c r="CJ327" s="19"/>
      <c r="CK327" s="19"/>
      <c r="CL327" s="19"/>
      <c r="CM327" s="16" t="s">
        <v>1741</v>
      </c>
      <c r="CN327" s="16" t="s">
        <v>128</v>
      </c>
      <c r="CO327" s="21" t="s">
        <v>105</v>
      </c>
      <c r="CP327" s="22"/>
      <c r="CQ327" s="23"/>
      <c r="CR327" s="19"/>
      <c r="CS327" s="19"/>
      <c r="CT327" s="19"/>
      <c r="CU327" s="19"/>
      <c r="CV327" s="16" t="s">
        <v>128</v>
      </c>
      <c r="CW327" s="19"/>
      <c r="CX327" s="19"/>
      <c r="CY327" s="19"/>
      <c r="CZ327" s="21" t="s">
        <v>114</v>
      </c>
      <c r="DA327" s="23"/>
      <c r="DB327" s="16" t="s">
        <v>1742</v>
      </c>
      <c r="DC327" s="16" t="s">
        <v>129</v>
      </c>
      <c r="DD327" s="16" t="s">
        <v>129</v>
      </c>
      <c r="DE327" s="16" t="s">
        <v>129</v>
      </c>
      <c r="DF327" s="16" t="s">
        <v>129</v>
      </c>
      <c r="DG327" s="16" t="s">
        <v>1678</v>
      </c>
      <c r="DH327" s="21" t="s">
        <v>1743</v>
      </c>
      <c r="DI327" s="23"/>
      <c r="DJ327" s="21" t="s">
        <v>699</v>
      </c>
      <c r="DK327" s="23"/>
      <c r="DL327" s="19"/>
      <c r="DM327" s="21" t="s">
        <v>1744</v>
      </c>
      <c r="DN327" s="23"/>
      <c r="DO327" s="19"/>
    </row>
    <row r="328" ht="15.75" customHeight="1">
      <c r="A328" s="15">
        <v>326.0</v>
      </c>
      <c r="B328" s="16" t="s">
        <v>1745</v>
      </c>
      <c r="C328" s="17">
        <v>3.3200806250096E13</v>
      </c>
      <c r="D328" s="18">
        <v>228.0</v>
      </c>
      <c r="E328" s="16" t="s">
        <v>1667</v>
      </c>
      <c r="F328" s="16" t="s">
        <v>606</v>
      </c>
      <c r="G328" s="16" t="s">
        <v>547</v>
      </c>
      <c r="H328" s="20">
        <v>44049.0</v>
      </c>
      <c r="I328" s="18">
        <v>1.0</v>
      </c>
      <c r="J328" s="19"/>
      <c r="K328" s="16" t="s">
        <v>1746</v>
      </c>
      <c r="L328" s="21" t="s">
        <v>138</v>
      </c>
      <c r="M328" s="23"/>
      <c r="N328" s="19"/>
      <c r="O328" s="19"/>
      <c r="P328" s="19"/>
      <c r="Q328" s="19"/>
      <c r="R328" s="19"/>
      <c r="S328" s="19"/>
      <c r="T328" s="19"/>
      <c r="U328" s="19"/>
      <c r="V328" s="21" t="s">
        <v>932</v>
      </c>
      <c r="W328" s="23"/>
      <c r="X328" s="21" t="s">
        <v>47</v>
      </c>
      <c r="Y328" s="23"/>
      <c r="Z328" s="19"/>
      <c r="AA328" s="19"/>
      <c r="AB328" s="19"/>
      <c r="AC328" s="19"/>
      <c r="AD328" s="19"/>
      <c r="AE328" s="19"/>
      <c r="AF328" s="19"/>
      <c r="AG328" s="18" t="s">
        <v>839</v>
      </c>
      <c r="AH328" s="16" t="s">
        <v>57</v>
      </c>
      <c r="AI328" s="18" t="s">
        <v>839</v>
      </c>
      <c r="AJ328" s="16" t="s">
        <v>124</v>
      </c>
      <c r="AK328" s="16" t="s">
        <v>153</v>
      </c>
      <c r="AL328" s="16" t="s">
        <v>181</v>
      </c>
      <c r="AM328" s="16" t="s">
        <v>181</v>
      </c>
      <c r="AN328" s="16" t="s">
        <v>181</v>
      </c>
      <c r="AO328" s="16" t="s">
        <v>181</v>
      </c>
      <c r="AP328" s="16" t="s">
        <v>181</v>
      </c>
      <c r="AQ328" s="16" t="s">
        <v>181</v>
      </c>
      <c r="AR328" s="16" t="s">
        <v>181</v>
      </c>
      <c r="AS328" s="21" t="s">
        <v>65</v>
      </c>
      <c r="AT328" s="22"/>
      <c r="AU328" s="23"/>
      <c r="AV328" s="19"/>
      <c r="AW328" s="16" t="s">
        <v>69</v>
      </c>
      <c r="AX328" s="16" t="s">
        <v>70</v>
      </c>
      <c r="AY328" s="16" t="s">
        <v>71</v>
      </c>
      <c r="AZ328" s="18" t="s">
        <v>839</v>
      </c>
      <c r="BA328" s="19"/>
      <c r="BB328" s="21" t="s">
        <v>74</v>
      </c>
      <c r="BC328" s="22"/>
      <c r="BD328" s="23"/>
      <c r="BE328" s="16" t="s">
        <v>77</v>
      </c>
      <c r="BF328" s="18">
        <v>0.0</v>
      </c>
      <c r="BG328" s="21" t="s">
        <v>78</v>
      </c>
      <c r="BH328" s="23"/>
      <c r="BI328" s="19"/>
      <c r="BJ328" s="19"/>
      <c r="BK328" s="19"/>
      <c r="BL328" s="19"/>
      <c r="BM328" s="19"/>
      <c r="BN328" s="16" t="s">
        <v>84</v>
      </c>
      <c r="BO328" s="16" t="s">
        <v>85</v>
      </c>
      <c r="BP328" s="18" t="s">
        <v>839</v>
      </c>
      <c r="BQ328" s="19"/>
      <c r="BR328" s="19"/>
      <c r="BS328" s="19"/>
      <c r="BT328" s="19"/>
      <c r="BU328" s="19"/>
      <c r="BV328" s="19"/>
      <c r="BW328" s="16" t="s">
        <v>92</v>
      </c>
      <c r="BX328" s="18" t="s">
        <v>844</v>
      </c>
      <c r="BY328" s="19"/>
      <c r="BZ328" s="19"/>
      <c r="CA328" s="21" t="s">
        <v>95</v>
      </c>
      <c r="CB328" s="22"/>
      <c r="CC328" s="23"/>
      <c r="CD328" s="19"/>
      <c r="CE328" s="19"/>
      <c r="CF328" s="18" t="s">
        <v>840</v>
      </c>
      <c r="CG328" s="16" t="s">
        <v>128</v>
      </c>
      <c r="CH328" s="21" t="s">
        <v>100</v>
      </c>
      <c r="CI328" s="23"/>
      <c r="CJ328" s="21" t="s">
        <v>102</v>
      </c>
      <c r="CK328" s="23"/>
      <c r="CL328" s="16" t="s">
        <v>104</v>
      </c>
      <c r="CM328" s="18" t="s">
        <v>839</v>
      </c>
      <c r="CN328" s="16" t="s">
        <v>128</v>
      </c>
      <c r="CO328" s="21" t="s">
        <v>105</v>
      </c>
      <c r="CP328" s="22"/>
      <c r="CQ328" s="23"/>
      <c r="CR328" s="19"/>
      <c r="CS328" s="19"/>
      <c r="CT328" s="16" t="s">
        <v>110</v>
      </c>
      <c r="CU328" s="18" t="s">
        <v>844</v>
      </c>
      <c r="CV328" s="21" t="s">
        <v>154</v>
      </c>
      <c r="CW328" s="23"/>
      <c r="CX328" s="19"/>
      <c r="CY328" s="19"/>
      <c r="CZ328" s="21" t="s">
        <v>114</v>
      </c>
      <c r="DA328" s="23"/>
      <c r="DB328" s="18" t="s">
        <v>844</v>
      </c>
      <c r="DC328" s="16" t="s">
        <v>129</v>
      </c>
      <c r="DD328" s="16" t="s">
        <v>129</v>
      </c>
      <c r="DE328" s="16" t="s">
        <v>129</v>
      </c>
      <c r="DF328" s="16" t="s">
        <v>129</v>
      </c>
      <c r="DG328" s="16" t="s">
        <v>841</v>
      </c>
      <c r="DH328" s="16" t="s">
        <v>873</v>
      </c>
      <c r="DI328" s="16" t="s">
        <v>1747</v>
      </c>
      <c r="DJ328" s="16" t="s">
        <v>915</v>
      </c>
      <c r="DK328" s="16" t="s">
        <v>1071</v>
      </c>
      <c r="DL328" s="18" t="s">
        <v>845</v>
      </c>
      <c r="DM328" s="16" t="s">
        <v>1088</v>
      </c>
      <c r="DN328" s="18" t="s">
        <v>844</v>
      </c>
      <c r="DO328" s="18" t="s">
        <v>845</v>
      </c>
    </row>
    <row r="329" ht="15.75" customHeight="1">
      <c r="A329" s="15">
        <v>327.0</v>
      </c>
      <c r="B329" s="16" t="s">
        <v>1748</v>
      </c>
      <c r="C329" s="17">
        <v>3.105222500745E12</v>
      </c>
      <c r="D329" s="18">
        <v>129.0</v>
      </c>
      <c r="E329" s="16" t="s">
        <v>444</v>
      </c>
      <c r="F329" s="16" t="s">
        <v>851</v>
      </c>
      <c r="G329" s="16" t="s">
        <v>547</v>
      </c>
      <c r="H329" s="25">
        <v>40473.0</v>
      </c>
      <c r="I329" s="16"/>
      <c r="J329" s="18">
        <v>1.0</v>
      </c>
      <c r="K329" s="16" t="s">
        <v>1749</v>
      </c>
      <c r="L329" s="21" t="s">
        <v>138</v>
      </c>
      <c r="M329" s="23"/>
      <c r="N329" s="19"/>
      <c r="O329" s="19"/>
      <c r="P329" s="19"/>
      <c r="Q329" s="19"/>
      <c r="R329" s="19"/>
      <c r="S329" s="19"/>
      <c r="T329" s="19"/>
      <c r="U329" s="19"/>
      <c r="V329" s="16" t="s">
        <v>674</v>
      </c>
      <c r="W329" s="16" t="s">
        <v>46</v>
      </c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21" t="s">
        <v>123</v>
      </c>
      <c r="AI329" s="23"/>
      <c r="AJ329" s="16" t="s">
        <v>168</v>
      </c>
      <c r="AK329" s="16" t="s">
        <v>153</v>
      </c>
      <c r="AL329" s="16" t="s">
        <v>181</v>
      </c>
      <c r="AM329" s="16" t="s">
        <v>126</v>
      </c>
      <c r="AN329" s="16" t="s">
        <v>181</v>
      </c>
      <c r="AO329" s="16" t="s">
        <v>181</v>
      </c>
      <c r="AP329" s="16" t="s">
        <v>143</v>
      </c>
      <c r="AQ329" s="16" t="s">
        <v>126</v>
      </c>
      <c r="AR329" s="16" t="s">
        <v>126</v>
      </c>
      <c r="AS329" s="19"/>
      <c r="AT329" s="19"/>
      <c r="AU329" s="19"/>
      <c r="AV329" s="19"/>
      <c r="AW329" s="19"/>
      <c r="AX329" s="19"/>
      <c r="AY329" s="21" t="s">
        <v>71</v>
      </c>
      <c r="AZ329" s="22"/>
      <c r="BA329" s="23"/>
      <c r="BB329" s="19"/>
      <c r="BC329" s="19"/>
      <c r="BD329" s="19"/>
      <c r="BE329" s="21" t="s">
        <v>77</v>
      </c>
      <c r="BF329" s="22"/>
      <c r="BG329" s="22"/>
      <c r="BH329" s="23"/>
      <c r="BI329" s="19"/>
      <c r="BJ329" s="19"/>
      <c r="BK329" s="19"/>
      <c r="BL329" s="21" t="s">
        <v>82</v>
      </c>
      <c r="BM329" s="23"/>
      <c r="BN329" s="19"/>
      <c r="BO329" s="19"/>
      <c r="BP329" s="19"/>
      <c r="BQ329" s="19"/>
      <c r="BR329" s="19"/>
      <c r="BS329" s="19"/>
      <c r="BT329" s="19"/>
      <c r="BU329" s="19"/>
      <c r="BV329" s="19"/>
      <c r="BW329" s="21" t="s">
        <v>92</v>
      </c>
      <c r="BX329" s="22"/>
      <c r="BY329" s="23"/>
      <c r="BZ329" s="19"/>
      <c r="CA329" s="19"/>
      <c r="CB329" s="19"/>
      <c r="CC329" s="19"/>
      <c r="CD329" s="19"/>
      <c r="CE329" s="19"/>
      <c r="CF329" s="16" t="s">
        <v>1750</v>
      </c>
      <c r="CG329" s="16" t="s">
        <v>128</v>
      </c>
      <c r="CH329" s="19"/>
      <c r="CI329" s="19"/>
      <c r="CJ329" s="21" t="s">
        <v>102</v>
      </c>
      <c r="CK329" s="22"/>
      <c r="CL329" s="23"/>
      <c r="CM329" s="19"/>
      <c r="CN329" s="16" t="s">
        <v>128</v>
      </c>
      <c r="CO329" s="19"/>
      <c r="CP329" s="19"/>
      <c r="CQ329" s="19"/>
      <c r="CR329" s="19"/>
      <c r="CS329" s="21" t="s">
        <v>109</v>
      </c>
      <c r="CT329" s="23"/>
      <c r="CU329" s="19"/>
      <c r="CV329" s="16" t="s">
        <v>128</v>
      </c>
      <c r="CW329" s="19"/>
      <c r="CX329" s="21" t="s">
        <v>112</v>
      </c>
      <c r="CY329" s="22"/>
      <c r="CZ329" s="23"/>
      <c r="DA329" s="19"/>
      <c r="DB329" s="19"/>
      <c r="DC329" s="16" t="s">
        <v>129</v>
      </c>
      <c r="DD329" s="16" t="s">
        <v>129</v>
      </c>
      <c r="DE329" s="16" t="s">
        <v>129</v>
      </c>
      <c r="DF329" s="16" t="s">
        <v>129</v>
      </c>
      <c r="DG329" s="16" t="s">
        <v>707</v>
      </c>
      <c r="DH329" s="16" t="s">
        <v>79</v>
      </c>
      <c r="DI329" s="16" t="s">
        <v>1709</v>
      </c>
      <c r="DJ329" s="16" t="s">
        <v>144</v>
      </c>
      <c r="DK329" s="19"/>
      <c r="DL329" s="19"/>
      <c r="DM329" s="21" t="s">
        <v>708</v>
      </c>
      <c r="DN329" s="23"/>
      <c r="DO329" s="19"/>
    </row>
    <row r="330" ht="15.75" customHeight="1">
      <c r="A330" s="15">
        <v>328.0</v>
      </c>
      <c r="B330" s="16" t="s">
        <v>1751</v>
      </c>
      <c r="C330" s="17">
        <v>3.2007312501739E13</v>
      </c>
      <c r="D330" s="18">
        <v>172.0</v>
      </c>
      <c r="E330" s="16" t="s">
        <v>444</v>
      </c>
      <c r="F330" s="16" t="s">
        <v>1339</v>
      </c>
      <c r="G330" s="16" t="s">
        <v>547</v>
      </c>
      <c r="H330" s="20">
        <v>44043.0</v>
      </c>
      <c r="I330" s="18">
        <v>1.0</v>
      </c>
      <c r="J330" s="19"/>
      <c r="K330" s="16" t="s">
        <v>1674</v>
      </c>
      <c r="L330" s="21" t="s">
        <v>138</v>
      </c>
      <c r="M330" s="23"/>
      <c r="N330" s="19"/>
      <c r="O330" s="19"/>
      <c r="P330" s="19"/>
      <c r="Q330" s="19"/>
      <c r="R330" s="19"/>
      <c r="S330" s="19"/>
      <c r="T330" s="19"/>
      <c r="U330" s="19"/>
      <c r="V330" s="16" t="s">
        <v>144</v>
      </c>
      <c r="W330" s="19"/>
      <c r="X330" s="21" t="s">
        <v>47</v>
      </c>
      <c r="Y330" s="23"/>
      <c r="Z330" s="19"/>
      <c r="AA330" s="19"/>
      <c r="AB330" s="19"/>
      <c r="AC330" s="19"/>
      <c r="AD330" s="19"/>
      <c r="AE330" s="19"/>
      <c r="AF330" s="19"/>
      <c r="AG330" s="16" t="s">
        <v>1011</v>
      </c>
      <c r="AH330" s="21" t="s">
        <v>357</v>
      </c>
      <c r="AI330" s="23"/>
      <c r="AJ330" s="16" t="s">
        <v>663</v>
      </c>
      <c r="AK330" s="16" t="s">
        <v>153</v>
      </c>
      <c r="AL330" s="16" t="s">
        <v>181</v>
      </c>
      <c r="AM330" s="16" t="s">
        <v>181</v>
      </c>
      <c r="AN330" s="16" t="s">
        <v>181</v>
      </c>
      <c r="AO330" s="16" t="s">
        <v>181</v>
      </c>
      <c r="AP330" s="16" t="s">
        <v>181</v>
      </c>
      <c r="AQ330" s="16" t="s">
        <v>181</v>
      </c>
      <c r="AR330" s="16" t="s">
        <v>181</v>
      </c>
      <c r="AS330" s="19"/>
      <c r="AT330" s="19"/>
      <c r="AU330" s="19"/>
      <c r="AV330" s="19"/>
      <c r="AW330" s="19"/>
      <c r="AX330" s="19"/>
      <c r="AY330" s="16" t="s">
        <v>71</v>
      </c>
      <c r="AZ330" s="21" t="s">
        <v>1752</v>
      </c>
      <c r="BA330" s="23"/>
      <c r="BB330" s="19"/>
      <c r="BC330" s="19"/>
      <c r="BD330" s="19"/>
      <c r="BE330" s="19"/>
      <c r="BF330" s="19"/>
      <c r="BG330" s="19"/>
      <c r="BH330" s="21" t="s">
        <v>79</v>
      </c>
      <c r="BI330" s="23"/>
      <c r="BJ330" s="19"/>
      <c r="BK330" s="19"/>
      <c r="BL330" s="19"/>
      <c r="BM330" s="19"/>
      <c r="BN330" s="19"/>
      <c r="BO330" s="19"/>
      <c r="BP330" s="21" t="s">
        <v>1753</v>
      </c>
      <c r="BQ330" s="23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6" t="s">
        <v>144</v>
      </c>
      <c r="CG330" s="16" t="s">
        <v>128</v>
      </c>
      <c r="CH330" s="21" t="s">
        <v>100</v>
      </c>
      <c r="CI330" s="23"/>
      <c r="CJ330" s="19"/>
      <c r="CK330" s="19"/>
      <c r="CL330" s="19"/>
      <c r="CM330" s="16" t="s">
        <v>1754</v>
      </c>
      <c r="CN330" s="16" t="s">
        <v>128</v>
      </c>
      <c r="CO330" s="19"/>
      <c r="CP330" s="19"/>
      <c r="CQ330" s="19"/>
      <c r="CR330" s="19"/>
      <c r="CS330" s="21" t="s">
        <v>109</v>
      </c>
      <c r="CT330" s="23"/>
      <c r="CU330" s="16" t="s">
        <v>1755</v>
      </c>
      <c r="CV330" s="16" t="s">
        <v>128</v>
      </c>
      <c r="CW330" s="19"/>
      <c r="CX330" s="19"/>
      <c r="CY330" s="19"/>
      <c r="CZ330" s="21" t="s">
        <v>114</v>
      </c>
      <c r="DA330" s="23"/>
      <c r="DB330" s="16" t="s">
        <v>1756</v>
      </c>
      <c r="DC330" s="16" t="s">
        <v>602</v>
      </c>
      <c r="DD330" s="16" t="s">
        <v>602</v>
      </c>
      <c r="DE330" s="16" t="s">
        <v>602</v>
      </c>
      <c r="DF330" s="16" t="s">
        <v>602</v>
      </c>
      <c r="DG330" s="16" t="s">
        <v>1757</v>
      </c>
      <c r="DH330" s="16" t="s">
        <v>1758</v>
      </c>
      <c r="DI330" s="16" t="s">
        <v>1759</v>
      </c>
      <c r="DJ330" s="21" t="s">
        <v>1760</v>
      </c>
      <c r="DK330" s="23"/>
      <c r="DL330" s="19"/>
      <c r="DM330" s="21" t="s">
        <v>1761</v>
      </c>
      <c r="DN330" s="23"/>
      <c r="DO330" s="19"/>
    </row>
    <row r="331" ht="15.75" customHeight="1">
      <c r="A331" s="15">
        <v>329.0</v>
      </c>
      <c r="B331" s="16" t="s">
        <v>1762</v>
      </c>
      <c r="C331" s="17">
        <v>3.1105292502774E13</v>
      </c>
      <c r="D331" s="18">
        <v>60.0</v>
      </c>
      <c r="E331" s="16" t="s">
        <v>1667</v>
      </c>
      <c r="F331" s="16" t="s">
        <v>606</v>
      </c>
      <c r="G331" s="16" t="s">
        <v>547</v>
      </c>
      <c r="H331" s="20">
        <v>40692.0</v>
      </c>
      <c r="I331" s="18">
        <v>1.0</v>
      </c>
      <c r="J331" s="19"/>
      <c r="K331" s="16" t="s">
        <v>1763</v>
      </c>
      <c r="L331" s="21" t="s">
        <v>138</v>
      </c>
      <c r="M331" s="23"/>
      <c r="N331" s="19"/>
      <c r="O331" s="19"/>
      <c r="P331" s="19"/>
      <c r="Q331" s="19"/>
      <c r="R331" s="19"/>
      <c r="S331" s="19"/>
      <c r="T331" s="19"/>
      <c r="U331" s="19"/>
      <c r="V331" s="21" t="s">
        <v>932</v>
      </c>
      <c r="W331" s="23"/>
      <c r="X331" s="21" t="s">
        <v>47</v>
      </c>
      <c r="Y331" s="23"/>
      <c r="Z331" s="19"/>
      <c r="AA331" s="19"/>
      <c r="AB331" s="19"/>
      <c r="AC331" s="19"/>
      <c r="AD331" s="19"/>
      <c r="AE331" s="19"/>
      <c r="AF331" s="19"/>
      <c r="AG331" s="18" t="s">
        <v>839</v>
      </c>
      <c r="AH331" s="16" t="s">
        <v>57</v>
      </c>
      <c r="AI331" s="18" t="s">
        <v>844</v>
      </c>
      <c r="AJ331" s="16" t="s">
        <v>168</v>
      </c>
      <c r="AK331" s="16" t="s">
        <v>153</v>
      </c>
      <c r="AL331" s="16" t="s">
        <v>181</v>
      </c>
      <c r="AM331" s="16" t="s">
        <v>126</v>
      </c>
      <c r="AN331" s="16" t="s">
        <v>181</v>
      </c>
      <c r="AO331" s="16" t="s">
        <v>181</v>
      </c>
      <c r="AP331" s="16" t="s">
        <v>181</v>
      </c>
      <c r="AQ331" s="16" t="s">
        <v>181</v>
      </c>
      <c r="AR331" s="16" t="s">
        <v>181</v>
      </c>
      <c r="AS331" s="21" t="s">
        <v>65</v>
      </c>
      <c r="AT331" s="22"/>
      <c r="AU331" s="23"/>
      <c r="AV331" s="16" t="s">
        <v>68</v>
      </c>
      <c r="AW331" s="16" t="s">
        <v>69</v>
      </c>
      <c r="AX331" s="16" t="s">
        <v>70</v>
      </c>
      <c r="AY331" s="16" t="s">
        <v>71</v>
      </c>
      <c r="AZ331" s="18" t="s">
        <v>839</v>
      </c>
      <c r="BA331" s="19"/>
      <c r="BB331" s="21" t="s">
        <v>74</v>
      </c>
      <c r="BC331" s="23"/>
      <c r="BD331" s="16" t="s">
        <v>76</v>
      </c>
      <c r="BE331" s="16" t="s">
        <v>77</v>
      </c>
      <c r="BF331" s="18" t="s">
        <v>839</v>
      </c>
      <c r="BG331" s="16" t="s">
        <v>78</v>
      </c>
      <c r="BH331" s="21" t="s">
        <v>79</v>
      </c>
      <c r="BI331" s="23"/>
      <c r="BJ331" s="19"/>
      <c r="BK331" s="19"/>
      <c r="BL331" s="19"/>
      <c r="BM331" s="19"/>
      <c r="BN331" s="19"/>
      <c r="BO331" s="19"/>
      <c r="BP331" s="18" t="s">
        <v>839</v>
      </c>
      <c r="BQ331" s="19"/>
      <c r="BR331" s="19"/>
      <c r="BS331" s="19"/>
      <c r="BT331" s="19"/>
      <c r="BU331" s="19"/>
      <c r="BV331" s="19"/>
      <c r="BW331" s="16" t="s">
        <v>92</v>
      </c>
      <c r="BX331" s="18" t="s">
        <v>844</v>
      </c>
      <c r="BY331" s="19"/>
      <c r="BZ331" s="16" t="s">
        <v>94</v>
      </c>
      <c r="CA331" s="21" t="s">
        <v>95</v>
      </c>
      <c r="CB331" s="22"/>
      <c r="CC331" s="23"/>
      <c r="CD331" s="19"/>
      <c r="CE331" s="19"/>
      <c r="CF331" s="18" t="s">
        <v>839</v>
      </c>
      <c r="CG331" s="16" t="s">
        <v>128</v>
      </c>
      <c r="CH331" s="19"/>
      <c r="CI331" s="16" t="s">
        <v>101</v>
      </c>
      <c r="CJ331" s="21" t="s">
        <v>102</v>
      </c>
      <c r="CK331" s="23"/>
      <c r="CL331" s="16" t="s">
        <v>104</v>
      </c>
      <c r="CM331" s="18" t="s">
        <v>844</v>
      </c>
      <c r="CN331" s="16" t="s">
        <v>128</v>
      </c>
      <c r="CO331" s="19"/>
      <c r="CP331" s="19"/>
      <c r="CQ331" s="19"/>
      <c r="CR331" s="21" t="s">
        <v>108</v>
      </c>
      <c r="CS331" s="23"/>
      <c r="CT331" s="16" t="s">
        <v>110</v>
      </c>
      <c r="CU331" s="18" t="s">
        <v>839</v>
      </c>
      <c r="CV331" s="21" t="s">
        <v>154</v>
      </c>
      <c r="CW331" s="23"/>
      <c r="CX331" s="19"/>
      <c r="CY331" s="19"/>
      <c r="CZ331" s="16" t="s">
        <v>114</v>
      </c>
      <c r="DA331" s="16" t="s">
        <v>115</v>
      </c>
      <c r="DB331" s="18" t="s">
        <v>839</v>
      </c>
      <c r="DC331" s="16" t="s">
        <v>129</v>
      </c>
      <c r="DD331" s="16" t="s">
        <v>129</v>
      </c>
      <c r="DE331" s="16" t="s">
        <v>129</v>
      </c>
      <c r="DF331" s="16" t="s">
        <v>129</v>
      </c>
      <c r="DG331" s="16" t="s">
        <v>841</v>
      </c>
      <c r="DH331" s="16" t="s">
        <v>873</v>
      </c>
      <c r="DI331" s="16" t="s">
        <v>843</v>
      </c>
      <c r="DJ331" s="16" t="s">
        <v>1764</v>
      </c>
      <c r="DK331" s="16" t="s">
        <v>1071</v>
      </c>
      <c r="DL331" s="18" t="s">
        <v>845</v>
      </c>
      <c r="DM331" s="16" t="s">
        <v>930</v>
      </c>
      <c r="DN331" s="18" t="s">
        <v>844</v>
      </c>
      <c r="DO331" s="18" t="s">
        <v>845</v>
      </c>
    </row>
    <row r="332" ht="15.75" customHeight="1">
      <c r="A332" s="15">
        <v>330.0</v>
      </c>
      <c r="B332" s="16" t="s">
        <v>1765</v>
      </c>
      <c r="C332" s="17">
        <v>3.11911082503014E14</v>
      </c>
      <c r="D332" s="18">
        <v>122.0</v>
      </c>
      <c r="E332" s="16" t="s">
        <v>444</v>
      </c>
      <c r="F332" s="16" t="s">
        <v>1339</v>
      </c>
      <c r="G332" s="16" t="s">
        <v>547</v>
      </c>
      <c r="H332" s="25">
        <v>45578.0</v>
      </c>
      <c r="I332" s="18">
        <v>1.0</v>
      </c>
      <c r="J332" s="19"/>
      <c r="K332" s="16" t="s">
        <v>1766</v>
      </c>
      <c r="L332" s="16" t="s">
        <v>138</v>
      </c>
      <c r="M332" s="21" t="s">
        <v>36</v>
      </c>
      <c r="N332" s="22"/>
      <c r="O332" s="22"/>
      <c r="P332" s="23"/>
      <c r="Q332" s="19"/>
      <c r="R332" s="19"/>
      <c r="S332" s="19"/>
      <c r="T332" s="19"/>
      <c r="U332" s="19"/>
      <c r="V332" s="19"/>
      <c r="W332" s="16" t="s">
        <v>46</v>
      </c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21" t="s">
        <v>357</v>
      </c>
      <c r="AI332" s="23"/>
      <c r="AJ332" s="16" t="s">
        <v>663</v>
      </c>
      <c r="AK332" s="16" t="s">
        <v>153</v>
      </c>
      <c r="AL332" s="16" t="s">
        <v>181</v>
      </c>
      <c r="AM332" s="16" t="s">
        <v>181</v>
      </c>
      <c r="AN332" s="16" t="s">
        <v>181</v>
      </c>
      <c r="AO332" s="16" t="s">
        <v>181</v>
      </c>
      <c r="AP332" s="16" t="s">
        <v>181</v>
      </c>
      <c r="AQ332" s="16" t="s">
        <v>181</v>
      </c>
      <c r="AR332" s="16" t="s">
        <v>181</v>
      </c>
      <c r="AS332" s="21" t="s">
        <v>65</v>
      </c>
      <c r="AT332" s="22"/>
      <c r="AU332" s="23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21" t="s">
        <v>78</v>
      </c>
      <c r="BH332" s="23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21" t="s">
        <v>93</v>
      </c>
      <c r="BZ332" s="22"/>
      <c r="CA332" s="23"/>
      <c r="CB332" s="19"/>
      <c r="CC332" s="19"/>
      <c r="CD332" s="19"/>
      <c r="CE332" s="19"/>
      <c r="CF332" s="19"/>
      <c r="CG332" s="16" t="s">
        <v>128</v>
      </c>
      <c r="CH332" s="19"/>
      <c r="CI332" s="21" t="s">
        <v>101</v>
      </c>
      <c r="CJ332" s="22"/>
      <c r="CK332" s="23"/>
      <c r="CL332" s="19"/>
      <c r="CM332" s="19"/>
      <c r="CN332" s="16" t="s">
        <v>128</v>
      </c>
      <c r="CO332" s="21" t="s">
        <v>105</v>
      </c>
      <c r="CP332" s="22"/>
      <c r="CQ332" s="23"/>
      <c r="CR332" s="19"/>
      <c r="CS332" s="19"/>
      <c r="CT332" s="19"/>
      <c r="CU332" s="16" t="s">
        <v>575</v>
      </c>
      <c r="CV332" s="16" t="s">
        <v>128</v>
      </c>
      <c r="CW332" s="21" t="s">
        <v>111</v>
      </c>
      <c r="CX332" s="22"/>
      <c r="CY332" s="23"/>
      <c r="CZ332" s="19"/>
      <c r="DA332" s="19"/>
      <c r="DB332" s="16" t="s">
        <v>1767</v>
      </c>
      <c r="DC332" s="16" t="s">
        <v>129</v>
      </c>
      <c r="DD332" s="16" t="s">
        <v>129</v>
      </c>
      <c r="DE332" s="16" t="s">
        <v>129</v>
      </c>
      <c r="DF332" s="16" t="s">
        <v>129</v>
      </c>
      <c r="DG332" s="16" t="s">
        <v>1199</v>
      </c>
      <c r="DH332" s="16" t="s">
        <v>1768</v>
      </c>
      <c r="DI332" s="16" t="s">
        <v>1769</v>
      </c>
      <c r="DJ332" s="16" t="s">
        <v>127</v>
      </c>
      <c r="DK332" s="19"/>
      <c r="DL332" s="19"/>
      <c r="DM332" s="16" t="s">
        <v>144</v>
      </c>
      <c r="DN332" s="19"/>
      <c r="DO332" s="19"/>
    </row>
    <row r="333" ht="15.75" customHeight="1">
      <c r="A333" s="15">
        <v>331.0</v>
      </c>
      <c r="B333" s="16" t="s">
        <v>1770</v>
      </c>
      <c r="C333" s="17">
        <v>2.8903102501654E13</v>
      </c>
      <c r="D333" s="18">
        <v>90.0</v>
      </c>
      <c r="E333" s="16" t="s">
        <v>1667</v>
      </c>
      <c r="F333" s="16" t="s">
        <v>606</v>
      </c>
      <c r="G333" s="16" t="s">
        <v>547</v>
      </c>
      <c r="H333" s="20">
        <v>32577.0</v>
      </c>
      <c r="I333" s="18">
        <v>1.0</v>
      </c>
      <c r="J333" s="19"/>
      <c r="K333" s="16" t="s">
        <v>1771</v>
      </c>
      <c r="L333" s="21" t="s">
        <v>138</v>
      </c>
      <c r="M333" s="23"/>
      <c r="N333" s="19"/>
      <c r="O333" s="19"/>
      <c r="P333" s="19"/>
      <c r="Q333" s="19"/>
      <c r="R333" s="19"/>
      <c r="S333" s="19"/>
      <c r="T333" s="19"/>
      <c r="U333" s="19"/>
      <c r="V333" s="21" t="s">
        <v>919</v>
      </c>
      <c r="W333" s="22"/>
      <c r="X333" s="22"/>
      <c r="Y333" s="23"/>
      <c r="Z333" s="19"/>
      <c r="AA333" s="19"/>
      <c r="AB333" s="21" t="s">
        <v>51</v>
      </c>
      <c r="AC333" s="23"/>
      <c r="AD333" s="19"/>
      <c r="AE333" s="19"/>
      <c r="AF333" s="19"/>
      <c r="AG333" s="18" t="s">
        <v>839</v>
      </c>
      <c r="AH333" s="16" t="s">
        <v>57</v>
      </c>
      <c r="AI333" s="18" t="s">
        <v>839</v>
      </c>
      <c r="AJ333" s="16" t="s">
        <v>168</v>
      </c>
      <c r="AK333" s="16" t="s">
        <v>142</v>
      </c>
      <c r="AL333" s="16" t="s">
        <v>181</v>
      </c>
      <c r="AM333" s="16" t="s">
        <v>126</v>
      </c>
      <c r="AN333" s="16" t="s">
        <v>181</v>
      </c>
      <c r="AO333" s="16" t="s">
        <v>181</v>
      </c>
      <c r="AP333" s="16" t="s">
        <v>181</v>
      </c>
      <c r="AQ333" s="16" t="s">
        <v>181</v>
      </c>
      <c r="AR333" s="16" t="s">
        <v>181</v>
      </c>
      <c r="AS333" s="19"/>
      <c r="AT333" s="19"/>
      <c r="AU333" s="19"/>
      <c r="AV333" s="19"/>
      <c r="AW333" s="19"/>
      <c r="AX333" s="19"/>
      <c r="AY333" s="19"/>
      <c r="AZ333" s="21" t="s">
        <v>1772</v>
      </c>
      <c r="BA333" s="23"/>
      <c r="BB333" s="21" t="s">
        <v>74</v>
      </c>
      <c r="BC333" s="22"/>
      <c r="BD333" s="23"/>
      <c r="BE333" s="16" t="s">
        <v>77</v>
      </c>
      <c r="BF333" s="18" t="s">
        <v>839</v>
      </c>
      <c r="BG333" s="19"/>
      <c r="BH333" s="19"/>
      <c r="BI333" s="19"/>
      <c r="BJ333" s="19"/>
      <c r="BK333" s="19"/>
      <c r="BL333" s="19"/>
      <c r="BM333" s="19"/>
      <c r="BN333" s="16" t="s">
        <v>84</v>
      </c>
      <c r="BO333" s="16" t="s">
        <v>85</v>
      </c>
      <c r="BP333" s="18" t="s">
        <v>839</v>
      </c>
      <c r="BQ333" s="19"/>
      <c r="BR333" s="19"/>
      <c r="BS333" s="21" t="s">
        <v>88</v>
      </c>
      <c r="BT333" s="23"/>
      <c r="BU333" s="19"/>
      <c r="BV333" s="19"/>
      <c r="BW333" s="16" t="s">
        <v>92</v>
      </c>
      <c r="BX333" s="18" t="s">
        <v>844</v>
      </c>
      <c r="BY333" s="19"/>
      <c r="BZ333" s="19"/>
      <c r="CA333" s="19"/>
      <c r="CB333" s="19"/>
      <c r="CC333" s="21" t="s">
        <v>97</v>
      </c>
      <c r="CD333" s="23"/>
      <c r="CE333" s="19"/>
      <c r="CF333" s="18" t="s">
        <v>840</v>
      </c>
      <c r="CG333" s="16" t="s">
        <v>128</v>
      </c>
      <c r="CH333" s="19"/>
      <c r="CI333" s="19"/>
      <c r="CJ333" s="19"/>
      <c r="CK333" s="19"/>
      <c r="CL333" s="16" t="s">
        <v>104</v>
      </c>
      <c r="CM333" s="18" t="s">
        <v>844</v>
      </c>
      <c r="CN333" s="16" t="s">
        <v>128</v>
      </c>
      <c r="CO333" s="16" t="s">
        <v>105</v>
      </c>
      <c r="CP333" s="21" t="s">
        <v>106</v>
      </c>
      <c r="CQ333" s="23"/>
      <c r="CR333" s="21" t="s">
        <v>108</v>
      </c>
      <c r="CS333" s="23"/>
      <c r="CT333" s="19"/>
      <c r="CU333" s="18" t="s">
        <v>839</v>
      </c>
      <c r="CV333" s="21" t="s">
        <v>154</v>
      </c>
      <c r="CW333" s="23"/>
      <c r="CX333" s="19"/>
      <c r="CY333" s="19"/>
      <c r="CZ333" s="21" t="s">
        <v>114</v>
      </c>
      <c r="DA333" s="23"/>
      <c r="DB333" s="18">
        <v>0.0</v>
      </c>
      <c r="DC333" s="16" t="s">
        <v>145</v>
      </c>
      <c r="DD333" s="16" t="s">
        <v>129</v>
      </c>
      <c r="DE333" s="16" t="s">
        <v>129</v>
      </c>
      <c r="DF333" s="16" t="s">
        <v>129</v>
      </c>
      <c r="DG333" s="16" t="s">
        <v>896</v>
      </c>
      <c r="DH333" s="16" t="s">
        <v>1773</v>
      </c>
      <c r="DI333" s="16" t="s">
        <v>1774</v>
      </c>
      <c r="DJ333" s="16" t="s">
        <v>1775</v>
      </c>
      <c r="DK333" s="18" t="s">
        <v>844</v>
      </c>
      <c r="DL333" s="18" t="s">
        <v>845</v>
      </c>
      <c r="DM333" s="16" t="s">
        <v>1088</v>
      </c>
      <c r="DN333" s="16" t="s">
        <v>1109</v>
      </c>
      <c r="DO333" s="18" t="s">
        <v>845</v>
      </c>
    </row>
    <row r="334" ht="15.75" customHeight="1">
      <c r="A334" s="15">
        <v>332.0</v>
      </c>
      <c r="B334" s="16" t="s">
        <v>1776</v>
      </c>
      <c r="C334" s="17">
        <v>2.8401072500882E13</v>
      </c>
      <c r="D334" s="18">
        <v>77.0</v>
      </c>
      <c r="E334" s="16" t="s">
        <v>1777</v>
      </c>
      <c r="F334" s="16" t="s">
        <v>851</v>
      </c>
      <c r="G334" s="16" t="s">
        <v>547</v>
      </c>
      <c r="H334" s="20">
        <v>30688.0</v>
      </c>
      <c r="I334" s="16"/>
      <c r="J334" s="18">
        <v>1.0</v>
      </c>
      <c r="K334" s="16" t="s">
        <v>1778</v>
      </c>
      <c r="L334" s="21" t="s">
        <v>138</v>
      </c>
      <c r="M334" s="23"/>
      <c r="N334" s="19"/>
      <c r="O334" s="19"/>
      <c r="P334" s="19"/>
      <c r="Q334" s="19"/>
      <c r="R334" s="19"/>
      <c r="S334" s="19"/>
      <c r="T334" s="19"/>
      <c r="U334" s="19"/>
      <c r="V334" s="21" t="s">
        <v>1779</v>
      </c>
      <c r="W334" s="23"/>
      <c r="X334" s="19"/>
      <c r="Y334" s="19"/>
      <c r="Z334" s="19"/>
      <c r="AA334" s="19"/>
      <c r="AB334" s="21" t="s">
        <v>51</v>
      </c>
      <c r="AC334" s="23"/>
      <c r="AD334" s="19"/>
      <c r="AE334" s="19"/>
      <c r="AF334" s="19"/>
      <c r="AG334" s="16" t="s">
        <v>1780</v>
      </c>
      <c r="AH334" s="21" t="s">
        <v>152</v>
      </c>
      <c r="AI334" s="23"/>
      <c r="AJ334" s="16" t="s">
        <v>168</v>
      </c>
      <c r="AK334" s="16" t="s">
        <v>142</v>
      </c>
      <c r="AL334" s="16" t="s">
        <v>126</v>
      </c>
      <c r="AM334" s="16" t="s">
        <v>126</v>
      </c>
      <c r="AN334" s="16" t="s">
        <v>181</v>
      </c>
      <c r="AO334" s="16" t="s">
        <v>181</v>
      </c>
      <c r="AP334" s="16" t="s">
        <v>181</v>
      </c>
      <c r="AQ334" s="16" t="s">
        <v>181</v>
      </c>
      <c r="AR334" s="16" t="s">
        <v>181</v>
      </c>
      <c r="AS334" s="19"/>
      <c r="AT334" s="19"/>
      <c r="AU334" s="19"/>
      <c r="AV334" s="19"/>
      <c r="AW334" s="19"/>
      <c r="AX334" s="19"/>
      <c r="AY334" s="19"/>
      <c r="AZ334" s="19"/>
      <c r="BA334" s="16" t="s">
        <v>73</v>
      </c>
      <c r="BB334" s="21" t="s">
        <v>74</v>
      </c>
      <c r="BC334" s="22"/>
      <c r="BD334" s="23"/>
      <c r="BE334" s="21" t="s">
        <v>77</v>
      </c>
      <c r="BF334" s="22"/>
      <c r="BG334" s="22"/>
      <c r="BH334" s="23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21" t="s">
        <v>88</v>
      </c>
      <c r="BT334" s="23"/>
      <c r="BU334" s="21" t="s">
        <v>90</v>
      </c>
      <c r="BV334" s="23"/>
      <c r="BW334" s="21" t="s">
        <v>92</v>
      </c>
      <c r="BX334" s="22"/>
      <c r="BY334" s="23"/>
      <c r="BZ334" s="19"/>
      <c r="CA334" s="19"/>
      <c r="CB334" s="21" t="s">
        <v>96</v>
      </c>
      <c r="CC334" s="23"/>
      <c r="CD334" s="19"/>
      <c r="CE334" s="21" t="s">
        <v>99</v>
      </c>
      <c r="CF334" s="23"/>
      <c r="CG334" s="16" t="s">
        <v>128</v>
      </c>
      <c r="CH334" s="19"/>
      <c r="CI334" s="19"/>
      <c r="CJ334" s="19"/>
      <c r="CK334" s="19"/>
      <c r="CL334" s="21" t="s">
        <v>104</v>
      </c>
      <c r="CM334" s="23"/>
      <c r="CN334" s="16" t="s">
        <v>128</v>
      </c>
      <c r="CO334" s="16" t="s">
        <v>105</v>
      </c>
      <c r="CP334" s="16" t="s">
        <v>106</v>
      </c>
      <c r="CQ334" s="16" t="s">
        <v>107</v>
      </c>
      <c r="CR334" s="21" t="s">
        <v>108</v>
      </c>
      <c r="CS334" s="23"/>
      <c r="CT334" s="19"/>
      <c r="CU334" s="19"/>
      <c r="CV334" s="16" t="s">
        <v>128</v>
      </c>
      <c r="CW334" s="19"/>
      <c r="CX334" s="19"/>
      <c r="CY334" s="16" t="s">
        <v>113</v>
      </c>
      <c r="CZ334" s="16" t="s">
        <v>114</v>
      </c>
      <c r="DA334" s="21" t="s">
        <v>115</v>
      </c>
      <c r="DB334" s="23"/>
      <c r="DC334" s="16" t="s">
        <v>129</v>
      </c>
      <c r="DD334" s="16" t="s">
        <v>129</v>
      </c>
      <c r="DE334" s="16" t="s">
        <v>129</v>
      </c>
      <c r="DF334" s="16" t="s">
        <v>129</v>
      </c>
      <c r="DG334" s="16" t="s">
        <v>1781</v>
      </c>
      <c r="DH334" s="21" t="s">
        <v>1782</v>
      </c>
      <c r="DI334" s="23"/>
      <c r="DJ334" s="21" t="s">
        <v>1783</v>
      </c>
      <c r="DK334" s="22"/>
      <c r="DL334" s="23"/>
      <c r="DM334" s="16" t="s">
        <v>1784</v>
      </c>
      <c r="DN334" s="21" t="s">
        <v>365</v>
      </c>
      <c r="DO334" s="23"/>
    </row>
    <row r="335" ht="15.75" customHeight="1">
      <c r="A335" s="15">
        <v>333.0</v>
      </c>
      <c r="B335" s="16" t="s">
        <v>1785</v>
      </c>
      <c r="C335" s="17">
        <v>2.3807172501034E13</v>
      </c>
      <c r="D335" s="18">
        <v>55.0</v>
      </c>
      <c r="E335" s="16" t="s">
        <v>1777</v>
      </c>
      <c r="F335" s="16" t="s">
        <v>851</v>
      </c>
      <c r="G335" s="16" t="s">
        <v>547</v>
      </c>
      <c r="H335" s="20">
        <v>14078.0</v>
      </c>
      <c r="I335" s="18">
        <v>1.0</v>
      </c>
      <c r="J335" s="19"/>
      <c r="K335" s="16" t="s">
        <v>1778</v>
      </c>
      <c r="L335" s="21" t="s">
        <v>138</v>
      </c>
      <c r="M335" s="23"/>
      <c r="N335" s="19"/>
      <c r="O335" s="19"/>
      <c r="P335" s="19"/>
      <c r="Q335" s="19"/>
      <c r="R335" s="19"/>
      <c r="S335" s="19"/>
      <c r="T335" s="19"/>
      <c r="U335" s="19"/>
      <c r="V335" s="21" t="s">
        <v>1779</v>
      </c>
      <c r="W335" s="23"/>
      <c r="X335" s="19"/>
      <c r="Y335" s="19"/>
      <c r="Z335" s="19"/>
      <c r="AA335" s="19"/>
      <c r="AB335" s="16" t="s">
        <v>51</v>
      </c>
      <c r="AC335" s="16" t="s">
        <v>52</v>
      </c>
      <c r="AD335" s="16" t="s">
        <v>53</v>
      </c>
      <c r="AE335" s="19"/>
      <c r="AF335" s="19"/>
      <c r="AG335" s="19"/>
      <c r="AH335" s="21" t="s">
        <v>152</v>
      </c>
      <c r="AI335" s="23"/>
      <c r="AJ335" s="16" t="s">
        <v>168</v>
      </c>
      <c r="AK335" s="16" t="s">
        <v>142</v>
      </c>
      <c r="AL335" s="16" t="s">
        <v>126</v>
      </c>
      <c r="AM335" s="16" t="s">
        <v>181</v>
      </c>
      <c r="AN335" s="16" t="s">
        <v>126</v>
      </c>
      <c r="AO335" s="16" t="s">
        <v>126</v>
      </c>
      <c r="AP335" s="16" t="s">
        <v>181</v>
      </c>
      <c r="AQ335" s="16" t="s">
        <v>181</v>
      </c>
      <c r="AR335" s="16" t="s">
        <v>181</v>
      </c>
      <c r="AS335" s="19"/>
      <c r="AT335" s="19"/>
      <c r="AU335" s="19"/>
      <c r="AV335" s="19"/>
      <c r="AW335" s="19"/>
      <c r="AX335" s="19"/>
      <c r="AY335" s="19"/>
      <c r="AZ335" s="19"/>
      <c r="BA335" s="16" t="s">
        <v>73</v>
      </c>
      <c r="BB335" s="21" t="s">
        <v>74</v>
      </c>
      <c r="BC335" s="22"/>
      <c r="BD335" s="23"/>
      <c r="BE335" s="21" t="s">
        <v>77</v>
      </c>
      <c r="BF335" s="22"/>
      <c r="BG335" s="22"/>
      <c r="BH335" s="23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21" t="s">
        <v>88</v>
      </c>
      <c r="BT335" s="23"/>
      <c r="BU335" s="21" t="s">
        <v>90</v>
      </c>
      <c r="BV335" s="23"/>
      <c r="BW335" s="21" t="s">
        <v>92</v>
      </c>
      <c r="BX335" s="22"/>
      <c r="BY335" s="23"/>
      <c r="BZ335" s="19"/>
      <c r="CA335" s="19"/>
      <c r="CB335" s="16" t="s">
        <v>96</v>
      </c>
      <c r="CC335" s="21" t="s">
        <v>97</v>
      </c>
      <c r="CD335" s="23"/>
      <c r="CE335" s="21" t="s">
        <v>99</v>
      </c>
      <c r="CF335" s="23"/>
      <c r="CG335" s="16" t="s">
        <v>128</v>
      </c>
      <c r="CH335" s="19"/>
      <c r="CI335" s="19"/>
      <c r="CJ335" s="19"/>
      <c r="CK335" s="19"/>
      <c r="CL335" s="21" t="s">
        <v>104</v>
      </c>
      <c r="CM335" s="23"/>
      <c r="CN335" s="16" t="s">
        <v>128</v>
      </c>
      <c r="CO335" s="16" t="s">
        <v>105</v>
      </c>
      <c r="CP335" s="16" t="s">
        <v>106</v>
      </c>
      <c r="CQ335" s="21" t="s">
        <v>107</v>
      </c>
      <c r="CR335" s="22"/>
      <c r="CS335" s="23"/>
      <c r="CT335" s="19"/>
      <c r="CU335" s="19"/>
      <c r="CV335" s="16" t="s">
        <v>128</v>
      </c>
      <c r="CW335" s="19"/>
      <c r="CX335" s="19"/>
      <c r="CY335" s="19"/>
      <c r="CZ335" s="16" t="s">
        <v>114</v>
      </c>
      <c r="DA335" s="21" t="s">
        <v>115</v>
      </c>
      <c r="DB335" s="23"/>
      <c r="DC335" s="16" t="s">
        <v>145</v>
      </c>
      <c r="DD335" s="16" t="s">
        <v>129</v>
      </c>
      <c r="DE335" s="16" t="s">
        <v>129</v>
      </c>
      <c r="DF335" s="16" t="s">
        <v>129</v>
      </c>
      <c r="DG335" s="16" t="s">
        <v>1781</v>
      </c>
      <c r="DH335" s="21" t="s">
        <v>1782</v>
      </c>
      <c r="DI335" s="23"/>
      <c r="DJ335" s="21" t="s">
        <v>1783</v>
      </c>
      <c r="DK335" s="22"/>
      <c r="DL335" s="23"/>
      <c r="DM335" s="21" t="s">
        <v>1784</v>
      </c>
      <c r="DN335" s="23"/>
      <c r="DO335" s="19"/>
    </row>
    <row r="336" ht="15.75" customHeight="1">
      <c r="A336" s="15">
        <v>334.0</v>
      </c>
      <c r="B336" s="16" t="s">
        <v>1786</v>
      </c>
      <c r="C336" s="17">
        <v>3.1707062500209E13</v>
      </c>
      <c r="D336" s="18">
        <v>202.0</v>
      </c>
      <c r="E336" s="16" t="s">
        <v>1667</v>
      </c>
      <c r="F336" s="16" t="s">
        <v>606</v>
      </c>
      <c r="G336" s="16" t="s">
        <v>547</v>
      </c>
      <c r="H336" s="20">
        <v>42892.0</v>
      </c>
      <c r="I336" s="16"/>
      <c r="J336" s="18">
        <v>1.0</v>
      </c>
      <c r="K336" s="16" t="s">
        <v>1668</v>
      </c>
      <c r="L336" s="21" t="s">
        <v>138</v>
      </c>
      <c r="M336" s="23"/>
      <c r="N336" s="19"/>
      <c r="O336" s="19"/>
      <c r="P336" s="19"/>
      <c r="Q336" s="19"/>
      <c r="R336" s="19"/>
      <c r="S336" s="19"/>
      <c r="T336" s="19"/>
      <c r="U336" s="19"/>
      <c r="V336" s="16" t="s">
        <v>932</v>
      </c>
      <c r="W336" s="16" t="s">
        <v>46</v>
      </c>
      <c r="X336" s="19"/>
      <c r="Y336" s="21" t="s">
        <v>48</v>
      </c>
      <c r="Z336" s="23"/>
      <c r="AA336" s="19"/>
      <c r="AB336" s="19"/>
      <c r="AC336" s="19"/>
      <c r="AD336" s="19"/>
      <c r="AE336" s="19"/>
      <c r="AF336" s="19"/>
      <c r="AG336" s="18" t="s">
        <v>839</v>
      </c>
      <c r="AH336" s="16" t="s">
        <v>57</v>
      </c>
      <c r="AI336" s="18" t="s">
        <v>839</v>
      </c>
      <c r="AJ336" s="16" t="s">
        <v>168</v>
      </c>
      <c r="AK336" s="16" t="s">
        <v>153</v>
      </c>
      <c r="AL336" s="16" t="s">
        <v>181</v>
      </c>
      <c r="AM336" s="16" t="s">
        <v>181</v>
      </c>
      <c r="AN336" s="16" t="s">
        <v>181</v>
      </c>
      <c r="AO336" s="16" t="s">
        <v>181</v>
      </c>
      <c r="AP336" s="16" t="s">
        <v>181</v>
      </c>
      <c r="AQ336" s="16" t="s">
        <v>181</v>
      </c>
      <c r="AR336" s="16" t="s">
        <v>181</v>
      </c>
      <c r="AS336" s="21" t="s">
        <v>65</v>
      </c>
      <c r="AT336" s="22"/>
      <c r="AU336" s="23"/>
      <c r="AV336" s="21" t="s">
        <v>68</v>
      </c>
      <c r="AW336" s="23"/>
      <c r="AX336" s="16" t="s">
        <v>70</v>
      </c>
      <c r="AY336" s="16" t="s">
        <v>71</v>
      </c>
      <c r="AZ336" s="18" t="s">
        <v>839</v>
      </c>
      <c r="BA336" s="19"/>
      <c r="BB336" s="19"/>
      <c r="BC336" s="19"/>
      <c r="BD336" s="16" t="s">
        <v>76</v>
      </c>
      <c r="BE336" s="16" t="s">
        <v>77</v>
      </c>
      <c r="BF336" s="18" t="s">
        <v>844</v>
      </c>
      <c r="BG336" s="21" t="s">
        <v>78</v>
      </c>
      <c r="BH336" s="23"/>
      <c r="BI336" s="19"/>
      <c r="BJ336" s="19"/>
      <c r="BK336" s="16" t="s">
        <v>81</v>
      </c>
      <c r="BL336" s="19"/>
      <c r="BM336" s="19"/>
      <c r="BN336" s="21" t="s">
        <v>84</v>
      </c>
      <c r="BO336" s="23"/>
      <c r="BP336" s="18" t="s">
        <v>839</v>
      </c>
      <c r="BQ336" s="19"/>
      <c r="BR336" s="19"/>
      <c r="BS336" s="19"/>
      <c r="BT336" s="19"/>
      <c r="BU336" s="21" t="s">
        <v>90</v>
      </c>
      <c r="BV336" s="23"/>
      <c r="BW336" s="16" t="s">
        <v>92</v>
      </c>
      <c r="BX336" s="18" t="s">
        <v>844</v>
      </c>
      <c r="BY336" s="21" t="s">
        <v>93</v>
      </c>
      <c r="BZ336" s="23"/>
      <c r="CA336" s="21" t="s">
        <v>95</v>
      </c>
      <c r="CB336" s="22"/>
      <c r="CC336" s="23"/>
      <c r="CD336" s="19"/>
      <c r="CE336" s="19"/>
      <c r="CF336" s="18" t="s">
        <v>844</v>
      </c>
      <c r="CG336" s="16" t="s">
        <v>128</v>
      </c>
      <c r="CH336" s="21" t="s">
        <v>100</v>
      </c>
      <c r="CI336" s="23"/>
      <c r="CJ336" s="19"/>
      <c r="CK336" s="16" t="s">
        <v>103</v>
      </c>
      <c r="CL336" s="16" t="s">
        <v>104</v>
      </c>
      <c r="CM336" s="18" t="s">
        <v>839</v>
      </c>
      <c r="CN336" s="16" t="s">
        <v>128</v>
      </c>
      <c r="CO336" s="21" t="s">
        <v>105</v>
      </c>
      <c r="CP336" s="22"/>
      <c r="CQ336" s="23"/>
      <c r="CR336" s="21" t="s">
        <v>108</v>
      </c>
      <c r="CS336" s="23"/>
      <c r="CT336" s="16" t="s">
        <v>110</v>
      </c>
      <c r="CU336" s="18" t="s">
        <v>844</v>
      </c>
      <c r="CV336" s="16" t="s">
        <v>128</v>
      </c>
      <c r="CW336" s="19"/>
      <c r="CX336" s="21" t="s">
        <v>112</v>
      </c>
      <c r="CY336" s="22"/>
      <c r="CZ336" s="23"/>
      <c r="DA336" s="16" t="s">
        <v>115</v>
      </c>
      <c r="DB336" s="18" t="s">
        <v>839</v>
      </c>
      <c r="DC336" s="16" t="s">
        <v>129</v>
      </c>
      <c r="DD336" s="16" t="s">
        <v>129</v>
      </c>
      <c r="DE336" s="16" t="s">
        <v>129</v>
      </c>
      <c r="DF336" s="16" t="s">
        <v>129</v>
      </c>
      <c r="DG336" s="16" t="s">
        <v>841</v>
      </c>
      <c r="DH336" s="16" t="s">
        <v>873</v>
      </c>
      <c r="DI336" s="16" t="s">
        <v>1087</v>
      </c>
      <c r="DJ336" s="16" t="s">
        <v>1126</v>
      </c>
      <c r="DK336" s="18" t="s">
        <v>844</v>
      </c>
      <c r="DL336" s="18" t="s">
        <v>845</v>
      </c>
      <c r="DM336" s="16" t="s">
        <v>1244</v>
      </c>
      <c r="DN336" s="18" t="s">
        <v>844</v>
      </c>
      <c r="DO336" s="18" t="s">
        <v>845</v>
      </c>
    </row>
    <row r="337" ht="15.75" customHeight="1">
      <c r="A337" s="15">
        <v>335.0</v>
      </c>
      <c r="B337" s="16" t="s">
        <v>701</v>
      </c>
      <c r="C337" s="24"/>
      <c r="D337" s="19"/>
      <c r="E337" s="16" t="s">
        <v>682</v>
      </c>
      <c r="F337" s="16" t="s">
        <v>595</v>
      </c>
      <c r="G337" s="16" t="s">
        <v>547</v>
      </c>
      <c r="H337" s="19"/>
      <c r="I337" s="16"/>
      <c r="J337" s="18">
        <v>1.0</v>
      </c>
      <c r="K337" s="16" t="s">
        <v>289</v>
      </c>
      <c r="L337" s="21" t="s">
        <v>138</v>
      </c>
      <c r="M337" s="23"/>
      <c r="N337" s="19"/>
      <c r="O337" s="19"/>
      <c r="P337" s="19"/>
      <c r="Q337" s="19"/>
      <c r="R337" s="19"/>
      <c r="S337" s="19"/>
      <c r="T337" s="21" t="s">
        <v>43</v>
      </c>
      <c r="U337" s="23"/>
      <c r="V337" s="19"/>
      <c r="W337" s="16" t="s">
        <v>46</v>
      </c>
      <c r="X337" s="19"/>
      <c r="Y337" s="19"/>
      <c r="Z337" s="19"/>
      <c r="AA337" s="19"/>
      <c r="AB337" s="21" t="s">
        <v>51</v>
      </c>
      <c r="AC337" s="23"/>
      <c r="AD337" s="19"/>
      <c r="AE337" s="19"/>
      <c r="AF337" s="19"/>
      <c r="AG337" s="19"/>
      <c r="AH337" s="21" t="s">
        <v>357</v>
      </c>
      <c r="AI337" s="23"/>
      <c r="AJ337" s="16" t="s">
        <v>168</v>
      </c>
      <c r="AK337" s="16" t="s">
        <v>244</v>
      </c>
      <c r="AL337" s="16" t="s">
        <v>181</v>
      </c>
      <c r="AM337" s="16" t="s">
        <v>181</v>
      </c>
      <c r="AN337" s="16" t="s">
        <v>181</v>
      </c>
      <c r="AO337" s="16" t="s">
        <v>181</v>
      </c>
      <c r="AP337" s="16" t="s">
        <v>181</v>
      </c>
      <c r="AQ337" s="16" t="s">
        <v>181</v>
      </c>
      <c r="AR337" s="16" t="s">
        <v>181</v>
      </c>
      <c r="AS337" s="19"/>
      <c r="AT337" s="21" t="s">
        <v>66</v>
      </c>
      <c r="AU337" s="22"/>
      <c r="AV337" s="23"/>
      <c r="AW337" s="16" t="s">
        <v>69</v>
      </c>
      <c r="AX337" s="16" t="s">
        <v>70</v>
      </c>
      <c r="AY337" s="21" t="s">
        <v>71</v>
      </c>
      <c r="AZ337" s="23"/>
      <c r="BA337" s="21" t="s">
        <v>73</v>
      </c>
      <c r="BB337" s="23"/>
      <c r="BC337" s="19"/>
      <c r="BD337" s="19"/>
      <c r="BE337" s="19"/>
      <c r="BF337" s="19"/>
      <c r="BG337" s="16" t="s">
        <v>78</v>
      </c>
      <c r="BH337" s="16" t="s">
        <v>79</v>
      </c>
      <c r="BI337" s="21" t="s">
        <v>52</v>
      </c>
      <c r="BJ337" s="23"/>
      <c r="BK337" s="19"/>
      <c r="BL337" s="19"/>
      <c r="BM337" s="21" t="s">
        <v>83</v>
      </c>
      <c r="BN337" s="22"/>
      <c r="BO337" s="23"/>
      <c r="BP337" s="19"/>
      <c r="BQ337" s="19"/>
      <c r="BR337" s="19"/>
      <c r="BS337" s="19"/>
      <c r="BT337" s="21" t="s">
        <v>89</v>
      </c>
      <c r="BU337" s="22"/>
      <c r="BV337" s="23"/>
      <c r="BW337" s="21" t="s">
        <v>92</v>
      </c>
      <c r="BX337" s="22"/>
      <c r="BY337" s="23"/>
      <c r="BZ337" s="19"/>
      <c r="CA337" s="19"/>
      <c r="CB337" s="21" t="s">
        <v>96</v>
      </c>
      <c r="CC337" s="23"/>
      <c r="CD337" s="19"/>
      <c r="CE337" s="19"/>
      <c r="CF337" s="19"/>
      <c r="CG337" s="16" t="s">
        <v>128</v>
      </c>
      <c r="CH337" s="16" t="s">
        <v>100</v>
      </c>
      <c r="CI337" s="16" t="s">
        <v>101</v>
      </c>
      <c r="CJ337" s="21" t="s">
        <v>102</v>
      </c>
      <c r="CK337" s="23"/>
      <c r="CL337" s="21" t="s">
        <v>104</v>
      </c>
      <c r="CM337" s="23"/>
      <c r="CN337" s="16" t="s">
        <v>128</v>
      </c>
      <c r="CO337" s="16" t="s">
        <v>105</v>
      </c>
      <c r="CP337" s="21" t="s">
        <v>106</v>
      </c>
      <c r="CQ337" s="22"/>
      <c r="CR337" s="22"/>
      <c r="CS337" s="23"/>
      <c r="CT337" s="19"/>
      <c r="CU337" s="19"/>
      <c r="CV337" s="16" t="s">
        <v>128</v>
      </c>
      <c r="CW337" s="19"/>
      <c r="CX337" s="19"/>
      <c r="CY337" s="19"/>
      <c r="CZ337" s="21" t="s">
        <v>114</v>
      </c>
      <c r="DA337" s="22"/>
      <c r="DB337" s="23"/>
      <c r="DC337" s="16" t="s">
        <v>129</v>
      </c>
      <c r="DD337" s="16" t="s">
        <v>129</v>
      </c>
      <c r="DE337" s="16" t="s">
        <v>129</v>
      </c>
      <c r="DF337" s="16" t="s">
        <v>129</v>
      </c>
      <c r="DG337" s="19"/>
      <c r="DH337" s="19"/>
      <c r="DI337" s="19"/>
      <c r="DJ337" s="19"/>
      <c r="DK337" s="19"/>
      <c r="DL337" s="19"/>
      <c r="DM337" s="21" t="s">
        <v>1787</v>
      </c>
      <c r="DN337" s="23"/>
      <c r="DO337" s="19"/>
    </row>
    <row r="338" ht="15.75" customHeight="1">
      <c r="A338" s="15">
        <v>336.0</v>
      </c>
      <c r="B338" s="16" t="s">
        <v>1788</v>
      </c>
      <c r="C338" s="17">
        <v>2.540724501206E12</v>
      </c>
      <c r="D338" s="18">
        <v>124.0</v>
      </c>
      <c r="E338" s="16" t="s">
        <v>1777</v>
      </c>
      <c r="F338" s="16" t="s">
        <v>851</v>
      </c>
      <c r="G338" s="16" t="s">
        <v>547</v>
      </c>
      <c r="H338" s="20">
        <v>19929.0</v>
      </c>
      <c r="I338" s="16"/>
      <c r="J338" s="18">
        <v>1.0</v>
      </c>
      <c r="K338" s="19"/>
      <c r="L338" s="21" t="s">
        <v>138</v>
      </c>
      <c r="M338" s="23"/>
      <c r="N338" s="19"/>
      <c r="O338" s="19"/>
      <c r="P338" s="19"/>
      <c r="Q338" s="19"/>
      <c r="R338" s="19"/>
      <c r="S338" s="19"/>
      <c r="T338" s="19"/>
      <c r="U338" s="19"/>
      <c r="V338" s="21" t="s">
        <v>1779</v>
      </c>
      <c r="W338" s="23"/>
      <c r="X338" s="19"/>
      <c r="Y338" s="19"/>
      <c r="Z338" s="19"/>
      <c r="AA338" s="19"/>
      <c r="AB338" s="21" t="s">
        <v>51</v>
      </c>
      <c r="AC338" s="23"/>
      <c r="AD338" s="19"/>
      <c r="AE338" s="19"/>
      <c r="AF338" s="19"/>
      <c r="AG338" s="19"/>
      <c r="AH338" s="21" t="s">
        <v>152</v>
      </c>
      <c r="AI338" s="23"/>
      <c r="AJ338" s="16" t="s">
        <v>124</v>
      </c>
      <c r="AK338" s="16" t="s">
        <v>125</v>
      </c>
      <c r="AL338" s="16" t="s">
        <v>126</v>
      </c>
      <c r="AM338" s="16" t="s">
        <v>126</v>
      </c>
      <c r="AN338" s="16" t="s">
        <v>126</v>
      </c>
      <c r="AO338" s="16" t="s">
        <v>126</v>
      </c>
      <c r="AP338" s="16" t="s">
        <v>126</v>
      </c>
      <c r="AQ338" s="16" t="s">
        <v>126</v>
      </c>
      <c r="AR338" s="16" t="s">
        <v>126</v>
      </c>
      <c r="AS338" s="19"/>
      <c r="AT338" s="19"/>
      <c r="AU338" s="19"/>
      <c r="AV338" s="19"/>
      <c r="AW338" s="19"/>
      <c r="AX338" s="19"/>
      <c r="AY338" s="19"/>
      <c r="AZ338" s="19"/>
      <c r="BA338" s="16" t="s">
        <v>73</v>
      </c>
      <c r="BB338" s="21" t="s">
        <v>74</v>
      </c>
      <c r="BC338" s="22"/>
      <c r="BD338" s="23"/>
      <c r="BE338" s="21" t="s">
        <v>77</v>
      </c>
      <c r="BF338" s="22"/>
      <c r="BG338" s="22"/>
      <c r="BH338" s="23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21" t="s">
        <v>90</v>
      </c>
      <c r="BV338" s="23"/>
      <c r="BW338" s="21" t="s">
        <v>92</v>
      </c>
      <c r="BX338" s="22"/>
      <c r="BY338" s="23"/>
      <c r="BZ338" s="19"/>
      <c r="CA338" s="19"/>
      <c r="CB338" s="16" t="s">
        <v>96</v>
      </c>
      <c r="CC338" s="21" t="s">
        <v>97</v>
      </c>
      <c r="CD338" s="23"/>
      <c r="CE338" s="19"/>
      <c r="CF338" s="19"/>
      <c r="CG338" s="16" t="s">
        <v>128</v>
      </c>
      <c r="CH338" s="19"/>
      <c r="CI338" s="19"/>
      <c r="CJ338" s="19"/>
      <c r="CK338" s="19"/>
      <c r="CL338" s="21" t="s">
        <v>104</v>
      </c>
      <c r="CM338" s="23"/>
      <c r="CN338" s="16" t="s">
        <v>128</v>
      </c>
      <c r="CO338" s="16" t="s">
        <v>105</v>
      </c>
      <c r="CP338" s="21" t="s">
        <v>106</v>
      </c>
      <c r="CQ338" s="23"/>
      <c r="CR338" s="21" t="s">
        <v>108</v>
      </c>
      <c r="CS338" s="23"/>
      <c r="CT338" s="21" t="s">
        <v>110</v>
      </c>
      <c r="CU338" s="23"/>
      <c r="CV338" s="16" t="s">
        <v>128</v>
      </c>
      <c r="CW338" s="19"/>
      <c r="CX338" s="19"/>
      <c r="CY338" s="16" t="s">
        <v>113</v>
      </c>
      <c r="CZ338" s="16" t="s">
        <v>114</v>
      </c>
      <c r="DA338" s="21" t="s">
        <v>115</v>
      </c>
      <c r="DB338" s="23"/>
      <c r="DC338" s="16" t="s">
        <v>129</v>
      </c>
      <c r="DD338" s="16" t="s">
        <v>129</v>
      </c>
      <c r="DE338" s="16" t="s">
        <v>129</v>
      </c>
      <c r="DF338" s="16" t="s">
        <v>129</v>
      </c>
      <c r="DG338" s="16" t="s">
        <v>1789</v>
      </c>
      <c r="DH338" s="16" t="s">
        <v>1790</v>
      </c>
      <c r="DI338" s="16" t="s">
        <v>1791</v>
      </c>
      <c r="DJ338" s="21" t="s">
        <v>1783</v>
      </c>
      <c r="DK338" s="22"/>
      <c r="DL338" s="23"/>
      <c r="DM338" s="16" t="s">
        <v>1784</v>
      </c>
      <c r="DN338" s="21" t="s">
        <v>365</v>
      </c>
      <c r="DO338" s="23"/>
    </row>
    <row r="339" ht="15.75" customHeight="1">
      <c r="A339" s="15">
        <v>337.0</v>
      </c>
      <c r="B339" s="16" t="s">
        <v>1792</v>
      </c>
      <c r="C339" s="17">
        <v>3.2110325018173E13</v>
      </c>
      <c r="D339" s="18">
        <v>46.0</v>
      </c>
      <c r="E339" s="16" t="s">
        <v>1667</v>
      </c>
      <c r="F339" s="16" t="s">
        <v>606</v>
      </c>
      <c r="G339" s="16" t="s">
        <v>547</v>
      </c>
      <c r="H339" s="25">
        <v>44510.0</v>
      </c>
      <c r="I339" s="18">
        <v>1.0</v>
      </c>
      <c r="J339" s="19"/>
      <c r="K339" s="16" t="s">
        <v>1668</v>
      </c>
      <c r="L339" s="21" t="s">
        <v>138</v>
      </c>
      <c r="M339" s="23"/>
      <c r="N339" s="19"/>
      <c r="O339" s="19"/>
      <c r="P339" s="19"/>
      <c r="Q339" s="19"/>
      <c r="R339" s="19"/>
      <c r="S339" s="19"/>
      <c r="T339" s="19"/>
      <c r="U339" s="19"/>
      <c r="V339" s="16" t="s">
        <v>932</v>
      </c>
      <c r="W339" s="16" t="s">
        <v>46</v>
      </c>
      <c r="X339" s="21" t="s">
        <v>47</v>
      </c>
      <c r="Y339" s="23"/>
      <c r="Z339" s="19"/>
      <c r="AA339" s="19"/>
      <c r="AB339" s="19"/>
      <c r="AC339" s="19"/>
      <c r="AD339" s="19"/>
      <c r="AE339" s="19"/>
      <c r="AF339" s="19"/>
      <c r="AG339" s="18" t="s">
        <v>839</v>
      </c>
      <c r="AH339" s="16" t="s">
        <v>57</v>
      </c>
      <c r="AI339" s="18" t="s">
        <v>839</v>
      </c>
      <c r="AJ339" s="16" t="s">
        <v>168</v>
      </c>
      <c r="AK339" s="16" t="s">
        <v>153</v>
      </c>
      <c r="AL339" s="16" t="s">
        <v>181</v>
      </c>
      <c r="AM339" s="16" t="s">
        <v>181</v>
      </c>
      <c r="AN339" s="16" t="s">
        <v>181</v>
      </c>
      <c r="AO339" s="16" t="s">
        <v>181</v>
      </c>
      <c r="AP339" s="16" t="s">
        <v>181</v>
      </c>
      <c r="AQ339" s="16" t="s">
        <v>181</v>
      </c>
      <c r="AR339" s="16" t="s">
        <v>181</v>
      </c>
      <c r="AS339" s="21" t="s">
        <v>65</v>
      </c>
      <c r="AT339" s="22"/>
      <c r="AU339" s="23"/>
      <c r="AV339" s="19"/>
      <c r="AW339" s="21" t="s">
        <v>69</v>
      </c>
      <c r="AX339" s="23"/>
      <c r="AY339" s="16" t="s">
        <v>71</v>
      </c>
      <c r="AZ339" s="18" t="s">
        <v>839</v>
      </c>
      <c r="BA339" s="16" t="s">
        <v>73</v>
      </c>
      <c r="BB339" s="21" t="s">
        <v>74</v>
      </c>
      <c r="BC339" s="23"/>
      <c r="BD339" s="16" t="s">
        <v>76</v>
      </c>
      <c r="BE339" s="16" t="s">
        <v>77</v>
      </c>
      <c r="BF339" s="18" t="s">
        <v>844</v>
      </c>
      <c r="BG339" s="16" t="s">
        <v>78</v>
      </c>
      <c r="BH339" s="21" t="s">
        <v>79</v>
      </c>
      <c r="BI339" s="23"/>
      <c r="BJ339" s="19"/>
      <c r="BK339" s="19"/>
      <c r="BL339" s="19"/>
      <c r="BM339" s="19"/>
      <c r="BN339" s="19"/>
      <c r="BO339" s="19"/>
      <c r="BP339" s="18" t="s">
        <v>839</v>
      </c>
      <c r="BQ339" s="19"/>
      <c r="BR339" s="19"/>
      <c r="BS339" s="21" t="s">
        <v>88</v>
      </c>
      <c r="BT339" s="23"/>
      <c r="BU339" s="19"/>
      <c r="BV339" s="19"/>
      <c r="BW339" s="16" t="s">
        <v>92</v>
      </c>
      <c r="BX339" s="18" t="s">
        <v>844</v>
      </c>
      <c r="BY339" s="19"/>
      <c r="BZ339" s="19"/>
      <c r="CA339" s="21" t="s">
        <v>95</v>
      </c>
      <c r="CB339" s="22"/>
      <c r="CC339" s="23"/>
      <c r="CD339" s="19"/>
      <c r="CE339" s="19"/>
      <c r="CF339" s="18" t="s">
        <v>840</v>
      </c>
      <c r="CG339" s="16" t="s">
        <v>128</v>
      </c>
      <c r="CH339" s="16" t="s">
        <v>100</v>
      </c>
      <c r="CI339" s="21" t="s">
        <v>101</v>
      </c>
      <c r="CJ339" s="22"/>
      <c r="CK339" s="23"/>
      <c r="CL339" s="16" t="s">
        <v>104</v>
      </c>
      <c r="CM339" s="18" t="s">
        <v>839</v>
      </c>
      <c r="CN339" s="16" t="s">
        <v>128</v>
      </c>
      <c r="CO339" s="16" t="s">
        <v>105</v>
      </c>
      <c r="CP339" s="21" t="s">
        <v>106</v>
      </c>
      <c r="CQ339" s="23"/>
      <c r="CR339" s="21" t="s">
        <v>108</v>
      </c>
      <c r="CS339" s="23"/>
      <c r="CT339" s="16" t="s">
        <v>110</v>
      </c>
      <c r="CU339" s="18" t="s">
        <v>844</v>
      </c>
      <c r="CV339" s="16" t="s">
        <v>128</v>
      </c>
      <c r="CW339" s="19"/>
      <c r="CX339" s="19"/>
      <c r="CY339" s="19"/>
      <c r="CZ339" s="19"/>
      <c r="DA339" s="16" t="s">
        <v>115</v>
      </c>
      <c r="DB339" s="18">
        <v>0.0</v>
      </c>
      <c r="DC339" s="16" t="s">
        <v>129</v>
      </c>
      <c r="DD339" s="16" t="s">
        <v>129</v>
      </c>
      <c r="DE339" s="16" t="s">
        <v>129</v>
      </c>
      <c r="DF339" s="16" t="s">
        <v>129</v>
      </c>
      <c r="DG339" s="16" t="s">
        <v>841</v>
      </c>
      <c r="DH339" s="16" t="s">
        <v>900</v>
      </c>
      <c r="DI339" s="16" t="s">
        <v>934</v>
      </c>
      <c r="DJ339" s="16" t="s">
        <v>1126</v>
      </c>
      <c r="DK339" s="18" t="s">
        <v>844</v>
      </c>
      <c r="DL339" s="18" t="s">
        <v>845</v>
      </c>
      <c r="DM339" s="16" t="s">
        <v>930</v>
      </c>
      <c r="DN339" s="18" t="s">
        <v>844</v>
      </c>
      <c r="DO339" s="18" t="s">
        <v>845</v>
      </c>
    </row>
    <row r="340" ht="15.75" customHeight="1">
      <c r="A340" s="15">
        <v>338.0</v>
      </c>
      <c r="B340" s="16" t="s">
        <v>1793</v>
      </c>
      <c r="C340" s="17">
        <v>3.0580225004921E13</v>
      </c>
      <c r="D340" s="18">
        <v>78.0</v>
      </c>
      <c r="E340" s="16" t="s">
        <v>1667</v>
      </c>
      <c r="F340" s="16" t="s">
        <v>606</v>
      </c>
      <c r="G340" s="16" t="s">
        <v>547</v>
      </c>
      <c r="H340" s="20">
        <v>38586.0</v>
      </c>
      <c r="I340" s="18">
        <v>1.0</v>
      </c>
      <c r="J340" s="19"/>
      <c r="K340" s="16" t="s">
        <v>1794</v>
      </c>
      <c r="L340" s="21" t="s">
        <v>138</v>
      </c>
      <c r="M340" s="23"/>
      <c r="N340" s="19"/>
      <c r="O340" s="19"/>
      <c r="P340" s="19"/>
      <c r="Q340" s="19"/>
      <c r="R340" s="19"/>
      <c r="S340" s="19"/>
      <c r="T340" s="19"/>
      <c r="U340" s="19"/>
      <c r="V340" s="21" t="s">
        <v>932</v>
      </c>
      <c r="W340" s="22"/>
      <c r="X340" s="23"/>
      <c r="Y340" s="19"/>
      <c r="Z340" s="19"/>
      <c r="AA340" s="19"/>
      <c r="AB340" s="19"/>
      <c r="AC340" s="21" t="s">
        <v>52</v>
      </c>
      <c r="AD340" s="23"/>
      <c r="AE340" s="19"/>
      <c r="AF340" s="19"/>
      <c r="AG340" s="16" t="s">
        <v>1795</v>
      </c>
      <c r="AH340" s="16" t="s">
        <v>57</v>
      </c>
      <c r="AI340" s="16" t="s">
        <v>1796</v>
      </c>
      <c r="AJ340" s="16" t="s">
        <v>168</v>
      </c>
      <c r="AK340" s="16" t="s">
        <v>142</v>
      </c>
      <c r="AL340" s="16" t="s">
        <v>181</v>
      </c>
      <c r="AM340" s="16" t="s">
        <v>181</v>
      </c>
      <c r="AN340" s="16" t="s">
        <v>181</v>
      </c>
      <c r="AO340" s="16" t="s">
        <v>181</v>
      </c>
      <c r="AP340" s="16" t="s">
        <v>126</v>
      </c>
      <c r="AQ340" s="16" t="s">
        <v>126</v>
      </c>
      <c r="AR340" s="16" t="s">
        <v>181</v>
      </c>
      <c r="AS340" s="19"/>
      <c r="AT340" s="19"/>
      <c r="AU340" s="19"/>
      <c r="AV340" s="19"/>
      <c r="AW340" s="19"/>
      <c r="AX340" s="19"/>
      <c r="AY340" s="19"/>
      <c r="AZ340" s="16" t="s">
        <v>1797</v>
      </c>
      <c r="BA340" s="21" t="s">
        <v>73</v>
      </c>
      <c r="BB340" s="23"/>
      <c r="BC340" s="19"/>
      <c r="BD340" s="19"/>
      <c r="BE340" s="16" t="s">
        <v>77</v>
      </c>
      <c r="BF340" s="18" t="s">
        <v>839</v>
      </c>
      <c r="BG340" s="19"/>
      <c r="BH340" s="19"/>
      <c r="BI340" s="19"/>
      <c r="BJ340" s="19"/>
      <c r="BK340" s="19"/>
      <c r="BL340" s="19"/>
      <c r="BM340" s="19"/>
      <c r="BN340" s="19"/>
      <c r="BO340" s="19"/>
      <c r="BP340" s="18" t="s">
        <v>839</v>
      </c>
      <c r="BQ340" s="21" t="s">
        <v>86</v>
      </c>
      <c r="BR340" s="22"/>
      <c r="BS340" s="23"/>
      <c r="BT340" s="19"/>
      <c r="BU340" s="19"/>
      <c r="BV340" s="19"/>
      <c r="BW340" s="19"/>
      <c r="BX340" s="18" t="s">
        <v>844</v>
      </c>
      <c r="BY340" s="19"/>
      <c r="BZ340" s="19"/>
      <c r="CA340" s="16" t="s">
        <v>95</v>
      </c>
      <c r="CB340" s="21" t="s">
        <v>96</v>
      </c>
      <c r="CC340" s="23"/>
      <c r="CD340" s="21" t="s">
        <v>98</v>
      </c>
      <c r="CE340" s="23"/>
      <c r="CF340" s="19"/>
      <c r="CG340" s="16" t="s">
        <v>128</v>
      </c>
      <c r="CH340" s="16" t="s">
        <v>100</v>
      </c>
      <c r="CI340" s="21" t="s">
        <v>101</v>
      </c>
      <c r="CJ340" s="22"/>
      <c r="CK340" s="23"/>
      <c r="CL340" s="16" t="s">
        <v>104</v>
      </c>
      <c r="CM340" s="18" t="s">
        <v>839</v>
      </c>
      <c r="CN340" s="16" t="s">
        <v>128</v>
      </c>
      <c r="CO340" s="19"/>
      <c r="CP340" s="21" t="s">
        <v>106</v>
      </c>
      <c r="CQ340" s="23"/>
      <c r="CR340" s="21" t="s">
        <v>108</v>
      </c>
      <c r="CS340" s="23"/>
      <c r="CT340" s="16" t="s">
        <v>110</v>
      </c>
      <c r="CU340" s="18" t="s">
        <v>839</v>
      </c>
      <c r="CV340" s="16" t="s">
        <v>128</v>
      </c>
      <c r="CW340" s="19"/>
      <c r="CX340" s="21" t="s">
        <v>112</v>
      </c>
      <c r="CY340" s="23"/>
      <c r="CZ340" s="16" t="s">
        <v>114</v>
      </c>
      <c r="DA340" s="16" t="s">
        <v>115</v>
      </c>
      <c r="DB340" s="16" t="s">
        <v>1798</v>
      </c>
      <c r="DC340" s="16" t="s">
        <v>129</v>
      </c>
      <c r="DD340" s="16" t="s">
        <v>129</v>
      </c>
      <c r="DE340" s="16" t="s">
        <v>129</v>
      </c>
      <c r="DF340" s="16" t="s">
        <v>129</v>
      </c>
      <c r="DG340" s="16" t="s">
        <v>1799</v>
      </c>
      <c r="DH340" s="16" t="s">
        <v>1800</v>
      </c>
      <c r="DI340" s="16" t="s">
        <v>843</v>
      </c>
      <c r="DJ340" s="16" t="s">
        <v>144</v>
      </c>
      <c r="DK340" s="18" t="s">
        <v>844</v>
      </c>
      <c r="DL340" s="18" t="s">
        <v>845</v>
      </c>
      <c r="DM340" s="16" t="s">
        <v>1244</v>
      </c>
      <c r="DN340" s="18" t="s">
        <v>845</v>
      </c>
      <c r="DO340" s="18" t="s">
        <v>845</v>
      </c>
    </row>
    <row r="341" ht="15.75" customHeight="1">
      <c r="A341" s="15">
        <v>339.0</v>
      </c>
      <c r="B341" s="16" t="s">
        <v>1801</v>
      </c>
      <c r="C341" s="17">
        <v>3.1412052501959E13</v>
      </c>
      <c r="D341" s="18">
        <v>7.0</v>
      </c>
      <c r="E341" s="16" t="s">
        <v>1777</v>
      </c>
      <c r="F341" s="16" t="s">
        <v>851</v>
      </c>
      <c r="G341" s="16" t="s">
        <v>547</v>
      </c>
      <c r="H341" s="20">
        <v>38326.0</v>
      </c>
      <c r="I341" s="18">
        <v>1.0</v>
      </c>
      <c r="J341" s="19"/>
      <c r="K341" s="16" t="s">
        <v>1802</v>
      </c>
      <c r="L341" s="21" t="s">
        <v>138</v>
      </c>
      <c r="M341" s="23"/>
      <c r="N341" s="19"/>
      <c r="O341" s="19"/>
      <c r="P341" s="19"/>
      <c r="Q341" s="19"/>
      <c r="R341" s="19"/>
      <c r="S341" s="19"/>
      <c r="T341" s="19"/>
      <c r="U341" s="19"/>
      <c r="V341" s="16" t="s">
        <v>1779</v>
      </c>
      <c r="W341" s="16" t="s">
        <v>46</v>
      </c>
      <c r="X341" s="19"/>
      <c r="Y341" s="21" t="s">
        <v>48</v>
      </c>
      <c r="Z341" s="23"/>
      <c r="AA341" s="16" t="s">
        <v>50</v>
      </c>
      <c r="AB341" s="19"/>
      <c r="AC341" s="21" t="s">
        <v>52</v>
      </c>
      <c r="AD341" s="23"/>
      <c r="AE341" s="19"/>
      <c r="AF341" s="19"/>
      <c r="AG341" s="19"/>
      <c r="AH341" s="21" t="s">
        <v>123</v>
      </c>
      <c r="AI341" s="23"/>
      <c r="AJ341" s="16" t="s">
        <v>168</v>
      </c>
      <c r="AK341" s="16" t="s">
        <v>153</v>
      </c>
      <c r="AL341" s="16" t="s">
        <v>126</v>
      </c>
      <c r="AM341" s="16" t="s">
        <v>181</v>
      </c>
      <c r="AN341" s="16" t="s">
        <v>181</v>
      </c>
      <c r="AO341" s="16" t="s">
        <v>181</v>
      </c>
      <c r="AP341" s="16" t="s">
        <v>181</v>
      </c>
      <c r="AQ341" s="16" t="s">
        <v>181</v>
      </c>
      <c r="AR341" s="16" t="s">
        <v>181</v>
      </c>
      <c r="AS341" s="19"/>
      <c r="AT341" s="19"/>
      <c r="AU341" s="16" t="s">
        <v>67</v>
      </c>
      <c r="AV341" s="16" t="s">
        <v>68</v>
      </c>
      <c r="AW341" s="16" t="s">
        <v>69</v>
      </c>
      <c r="AX341" s="16" t="s">
        <v>70</v>
      </c>
      <c r="AY341" s="21" t="s">
        <v>71</v>
      </c>
      <c r="AZ341" s="22"/>
      <c r="BA341" s="23"/>
      <c r="BB341" s="19"/>
      <c r="BC341" s="19"/>
      <c r="BD341" s="19"/>
      <c r="BE341" s="19"/>
      <c r="BF341" s="19"/>
      <c r="BG341" s="19"/>
      <c r="BH341" s="16" t="s">
        <v>79</v>
      </c>
      <c r="BI341" s="21" t="s">
        <v>52</v>
      </c>
      <c r="BJ341" s="23"/>
      <c r="BK341" s="16" t="s">
        <v>81</v>
      </c>
      <c r="BL341" s="21" t="s">
        <v>82</v>
      </c>
      <c r="BM341" s="23"/>
      <c r="BN341" s="21" t="s">
        <v>84</v>
      </c>
      <c r="BO341" s="22"/>
      <c r="BP341" s="23"/>
      <c r="BQ341" s="19"/>
      <c r="BR341" s="19"/>
      <c r="BS341" s="19"/>
      <c r="BT341" s="19"/>
      <c r="BU341" s="16" t="s">
        <v>90</v>
      </c>
      <c r="BV341" s="16" t="s">
        <v>91</v>
      </c>
      <c r="BW341" s="21" t="s">
        <v>92</v>
      </c>
      <c r="BX341" s="22"/>
      <c r="BY341" s="23"/>
      <c r="BZ341" s="19"/>
      <c r="CA341" s="19"/>
      <c r="CB341" s="21" t="s">
        <v>96</v>
      </c>
      <c r="CC341" s="23"/>
      <c r="CD341" s="19"/>
      <c r="CE341" s="19"/>
      <c r="CF341" s="19"/>
      <c r="CG341" s="16" t="s">
        <v>128</v>
      </c>
      <c r="CH341" s="19"/>
      <c r="CI341" s="16" t="s">
        <v>101</v>
      </c>
      <c r="CJ341" s="16" t="s">
        <v>102</v>
      </c>
      <c r="CK341" s="16" t="s">
        <v>103</v>
      </c>
      <c r="CL341" s="21" t="s">
        <v>104</v>
      </c>
      <c r="CM341" s="23"/>
      <c r="CN341" s="16" t="s">
        <v>128</v>
      </c>
      <c r="CO341" s="16" t="s">
        <v>105</v>
      </c>
      <c r="CP341" s="16" t="s">
        <v>106</v>
      </c>
      <c r="CQ341" s="16" t="s">
        <v>107</v>
      </c>
      <c r="CR341" s="16" t="s">
        <v>108</v>
      </c>
      <c r="CS341" s="21" t="s">
        <v>109</v>
      </c>
      <c r="CT341" s="23"/>
      <c r="CU341" s="19"/>
      <c r="CV341" s="16" t="s">
        <v>128</v>
      </c>
      <c r="CW341" s="16" t="s">
        <v>111</v>
      </c>
      <c r="CX341" s="21" t="s">
        <v>112</v>
      </c>
      <c r="CY341" s="23"/>
      <c r="CZ341" s="16" t="s">
        <v>114</v>
      </c>
      <c r="DA341" s="21" t="s">
        <v>115</v>
      </c>
      <c r="DB341" s="23"/>
      <c r="DC341" s="16" t="s">
        <v>129</v>
      </c>
      <c r="DD341" s="16" t="s">
        <v>129</v>
      </c>
      <c r="DE341" s="16" t="s">
        <v>145</v>
      </c>
      <c r="DF341" s="16" t="s">
        <v>129</v>
      </c>
      <c r="DG341" s="16" t="s">
        <v>1803</v>
      </c>
      <c r="DH341" s="16" t="s">
        <v>1804</v>
      </c>
      <c r="DI341" s="16" t="s">
        <v>1805</v>
      </c>
      <c r="DJ341" s="21" t="s">
        <v>1806</v>
      </c>
      <c r="DK341" s="22"/>
      <c r="DL341" s="23"/>
      <c r="DM341" s="16" t="s">
        <v>1807</v>
      </c>
      <c r="DN341" s="21" t="s">
        <v>1808</v>
      </c>
      <c r="DO341" s="23"/>
    </row>
    <row r="342" ht="15.75" customHeight="1">
      <c r="A342" s="15">
        <v>340.0</v>
      </c>
      <c r="B342" s="16" t="s">
        <v>1809</v>
      </c>
      <c r="C342" s="17">
        <v>3.1702172503384E13</v>
      </c>
      <c r="D342" s="18">
        <v>63.0</v>
      </c>
      <c r="E342" s="16" t="s">
        <v>1667</v>
      </c>
      <c r="F342" s="16" t="s">
        <v>606</v>
      </c>
      <c r="G342" s="16" t="s">
        <v>547</v>
      </c>
      <c r="H342" s="20">
        <v>42783.0</v>
      </c>
      <c r="I342" s="16"/>
      <c r="J342" s="18">
        <v>1.0</v>
      </c>
      <c r="K342" s="16" t="s">
        <v>1810</v>
      </c>
      <c r="L342" s="21" t="s">
        <v>138</v>
      </c>
      <c r="M342" s="23"/>
      <c r="N342" s="19"/>
      <c r="O342" s="19"/>
      <c r="P342" s="19"/>
      <c r="Q342" s="19"/>
      <c r="R342" s="19"/>
      <c r="S342" s="19"/>
      <c r="T342" s="19"/>
      <c r="U342" s="19"/>
      <c r="V342" s="21" t="s">
        <v>932</v>
      </c>
      <c r="W342" s="23"/>
      <c r="X342" s="16" t="s">
        <v>47</v>
      </c>
      <c r="Y342" s="21" t="s">
        <v>48</v>
      </c>
      <c r="Z342" s="23"/>
      <c r="AA342" s="19"/>
      <c r="AB342" s="19"/>
      <c r="AC342" s="19"/>
      <c r="AD342" s="19"/>
      <c r="AE342" s="19"/>
      <c r="AF342" s="19"/>
      <c r="AG342" s="18" t="s">
        <v>844</v>
      </c>
      <c r="AH342" s="16" t="s">
        <v>57</v>
      </c>
      <c r="AI342" s="18" t="s">
        <v>839</v>
      </c>
      <c r="AJ342" s="16" t="s">
        <v>168</v>
      </c>
      <c r="AK342" s="16" t="s">
        <v>153</v>
      </c>
      <c r="AL342" s="16" t="s">
        <v>181</v>
      </c>
      <c r="AM342" s="16" t="s">
        <v>181</v>
      </c>
      <c r="AN342" s="16" t="s">
        <v>181</v>
      </c>
      <c r="AO342" s="16" t="s">
        <v>181</v>
      </c>
      <c r="AP342" s="16" t="s">
        <v>126</v>
      </c>
      <c r="AQ342" s="16" t="s">
        <v>181</v>
      </c>
      <c r="AR342" s="16" t="s">
        <v>181</v>
      </c>
      <c r="AS342" s="21" t="s">
        <v>65</v>
      </c>
      <c r="AT342" s="22"/>
      <c r="AU342" s="23"/>
      <c r="AV342" s="16" t="s">
        <v>68</v>
      </c>
      <c r="AW342" s="16" t="s">
        <v>69</v>
      </c>
      <c r="AX342" s="16" t="s">
        <v>70</v>
      </c>
      <c r="AY342" s="16" t="s">
        <v>71</v>
      </c>
      <c r="AZ342" s="18" t="s">
        <v>844</v>
      </c>
      <c r="BA342" s="19"/>
      <c r="BB342" s="21" t="s">
        <v>74</v>
      </c>
      <c r="BC342" s="23"/>
      <c r="BD342" s="16" t="s">
        <v>76</v>
      </c>
      <c r="BE342" s="16" t="s">
        <v>77</v>
      </c>
      <c r="BF342" s="18" t="s">
        <v>844</v>
      </c>
      <c r="BG342" s="21" t="s">
        <v>78</v>
      </c>
      <c r="BH342" s="23"/>
      <c r="BI342" s="19"/>
      <c r="BJ342" s="19"/>
      <c r="BK342" s="19"/>
      <c r="BL342" s="19"/>
      <c r="BM342" s="19"/>
      <c r="BN342" s="16" t="s">
        <v>84</v>
      </c>
      <c r="BO342" s="16" t="s">
        <v>85</v>
      </c>
      <c r="BP342" s="18" t="s">
        <v>839</v>
      </c>
      <c r="BQ342" s="19"/>
      <c r="BR342" s="19"/>
      <c r="BS342" s="19"/>
      <c r="BT342" s="19"/>
      <c r="BU342" s="19"/>
      <c r="BV342" s="19"/>
      <c r="BW342" s="16" t="s">
        <v>92</v>
      </c>
      <c r="BX342" s="18" t="s">
        <v>845</v>
      </c>
      <c r="BY342" s="19"/>
      <c r="BZ342" s="19"/>
      <c r="CA342" s="19"/>
      <c r="CB342" s="19"/>
      <c r="CC342" s="19"/>
      <c r="CD342" s="19"/>
      <c r="CE342" s="19"/>
      <c r="CF342" s="18" t="s">
        <v>839</v>
      </c>
      <c r="CG342" s="16" t="s">
        <v>128</v>
      </c>
      <c r="CH342" s="21" t="s">
        <v>100</v>
      </c>
      <c r="CI342" s="23"/>
      <c r="CJ342" s="21" t="s">
        <v>102</v>
      </c>
      <c r="CK342" s="23"/>
      <c r="CL342" s="16" t="s">
        <v>104</v>
      </c>
      <c r="CM342" s="18" t="s">
        <v>844</v>
      </c>
      <c r="CN342" s="16" t="s">
        <v>128</v>
      </c>
      <c r="CO342" s="21" t="s">
        <v>105</v>
      </c>
      <c r="CP342" s="22"/>
      <c r="CQ342" s="23"/>
      <c r="CR342" s="21" t="s">
        <v>108</v>
      </c>
      <c r="CS342" s="23"/>
      <c r="CT342" s="16" t="s">
        <v>110</v>
      </c>
      <c r="CU342" s="18" t="s">
        <v>839</v>
      </c>
      <c r="CV342" s="16" t="s">
        <v>128</v>
      </c>
      <c r="CW342" s="19"/>
      <c r="CX342" s="21" t="s">
        <v>112</v>
      </c>
      <c r="CY342" s="23"/>
      <c r="CZ342" s="16" t="s">
        <v>114</v>
      </c>
      <c r="DA342" s="16" t="s">
        <v>115</v>
      </c>
      <c r="DB342" s="18">
        <v>0.0</v>
      </c>
      <c r="DC342" s="16" t="s">
        <v>129</v>
      </c>
      <c r="DD342" s="16" t="s">
        <v>129</v>
      </c>
      <c r="DE342" s="16" t="s">
        <v>129</v>
      </c>
      <c r="DF342" s="16" t="s">
        <v>129</v>
      </c>
      <c r="DG342" s="16" t="s">
        <v>841</v>
      </c>
      <c r="DH342" s="16" t="s">
        <v>873</v>
      </c>
      <c r="DI342" s="16" t="s">
        <v>914</v>
      </c>
      <c r="DJ342" s="16" t="s">
        <v>1811</v>
      </c>
      <c r="DK342" s="16" t="s">
        <v>1071</v>
      </c>
      <c r="DL342" s="18" t="s">
        <v>845</v>
      </c>
      <c r="DM342" s="16" t="s">
        <v>930</v>
      </c>
      <c r="DN342" s="18" t="s">
        <v>844</v>
      </c>
      <c r="DO342" s="18" t="s">
        <v>845</v>
      </c>
    </row>
    <row r="343" ht="15.75" customHeight="1">
      <c r="A343" s="15">
        <v>341.0</v>
      </c>
      <c r="B343" s="16" t="s">
        <v>1812</v>
      </c>
      <c r="C343" s="17">
        <v>2.8508032501048E13</v>
      </c>
      <c r="D343" s="18">
        <v>137.0</v>
      </c>
      <c r="E343" s="16" t="s">
        <v>1777</v>
      </c>
      <c r="F343" s="16" t="s">
        <v>851</v>
      </c>
      <c r="G343" s="16" t="s">
        <v>547</v>
      </c>
      <c r="H343" s="20">
        <v>19574.0</v>
      </c>
      <c r="I343" s="16"/>
      <c r="J343" s="18">
        <v>1.0</v>
      </c>
      <c r="K343" s="19"/>
      <c r="L343" s="21" t="s">
        <v>138</v>
      </c>
      <c r="M343" s="23"/>
      <c r="N343" s="19"/>
      <c r="O343" s="19"/>
      <c r="P343" s="19"/>
      <c r="Q343" s="19"/>
      <c r="R343" s="19"/>
      <c r="S343" s="19"/>
      <c r="T343" s="19"/>
      <c r="U343" s="19"/>
      <c r="V343" s="21" t="s">
        <v>1779</v>
      </c>
      <c r="W343" s="23"/>
      <c r="X343" s="19"/>
      <c r="Y343" s="19"/>
      <c r="Z343" s="19"/>
      <c r="AA343" s="19"/>
      <c r="AB343" s="16" t="s">
        <v>51</v>
      </c>
      <c r="AC343" s="21" t="s">
        <v>52</v>
      </c>
      <c r="AD343" s="23"/>
      <c r="AE343" s="19"/>
      <c r="AF343" s="19"/>
      <c r="AG343" s="19"/>
      <c r="AH343" s="21" t="s">
        <v>152</v>
      </c>
      <c r="AI343" s="23"/>
      <c r="AJ343" s="16" t="s">
        <v>124</v>
      </c>
      <c r="AK343" s="16" t="s">
        <v>142</v>
      </c>
      <c r="AL343" s="16" t="s">
        <v>126</v>
      </c>
      <c r="AM343" s="16" t="s">
        <v>126</v>
      </c>
      <c r="AN343" s="16" t="s">
        <v>126</v>
      </c>
      <c r="AO343" s="16" t="s">
        <v>126</v>
      </c>
      <c r="AP343" s="16" t="s">
        <v>126</v>
      </c>
      <c r="AQ343" s="16" t="s">
        <v>181</v>
      </c>
      <c r="AR343" s="16" t="s">
        <v>126</v>
      </c>
      <c r="AS343" s="19"/>
      <c r="AT343" s="19"/>
      <c r="AU343" s="19"/>
      <c r="AV343" s="19"/>
      <c r="AW343" s="19"/>
      <c r="AX343" s="19"/>
      <c r="AY343" s="19"/>
      <c r="AZ343" s="19"/>
      <c r="BA343" s="16" t="s">
        <v>73</v>
      </c>
      <c r="BB343" s="21" t="s">
        <v>74</v>
      </c>
      <c r="BC343" s="23"/>
      <c r="BD343" s="16" t="s">
        <v>76</v>
      </c>
      <c r="BE343" s="21" t="s">
        <v>77</v>
      </c>
      <c r="BF343" s="22"/>
      <c r="BG343" s="22"/>
      <c r="BH343" s="23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21" t="s">
        <v>90</v>
      </c>
      <c r="BV343" s="23"/>
      <c r="BW343" s="21" t="s">
        <v>92</v>
      </c>
      <c r="BX343" s="22"/>
      <c r="BY343" s="23"/>
      <c r="BZ343" s="19"/>
      <c r="CA343" s="19"/>
      <c r="CB343" s="19"/>
      <c r="CC343" s="19"/>
      <c r="CD343" s="19"/>
      <c r="CE343" s="21" t="s">
        <v>99</v>
      </c>
      <c r="CF343" s="23"/>
      <c r="CG343" s="16" t="s">
        <v>128</v>
      </c>
      <c r="CH343" s="19"/>
      <c r="CI343" s="19"/>
      <c r="CJ343" s="21" t="s">
        <v>102</v>
      </c>
      <c r="CK343" s="23"/>
      <c r="CL343" s="21" t="s">
        <v>104</v>
      </c>
      <c r="CM343" s="23"/>
      <c r="CN343" s="16" t="s">
        <v>128</v>
      </c>
      <c r="CO343" s="19"/>
      <c r="CP343" s="21" t="s">
        <v>106</v>
      </c>
      <c r="CQ343" s="23"/>
      <c r="CR343" s="16" t="s">
        <v>108</v>
      </c>
      <c r="CS343" s="21" t="s">
        <v>109</v>
      </c>
      <c r="CT343" s="23"/>
      <c r="CU343" s="19"/>
      <c r="CV343" s="16" t="s">
        <v>128</v>
      </c>
      <c r="CW343" s="19"/>
      <c r="CX343" s="19"/>
      <c r="CY343" s="19"/>
      <c r="CZ343" s="19"/>
      <c r="DA343" s="21" t="s">
        <v>115</v>
      </c>
      <c r="DB343" s="23"/>
      <c r="DC343" s="16" t="s">
        <v>145</v>
      </c>
      <c r="DD343" s="16" t="s">
        <v>145</v>
      </c>
      <c r="DE343" s="16" t="s">
        <v>145</v>
      </c>
      <c r="DF343" s="16" t="s">
        <v>145</v>
      </c>
      <c r="DG343" s="16" t="s">
        <v>1781</v>
      </c>
      <c r="DH343" s="16" t="s">
        <v>1790</v>
      </c>
      <c r="DI343" s="16" t="s">
        <v>1791</v>
      </c>
      <c r="DJ343" s="16" t="s">
        <v>1783</v>
      </c>
      <c r="DK343" s="21" t="s">
        <v>1813</v>
      </c>
      <c r="DL343" s="23"/>
      <c r="DM343" s="16" t="s">
        <v>1784</v>
      </c>
      <c r="DN343" s="21" t="s">
        <v>365</v>
      </c>
      <c r="DO343" s="23"/>
    </row>
    <row r="344" ht="15.75" customHeight="1">
      <c r="A344" s="15">
        <v>342.0</v>
      </c>
      <c r="B344" s="16" t="s">
        <v>1814</v>
      </c>
      <c r="C344" s="17">
        <v>3.2001162500714E13</v>
      </c>
      <c r="D344" s="18">
        <v>246.0</v>
      </c>
      <c r="E344" s="16" t="s">
        <v>1667</v>
      </c>
      <c r="F344" s="16" t="s">
        <v>606</v>
      </c>
      <c r="G344" s="16" t="s">
        <v>547</v>
      </c>
      <c r="H344" s="20">
        <v>43846.0</v>
      </c>
      <c r="I344" s="18">
        <v>1.0</v>
      </c>
      <c r="J344" s="19"/>
      <c r="K344" s="16" t="s">
        <v>1815</v>
      </c>
      <c r="L344" s="21" t="s">
        <v>138</v>
      </c>
      <c r="M344" s="23"/>
      <c r="N344" s="19"/>
      <c r="O344" s="19"/>
      <c r="P344" s="19"/>
      <c r="Q344" s="19"/>
      <c r="R344" s="19"/>
      <c r="S344" s="19"/>
      <c r="T344" s="19"/>
      <c r="U344" s="19"/>
      <c r="V344" s="16" t="s">
        <v>932</v>
      </c>
      <c r="W344" s="16" t="s">
        <v>46</v>
      </c>
      <c r="X344" s="16" t="s">
        <v>47</v>
      </c>
      <c r="Y344" s="21" t="s">
        <v>48</v>
      </c>
      <c r="Z344" s="23"/>
      <c r="AA344" s="19"/>
      <c r="AB344" s="19"/>
      <c r="AC344" s="19"/>
      <c r="AD344" s="19"/>
      <c r="AE344" s="19"/>
      <c r="AF344" s="19"/>
      <c r="AG344" s="18" t="s">
        <v>839</v>
      </c>
      <c r="AH344" s="16" t="s">
        <v>57</v>
      </c>
      <c r="AI344" s="18" t="s">
        <v>844</v>
      </c>
      <c r="AJ344" s="16" t="s">
        <v>124</v>
      </c>
      <c r="AK344" s="16" t="s">
        <v>153</v>
      </c>
      <c r="AL344" s="16" t="s">
        <v>181</v>
      </c>
      <c r="AM344" s="16" t="s">
        <v>181</v>
      </c>
      <c r="AN344" s="16" t="s">
        <v>126</v>
      </c>
      <c r="AO344" s="16" t="s">
        <v>126</v>
      </c>
      <c r="AP344" s="16" t="s">
        <v>181</v>
      </c>
      <c r="AQ344" s="16" t="s">
        <v>181</v>
      </c>
      <c r="AR344" s="16" t="s">
        <v>126</v>
      </c>
      <c r="AS344" s="21" t="s">
        <v>65</v>
      </c>
      <c r="AT344" s="22"/>
      <c r="AU344" s="23"/>
      <c r="AV344" s="21" t="s">
        <v>68</v>
      </c>
      <c r="AW344" s="23"/>
      <c r="AX344" s="16" t="s">
        <v>70</v>
      </c>
      <c r="AY344" s="16" t="s">
        <v>71</v>
      </c>
      <c r="AZ344" s="18" t="s">
        <v>844</v>
      </c>
      <c r="BA344" s="21" t="s">
        <v>73</v>
      </c>
      <c r="BB344" s="23"/>
      <c r="BC344" s="19"/>
      <c r="BD344" s="16" t="s">
        <v>76</v>
      </c>
      <c r="BE344" s="16" t="s">
        <v>77</v>
      </c>
      <c r="BF344" s="18" t="s">
        <v>839</v>
      </c>
      <c r="BG344" s="21" t="s">
        <v>78</v>
      </c>
      <c r="BH344" s="23"/>
      <c r="BI344" s="19"/>
      <c r="BJ344" s="19"/>
      <c r="BK344" s="19"/>
      <c r="BL344" s="19"/>
      <c r="BM344" s="19"/>
      <c r="BN344" s="16" t="s">
        <v>84</v>
      </c>
      <c r="BO344" s="16" t="s">
        <v>85</v>
      </c>
      <c r="BP344" s="18" t="s">
        <v>839</v>
      </c>
      <c r="BQ344" s="19"/>
      <c r="BR344" s="19"/>
      <c r="BS344" s="19"/>
      <c r="BT344" s="19"/>
      <c r="BU344" s="19"/>
      <c r="BV344" s="19"/>
      <c r="BW344" s="16" t="s">
        <v>92</v>
      </c>
      <c r="BX344" s="18" t="s">
        <v>845</v>
      </c>
      <c r="BY344" s="19"/>
      <c r="BZ344" s="19"/>
      <c r="CA344" s="19"/>
      <c r="CB344" s="19"/>
      <c r="CC344" s="19"/>
      <c r="CD344" s="19"/>
      <c r="CE344" s="21" t="s">
        <v>99</v>
      </c>
      <c r="CF344" s="23"/>
      <c r="CG344" s="16" t="s">
        <v>128</v>
      </c>
      <c r="CH344" s="19"/>
      <c r="CI344" s="16" t="s">
        <v>101</v>
      </c>
      <c r="CJ344" s="21" t="s">
        <v>102</v>
      </c>
      <c r="CK344" s="23"/>
      <c r="CL344" s="16" t="s">
        <v>104</v>
      </c>
      <c r="CM344" s="18" t="s">
        <v>844</v>
      </c>
      <c r="CN344" s="16" t="s">
        <v>128</v>
      </c>
      <c r="CO344" s="16" t="s">
        <v>105</v>
      </c>
      <c r="CP344" s="21" t="s">
        <v>106</v>
      </c>
      <c r="CQ344" s="23"/>
      <c r="CR344" s="21" t="s">
        <v>108</v>
      </c>
      <c r="CS344" s="23"/>
      <c r="CT344" s="16" t="s">
        <v>110</v>
      </c>
      <c r="CU344" s="18" t="s">
        <v>839</v>
      </c>
      <c r="CV344" s="16" t="s">
        <v>128</v>
      </c>
      <c r="CW344" s="19"/>
      <c r="CX344" s="21" t="s">
        <v>112</v>
      </c>
      <c r="CY344" s="23"/>
      <c r="CZ344" s="16" t="s">
        <v>114</v>
      </c>
      <c r="DA344" s="21" t="s">
        <v>115</v>
      </c>
      <c r="DB344" s="23"/>
      <c r="DC344" s="16" t="s">
        <v>129</v>
      </c>
      <c r="DD344" s="16" t="s">
        <v>129</v>
      </c>
      <c r="DE344" s="16" t="s">
        <v>129</v>
      </c>
      <c r="DF344" s="16" t="s">
        <v>129</v>
      </c>
      <c r="DG344" s="16" t="s">
        <v>841</v>
      </c>
      <c r="DH344" s="16" t="s">
        <v>897</v>
      </c>
      <c r="DI344" s="16" t="s">
        <v>1412</v>
      </c>
      <c r="DJ344" s="16" t="s">
        <v>1104</v>
      </c>
      <c r="DK344" s="18" t="s">
        <v>844</v>
      </c>
      <c r="DL344" s="18" t="s">
        <v>845</v>
      </c>
      <c r="DM344" s="16" t="s">
        <v>1816</v>
      </c>
      <c r="DN344" s="18" t="s">
        <v>845</v>
      </c>
      <c r="DO344" s="18" t="s">
        <v>845</v>
      </c>
    </row>
    <row r="345" ht="15.75" customHeight="1">
      <c r="A345" s="15">
        <v>343.0</v>
      </c>
      <c r="B345" s="16" t="s">
        <v>1817</v>
      </c>
      <c r="C345" s="17">
        <v>3.1804222502802E13</v>
      </c>
      <c r="D345" s="18">
        <v>143.0</v>
      </c>
      <c r="E345" s="16" t="s">
        <v>1777</v>
      </c>
      <c r="F345" s="16" t="s">
        <v>851</v>
      </c>
      <c r="G345" s="16" t="s">
        <v>547</v>
      </c>
      <c r="H345" s="20">
        <v>43212.0</v>
      </c>
      <c r="I345" s="16"/>
      <c r="J345" s="18">
        <v>1.0</v>
      </c>
      <c r="K345" s="16" t="s">
        <v>1818</v>
      </c>
      <c r="L345" s="21" t="s">
        <v>138</v>
      </c>
      <c r="M345" s="23"/>
      <c r="N345" s="19"/>
      <c r="O345" s="19"/>
      <c r="P345" s="19"/>
      <c r="Q345" s="19"/>
      <c r="R345" s="19"/>
      <c r="S345" s="19"/>
      <c r="T345" s="19"/>
      <c r="U345" s="19"/>
      <c r="V345" s="16" t="s">
        <v>674</v>
      </c>
      <c r="W345" s="16" t="s">
        <v>46</v>
      </c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21" t="s">
        <v>123</v>
      </c>
      <c r="AI345" s="23"/>
      <c r="AJ345" s="16" t="s">
        <v>168</v>
      </c>
      <c r="AK345" s="16" t="s">
        <v>153</v>
      </c>
      <c r="AL345" s="16" t="s">
        <v>181</v>
      </c>
      <c r="AM345" s="16" t="s">
        <v>126</v>
      </c>
      <c r="AN345" s="16" t="s">
        <v>181</v>
      </c>
      <c r="AO345" s="16" t="s">
        <v>126</v>
      </c>
      <c r="AP345" s="16" t="s">
        <v>181</v>
      </c>
      <c r="AQ345" s="16" t="s">
        <v>126</v>
      </c>
      <c r="AR345" s="16" t="s">
        <v>181</v>
      </c>
      <c r="AS345" s="21" t="s">
        <v>65</v>
      </c>
      <c r="AT345" s="22"/>
      <c r="AU345" s="23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21" t="s">
        <v>78</v>
      </c>
      <c r="BH345" s="23"/>
      <c r="BI345" s="19"/>
      <c r="BJ345" s="19"/>
      <c r="BK345" s="19"/>
      <c r="BL345" s="19"/>
      <c r="BM345" s="19"/>
      <c r="BN345" s="21" t="s">
        <v>84</v>
      </c>
      <c r="BO345" s="22"/>
      <c r="BP345" s="23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6" t="s">
        <v>1656</v>
      </c>
      <c r="CG345" s="16" t="s">
        <v>128</v>
      </c>
      <c r="CH345" s="19"/>
      <c r="CI345" s="19"/>
      <c r="CJ345" s="21" t="s">
        <v>102</v>
      </c>
      <c r="CK345" s="23"/>
      <c r="CL345" s="21" t="s">
        <v>104</v>
      </c>
      <c r="CM345" s="23"/>
      <c r="CN345" s="16" t="s">
        <v>128</v>
      </c>
      <c r="CO345" s="19"/>
      <c r="CP345" s="19"/>
      <c r="CQ345" s="21" t="s">
        <v>107</v>
      </c>
      <c r="CR345" s="22"/>
      <c r="CS345" s="23"/>
      <c r="CT345" s="19"/>
      <c r="CU345" s="19"/>
      <c r="CV345" s="16" t="s">
        <v>128</v>
      </c>
      <c r="CW345" s="19"/>
      <c r="CX345" s="19"/>
      <c r="CY345" s="19"/>
      <c r="CZ345" s="19"/>
      <c r="DA345" s="21" t="s">
        <v>115</v>
      </c>
      <c r="DB345" s="23"/>
      <c r="DC345" s="16" t="s">
        <v>129</v>
      </c>
      <c r="DD345" s="16" t="s">
        <v>129</v>
      </c>
      <c r="DE345" s="16" t="s">
        <v>145</v>
      </c>
      <c r="DF345" s="16" t="s">
        <v>129</v>
      </c>
      <c r="DG345" s="16" t="s">
        <v>677</v>
      </c>
      <c r="DH345" s="21" t="s">
        <v>1819</v>
      </c>
      <c r="DI345" s="23"/>
      <c r="DJ345" s="16" t="s">
        <v>144</v>
      </c>
      <c r="DK345" s="19"/>
      <c r="DL345" s="19"/>
      <c r="DM345" s="21" t="s">
        <v>679</v>
      </c>
      <c r="DN345" s="23"/>
      <c r="DO345" s="19"/>
    </row>
    <row r="346" ht="15.75" customHeight="1">
      <c r="A346" s="15">
        <v>344.0</v>
      </c>
      <c r="B346" s="16" t="s">
        <v>1820</v>
      </c>
      <c r="C346" s="17">
        <v>3.1202222501989E13</v>
      </c>
      <c r="D346" s="18">
        <v>62.0</v>
      </c>
      <c r="E346" s="16" t="s">
        <v>1667</v>
      </c>
      <c r="F346" s="16" t="s">
        <v>606</v>
      </c>
      <c r="G346" s="16" t="s">
        <v>547</v>
      </c>
      <c r="H346" s="20">
        <v>40961.0</v>
      </c>
      <c r="I346" s="16"/>
      <c r="J346" s="18">
        <v>1.0</v>
      </c>
      <c r="K346" s="16" t="s">
        <v>1821</v>
      </c>
      <c r="L346" s="21" t="s">
        <v>138</v>
      </c>
      <c r="M346" s="23"/>
      <c r="N346" s="19"/>
      <c r="O346" s="19"/>
      <c r="P346" s="19"/>
      <c r="Q346" s="19"/>
      <c r="R346" s="19"/>
      <c r="S346" s="19"/>
      <c r="T346" s="19"/>
      <c r="U346" s="19"/>
      <c r="V346" s="21" t="s">
        <v>932</v>
      </c>
      <c r="W346" s="22"/>
      <c r="X346" s="23"/>
      <c r="Y346" s="21" t="s">
        <v>48</v>
      </c>
      <c r="Z346" s="23"/>
      <c r="AA346" s="19"/>
      <c r="AB346" s="19"/>
      <c r="AC346" s="19"/>
      <c r="AD346" s="19"/>
      <c r="AE346" s="19"/>
      <c r="AF346" s="19"/>
      <c r="AG346" s="18" t="s">
        <v>844</v>
      </c>
      <c r="AH346" s="16" t="s">
        <v>57</v>
      </c>
      <c r="AI346" s="18" t="s">
        <v>844</v>
      </c>
      <c r="AJ346" s="16" t="s">
        <v>168</v>
      </c>
      <c r="AK346" s="16" t="s">
        <v>153</v>
      </c>
      <c r="AL346" s="16" t="s">
        <v>181</v>
      </c>
      <c r="AM346" s="16" t="s">
        <v>181</v>
      </c>
      <c r="AN346" s="16" t="s">
        <v>181</v>
      </c>
      <c r="AO346" s="16" t="s">
        <v>181</v>
      </c>
      <c r="AP346" s="16" t="s">
        <v>181</v>
      </c>
      <c r="AQ346" s="16" t="s">
        <v>181</v>
      </c>
      <c r="AR346" s="16" t="s">
        <v>181</v>
      </c>
      <c r="AS346" s="19"/>
      <c r="AT346" s="19"/>
      <c r="AU346" s="19"/>
      <c r="AV346" s="21" t="s">
        <v>68</v>
      </c>
      <c r="AW346" s="23"/>
      <c r="AX346" s="16" t="s">
        <v>70</v>
      </c>
      <c r="AY346" s="16" t="s">
        <v>71</v>
      </c>
      <c r="AZ346" s="18" t="s">
        <v>844</v>
      </c>
      <c r="BA346" s="16" t="s">
        <v>73</v>
      </c>
      <c r="BB346" s="21" t="s">
        <v>74</v>
      </c>
      <c r="BC346" s="22"/>
      <c r="BD346" s="23"/>
      <c r="BE346" s="16" t="s">
        <v>77</v>
      </c>
      <c r="BF346" s="18" t="s">
        <v>839</v>
      </c>
      <c r="BG346" s="19"/>
      <c r="BH346" s="19"/>
      <c r="BI346" s="19"/>
      <c r="BJ346" s="19"/>
      <c r="BK346" s="16" t="s">
        <v>81</v>
      </c>
      <c r="BL346" s="19"/>
      <c r="BM346" s="19"/>
      <c r="BN346" s="19"/>
      <c r="BO346" s="19"/>
      <c r="BP346" s="18" t="s">
        <v>844</v>
      </c>
      <c r="BQ346" s="19"/>
      <c r="BR346" s="19"/>
      <c r="BS346" s="21" t="s">
        <v>88</v>
      </c>
      <c r="BT346" s="23"/>
      <c r="BU346" s="19"/>
      <c r="BV346" s="19"/>
      <c r="BW346" s="16" t="s">
        <v>92</v>
      </c>
      <c r="BX346" s="18" t="s">
        <v>844</v>
      </c>
      <c r="BY346" s="16" t="s">
        <v>93</v>
      </c>
      <c r="BZ346" s="16" t="s">
        <v>94</v>
      </c>
      <c r="CA346" s="21" t="s">
        <v>95</v>
      </c>
      <c r="CB346" s="22"/>
      <c r="CC346" s="23"/>
      <c r="CD346" s="19"/>
      <c r="CE346" s="21" t="s">
        <v>99</v>
      </c>
      <c r="CF346" s="23"/>
      <c r="CG346" s="19"/>
      <c r="CH346" s="16" t="s">
        <v>100</v>
      </c>
      <c r="CI346" s="21" t="s">
        <v>101</v>
      </c>
      <c r="CJ346" s="22"/>
      <c r="CK346" s="23"/>
      <c r="CL346" s="16" t="s">
        <v>104</v>
      </c>
      <c r="CM346" s="18" t="s">
        <v>839</v>
      </c>
      <c r="CN346" s="16" t="s">
        <v>128</v>
      </c>
      <c r="CO346" s="21" t="s">
        <v>105</v>
      </c>
      <c r="CP346" s="22"/>
      <c r="CQ346" s="23"/>
      <c r="CR346" s="16" t="s">
        <v>108</v>
      </c>
      <c r="CS346" s="16" t="s">
        <v>109</v>
      </c>
      <c r="CT346" s="16" t="s">
        <v>110</v>
      </c>
      <c r="CU346" s="18" t="s">
        <v>839</v>
      </c>
      <c r="CV346" s="16" t="s">
        <v>128</v>
      </c>
      <c r="CW346" s="19"/>
      <c r="CX346" s="16" t="s">
        <v>112</v>
      </c>
      <c r="CY346" s="16" t="s">
        <v>113</v>
      </c>
      <c r="CZ346" s="16" t="s">
        <v>114</v>
      </c>
      <c r="DA346" s="16" t="s">
        <v>115</v>
      </c>
      <c r="DB346" s="18" t="s">
        <v>844</v>
      </c>
      <c r="DC346" s="16" t="s">
        <v>129</v>
      </c>
      <c r="DD346" s="16" t="s">
        <v>129</v>
      </c>
      <c r="DE346" s="16" t="s">
        <v>129</v>
      </c>
      <c r="DF346" s="16" t="s">
        <v>129</v>
      </c>
      <c r="DG346" s="16" t="s">
        <v>1822</v>
      </c>
      <c r="DH346" s="16" t="s">
        <v>1823</v>
      </c>
      <c r="DI346" s="16" t="s">
        <v>934</v>
      </c>
      <c r="DJ346" s="16" t="s">
        <v>915</v>
      </c>
      <c r="DK346" s="18" t="s">
        <v>844</v>
      </c>
      <c r="DL346" s="18" t="s">
        <v>845</v>
      </c>
      <c r="DM346" s="16" t="s">
        <v>1816</v>
      </c>
      <c r="DN346" s="18" t="s">
        <v>845</v>
      </c>
      <c r="DO346" s="18" t="s">
        <v>845</v>
      </c>
    </row>
    <row r="347" ht="15.75" customHeight="1">
      <c r="A347" s="15">
        <v>345.0</v>
      </c>
      <c r="B347" s="16" t="s">
        <v>1824</v>
      </c>
      <c r="C347" s="17">
        <v>3.1804222502896E13</v>
      </c>
      <c r="D347" s="18">
        <v>142.0</v>
      </c>
      <c r="E347" s="16" t="s">
        <v>1777</v>
      </c>
      <c r="F347" s="16" t="s">
        <v>851</v>
      </c>
      <c r="G347" s="16" t="s">
        <v>547</v>
      </c>
      <c r="H347" s="20">
        <v>43212.0</v>
      </c>
      <c r="I347" s="18">
        <v>1.0</v>
      </c>
      <c r="J347" s="19"/>
      <c r="K347" s="16" t="s">
        <v>1818</v>
      </c>
      <c r="L347" s="21" t="s">
        <v>138</v>
      </c>
      <c r="M347" s="23"/>
      <c r="N347" s="19"/>
      <c r="O347" s="19"/>
      <c r="P347" s="19"/>
      <c r="Q347" s="19"/>
      <c r="R347" s="19"/>
      <c r="S347" s="19"/>
      <c r="T347" s="19"/>
      <c r="U347" s="19"/>
      <c r="V347" s="16" t="s">
        <v>674</v>
      </c>
      <c r="W347" s="16" t="s">
        <v>46</v>
      </c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21" t="s">
        <v>123</v>
      </c>
      <c r="AI347" s="23"/>
      <c r="AJ347" s="16" t="s">
        <v>168</v>
      </c>
      <c r="AK347" s="16" t="s">
        <v>153</v>
      </c>
      <c r="AL347" s="16" t="s">
        <v>126</v>
      </c>
      <c r="AM347" s="16" t="s">
        <v>181</v>
      </c>
      <c r="AN347" s="16" t="s">
        <v>181</v>
      </c>
      <c r="AO347" s="16" t="s">
        <v>126</v>
      </c>
      <c r="AP347" s="16" t="s">
        <v>181</v>
      </c>
      <c r="AQ347" s="16" t="s">
        <v>181</v>
      </c>
      <c r="AR347" s="16" t="s">
        <v>181</v>
      </c>
      <c r="AS347" s="21" t="s">
        <v>65</v>
      </c>
      <c r="AT347" s="22"/>
      <c r="AU347" s="23"/>
      <c r="AV347" s="19"/>
      <c r="AW347" s="16" t="s">
        <v>69</v>
      </c>
      <c r="AX347" s="21" t="s">
        <v>70</v>
      </c>
      <c r="AY347" s="22"/>
      <c r="AZ347" s="23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6" t="s">
        <v>81</v>
      </c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6" t="s">
        <v>1656</v>
      </c>
      <c r="CG347" s="16" t="s">
        <v>128</v>
      </c>
      <c r="CH347" s="21" t="s">
        <v>100</v>
      </c>
      <c r="CI347" s="23"/>
      <c r="CJ347" s="19"/>
      <c r="CK347" s="19"/>
      <c r="CL347" s="21" t="s">
        <v>104</v>
      </c>
      <c r="CM347" s="23"/>
      <c r="CN347" s="16" t="s">
        <v>128</v>
      </c>
      <c r="CO347" s="19"/>
      <c r="CP347" s="19"/>
      <c r="CQ347" s="16" t="s">
        <v>107</v>
      </c>
      <c r="CR347" s="16" t="s">
        <v>108</v>
      </c>
      <c r="CS347" s="21" t="s">
        <v>109</v>
      </c>
      <c r="CT347" s="23"/>
      <c r="CU347" s="19"/>
      <c r="CV347" s="16" t="s">
        <v>128</v>
      </c>
      <c r="CW347" s="19"/>
      <c r="CX347" s="21" t="s">
        <v>112</v>
      </c>
      <c r="CY347" s="23"/>
      <c r="CZ347" s="21" t="s">
        <v>114</v>
      </c>
      <c r="DA347" s="22"/>
      <c r="DB347" s="23"/>
      <c r="DC347" s="16" t="s">
        <v>145</v>
      </c>
      <c r="DD347" s="16" t="s">
        <v>129</v>
      </c>
      <c r="DE347" s="16" t="s">
        <v>129</v>
      </c>
      <c r="DF347" s="16" t="s">
        <v>129</v>
      </c>
      <c r="DG347" s="16" t="s">
        <v>1635</v>
      </c>
      <c r="DH347" s="21" t="s">
        <v>1819</v>
      </c>
      <c r="DI347" s="23"/>
      <c r="DJ347" s="16" t="s">
        <v>144</v>
      </c>
      <c r="DK347" s="19"/>
      <c r="DL347" s="19"/>
      <c r="DM347" s="21" t="s">
        <v>679</v>
      </c>
      <c r="DN347" s="23"/>
      <c r="DO347" s="19"/>
    </row>
    <row r="348" ht="15.75" customHeight="1">
      <c r="A348" s="15">
        <v>346.0</v>
      </c>
      <c r="B348" s="16" t="s">
        <v>1825</v>
      </c>
      <c r="C348" s="17">
        <v>3.200708253273E12</v>
      </c>
      <c r="D348" s="18">
        <v>146.0</v>
      </c>
      <c r="E348" s="16" t="s">
        <v>1777</v>
      </c>
      <c r="F348" s="16" t="s">
        <v>1339</v>
      </c>
      <c r="G348" s="16" t="s">
        <v>547</v>
      </c>
      <c r="H348" s="20">
        <v>44020.0</v>
      </c>
      <c r="I348" s="18">
        <v>1.0</v>
      </c>
      <c r="J348" s="19"/>
      <c r="K348" s="16" t="s">
        <v>1826</v>
      </c>
      <c r="L348" s="21" t="s">
        <v>138</v>
      </c>
      <c r="M348" s="23"/>
      <c r="N348" s="19"/>
      <c r="O348" s="19"/>
      <c r="P348" s="19"/>
      <c r="Q348" s="19"/>
      <c r="R348" s="19"/>
      <c r="S348" s="19"/>
      <c r="T348" s="19"/>
      <c r="U348" s="19"/>
      <c r="V348" s="16" t="s">
        <v>144</v>
      </c>
      <c r="W348" s="19"/>
      <c r="X348" s="21" t="s">
        <v>47</v>
      </c>
      <c r="Y348" s="23"/>
      <c r="Z348" s="19"/>
      <c r="AA348" s="19"/>
      <c r="AB348" s="19"/>
      <c r="AC348" s="19"/>
      <c r="AD348" s="19"/>
      <c r="AE348" s="19"/>
      <c r="AF348" s="19"/>
      <c r="AG348" s="19"/>
      <c r="AH348" s="21" t="s">
        <v>123</v>
      </c>
      <c r="AI348" s="23"/>
      <c r="AJ348" s="16" t="s">
        <v>663</v>
      </c>
      <c r="AK348" s="16" t="s">
        <v>153</v>
      </c>
      <c r="AL348" s="16" t="s">
        <v>181</v>
      </c>
      <c r="AM348" s="16" t="s">
        <v>181</v>
      </c>
      <c r="AN348" s="16" t="s">
        <v>181</v>
      </c>
      <c r="AO348" s="16" t="s">
        <v>181</v>
      </c>
      <c r="AP348" s="16" t="s">
        <v>181</v>
      </c>
      <c r="AQ348" s="16" t="s">
        <v>181</v>
      </c>
      <c r="AR348" s="16" t="s">
        <v>181</v>
      </c>
      <c r="AS348" s="21" t="s">
        <v>65</v>
      </c>
      <c r="AT348" s="22"/>
      <c r="AU348" s="23"/>
      <c r="AV348" s="19"/>
      <c r="AW348" s="19"/>
      <c r="AX348" s="19"/>
      <c r="AY348" s="19"/>
      <c r="AZ348" s="21" t="s">
        <v>1678</v>
      </c>
      <c r="BA348" s="23"/>
      <c r="BB348" s="19"/>
      <c r="BC348" s="19"/>
      <c r="BD348" s="19"/>
      <c r="BE348" s="19"/>
      <c r="BF348" s="19"/>
      <c r="BG348" s="21" t="s">
        <v>78</v>
      </c>
      <c r="BH348" s="23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6" t="s">
        <v>144</v>
      </c>
      <c r="CG348" s="16" t="s">
        <v>128</v>
      </c>
      <c r="CH348" s="19"/>
      <c r="CI348" s="19"/>
      <c r="CJ348" s="19"/>
      <c r="CK348" s="19"/>
      <c r="CL348" s="16" t="s">
        <v>104</v>
      </c>
      <c r="CM348" s="16" t="s">
        <v>1678</v>
      </c>
      <c r="CN348" s="16" t="s">
        <v>128</v>
      </c>
      <c r="CO348" s="19"/>
      <c r="CP348" s="19"/>
      <c r="CQ348" s="19"/>
      <c r="CR348" s="19"/>
      <c r="CS348" s="21" t="s">
        <v>109</v>
      </c>
      <c r="CT348" s="23"/>
      <c r="CU348" s="19"/>
      <c r="CV348" s="16" t="s">
        <v>128</v>
      </c>
      <c r="CW348" s="21" t="s">
        <v>111</v>
      </c>
      <c r="CX348" s="22"/>
      <c r="CY348" s="23"/>
      <c r="CZ348" s="19"/>
      <c r="DA348" s="16" t="s">
        <v>115</v>
      </c>
      <c r="DB348" s="16" t="s">
        <v>1827</v>
      </c>
      <c r="DC348" s="16" t="s">
        <v>129</v>
      </c>
      <c r="DD348" s="16" t="s">
        <v>129</v>
      </c>
      <c r="DE348" s="16" t="s">
        <v>129</v>
      </c>
      <c r="DF348" s="16" t="s">
        <v>129</v>
      </c>
      <c r="DG348" s="16" t="s">
        <v>1828</v>
      </c>
      <c r="DH348" s="16" t="s">
        <v>1574</v>
      </c>
      <c r="DI348" s="16" t="s">
        <v>1829</v>
      </c>
      <c r="DJ348" s="16" t="s">
        <v>144</v>
      </c>
      <c r="DK348" s="19"/>
      <c r="DL348" s="19"/>
      <c r="DM348" s="16" t="s">
        <v>144</v>
      </c>
      <c r="DN348" s="19"/>
      <c r="DO348" s="19"/>
    </row>
    <row r="349" ht="15.75" customHeight="1">
      <c r="A349" s="15">
        <v>347.0</v>
      </c>
      <c r="B349" s="16" t="s">
        <v>1830</v>
      </c>
      <c r="C349" s="17">
        <v>3.1505032502728E13</v>
      </c>
      <c r="D349" s="18">
        <v>52.0</v>
      </c>
      <c r="E349" s="16" t="s">
        <v>1667</v>
      </c>
      <c r="F349" s="16" t="s">
        <v>606</v>
      </c>
      <c r="G349" s="16" t="s">
        <v>547</v>
      </c>
      <c r="H349" s="20">
        <v>42127.0</v>
      </c>
      <c r="I349" s="16"/>
      <c r="J349" s="18">
        <v>1.0</v>
      </c>
      <c r="K349" s="16" t="s">
        <v>1831</v>
      </c>
      <c r="L349" s="21" t="s">
        <v>138</v>
      </c>
      <c r="M349" s="23"/>
      <c r="N349" s="19"/>
      <c r="O349" s="19"/>
      <c r="P349" s="19"/>
      <c r="Q349" s="19"/>
      <c r="R349" s="19"/>
      <c r="S349" s="19"/>
      <c r="T349" s="19"/>
      <c r="U349" s="19"/>
      <c r="V349" s="21" t="s">
        <v>932</v>
      </c>
      <c r="W349" s="23"/>
      <c r="X349" s="21" t="s">
        <v>47</v>
      </c>
      <c r="Y349" s="23"/>
      <c r="Z349" s="19"/>
      <c r="AA349" s="19"/>
      <c r="AB349" s="19"/>
      <c r="AC349" s="19"/>
      <c r="AD349" s="19"/>
      <c r="AE349" s="19"/>
      <c r="AF349" s="19"/>
      <c r="AG349" s="18" t="s">
        <v>844</v>
      </c>
      <c r="AH349" s="16" t="s">
        <v>57</v>
      </c>
      <c r="AI349" s="18" t="s">
        <v>844</v>
      </c>
      <c r="AJ349" s="16" t="s">
        <v>168</v>
      </c>
      <c r="AK349" s="16" t="s">
        <v>153</v>
      </c>
      <c r="AL349" s="16" t="s">
        <v>181</v>
      </c>
      <c r="AM349" s="16" t="s">
        <v>181</v>
      </c>
      <c r="AN349" s="16" t="s">
        <v>181</v>
      </c>
      <c r="AO349" s="16" t="s">
        <v>181</v>
      </c>
      <c r="AP349" s="16" t="s">
        <v>181</v>
      </c>
      <c r="AQ349" s="16" t="s">
        <v>181</v>
      </c>
      <c r="AR349" s="16" t="s">
        <v>181</v>
      </c>
      <c r="AS349" s="21" t="s">
        <v>65</v>
      </c>
      <c r="AT349" s="22"/>
      <c r="AU349" s="23"/>
      <c r="AV349" s="19"/>
      <c r="AW349" s="16" t="s">
        <v>69</v>
      </c>
      <c r="AX349" s="16" t="s">
        <v>70</v>
      </c>
      <c r="AY349" s="16" t="s">
        <v>71</v>
      </c>
      <c r="AZ349" s="18" t="s">
        <v>844</v>
      </c>
      <c r="BA349" s="16" t="s">
        <v>73</v>
      </c>
      <c r="BB349" s="21" t="s">
        <v>74</v>
      </c>
      <c r="BC349" s="23"/>
      <c r="BD349" s="16" t="s">
        <v>76</v>
      </c>
      <c r="BE349" s="16" t="s">
        <v>77</v>
      </c>
      <c r="BF349" s="18" t="s">
        <v>844</v>
      </c>
      <c r="BG349" s="16" t="s">
        <v>78</v>
      </c>
      <c r="BH349" s="21" t="s">
        <v>79</v>
      </c>
      <c r="BI349" s="23"/>
      <c r="BJ349" s="19"/>
      <c r="BK349" s="19"/>
      <c r="BL349" s="19"/>
      <c r="BM349" s="19"/>
      <c r="BN349" s="21" t="s">
        <v>84</v>
      </c>
      <c r="BO349" s="23"/>
      <c r="BP349" s="18" t="s">
        <v>839</v>
      </c>
      <c r="BQ349" s="19"/>
      <c r="BR349" s="19"/>
      <c r="BS349" s="21" t="s">
        <v>88</v>
      </c>
      <c r="BT349" s="23"/>
      <c r="BU349" s="19"/>
      <c r="BV349" s="19"/>
      <c r="BW349" s="16" t="s">
        <v>92</v>
      </c>
      <c r="BX349" s="18" t="s">
        <v>844</v>
      </c>
      <c r="BY349" s="21" t="s">
        <v>93</v>
      </c>
      <c r="BZ349" s="22"/>
      <c r="CA349" s="23"/>
      <c r="CB349" s="19"/>
      <c r="CC349" s="19"/>
      <c r="CD349" s="19"/>
      <c r="CE349" s="19"/>
      <c r="CF349" s="18" t="s">
        <v>844</v>
      </c>
      <c r="CG349" s="16" t="s">
        <v>128</v>
      </c>
      <c r="CH349" s="21" t="s">
        <v>100</v>
      </c>
      <c r="CI349" s="23"/>
      <c r="CJ349" s="21" t="s">
        <v>102</v>
      </c>
      <c r="CK349" s="23"/>
      <c r="CL349" s="16" t="s">
        <v>104</v>
      </c>
      <c r="CM349" s="18" t="s">
        <v>844</v>
      </c>
      <c r="CN349" s="16" t="s">
        <v>128</v>
      </c>
      <c r="CO349" s="21" t="s">
        <v>105</v>
      </c>
      <c r="CP349" s="22"/>
      <c r="CQ349" s="23"/>
      <c r="CR349" s="21" t="s">
        <v>108</v>
      </c>
      <c r="CS349" s="23"/>
      <c r="CT349" s="16" t="s">
        <v>110</v>
      </c>
      <c r="CU349" s="18" t="s">
        <v>844</v>
      </c>
      <c r="CV349" s="16" t="s">
        <v>128</v>
      </c>
      <c r="CW349" s="19"/>
      <c r="CX349" s="16" t="s">
        <v>112</v>
      </c>
      <c r="CY349" s="16" t="s">
        <v>113</v>
      </c>
      <c r="CZ349" s="16" t="s">
        <v>114</v>
      </c>
      <c r="DA349" s="16" t="s">
        <v>115</v>
      </c>
      <c r="DB349" s="18" t="s">
        <v>844</v>
      </c>
      <c r="DC349" s="16" t="s">
        <v>129</v>
      </c>
      <c r="DD349" s="16" t="s">
        <v>129</v>
      </c>
      <c r="DE349" s="16" t="s">
        <v>129</v>
      </c>
      <c r="DF349" s="16" t="s">
        <v>129</v>
      </c>
      <c r="DG349" s="16" t="s">
        <v>841</v>
      </c>
      <c r="DH349" s="16" t="s">
        <v>873</v>
      </c>
      <c r="DI349" s="16" t="s">
        <v>914</v>
      </c>
      <c r="DJ349" s="16" t="s">
        <v>1811</v>
      </c>
      <c r="DK349" s="18" t="s">
        <v>844</v>
      </c>
      <c r="DL349" s="18" t="s">
        <v>845</v>
      </c>
      <c r="DM349" s="16" t="s">
        <v>1816</v>
      </c>
      <c r="DN349" s="18" t="s">
        <v>845</v>
      </c>
      <c r="DO349" s="18" t="s">
        <v>845</v>
      </c>
    </row>
    <row r="350" ht="15.75" customHeight="1">
      <c r="A350" s="15">
        <v>348.0</v>
      </c>
      <c r="B350" s="16" t="s">
        <v>1832</v>
      </c>
      <c r="C350" s="17">
        <v>3.0201032502375E13</v>
      </c>
      <c r="D350" s="18">
        <v>150.0</v>
      </c>
      <c r="E350" s="16" t="s">
        <v>1777</v>
      </c>
      <c r="F350" s="16" t="s">
        <v>1339</v>
      </c>
      <c r="G350" s="16" t="s">
        <v>547</v>
      </c>
      <c r="H350" s="20">
        <v>44107.0</v>
      </c>
      <c r="I350" s="16"/>
      <c r="J350" s="18">
        <v>1.0</v>
      </c>
      <c r="K350" s="16" t="s">
        <v>1833</v>
      </c>
      <c r="L350" s="21" t="s">
        <v>138</v>
      </c>
      <c r="M350" s="23"/>
      <c r="N350" s="19"/>
      <c r="O350" s="19"/>
      <c r="P350" s="19"/>
      <c r="Q350" s="19"/>
      <c r="R350" s="19"/>
      <c r="S350" s="19"/>
      <c r="T350" s="19"/>
      <c r="U350" s="19"/>
      <c r="V350" s="16" t="s">
        <v>144</v>
      </c>
      <c r="W350" s="19"/>
      <c r="X350" s="21" t="s">
        <v>47</v>
      </c>
      <c r="Y350" s="23"/>
      <c r="Z350" s="19"/>
      <c r="AA350" s="19"/>
      <c r="AB350" s="19"/>
      <c r="AC350" s="19"/>
      <c r="AD350" s="19"/>
      <c r="AE350" s="19"/>
      <c r="AF350" s="19"/>
      <c r="AG350" s="19"/>
      <c r="AH350" s="21" t="s">
        <v>123</v>
      </c>
      <c r="AI350" s="23"/>
      <c r="AJ350" s="16" t="s">
        <v>663</v>
      </c>
      <c r="AK350" s="16" t="s">
        <v>153</v>
      </c>
      <c r="AL350" s="16" t="s">
        <v>126</v>
      </c>
      <c r="AM350" s="16" t="s">
        <v>126</v>
      </c>
      <c r="AN350" s="16" t="s">
        <v>126</v>
      </c>
      <c r="AO350" s="16" t="s">
        <v>181</v>
      </c>
      <c r="AP350" s="16" t="s">
        <v>181</v>
      </c>
      <c r="AQ350" s="16" t="s">
        <v>181</v>
      </c>
      <c r="AR350" s="16" t="s">
        <v>181</v>
      </c>
      <c r="AS350" s="21" t="s">
        <v>65</v>
      </c>
      <c r="AT350" s="22"/>
      <c r="AU350" s="23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21" t="s">
        <v>78</v>
      </c>
      <c r="BH350" s="23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6" t="s">
        <v>144</v>
      </c>
      <c r="CG350" s="16" t="s">
        <v>128</v>
      </c>
      <c r="CH350" s="21" t="s">
        <v>100</v>
      </c>
      <c r="CI350" s="23"/>
      <c r="CJ350" s="19"/>
      <c r="CK350" s="19"/>
      <c r="CL350" s="19"/>
      <c r="CM350" s="16" t="s">
        <v>1834</v>
      </c>
      <c r="CN350" s="16" t="s">
        <v>128</v>
      </c>
      <c r="CO350" s="21" t="s">
        <v>105</v>
      </c>
      <c r="CP350" s="22"/>
      <c r="CQ350" s="23"/>
      <c r="CR350" s="19"/>
      <c r="CS350" s="19"/>
      <c r="CT350" s="19"/>
      <c r="CU350" s="19"/>
      <c r="CV350" s="16" t="s">
        <v>128</v>
      </c>
      <c r="CW350" s="19"/>
      <c r="CX350" s="19"/>
      <c r="CY350" s="19"/>
      <c r="CZ350" s="21" t="s">
        <v>114</v>
      </c>
      <c r="DA350" s="22"/>
      <c r="DB350" s="23"/>
      <c r="DC350" s="16" t="s">
        <v>129</v>
      </c>
      <c r="DD350" s="16" t="s">
        <v>129</v>
      </c>
      <c r="DE350" s="16" t="s">
        <v>129</v>
      </c>
      <c r="DF350" s="16" t="s">
        <v>129</v>
      </c>
      <c r="DG350" s="16" t="s">
        <v>1678</v>
      </c>
      <c r="DH350" s="16" t="s">
        <v>1835</v>
      </c>
      <c r="DI350" s="16" t="s">
        <v>1829</v>
      </c>
      <c r="DJ350" s="16" t="s">
        <v>144</v>
      </c>
      <c r="DK350" s="19"/>
      <c r="DL350" s="19"/>
      <c r="DM350" s="16" t="s">
        <v>144</v>
      </c>
      <c r="DN350" s="19"/>
      <c r="DO350" s="19"/>
    </row>
    <row r="351" ht="15.75" customHeight="1">
      <c r="A351" s="15">
        <v>349.0</v>
      </c>
      <c r="B351" s="16" t="s">
        <v>1836</v>
      </c>
      <c r="C351" s="17">
        <v>3.2011112502955E14</v>
      </c>
      <c r="D351" s="18">
        <v>149.0</v>
      </c>
      <c r="E351" s="16" t="s">
        <v>1777</v>
      </c>
      <c r="F351" s="16" t="s">
        <v>851</v>
      </c>
      <c r="G351" s="16" t="s">
        <v>547</v>
      </c>
      <c r="H351" s="25">
        <v>44146.0</v>
      </c>
      <c r="I351" s="18">
        <v>1.0</v>
      </c>
      <c r="J351" s="19"/>
      <c r="K351" s="16" t="s">
        <v>1837</v>
      </c>
      <c r="L351" s="21" t="s">
        <v>138</v>
      </c>
      <c r="M351" s="23"/>
      <c r="N351" s="19"/>
      <c r="O351" s="19"/>
      <c r="P351" s="19"/>
      <c r="Q351" s="19"/>
      <c r="R351" s="19"/>
      <c r="S351" s="19"/>
      <c r="T351" s="19"/>
      <c r="U351" s="19"/>
      <c r="V351" s="16" t="s">
        <v>674</v>
      </c>
      <c r="W351" s="16" t="s">
        <v>46</v>
      </c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21" t="s">
        <v>123</v>
      </c>
      <c r="AI351" s="23"/>
      <c r="AJ351" s="16" t="s">
        <v>168</v>
      </c>
      <c r="AK351" s="16" t="s">
        <v>153</v>
      </c>
      <c r="AL351" s="16" t="s">
        <v>181</v>
      </c>
      <c r="AM351" s="16" t="s">
        <v>181</v>
      </c>
      <c r="AN351" s="16" t="s">
        <v>126</v>
      </c>
      <c r="AO351" s="16" t="s">
        <v>126</v>
      </c>
      <c r="AP351" s="16" t="s">
        <v>181</v>
      </c>
      <c r="AQ351" s="16" t="s">
        <v>126</v>
      </c>
      <c r="AR351" s="16" t="s">
        <v>181</v>
      </c>
      <c r="AS351" s="21" t="s">
        <v>65</v>
      </c>
      <c r="AT351" s="22"/>
      <c r="AU351" s="23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6" t="s">
        <v>81</v>
      </c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6" t="s">
        <v>676</v>
      </c>
      <c r="CG351" s="16" t="s">
        <v>128</v>
      </c>
      <c r="CH351" s="19"/>
      <c r="CI351" s="19"/>
      <c r="CJ351" s="19"/>
      <c r="CK351" s="19"/>
      <c r="CL351" s="21" t="s">
        <v>104</v>
      </c>
      <c r="CM351" s="23"/>
      <c r="CN351" s="16" t="s">
        <v>128</v>
      </c>
      <c r="CO351" s="19"/>
      <c r="CP351" s="19"/>
      <c r="CQ351" s="21" t="s">
        <v>107</v>
      </c>
      <c r="CR351" s="22"/>
      <c r="CS351" s="23"/>
      <c r="CT351" s="19"/>
      <c r="CU351" s="19"/>
      <c r="CV351" s="16" t="s">
        <v>128</v>
      </c>
      <c r="CW351" s="19"/>
      <c r="CX351" s="21" t="s">
        <v>112</v>
      </c>
      <c r="CY351" s="22"/>
      <c r="CZ351" s="23"/>
      <c r="DA351" s="19"/>
      <c r="DB351" s="19"/>
      <c r="DC351" s="16" t="s">
        <v>129</v>
      </c>
      <c r="DD351" s="16" t="s">
        <v>145</v>
      </c>
      <c r="DE351" s="16" t="s">
        <v>129</v>
      </c>
      <c r="DF351" s="16" t="s">
        <v>129</v>
      </c>
      <c r="DG351" s="16" t="s">
        <v>677</v>
      </c>
      <c r="DH351" s="21" t="s">
        <v>1819</v>
      </c>
      <c r="DI351" s="23"/>
      <c r="DJ351" s="16" t="s">
        <v>144</v>
      </c>
      <c r="DK351" s="19"/>
      <c r="DL351" s="19"/>
      <c r="DM351" s="21" t="s">
        <v>679</v>
      </c>
      <c r="DN351" s="23"/>
      <c r="DO351" s="19"/>
    </row>
    <row r="352" ht="15.75" customHeight="1">
      <c r="A352" s="15">
        <v>350.0</v>
      </c>
      <c r="B352" s="16" t="s">
        <v>1838</v>
      </c>
      <c r="C352" s="17">
        <v>3.0305152500424E13</v>
      </c>
      <c r="D352" s="18">
        <v>33.0</v>
      </c>
      <c r="E352" s="16" t="s">
        <v>1777</v>
      </c>
      <c r="F352" s="16" t="s">
        <v>851</v>
      </c>
      <c r="G352" s="16" t="s">
        <v>547</v>
      </c>
      <c r="H352" s="20">
        <v>37756.0</v>
      </c>
      <c r="I352" s="16"/>
      <c r="J352" s="18">
        <v>1.0</v>
      </c>
      <c r="K352" s="16" t="s">
        <v>1839</v>
      </c>
      <c r="L352" s="21" t="s">
        <v>138</v>
      </c>
      <c r="M352" s="23"/>
      <c r="N352" s="19"/>
      <c r="O352" s="19"/>
      <c r="P352" s="19"/>
      <c r="Q352" s="19"/>
      <c r="R352" s="19"/>
      <c r="S352" s="19"/>
      <c r="T352" s="19"/>
      <c r="U352" s="19"/>
      <c r="V352" s="21" t="s">
        <v>1779</v>
      </c>
      <c r="W352" s="23"/>
      <c r="X352" s="19"/>
      <c r="Y352" s="19"/>
      <c r="Z352" s="19"/>
      <c r="AA352" s="19"/>
      <c r="AB352" s="21" t="s">
        <v>51</v>
      </c>
      <c r="AC352" s="23"/>
      <c r="AD352" s="19"/>
      <c r="AE352" s="19"/>
      <c r="AF352" s="19"/>
      <c r="AG352" s="19"/>
      <c r="AH352" s="21" t="s">
        <v>152</v>
      </c>
      <c r="AI352" s="23"/>
      <c r="AJ352" s="16" t="s">
        <v>168</v>
      </c>
      <c r="AK352" s="16" t="s">
        <v>142</v>
      </c>
      <c r="AL352" s="16" t="s">
        <v>181</v>
      </c>
      <c r="AM352" s="16" t="s">
        <v>181</v>
      </c>
      <c r="AN352" s="16" t="s">
        <v>181</v>
      </c>
      <c r="AO352" s="16" t="s">
        <v>181</v>
      </c>
      <c r="AP352" s="16" t="s">
        <v>126</v>
      </c>
      <c r="AQ352" s="16" t="s">
        <v>181</v>
      </c>
      <c r="AR352" s="16" t="s">
        <v>181</v>
      </c>
      <c r="AS352" s="19"/>
      <c r="AT352" s="21" t="s">
        <v>66</v>
      </c>
      <c r="AU352" s="22"/>
      <c r="AV352" s="23"/>
      <c r="AW352" s="19"/>
      <c r="AX352" s="16" t="s">
        <v>70</v>
      </c>
      <c r="AY352" s="21" t="s">
        <v>71</v>
      </c>
      <c r="AZ352" s="22"/>
      <c r="BA352" s="23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21" t="s">
        <v>88</v>
      </c>
      <c r="BT352" s="23"/>
      <c r="BU352" s="21" t="s">
        <v>90</v>
      </c>
      <c r="BV352" s="23"/>
      <c r="BW352" s="16" t="s">
        <v>92</v>
      </c>
      <c r="BX352" s="21" t="s">
        <v>1840</v>
      </c>
      <c r="BY352" s="23"/>
      <c r="BZ352" s="19"/>
      <c r="CA352" s="19"/>
      <c r="CB352" s="19"/>
      <c r="CC352" s="21" t="s">
        <v>97</v>
      </c>
      <c r="CD352" s="23"/>
      <c r="CE352" s="19"/>
      <c r="CF352" s="19"/>
      <c r="CG352" s="16" t="s">
        <v>128</v>
      </c>
      <c r="CH352" s="21" t="s">
        <v>100</v>
      </c>
      <c r="CI352" s="23"/>
      <c r="CJ352" s="21" t="s">
        <v>102</v>
      </c>
      <c r="CK352" s="23"/>
      <c r="CL352" s="16" t="s">
        <v>104</v>
      </c>
      <c r="CM352" s="16" t="s">
        <v>1841</v>
      </c>
      <c r="CN352" s="16" t="s">
        <v>128</v>
      </c>
      <c r="CO352" s="16" t="s">
        <v>105</v>
      </c>
      <c r="CP352" s="21" t="s">
        <v>106</v>
      </c>
      <c r="CQ352" s="23"/>
      <c r="CR352" s="16" t="s">
        <v>108</v>
      </c>
      <c r="CS352" s="21" t="s">
        <v>109</v>
      </c>
      <c r="CT352" s="23"/>
      <c r="CU352" s="19"/>
      <c r="CV352" s="16" t="s">
        <v>128</v>
      </c>
      <c r="CW352" s="19"/>
      <c r="CX352" s="16" t="s">
        <v>112</v>
      </c>
      <c r="CY352" s="16" t="s">
        <v>113</v>
      </c>
      <c r="CZ352" s="16" t="s">
        <v>114</v>
      </c>
      <c r="DA352" s="21" t="s">
        <v>115</v>
      </c>
      <c r="DB352" s="23"/>
      <c r="DC352" s="16" t="s">
        <v>129</v>
      </c>
      <c r="DD352" s="16" t="s">
        <v>145</v>
      </c>
      <c r="DE352" s="16" t="s">
        <v>145</v>
      </c>
      <c r="DF352" s="16" t="s">
        <v>145</v>
      </c>
      <c r="DG352" s="16" t="s">
        <v>1781</v>
      </c>
      <c r="DH352" s="21" t="s">
        <v>1782</v>
      </c>
      <c r="DI352" s="23"/>
      <c r="DJ352" s="16" t="s">
        <v>1783</v>
      </c>
      <c r="DK352" s="21" t="s">
        <v>1842</v>
      </c>
      <c r="DL352" s="23"/>
      <c r="DM352" s="16" t="s">
        <v>1784</v>
      </c>
      <c r="DN352" s="21" t="s">
        <v>1843</v>
      </c>
      <c r="DO352" s="23"/>
    </row>
    <row r="353" ht="15.75" customHeight="1">
      <c r="A353" s="15">
        <v>351.0</v>
      </c>
      <c r="B353" s="16" t="s">
        <v>1844</v>
      </c>
      <c r="C353" s="17">
        <v>3.08100250158E11</v>
      </c>
      <c r="D353" s="18">
        <v>89.0</v>
      </c>
      <c r="E353" s="16" t="s">
        <v>1777</v>
      </c>
      <c r="F353" s="16" t="s">
        <v>595</v>
      </c>
      <c r="G353" s="16" t="s">
        <v>547</v>
      </c>
      <c r="H353" s="19"/>
      <c r="I353" s="18">
        <v>1.0</v>
      </c>
      <c r="J353" s="19"/>
      <c r="K353" s="16" t="s">
        <v>1845</v>
      </c>
      <c r="L353" s="21" t="s">
        <v>138</v>
      </c>
      <c r="M353" s="23"/>
      <c r="N353" s="19"/>
      <c r="O353" s="21" t="s">
        <v>38</v>
      </c>
      <c r="P353" s="22"/>
      <c r="Q353" s="23"/>
      <c r="R353" s="19"/>
      <c r="S353" s="19"/>
      <c r="T353" s="19"/>
      <c r="U353" s="19"/>
      <c r="V353" s="19"/>
      <c r="W353" s="16" t="s">
        <v>46</v>
      </c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21" t="s">
        <v>123</v>
      </c>
      <c r="AI353" s="23"/>
      <c r="AJ353" s="16" t="s">
        <v>663</v>
      </c>
      <c r="AK353" s="16" t="s">
        <v>125</v>
      </c>
      <c r="AL353" s="16" t="s">
        <v>126</v>
      </c>
      <c r="AM353" s="16" t="s">
        <v>181</v>
      </c>
      <c r="AN353" s="16" t="s">
        <v>126</v>
      </c>
      <c r="AO353" s="16" t="s">
        <v>181</v>
      </c>
      <c r="AP353" s="16" t="s">
        <v>126</v>
      </c>
      <c r="AQ353" s="16" t="s">
        <v>181</v>
      </c>
      <c r="AR353" s="16" t="s">
        <v>181</v>
      </c>
      <c r="AS353" s="19"/>
      <c r="AT353" s="19"/>
      <c r="AU353" s="19"/>
      <c r="AV353" s="21" t="s">
        <v>68</v>
      </c>
      <c r="AW353" s="22"/>
      <c r="AX353" s="23"/>
      <c r="AY353" s="19"/>
      <c r="AZ353" s="19"/>
      <c r="BA353" s="19"/>
      <c r="BB353" s="19"/>
      <c r="BC353" s="19"/>
      <c r="BD353" s="19"/>
      <c r="BE353" s="19"/>
      <c r="BF353" s="21" t="s">
        <v>1846</v>
      </c>
      <c r="BG353" s="23"/>
      <c r="BH353" s="19"/>
      <c r="BI353" s="19"/>
      <c r="BJ353" s="19"/>
      <c r="BK353" s="16" t="s">
        <v>81</v>
      </c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21" t="s">
        <v>94</v>
      </c>
      <c r="CA353" s="22"/>
      <c r="CB353" s="23"/>
      <c r="CC353" s="19"/>
      <c r="CD353" s="19"/>
      <c r="CE353" s="19"/>
      <c r="CF353" s="19"/>
      <c r="CG353" s="16" t="s">
        <v>128</v>
      </c>
      <c r="CH353" s="19"/>
      <c r="CI353" s="19"/>
      <c r="CJ353" s="19"/>
      <c r="CK353" s="19"/>
      <c r="CL353" s="16" t="s">
        <v>104</v>
      </c>
      <c r="CM353" s="16" t="s">
        <v>1847</v>
      </c>
      <c r="CN353" s="16" t="s">
        <v>128</v>
      </c>
      <c r="CO353" s="19"/>
      <c r="CP353" s="19"/>
      <c r="CQ353" s="21" t="s">
        <v>107</v>
      </c>
      <c r="CR353" s="22"/>
      <c r="CS353" s="23"/>
      <c r="CT353" s="19"/>
      <c r="CU353" s="19"/>
      <c r="CV353" s="16" t="s">
        <v>128</v>
      </c>
      <c r="CW353" s="21" t="s">
        <v>111</v>
      </c>
      <c r="CX353" s="22"/>
      <c r="CY353" s="23"/>
      <c r="CZ353" s="19"/>
      <c r="DA353" s="19"/>
      <c r="DB353" s="16" t="s">
        <v>1848</v>
      </c>
      <c r="DC353" s="16" t="s">
        <v>129</v>
      </c>
      <c r="DD353" s="16" t="s">
        <v>145</v>
      </c>
      <c r="DE353" s="16" t="s">
        <v>145</v>
      </c>
      <c r="DF353" s="16" t="s">
        <v>145</v>
      </c>
      <c r="DG353" s="16" t="s">
        <v>1849</v>
      </c>
      <c r="DH353" s="16" t="s">
        <v>1850</v>
      </c>
      <c r="DI353" s="16" t="s">
        <v>1851</v>
      </c>
      <c r="DJ353" s="16" t="s">
        <v>144</v>
      </c>
      <c r="DK353" s="19"/>
      <c r="DL353" s="19"/>
      <c r="DM353" s="16" t="s">
        <v>1852</v>
      </c>
      <c r="DN353" s="21" t="s">
        <v>1853</v>
      </c>
      <c r="DO353" s="23"/>
    </row>
    <row r="354" ht="15.75" customHeight="1">
      <c r="A354" s="15">
        <v>352.0</v>
      </c>
      <c r="B354" s="16" t="s">
        <v>1854</v>
      </c>
      <c r="C354" s="17">
        <v>3.1811242501191E13</v>
      </c>
      <c r="D354" s="18">
        <v>61.0</v>
      </c>
      <c r="E354" s="16" t="s">
        <v>1667</v>
      </c>
      <c r="F354" s="16" t="s">
        <v>606</v>
      </c>
      <c r="G354" s="16" t="s">
        <v>547</v>
      </c>
      <c r="H354" s="25">
        <v>43428.0</v>
      </c>
      <c r="I354" s="18">
        <v>1.0</v>
      </c>
      <c r="J354" s="19"/>
      <c r="K354" s="16" t="s">
        <v>1855</v>
      </c>
      <c r="L354" s="21" t="s">
        <v>138</v>
      </c>
      <c r="M354" s="23"/>
      <c r="N354" s="19"/>
      <c r="O354" s="19"/>
      <c r="P354" s="19"/>
      <c r="Q354" s="19"/>
      <c r="R354" s="19"/>
      <c r="S354" s="19"/>
      <c r="T354" s="19"/>
      <c r="U354" s="19"/>
      <c r="V354" s="16" t="s">
        <v>932</v>
      </c>
      <c r="W354" s="16" t="s">
        <v>46</v>
      </c>
      <c r="X354" s="19"/>
      <c r="Y354" s="21" t="s">
        <v>48</v>
      </c>
      <c r="Z354" s="23"/>
      <c r="AA354" s="19"/>
      <c r="AB354" s="19"/>
      <c r="AC354" s="19"/>
      <c r="AD354" s="19"/>
      <c r="AE354" s="19"/>
      <c r="AF354" s="19"/>
      <c r="AG354" s="19"/>
      <c r="AH354" s="21" t="s">
        <v>228</v>
      </c>
      <c r="AI354" s="23"/>
      <c r="AJ354" s="16" t="s">
        <v>168</v>
      </c>
      <c r="AK354" s="16" t="s">
        <v>153</v>
      </c>
      <c r="AL354" s="16" t="s">
        <v>181</v>
      </c>
      <c r="AM354" s="16" t="s">
        <v>181</v>
      </c>
      <c r="AN354" s="16" t="s">
        <v>181</v>
      </c>
      <c r="AO354" s="16" t="s">
        <v>181</v>
      </c>
      <c r="AP354" s="16" t="s">
        <v>181</v>
      </c>
      <c r="AQ354" s="16" t="s">
        <v>181</v>
      </c>
      <c r="AR354" s="16" t="s">
        <v>181</v>
      </c>
      <c r="AS354" s="21" t="s">
        <v>65</v>
      </c>
      <c r="AT354" s="22"/>
      <c r="AU354" s="23"/>
      <c r="AV354" s="16" t="s">
        <v>68</v>
      </c>
      <c r="AW354" s="16" t="s">
        <v>69</v>
      </c>
      <c r="AX354" s="16" t="s">
        <v>70</v>
      </c>
      <c r="AY354" s="16" t="s">
        <v>71</v>
      </c>
      <c r="AZ354" s="18" t="s">
        <v>845</v>
      </c>
      <c r="BA354" s="19"/>
      <c r="BB354" s="21" t="s">
        <v>74</v>
      </c>
      <c r="BC354" s="23"/>
      <c r="BD354" s="16" t="s">
        <v>76</v>
      </c>
      <c r="BE354" s="16" t="s">
        <v>77</v>
      </c>
      <c r="BF354" s="18" t="s">
        <v>845</v>
      </c>
      <c r="BG354" s="16" t="s">
        <v>78</v>
      </c>
      <c r="BH354" s="21" t="s">
        <v>79</v>
      </c>
      <c r="BI354" s="23"/>
      <c r="BJ354" s="19"/>
      <c r="BK354" s="16" t="s">
        <v>81</v>
      </c>
      <c r="BL354" s="19"/>
      <c r="BM354" s="19"/>
      <c r="BN354" s="16" t="s">
        <v>84</v>
      </c>
      <c r="BO354" s="16" t="s">
        <v>85</v>
      </c>
      <c r="BP354" s="18" t="s">
        <v>844</v>
      </c>
      <c r="BQ354" s="19"/>
      <c r="BR354" s="19"/>
      <c r="BS354" s="21" t="s">
        <v>88</v>
      </c>
      <c r="BT354" s="23"/>
      <c r="BU354" s="16" t="s">
        <v>90</v>
      </c>
      <c r="BV354" s="16" t="s">
        <v>91</v>
      </c>
      <c r="BW354" s="16" t="s">
        <v>92</v>
      </c>
      <c r="BX354" s="18" t="s">
        <v>845</v>
      </c>
      <c r="BY354" s="19"/>
      <c r="BZ354" s="19"/>
      <c r="CA354" s="19"/>
      <c r="CB354" s="16" t="s">
        <v>96</v>
      </c>
      <c r="CC354" s="21" t="s">
        <v>97</v>
      </c>
      <c r="CD354" s="23"/>
      <c r="CE354" s="19"/>
      <c r="CF354" s="18" t="s">
        <v>845</v>
      </c>
      <c r="CG354" s="16" t="s">
        <v>128</v>
      </c>
      <c r="CH354" s="16" t="s">
        <v>100</v>
      </c>
      <c r="CI354" s="16" t="s">
        <v>101</v>
      </c>
      <c r="CJ354" s="16" t="s">
        <v>102</v>
      </c>
      <c r="CK354" s="16" t="s">
        <v>103</v>
      </c>
      <c r="CL354" s="16" t="s">
        <v>104</v>
      </c>
      <c r="CM354" s="18" t="s">
        <v>844</v>
      </c>
      <c r="CN354" s="16" t="s">
        <v>128</v>
      </c>
      <c r="CO354" s="16" t="s">
        <v>105</v>
      </c>
      <c r="CP354" s="16" t="s">
        <v>106</v>
      </c>
      <c r="CQ354" s="16" t="s">
        <v>107</v>
      </c>
      <c r="CR354" s="16" t="s">
        <v>108</v>
      </c>
      <c r="CS354" s="21" t="s">
        <v>109</v>
      </c>
      <c r="CT354" s="23"/>
      <c r="CU354" s="18" t="s">
        <v>844</v>
      </c>
      <c r="CV354" s="16" t="s">
        <v>128</v>
      </c>
      <c r="CW354" s="16" t="s">
        <v>111</v>
      </c>
      <c r="CX354" s="21" t="s">
        <v>112</v>
      </c>
      <c r="CY354" s="23"/>
      <c r="CZ354" s="16" t="s">
        <v>114</v>
      </c>
      <c r="DA354" s="16" t="s">
        <v>115</v>
      </c>
      <c r="DB354" s="18" t="s">
        <v>839</v>
      </c>
      <c r="DC354" s="16" t="s">
        <v>129</v>
      </c>
      <c r="DD354" s="16" t="s">
        <v>129</v>
      </c>
      <c r="DE354" s="16" t="s">
        <v>129</v>
      </c>
      <c r="DF354" s="16" t="s">
        <v>129</v>
      </c>
      <c r="DG354" s="16" t="s">
        <v>896</v>
      </c>
      <c r="DH354" s="16" t="s">
        <v>900</v>
      </c>
      <c r="DI354" s="16" t="s">
        <v>1856</v>
      </c>
      <c r="DJ354" s="16" t="s">
        <v>1857</v>
      </c>
      <c r="DK354" s="18" t="s">
        <v>844</v>
      </c>
      <c r="DL354" s="18" t="s">
        <v>845</v>
      </c>
      <c r="DM354" s="16" t="s">
        <v>930</v>
      </c>
      <c r="DN354" s="18" t="s">
        <v>845</v>
      </c>
      <c r="DO354" s="18" t="s">
        <v>845</v>
      </c>
    </row>
    <row r="355" ht="15.75" customHeight="1">
      <c r="A355" s="15">
        <v>353.0</v>
      </c>
      <c r="B355" s="16" t="s">
        <v>1858</v>
      </c>
      <c r="C355" s="17">
        <v>3.1710142500425E13</v>
      </c>
      <c r="D355" s="18">
        <v>45.0</v>
      </c>
      <c r="E355" s="16" t="s">
        <v>1777</v>
      </c>
      <c r="F355" s="16" t="s">
        <v>851</v>
      </c>
      <c r="G355" s="16" t="s">
        <v>547</v>
      </c>
      <c r="H355" s="25">
        <v>43022.0</v>
      </c>
      <c r="I355" s="18">
        <v>1.0</v>
      </c>
      <c r="J355" s="19"/>
      <c r="K355" s="16" t="s">
        <v>1859</v>
      </c>
      <c r="L355" s="21" t="s">
        <v>138</v>
      </c>
      <c r="M355" s="23"/>
      <c r="N355" s="19"/>
      <c r="O355" s="19"/>
      <c r="P355" s="19"/>
      <c r="Q355" s="19"/>
      <c r="R355" s="19"/>
      <c r="S355" s="19"/>
      <c r="T355" s="19"/>
      <c r="U355" s="19"/>
      <c r="V355" s="21" t="s">
        <v>674</v>
      </c>
      <c r="W355" s="23"/>
      <c r="X355" s="21" t="s">
        <v>47</v>
      </c>
      <c r="Y355" s="23"/>
      <c r="Z355" s="19"/>
      <c r="AA355" s="19"/>
      <c r="AB355" s="19"/>
      <c r="AC355" s="19"/>
      <c r="AD355" s="19"/>
      <c r="AE355" s="19"/>
      <c r="AF355" s="19"/>
      <c r="AG355" s="19"/>
      <c r="AH355" s="21" t="s">
        <v>123</v>
      </c>
      <c r="AI355" s="23"/>
      <c r="AJ355" s="16" t="s">
        <v>168</v>
      </c>
      <c r="AK355" s="16" t="s">
        <v>153</v>
      </c>
      <c r="AL355" s="16" t="s">
        <v>181</v>
      </c>
      <c r="AM355" s="16" t="s">
        <v>181</v>
      </c>
      <c r="AN355" s="16" t="s">
        <v>181</v>
      </c>
      <c r="AO355" s="16" t="s">
        <v>126</v>
      </c>
      <c r="AP355" s="16" t="s">
        <v>181</v>
      </c>
      <c r="AQ355" s="16" t="s">
        <v>126</v>
      </c>
      <c r="AR355" s="16" t="s">
        <v>181</v>
      </c>
      <c r="AS355" s="21" t="s">
        <v>65</v>
      </c>
      <c r="AT355" s="22"/>
      <c r="AU355" s="23"/>
      <c r="AV355" s="19"/>
      <c r="AW355" s="21" t="s">
        <v>69</v>
      </c>
      <c r="AX355" s="23"/>
      <c r="AY355" s="21" t="s">
        <v>71</v>
      </c>
      <c r="AZ355" s="22"/>
      <c r="BA355" s="23"/>
      <c r="BB355" s="19"/>
      <c r="BC355" s="19"/>
      <c r="BD355" s="19"/>
      <c r="BE355" s="19"/>
      <c r="BF355" s="19"/>
      <c r="BG355" s="19"/>
      <c r="BH355" s="19"/>
      <c r="BI355" s="19"/>
      <c r="BJ355" s="19"/>
      <c r="BK355" s="16" t="s">
        <v>81</v>
      </c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21" t="s">
        <v>1656</v>
      </c>
      <c r="CG355" s="22"/>
      <c r="CH355" s="23"/>
      <c r="CI355" s="19"/>
      <c r="CJ355" s="19"/>
      <c r="CK355" s="19"/>
      <c r="CL355" s="19"/>
      <c r="CM355" s="19"/>
      <c r="CN355" s="16" t="s">
        <v>128</v>
      </c>
      <c r="CO355" s="21" t="s">
        <v>105</v>
      </c>
      <c r="CP355" s="23"/>
      <c r="CQ355" s="16" t="s">
        <v>107</v>
      </c>
      <c r="CR355" s="21" t="s">
        <v>108</v>
      </c>
      <c r="CS355" s="23"/>
      <c r="CT355" s="21" t="s">
        <v>110</v>
      </c>
      <c r="CU355" s="23"/>
      <c r="CV355" s="16" t="s">
        <v>128</v>
      </c>
      <c r="CW355" s="19"/>
      <c r="CX355" s="21" t="s">
        <v>112</v>
      </c>
      <c r="CY355" s="22"/>
      <c r="CZ355" s="23"/>
      <c r="DA355" s="19"/>
      <c r="DB355" s="19"/>
      <c r="DC355" s="16" t="s">
        <v>129</v>
      </c>
      <c r="DD355" s="16" t="s">
        <v>129</v>
      </c>
      <c r="DE355" s="16" t="s">
        <v>129</v>
      </c>
      <c r="DF355" s="16" t="s">
        <v>145</v>
      </c>
      <c r="DG355" s="16" t="s">
        <v>677</v>
      </c>
      <c r="DH355" s="21" t="s">
        <v>1819</v>
      </c>
      <c r="DI355" s="23"/>
      <c r="DJ355" s="16" t="s">
        <v>144</v>
      </c>
      <c r="DK355" s="19"/>
      <c r="DL355" s="19"/>
      <c r="DM355" s="21" t="s">
        <v>679</v>
      </c>
      <c r="DN355" s="23"/>
      <c r="DO355" s="19"/>
    </row>
    <row r="356" ht="15.75" customHeight="1">
      <c r="A356" s="15">
        <v>354.0</v>
      </c>
      <c r="B356" s="16" t="s">
        <v>1860</v>
      </c>
      <c r="C356" s="17">
        <v>2.6511022502207E13</v>
      </c>
      <c r="D356" s="18">
        <v>62.0</v>
      </c>
      <c r="E356" s="16" t="s">
        <v>1777</v>
      </c>
      <c r="F356" s="16" t="s">
        <v>851</v>
      </c>
      <c r="G356" s="16" t="s">
        <v>547</v>
      </c>
      <c r="H356" s="20">
        <v>24048.0</v>
      </c>
      <c r="I356" s="16"/>
      <c r="J356" s="18">
        <v>1.0</v>
      </c>
      <c r="K356" s="19"/>
      <c r="L356" s="16" t="s">
        <v>138</v>
      </c>
      <c r="M356" s="21" t="s">
        <v>36</v>
      </c>
      <c r="N356" s="22"/>
      <c r="O356" s="22"/>
      <c r="P356" s="23"/>
      <c r="Q356" s="19"/>
      <c r="R356" s="21" t="s">
        <v>41</v>
      </c>
      <c r="S356" s="22"/>
      <c r="T356" s="22"/>
      <c r="U356" s="22"/>
      <c r="V356" s="23"/>
      <c r="W356" s="19"/>
      <c r="X356" s="19"/>
      <c r="Y356" s="19"/>
      <c r="Z356" s="19"/>
      <c r="AA356" s="19"/>
      <c r="AB356" s="21" t="s">
        <v>51</v>
      </c>
      <c r="AC356" s="23"/>
      <c r="AD356" s="19"/>
      <c r="AE356" s="19"/>
      <c r="AF356" s="19"/>
      <c r="AG356" s="16" t="s">
        <v>1861</v>
      </c>
      <c r="AH356" s="21" t="s">
        <v>152</v>
      </c>
      <c r="AI356" s="23"/>
      <c r="AJ356" s="16" t="s">
        <v>168</v>
      </c>
      <c r="AK356" s="16" t="s">
        <v>142</v>
      </c>
      <c r="AL356" s="16" t="s">
        <v>181</v>
      </c>
      <c r="AM356" s="16" t="s">
        <v>126</v>
      </c>
      <c r="AN356" s="16" t="s">
        <v>181</v>
      </c>
      <c r="AO356" s="16" t="s">
        <v>181</v>
      </c>
      <c r="AP356" s="16" t="s">
        <v>126</v>
      </c>
      <c r="AQ356" s="16" t="s">
        <v>181</v>
      </c>
      <c r="AR356" s="16" t="s">
        <v>181</v>
      </c>
      <c r="AS356" s="19"/>
      <c r="AT356" s="19"/>
      <c r="AU356" s="19"/>
      <c r="AV356" s="19"/>
      <c r="AW356" s="19"/>
      <c r="AX356" s="19"/>
      <c r="AY356" s="19"/>
      <c r="AZ356" s="16" t="s">
        <v>1862</v>
      </c>
      <c r="BA356" s="16" t="s">
        <v>73</v>
      </c>
      <c r="BB356" s="21" t="s">
        <v>74</v>
      </c>
      <c r="BC356" s="23"/>
      <c r="BD356" s="16" t="s">
        <v>76</v>
      </c>
      <c r="BE356" s="21" t="s">
        <v>77</v>
      </c>
      <c r="BF356" s="22"/>
      <c r="BG356" s="22"/>
      <c r="BH356" s="23"/>
      <c r="BI356" s="19"/>
      <c r="BJ356" s="19"/>
      <c r="BK356" s="19"/>
      <c r="BL356" s="19"/>
      <c r="BM356" s="19"/>
      <c r="BN356" s="19"/>
      <c r="BO356" s="19"/>
      <c r="BP356" s="19"/>
      <c r="BQ356" s="21" t="s">
        <v>86</v>
      </c>
      <c r="BR356" s="22"/>
      <c r="BS356" s="23"/>
      <c r="BT356" s="19"/>
      <c r="BU356" s="21" t="s">
        <v>90</v>
      </c>
      <c r="BV356" s="23"/>
      <c r="BW356" s="21" t="s">
        <v>92</v>
      </c>
      <c r="BX356" s="22"/>
      <c r="BY356" s="23"/>
      <c r="BZ356" s="19"/>
      <c r="CA356" s="19"/>
      <c r="CB356" s="19"/>
      <c r="CC356" s="19"/>
      <c r="CD356" s="19"/>
      <c r="CE356" s="21" t="s">
        <v>99</v>
      </c>
      <c r="CF356" s="23"/>
      <c r="CG356" s="16" t="s">
        <v>128</v>
      </c>
      <c r="CH356" s="21" t="s">
        <v>100</v>
      </c>
      <c r="CI356" s="23"/>
      <c r="CJ356" s="19"/>
      <c r="CK356" s="19"/>
      <c r="CL356" s="21" t="s">
        <v>104</v>
      </c>
      <c r="CM356" s="23"/>
      <c r="CN356" s="16" t="s">
        <v>128</v>
      </c>
      <c r="CO356" s="16" t="s">
        <v>105</v>
      </c>
      <c r="CP356" s="21" t="s">
        <v>106</v>
      </c>
      <c r="CQ356" s="23"/>
      <c r="CR356" s="21" t="s">
        <v>108</v>
      </c>
      <c r="CS356" s="23"/>
      <c r="CT356" s="19"/>
      <c r="CU356" s="19"/>
      <c r="CV356" s="21" t="s">
        <v>154</v>
      </c>
      <c r="CW356" s="23"/>
      <c r="CX356" s="19"/>
      <c r="CY356" s="19"/>
      <c r="CZ356" s="16" t="s">
        <v>114</v>
      </c>
      <c r="DA356" s="21" t="s">
        <v>115</v>
      </c>
      <c r="DB356" s="23"/>
      <c r="DC356" s="16" t="s">
        <v>145</v>
      </c>
      <c r="DD356" s="16" t="s">
        <v>145</v>
      </c>
      <c r="DE356" s="16" t="s">
        <v>129</v>
      </c>
      <c r="DF356" s="16" t="s">
        <v>129</v>
      </c>
      <c r="DG356" s="16" t="s">
        <v>1789</v>
      </c>
      <c r="DH356" s="16" t="s">
        <v>1790</v>
      </c>
      <c r="DI356" s="16" t="s">
        <v>1791</v>
      </c>
      <c r="DJ356" s="16" t="s">
        <v>1863</v>
      </c>
      <c r="DK356" s="21" t="s">
        <v>1813</v>
      </c>
      <c r="DL356" s="23"/>
      <c r="DM356" s="21" t="s">
        <v>1784</v>
      </c>
      <c r="DN356" s="23"/>
      <c r="DO356" s="19"/>
    </row>
    <row r="357" ht="15.75" customHeight="1">
      <c r="A357" s="15">
        <v>355.0</v>
      </c>
      <c r="B357" s="16" t="s">
        <v>1864</v>
      </c>
      <c r="C357" s="17">
        <v>3.0601242501107E13</v>
      </c>
      <c r="D357" s="18">
        <v>85.0</v>
      </c>
      <c r="E357" s="19"/>
      <c r="F357" s="16" t="s">
        <v>1339</v>
      </c>
      <c r="G357" s="16" t="s">
        <v>547</v>
      </c>
      <c r="H357" s="20">
        <v>42866.0</v>
      </c>
      <c r="I357" s="18">
        <v>1.0</v>
      </c>
      <c r="J357" s="19"/>
      <c r="K357" s="19"/>
      <c r="L357" s="21" t="s">
        <v>138</v>
      </c>
      <c r="M357" s="23"/>
      <c r="N357" s="19"/>
      <c r="O357" s="21" t="s">
        <v>38</v>
      </c>
      <c r="P357" s="22"/>
      <c r="Q357" s="23"/>
      <c r="R357" s="19"/>
      <c r="S357" s="19"/>
      <c r="T357" s="19"/>
      <c r="U357" s="21" t="s">
        <v>44</v>
      </c>
      <c r="V357" s="22"/>
      <c r="W357" s="23"/>
      <c r="X357" s="21" t="s">
        <v>47</v>
      </c>
      <c r="Y357" s="23"/>
      <c r="Z357" s="19"/>
      <c r="AA357" s="19"/>
      <c r="AB357" s="19"/>
      <c r="AC357" s="19"/>
      <c r="AD357" s="19"/>
      <c r="AE357" s="19"/>
      <c r="AF357" s="19"/>
      <c r="AG357" s="19"/>
      <c r="AH357" s="21" t="s">
        <v>357</v>
      </c>
      <c r="AI357" s="23"/>
      <c r="AJ357" s="16" t="s">
        <v>663</v>
      </c>
      <c r="AK357" s="16" t="s">
        <v>1865</v>
      </c>
      <c r="AL357" s="16" t="s">
        <v>181</v>
      </c>
      <c r="AM357" s="16" t="s">
        <v>181</v>
      </c>
      <c r="AN357" s="16" t="s">
        <v>181</v>
      </c>
      <c r="AO357" s="16" t="s">
        <v>181</v>
      </c>
      <c r="AP357" s="16" t="s">
        <v>181</v>
      </c>
      <c r="AQ357" s="16" t="s">
        <v>181</v>
      </c>
      <c r="AR357" s="16" t="s">
        <v>181</v>
      </c>
      <c r="AS357" s="21" t="s">
        <v>65</v>
      </c>
      <c r="AT357" s="22"/>
      <c r="AU357" s="23"/>
      <c r="AV357" s="19"/>
      <c r="AW357" s="19"/>
      <c r="AX357" s="19"/>
      <c r="AY357" s="19"/>
      <c r="AZ357" s="19"/>
      <c r="BA357" s="21" t="s">
        <v>73</v>
      </c>
      <c r="BB357" s="23"/>
      <c r="BC357" s="21" t="s">
        <v>75</v>
      </c>
      <c r="BD357" s="23"/>
      <c r="BE357" s="19"/>
      <c r="BF357" s="19"/>
      <c r="BG357" s="21" t="s">
        <v>78</v>
      </c>
      <c r="BH357" s="23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21" t="s">
        <v>93</v>
      </c>
      <c r="BZ357" s="22"/>
      <c r="CA357" s="23"/>
      <c r="CB357" s="19"/>
      <c r="CC357" s="19"/>
      <c r="CD357" s="19"/>
      <c r="CE357" s="19"/>
      <c r="CF357" s="19"/>
      <c r="CG357" s="16" t="s">
        <v>128</v>
      </c>
      <c r="CH357" s="19"/>
      <c r="CI357" s="19"/>
      <c r="CJ357" s="19"/>
      <c r="CK357" s="19"/>
      <c r="CL357" s="21" t="s">
        <v>104</v>
      </c>
      <c r="CM357" s="23"/>
      <c r="CN357" s="16" t="s">
        <v>128</v>
      </c>
      <c r="CO357" s="19"/>
      <c r="CP357" s="21" t="s">
        <v>106</v>
      </c>
      <c r="CQ357" s="22"/>
      <c r="CR357" s="22"/>
      <c r="CS357" s="23"/>
      <c r="CT357" s="19"/>
      <c r="CU357" s="19"/>
      <c r="CV357" s="16" t="s">
        <v>128</v>
      </c>
      <c r="CW357" s="19"/>
      <c r="CX357" s="19"/>
      <c r="CY357" s="19"/>
      <c r="CZ357" s="21" t="s">
        <v>114</v>
      </c>
      <c r="DA357" s="22"/>
      <c r="DB357" s="23"/>
      <c r="DC357" s="16" t="s">
        <v>145</v>
      </c>
      <c r="DD357" s="16" t="s">
        <v>129</v>
      </c>
      <c r="DE357" s="16" t="s">
        <v>129</v>
      </c>
      <c r="DF357" s="16" t="s">
        <v>129</v>
      </c>
      <c r="DG357" s="16" t="s">
        <v>1866</v>
      </c>
      <c r="DH357" s="16" t="s">
        <v>1574</v>
      </c>
      <c r="DI357" s="16" t="s">
        <v>1829</v>
      </c>
      <c r="DJ357" s="16" t="s">
        <v>127</v>
      </c>
      <c r="DK357" s="19"/>
      <c r="DL357" s="19"/>
      <c r="DM357" s="16" t="s">
        <v>1867</v>
      </c>
      <c r="DN357" s="21" t="s">
        <v>775</v>
      </c>
      <c r="DO357" s="23"/>
    </row>
    <row r="358" ht="15.75" customHeight="1">
      <c r="A358" s="15">
        <v>356.0</v>
      </c>
      <c r="B358" s="16" t="s">
        <v>1868</v>
      </c>
      <c r="C358" s="17" t="s">
        <v>1869</v>
      </c>
      <c r="D358" s="18">
        <v>12.0</v>
      </c>
      <c r="E358" s="18" t="s">
        <v>1870</v>
      </c>
      <c r="F358" s="18" t="s">
        <v>1871</v>
      </c>
      <c r="G358" s="16" t="s">
        <v>547</v>
      </c>
      <c r="H358" s="20">
        <v>45679.0</v>
      </c>
      <c r="I358" s="18">
        <v>1.0</v>
      </c>
      <c r="J358" s="19"/>
      <c r="K358" s="16" t="s">
        <v>1872</v>
      </c>
      <c r="L358" s="16" t="s">
        <v>122</v>
      </c>
      <c r="M358" s="21" t="s">
        <v>36</v>
      </c>
      <c r="N358" s="22"/>
      <c r="O358" s="22"/>
      <c r="P358" s="23"/>
      <c r="Q358" s="19"/>
      <c r="R358" s="19"/>
      <c r="S358" s="19"/>
      <c r="T358" s="19"/>
      <c r="U358" s="19"/>
      <c r="V358" s="19"/>
      <c r="W358" s="16" t="s">
        <v>46</v>
      </c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21" t="s">
        <v>228</v>
      </c>
      <c r="AI358" s="23"/>
      <c r="AJ358" s="16" t="s">
        <v>663</v>
      </c>
      <c r="AK358" s="19"/>
      <c r="AL358" s="16" t="s">
        <v>597</v>
      </c>
      <c r="AM358" s="16" t="s">
        <v>597</v>
      </c>
      <c r="AN358" s="16" t="s">
        <v>597</v>
      </c>
      <c r="AO358" s="16" t="s">
        <v>597</v>
      </c>
      <c r="AP358" s="16" t="s">
        <v>597</v>
      </c>
      <c r="AQ358" s="16" t="s">
        <v>597</v>
      </c>
      <c r="AR358" s="16" t="s">
        <v>597</v>
      </c>
      <c r="AS358" s="19"/>
      <c r="AT358" s="21" t="s">
        <v>66</v>
      </c>
      <c r="AU358" s="22"/>
      <c r="AV358" s="23"/>
      <c r="AW358" s="19"/>
      <c r="AX358" s="19"/>
      <c r="AY358" s="19"/>
      <c r="AZ358" s="19"/>
      <c r="BA358" s="19"/>
      <c r="BB358" s="21" t="s">
        <v>74</v>
      </c>
      <c r="BC358" s="22"/>
      <c r="BD358" s="23"/>
      <c r="BE358" s="19"/>
      <c r="BF358" s="19"/>
      <c r="BG358" s="19"/>
      <c r="BH358" s="19"/>
      <c r="BI358" s="21" t="s">
        <v>52</v>
      </c>
      <c r="BJ358" s="23"/>
      <c r="BK358" s="19"/>
      <c r="BL358" s="19"/>
      <c r="BM358" s="19"/>
      <c r="BN358" s="19"/>
      <c r="BO358" s="19"/>
      <c r="BP358" s="19"/>
      <c r="BQ358" s="19"/>
      <c r="BR358" s="19"/>
      <c r="BS358" s="21" t="s">
        <v>88</v>
      </c>
      <c r="BT358" s="23"/>
      <c r="BU358" s="19"/>
      <c r="BV358" s="19"/>
      <c r="BW358" s="19"/>
      <c r="BX358" s="19"/>
      <c r="BY358" s="19"/>
      <c r="BZ358" s="21" t="s">
        <v>94</v>
      </c>
      <c r="CA358" s="22"/>
      <c r="CB358" s="23"/>
      <c r="CC358" s="19"/>
      <c r="CD358" s="19"/>
      <c r="CE358" s="19"/>
      <c r="CF358" s="19"/>
      <c r="CG358" s="16" t="s">
        <v>128</v>
      </c>
      <c r="CH358" s="19"/>
      <c r="CI358" s="19"/>
      <c r="CJ358" s="19"/>
      <c r="CK358" s="21" t="s">
        <v>103</v>
      </c>
      <c r="CL358" s="23"/>
      <c r="CM358" s="19"/>
      <c r="CN358" s="16" t="s">
        <v>128</v>
      </c>
      <c r="CO358" s="19"/>
      <c r="CP358" s="21" t="s">
        <v>106</v>
      </c>
      <c r="CQ358" s="22"/>
      <c r="CR358" s="22"/>
      <c r="CS358" s="23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</row>
    <row r="359">
      <c r="A359" s="15">
        <v>357.0</v>
      </c>
      <c r="B359" s="16" t="s">
        <v>1873</v>
      </c>
      <c r="C359" s="17">
        <v>3.0605182600052E13</v>
      </c>
      <c r="D359" s="18">
        <v>27.0</v>
      </c>
      <c r="E359" s="16" t="s">
        <v>444</v>
      </c>
      <c r="F359" s="16" t="s">
        <v>1874</v>
      </c>
      <c r="G359" s="16" t="s">
        <v>1875</v>
      </c>
      <c r="H359" s="20">
        <v>38855.0</v>
      </c>
      <c r="I359" s="18">
        <v>1.0</v>
      </c>
      <c r="J359" s="19"/>
      <c r="K359" s="16" t="s">
        <v>1876</v>
      </c>
      <c r="L359" s="21" t="s">
        <v>138</v>
      </c>
      <c r="M359" s="23"/>
      <c r="N359" s="19"/>
      <c r="O359" s="19"/>
      <c r="P359" s="19"/>
      <c r="Q359" s="19"/>
      <c r="R359" s="19"/>
      <c r="S359" s="19"/>
      <c r="T359" s="19"/>
      <c r="U359" s="19"/>
      <c r="V359" s="16" t="s">
        <v>127</v>
      </c>
      <c r="W359" s="16" t="s">
        <v>46</v>
      </c>
      <c r="X359" s="19"/>
      <c r="Y359" s="19"/>
      <c r="Z359" s="19"/>
      <c r="AA359" s="19"/>
      <c r="AB359" s="21" t="s">
        <v>51</v>
      </c>
      <c r="AC359" s="23"/>
      <c r="AD359" s="19"/>
      <c r="AE359" s="19"/>
      <c r="AF359" s="21" t="s">
        <v>55</v>
      </c>
      <c r="AG359" s="23"/>
      <c r="AH359" s="21" t="s">
        <v>152</v>
      </c>
      <c r="AI359" s="23"/>
      <c r="AJ359" s="16" t="s">
        <v>168</v>
      </c>
      <c r="AK359" s="16" t="s">
        <v>142</v>
      </c>
      <c r="AL359" s="16" t="s">
        <v>126</v>
      </c>
      <c r="AM359" s="16" t="s">
        <v>126</v>
      </c>
      <c r="AN359" s="16" t="s">
        <v>126</v>
      </c>
      <c r="AO359" s="16" t="s">
        <v>126</v>
      </c>
      <c r="AP359" s="16" t="s">
        <v>126</v>
      </c>
      <c r="AQ359" s="16" t="s">
        <v>126</v>
      </c>
      <c r="AR359" s="16" t="s">
        <v>126</v>
      </c>
      <c r="AS359" s="21" t="s">
        <v>65</v>
      </c>
      <c r="AT359" s="22"/>
      <c r="AU359" s="23"/>
      <c r="AV359" s="19"/>
      <c r="AW359" s="19"/>
      <c r="AX359" s="21" t="s">
        <v>70</v>
      </c>
      <c r="AY359" s="22"/>
      <c r="AZ359" s="23"/>
      <c r="BA359" s="19"/>
      <c r="BB359" s="21" t="s">
        <v>74</v>
      </c>
      <c r="BC359" s="23"/>
      <c r="BD359" s="21" t="s">
        <v>76</v>
      </c>
      <c r="BE359" s="22"/>
      <c r="BF359" s="22"/>
      <c r="BG359" s="23"/>
      <c r="BH359" s="19"/>
      <c r="BI359" s="21" t="s">
        <v>52</v>
      </c>
      <c r="BJ359" s="23"/>
      <c r="BK359" s="16" t="s">
        <v>81</v>
      </c>
      <c r="BL359" s="19"/>
      <c r="BM359" s="19"/>
      <c r="BN359" s="19"/>
      <c r="BO359" s="21" t="s">
        <v>85</v>
      </c>
      <c r="BP359" s="22"/>
      <c r="BQ359" s="22"/>
      <c r="BR359" s="23"/>
      <c r="BS359" s="21" t="s">
        <v>88</v>
      </c>
      <c r="BT359" s="23"/>
      <c r="BU359" s="19"/>
      <c r="BV359" s="19"/>
      <c r="BW359" s="21" t="s">
        <v>92</v>
      </c>
      <c r="BX359" s="22"/>
      <c r="BY359" s="23"/>
      <c r="BZ359" s="19"/>
      <c r="CA359" s="19"/>
      <c r="CB359" s="19"/>
      <c r="CC359" s="19"/>
      <c r="CD359" s="19"/>
      <c r="CE359" s="19"/>
      <c r="CF359" s="16" t="s">
        <v>127</v>
      </c>
      <c r="CG359" s="16" t="s">
        <v>128</v>
      </c>
      <c r="CH359" s="16" t="s">
        <v>100</v>
      </c>
      <c r="CI359" s="16" t="s">
        <v>101</v>
      </c>
      <c r="CJ359" s="21" t="s">
        <v>102</v>
      </c>
      <c r="CK359" s="23"/>
      <c r="CL359" s="21" t="s">
        <v>104</v>
      </c>
      <c r="CM359" s="23"/>
      <c r="CN359" s="16" t="s">
        <v>128</v>
      </c>
      <c r="CO359" s="16" t="s">
        <v>105</v>
      </c>
      <c r="CP359" s="16" t="s">
        <v>106</v>
      </c>
      <c r="CQ359" s="16" t="s">
        <v>107</v>
      </c>
      <c r="CR359" s="21" t="s">
        <v>108</v>
      </c>
      <c r="CS359" s="23"/>
      <c r="CT359" s="19"/>
      <c r="CU359" s="19"/>
      <c r="CV359" s="16" t="s">
        <v>128</v>
      </c>
      <c r="CW359" s="19"/>
      <c r="CX359" s="16" t="s">
        <v>112</v>
      </c>
      <c r="CY359" s="21" t="s">
        <v>113</v>
      </c>
      <c r="CZ359" s="23"/>
      <c r="DA359" s="21" t="s">
        <v>115</v>
      </c>
      <c r="DB359" s="23"/>
      <c r="DC359" s="16" t="s">
        <v>129</v>
      </c>
      <c r="DD359" s="16" t="s">
        <v>129</v>
      </c>
      <c r="DE359" s="16" t="s">
        <v>129</v>
      </c>
      <c r="DF359" s="16" t="s">
        <v>129</v>
      </c>
      <c r="DG359" s="21" t="s">
        <v>1877</v>
      </c>
      <c r="DH359" s="22"/>
      <c r="DI359" s="23"/>
      <c r="DJ359" s="21" t="s">
        <v>1878</v>
      </c>
      <c r="DK359" s="22"/>
      <c r="DL359" s="23"/>
      <c r="DM359" s="16" t="s">
        <v>127</v>
      </c>
      <c r="DN359" s="19"/>
      <c r="DO359" s="19"/>
    </row>
    <row r="360">
      <c r="A360" s="15">
        <v>358.0</v>
      </c>
      <c r="B360" s="16" t="s">
        <v>1879</v>
      </c>
      <c r="C360" s="17">
        <v>3.1707192601693E13</v>
      </c>
      <c r="D360" s="18">
        <v>3.0</v>
      </c>
      <c r="E360" s="16" t="s">
        <v>444</v>
      </c>
      <c r="F360" s="16" t="s">
        <v>1874</v>
      </c>
      <c r="G360" s="16" t="s">
        <v>1875</v>
      </c>
      <c r="H360" s="20">
        <v>43665.0</v>
      </c>
      <c r="I360" s="18">
        <v>1.0</v>
      </c>
      <c r="J360" s="19"/>
      <c r="K360" s="16" t="s">
        <v>1880</v>
      </c>
      <c r="L360" s="16" t="s">
        <v>122</v>
      </c>
      <c r="M360" s="21" t="s">
        <v>36</v>
      </c>
      <c r="N360" s="22"/>
      <c r="O360" s="22"/>
      <c r="P360" s="23"/>
      <c r="Q360" s="19"/>
      <c r="R360" s="19"/>
      <c r="S360" s="19"/>
      <c r="T360" s="21" t="s">
        <v>43</v>
      </c>
      <c r="U360" s="23"/>
      <c r="V360" s="19"/>
      <c r="W360" s="16" t="s">
        <v>46</v>
      </c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21" t="s">
        <v>228</v>
      </c>
      <c r="AI360" s="23"/>
      <c r="AJ360" s="16" t="s">
        <v>243</v>
      </c>
      <c r="AK360" s="16" t="s">
        <v>125</v>
      </c>
      <c r="AL360" s="16" t="s">
        <v>143</v>
      </c>
      <c r="AM360" s="16" t="s">
        <v>126</v>
      </c>
      <c r="AN360" s="16" t="s">
        <v>126</v>
      </c>
      <c r="AO360" s="16" t="s">
        <v>126</v>
      </c>
      <c r="AP360" s="16" t="s">
        <v>126</v>
      </c>
      <c r="AQ360" s="16" t="s">
        <v>126</v>
      </c>
      <c r="AR360" s="16" t="s">
        <v>126</v>
      </c>
      <c r="AS360" s="19"/>
      <c r="AT360" s="19"/>
      <c r="AU360" s="16" t="s">
        <v>67</v>
      </c>
      <c r="AV360" s="21" t="s">
        <v>68</v>
      </c>
      <c r="AW360" s="22"/>
      <c r="AX360" s="23"/>
      <c r="AY360" s="19"/>
      <c r="AZ360" s="19"/>
      <c r="BA360" s="19"/>
      <c r="BB360" s="21" t="s">
        <v>74</v>
      </c>
      <c r="BC360" s="22"/>
      <c r="BD360" s="23"/>
      <c r="BE360" s="21" t="s">
        <v>77</v>
      </c>
      <c r="BF360" s="22"/>
      <c r="BG360" s="22"/>
      <c r="BH360" s="23"/>
      <c r="BI360" s="19"/>
      <c r="BJ360" s="19"/>
      <c r="BK360" s="19"/>
      <c r="BL360" s="19"/>
      <c r="BM360" s="19"/>
      <c r="BN360" s="19"/>
      <c r="BO360" s="21" t="s">
        <v>85</v>
      </c>
      <c r="BP360" s="22"/>
      <c r="BQ360" s="22"/>
      <c r="BR360" s="23"/>
      <c r="BS360" s="21" t="s">
        <v>88</v>
      </c>
      <c r="BT360" s="23"/>
      <c r="BU360" s="21" t="s">
        <v>90</v>
      </c>
      <c r="BV360" s="23"/>
      <c r="BW360" s="21" t="s">
        <v>92</v>
      </c>
      <c r="BX360" s="22"/>
      <c r="BY360" s="23"/>
      <c r="BZ360" s="19"/>
      <c r="CA360" s="19"/>
      <c r="CB360" s="19"/>
      <c r="CC360" s="19"/>
      <c r="CD360" s="19"/>
      <c r="CE360" s="19"/>
      <c r="CF360" s="16" t="s">
        <v>127</v>
      </c>
      <c r="CG360" s="16" t="s">
        <v>128</v>
      </c>
      <c r="CH360" s="16" t="s">
        <v>100</v>
      </c>
      <c r="CI360" s="16" t="s">
        <v>101</v>
      </c>
      <c r="CJ360" s="21" t="s">
        <v>102</v>
      </c>
      <c r="CK360" s="22"/>
      <c r="CL360" s="23"/>
      <c r="CM360" s="19"/>
      <c r="CN360" s="16" t="s">
        <v>128</v>
      </c>
      <c r="CO360" s="16" t="s">
        <v>105</v>
      </c>
      <c r="CP360" s="16" t="s">
        <v>106</v>
      </c>
      <c r="CQ360" s="16" t="s">
        <v>107</v>
      </c>
      <c r="CR360" s="21" t="s">
        <v>108</v>
      </c>
      <c r="CS360" s="23"/>
      <c r="CT360" s="19"/>
      <c r="CU360" s="19"/>
      <c r="CV360" s="16" t="s">
        <v>128</v>
      </c>
      <c r="CW360" s="16" t="s">
        <v>111</v>
      </c>
      <c r="CX360" s="16" t="s">
        <v>112</v>
      </c>
      <c r="CY360" s="21" t="s">
        <v>113</v>
      </c>
      <c r="CZ360" s="22"/>
      <c r="DA360" s="23"/>
      <c r="DB360" s="19"/>
      <c r="DC360" s="16" t="s">
        <v>129</v>
      </c>
      <c r="DD360" s="16" t="s">
        <v>129</v>
      </c>
      <c r="DE360" s="16" t="s">
        <v>129</v>
      </c>
      <c r="DF360" s="16" t="s">
        <v>129</v>
      </c>
      <c r="DG360" s="16" t="s">
        <v>1881</v>
      </c>
      <c r="DH360" s="19"/>
      <c r="DI360" s="19"/>
      <c r="DJ360" s="21" t="s">
        <v>1882</v>
      </c>
      <c r="DK360" s="23"/>
      <c r="DL360" s="19"/>
      <c r="DM360" s="21" t="s">
        <v>1882</v>
      </c>
      <c r="DN360" s="23"/>
      <c r="DO360" s="19"/>
    </row>
    <row r="361">
      <c r="A361" s="15">
        <v>359.0</v>
      </c>
      <c r="B361" s="16" t="s">
        <v>1883</v>
      </c>
      <c r="C361" s="17">
        <v>3.1909262600048E13</v>
      </c>
      <c r="D361" s="18">
        <v>145.0</v>
      </c>
      <c r="E361" s="16" t="s">
        <v>444</v>
      </c>
      <c r="F361" s="16" t="s">
        <v>1874</v>
      </c>
      <c r="G361" s="16" t="s">
        <v>1875</v>
      </c>
      <c r="H361" s="20">
        <v>43734.0</v>
      </c>
      <c r="I361" s="16"/>
      <c r="J361" s="18">
        <v>1.0</v>
      </c>
      <c r="K361" s="16" t="s">
        <v>1884</v>
      </c>
      <c r="L361" s="21" t="s">
        <v>138</v>
      </c>
      <c r="M361" s="23"/>
      <c r="N361" s="19"/>
      <c r="O361" s="19"/>
      <c r="P361" s="19"/>
      <c r="Q361" s="19"/>
      <c r="R361" s="19"/>
      <c r="S361" s="19"/>
      <c r="T361" s="19"/>
      <c r="U361" s="19"/>
      <c r="V361" s="16" t="s">
        <v>127</v>
      </c>
      <c r="W361" s="16" t="s">
        <v>46</v>
      </c>
      <c r="X361" s="21" t="s">
        <v>47</v>
      </c>
      <c r="Y361" s="23"/>
      <c r="Z361" s="19"/>
      <c r="AA361" s="16" t="s">
        <v>50</v>
      </c>
      <c r="AB361" s="19"/>
      <c r="AC361" s="19"/>
      <c r="AD361" s="19"/>
      <c r="AE361" s="19"/>
      <c r="AF361" s="19"/>
      <c r="AG361" s="19"/>
      <c r="AH361" s="21" t="s">
        <v>123</v>
      </c>
      <c r="AI361" s="23"/>
      <c r="AJ361" s="16" t="s">
        <v>168</v>
      </c>
      <c r="AK361" s="16" t="s">
        <v>142</v>
      </c>
      <c r="AL361" s="16" t="s">
        <v>143</v>
      </c>
      <c r="AM361" s="16" t="s">
        <v>126</v>
      </c>
      <c r="AN361" s="16" t="s">
        <v>143</v>
      </c>
      <c r="AO361" s="16" t="s">
        <v>126</v>
      </c>
      <c r="AP361" s="16" t="s">
        <v>181</v>
      </c>
      <c r="AQ361" s="16" t="s">
        <v>126</v>
      </c>
      <c r="AR361" s="16" t="s">
        <v>126</v>
      </c>
      <c r="AS361" s="21" t="s">
        <v>65</v>
      </c>
      <c r="AT361" s="22"/>
      <c r="AU361" s="23"/>
      <c r="AV361" s="16" t="s">
        <v>68</v>
      </c>
      <c r="AW361" s="16" t="s">
        <v>69</v>
      </c>
      <c r="AX361" s="21" t="s">
        <v>70</v>
      </c>
      <c r="AY361" s="22"/>
      <c r="AZ361" s="23"/>
      <c r="BA361" s="19"/>
      <c r="BB361" s="19"/>
      <c r="BC361" s="19"/>
      <c r="BD361" s="19"/>
      <c r="BE361" s="21" t="s">
        <v>77</v>
      </c>
      <c r="BF361" s="23"/>
      <c r="BG361" s="21" t="s">
        <v>78</v>
      </c>
      <c r="BH361" s="23"/>
      <c r="BI361" s="19"/>
      <c r="BJ361" s="19"/>
      <c r="BK361" s="16" t="s">
        <v>81</v>
      </c>
      <c r="BL361" s="19"/>
      <c r="BM361" s="19"/>
      <c r="BN361" s="19"/>
      <c r="BO361" s="21" t="s">
        <v>85</v>
      </c>
      <c r="BP361" s="22"/>
      <c r="BQ361" s="22"/>
      <c r="BR361" s="23"/>
      <c r="BS361" s="19"/>
      <c r="BT361" s="19"/>
      <c r="BU361" s="21" t="s">
        <v>90</v>
      </c>
      <c r="BV361" s="23"/>
      <c r="BW361" s="21" t="s">
        <v>92</v>
      </c>
      <c r="BX361" s="22"/>
      <c r="BY361" s="23"/>
      <c r="BZ361" s="19"/>
      <c r="CA361" s="19"/>
      <c r="CB361" s="19"/>
      <c r="CC361" s="19"/>
      <c r="CD361" s="19"/>
      <c r="CE361" s="19"/>
      <c r="CF361" s="16" t="s">
        <v>127</v>
      </c>
      <c r="CG361" s="16" t="s">
        <v>128</v>
      </c>
      <c r="CH361" s="16" t="s">
        <v>100</v>
      </c>
      <c r="CI361" s="21" t="s">
        <v>101</v>
      </c>
      <c r="CJ361" s="22"/>
      <c r="CK361" s="23"/>
      <c r="CL361" s="21" t="s">
        <v>104</v>
      </c>
      <c r="CM361" s="23"/>
      <c r="CN361" s="16" t="s">
        <v>128</v>
      </c>
      <c r="CO361" s="16" t="s">
        <v>105</v>
      </c>
      <c r="CP361" s="16" t="s">
        <v>106</v>
      </c>
      <c r="CQ361" s="16" t="s">
        <v>107</v>
      </c>
      <c r="CR361" s="21" t="s">
        <v>108</v>
      </c>
      <c r="CS361" s="23"/>
      <c r="CT361" s="19"/>
      <c r="CU361" s="19"/>
      <c r="CV361" s="16" t="s">
        <v>128</v>
      </c>
      <c r="CW361" s="19"/>
      <c r="CX361" s="16" t="s">
        <v>112</v>
      </c>
      <c r="CY361" s="21" t="s">
        <v>113</v>
      </c>
      <c r="CZ361" s="22"/>
      <c r="DA361" s="23"/>
      <c r="DB361" s="19"/>
      <c r="DC361" s="16" t="s">
        <v>129</v>
      </c>
      <c r="DD361" s="16" t="s">
        <v>129</v>
      </c>
      <c r="DE361" s="16" t="s">
        <v>129</v>
      </c>
      <c r="DF361" s="16" t="s">
        <v>129</v>
      </c>
      <c r="DG361" s="16" t="s">
        <v>1885</v>
      </c>
      <c r="DH361" s="21" t="s">
        <v>1886</v>
      </c>
      <c r="DI361" s="23"/>
      <c r="DJ361" s="16" t="s">
        <v>127</v>
      </c>
      <c r="DK361" s="19"/>
      <c r="DL361" s="19"/>
      <c r="DM361" s="21" t="s">
        <v>1887</v>
      </c>
      <c r="DN361" s="22"/>
      <c r="DO361" s="23"/>
    </row>
    <row r="362">
      <c r="A362" s="15">
        <v>360.0</v>
      </c>
      <c r="B362" s="16" t="s">
        <v>1888</v>
      </c>
      <c r="C362" s="17">
        <v>3.1612182602357E13</v>
      </c>
      <c r="D362" s="18">
        <v>4.0</v>
      </c>
      <c r="E362" s="16" t="s">
        <v>444</v>
      </c>
      <c r="F362" s="16" t="s">
        <v>1874</v>
      </c>
      <c r="G362" s="16" t="s">
        <v>1875</v>
      </c>
      <c r="H362" s="25">
        <v>42722.0</v>
      </c>
      <c r="I362" s="18">
        <v>1.0</v>
      </c>
      <c r="J362" s="19"/>
      <c r="K362" s="16" t="s">
        <v>1889</v>
      </c>
      <c r="L362" s="21" t="s">
        <v>138</v>
      </c>
      <c r="M362" s="23"/>
      <c r="N362" s="19"/>
      <c r="O362" s="19"/>
      <c r="P362" s="19"/>
      <c r="Q362" s="19"/>
      <c r="R362" s="19"/>
      <c r="S362" s="19"/>
      <c r="T362" s="19"/>
      <c r="U362" s="19"/>
      <c r="V362" s="16" t="s">
        <v>127</v>
      </c>
      <c r="W362" s="16" t="s">
        <v>46</v>
      </c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21" t="s">
        <v>123</v>
      </c>
      <c r="AI362" s="23"/>
      <c r="AJ362" s="16" t="s">
        <v>124</v>
      </c>
      <c r="AK362" s="16" t="s">
        <v>125</v>
      </c>
      <c r="AL362" s="16" t="s">
        <v>143</v>
      </c>
      <c r="AM362" s="16" t="s">
        <v>126</v>
      </c>
      <c r="AN362" s="16" t="s">
        <v>143</v>
      </c>
      <c r="AO362" s="16" t="s">
        <v>126</v>
      </c>
      <c r="AP362" s="16" t="s">
        <v>126</v>
      </c>
      <c r="AQ362" s="16" t="s">
        <v>126</v>
      </c>
      <c r="AR362" s="16" t="s">
        <v>126</v>
      </c>
      <c r="AS362" s="19"/>
      <c r="AT362" s="19"/>
      <c r="AU362" s="19"/>
      <c r="AV362" s="21" t="s">
        <v>68</v>
      </c>
      <c r="AW362" s="23"/>
      <c r="AX362" s="21" t="s">
        <v>70</v>
      </c>
      <c r="AY362" s="22"/>
      <c r="AZ362" s="23"/>
      <c r="BA362" s="19"/>
      <c r="BB362" s="21" t="s">
        <v>74</v>
      </c>
      <c r="BC362" s="23"/>
      <c r="BD362" s="21" t="s">
        <v>76</v>
      </c>
      <c r="BE362" s="22"/>
      <c r="BF362" s="22"/>
      <c r="BG362" s="23"/>
      <c r="BH362" s="21" t="s">
        <v>79</v>
      </c>
      <c r="BI362" s="23"/>
      <c r="BJ362" s="19"/>
      <c r="BK362" s="16" t="s">
        <v>81</v>
      </c>
      <c r="BL362" s="19"/>
      <c r="BM362" s="19"/>
      <c r="BN362" s="19"/>
      <c r="BO362" s="19"/>
      <c r="BP362" s="19"/>
      <c r="BQ362" s="19"/>
      <c r="BR362" s="19"/>
      <c r="BS362" s="19"/>
      <c r="BT362" s="19"/>
      <c r="BU362" s="21" t="s">
        <v>90</v>
      </c>
      <c r="BV362" s="23"/>
      <c r="BW362" s="19"/>
      <c r="BX362" s="19"/>
      <c r="BY362" s="19"/>
      <c r="BZ362" s="19"/>
      <c r="CA362" s="19"/>
      <c r="CB362" s="19"/>
      <c r="CC362" s="19"/>
      <c r="CD362" s="19"/>
      <c r="CE362" s="19"/>
      <c r="CF362" s="16" t="s">
        <v>127</v>
      </c>
      <c r="CG362" s="16" t="s">
        <v>128</v>
      </c>
      <c r="CH362" s="16" t="s">
        <v>100</v>
      </c>
      <c r="CI362" s="21" t="s">
        <v>101</v>
      </c>
      <c r="CJ362" s="22"/>
      <c r="CK362" s="23"/>
      <c r="CL362" s="19"/>
      <c r="CM362" s="19"/>
      <c r="CN362" s="16" t="s">
        <v>128</v>
      </c>
      <c r="CO362" s="16" t="s">
        <v>105</v>
      </c>
      <c r="CP362" s="16" t="s">
        <v>106</v>
      </c>
      <c r="CQ362" s="16" t="s">
        <v>107</v>
      </c>
      <c r="CR362" s="21" t="s">
        <v>108</v>
      </c>
      <c r="CS362" s="23"/>
      <c r="CT362" s="19"/>
      <c r="CU362" s="19"/>
      <c r="CV362" s="16" t="s">
        <v>128</v>
      </c>
      <c r="CW362" s="19"/>
      <c r="CX362" s="16" t="s">
        <v>112</v>
      </c>
      <c r="CY362" s="21" t="s">
        <v>113</v>
      </c>
      <c r="CZ362" s="23"/>
      <c r="DA362" s="21" t="s">
        <v>115</v>
      </c>
      <c r="DB362" s="23"/>
      <c r="DC362" s="16" t="s">
        <v>129</v>
      </c>
      <c r="DD362" s="16" t="s">
        <v>129</v>
      </c>
      <c r="DE362" s="16" t="s">
        <v>129</v>
      </c>
      <c r="DF362" s="16" t="s">
        <v>129</v>
      </c>
      <c r="DG362" s="16" t="s">
        <v>1877</v>
      </c>
      <c r="DH362" s="21" t="s">
        <v>1890</v>
      </c>
      <c r="DI362" s="23"/>
      <c r="DJ362" s="21" t="s">
        <v>1891</v>
      </c>
      <c r="DK362" s="22"/>
      <c r="DL362" s="23"/>
      <c r="DM362" s="21" t="s">
        <v>1892</v>
      </c>
      <c r="DN362" s="22"/>
      <c r="DO362" s="23"/>
    </row>
    <row r="363">
      <c r="A363" s="15">
        <v>361.0</v>
      </c>
      <c r="B363" s="16" t="s">
        <v>1893</v>
      </c>
      <c r="C363" s="26">
        <v>3.1507021267253E13</v>
      </c>
      <c r="D363" s="18">
        <v>300.0</v>
      </c>
      <c r="E363" s="16" t="s">
        <v>1894</v>
      </c>
      <c r="F363" s="16" t="s">
        <v>1895</v>
      </c>
      <c r="G363" s="16" t="s">
        <v>1875</v>
      </c>
      <c r="H363" s="25">
        <v>44177.0</v>
      </c>
      <c r="I363" s="18">
        <v>1.0</v>
      </c>
      <c r="J363" s="19"/>
      <c r="K363" s="16" t="s">
        <v>1896</v>
      </c>
      <c r="L363" s="21" t="s">
        <v>138</v>
      </c>
      <c r="M363" s="23"/>
      <c r="N363" s="19"/>
      <c r="O363" s="19"/>
      <c r="P363" s="19"/>
      <c r="Q363" s="19"/>
      <c r="R363" s="19"/>
      <c r="S363" s="19"/>
      <c r="T363" s="19"/>
      <c r="U363" s="19"/>
      <c r="V363" s="16" t="s">
        <v>1897</v>
      </c>
      <c r="W363" s="19"/>
      <c r="X363" s="21" t="s">
        <v>47</v>
      </c>
      <c r="Y363" s="23"/>
      <c r="Z363" s="16" t="s">
        <v>49</v>
      </c>
      <c r="AA363" s="19"/>
      <c r="AB363" s="19"/>
      <c r="AC363" s="19"/>
      <c r="AD363" s="19"/>
      <c r="AE363" s="19"/>
      <c r="AF363" s="19"/>
      <c r="AG363" s="19"/>
      <c r="AH363" s="21" t="s">
        <v>357</v>
      </c>
      <c r="AI363" s="23"/>
      <c r="AJ363" s="16" t="s">
        <v>168</v>
      </c>
      <c r="AK363" s="16" t="s">
        <v>153</v>
      </c>
      <c r="AL363" s="16" t="s">
        <v>181</v>
      </c>
      <c r="AM363" s="16" t="s">
        <v>181</v>
      </c>
      <c r="AN363" s="16" t="s">
        <v>126</v>
      </c>
      <c r="AO363" s="16" t="s">
        <v>181</v>
      </c>
      <c r="AP363" s="16" t="s">
        <v>181</v>
      </c>
      <c r="AQ363" s="16" t="s">
        <v>181</v>
      </c>
      <c r="AR363" s="16" t="s">
        <v>181</v>
      </c>
      <c r="AS363" s="21" t="s">
        <v>65</v>
      </c>
      <c r="AT363" s="22"/>
      <c r="AU363" s="23"/>
      <c r="AV363" s="19"/>
      <c r="AW363" s="19"/>
      <c r="AX363" s="19"/>
      <c r="AY363" s="19"/>
      <c r="AZ363" s="19"/>
      <c r="BA363" s="19"/>
      <c r="BB363" s="19"/>
      <c r="BC363" s="19"/>
      <c r="BD363" s="19"/>
      <c r="BE363" s="21" t="s">
        <v>77</v>
      </c>
      <c r="BF363" s="23"/>
      <c r="BG363" s="21" t="s">
        <v>78</v>
      </c>
      <c r="BH363" s="23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6" t="s">
        <v>93</v>
      </c>
      <c r="BZ363" s="21" t="s">
        <v>94</v>
      </c>
      <c r="CA363" s="22"/>
      <c r="CB363" s="23"/>
      <c r="CC363" s="19"/>
      <c r="CD363" s="19"/>
      <c r="CE363" s="19"/>
      <c r="CF363" s="19"/>
      <c r="CG363" s="16" t="s">
        <v>128</v>
      </c>
      <c r="CH363" s="19"/>
      <c r="CI363" s="19"/>
      <c r="CJ363" s="21" t="s">
        <v>102</v>
      </c>
      <c r="CK363" s="22"/>
      <c r="CL363" s="23"/>
      <c r="CM363" s="19"/>
      <c r="CN363" s="16" t="s">
        <v>128</v>
      </c>
      <c r="CO363" s="21" t="s">
        <v>105</v>
      </c>
      <c r="CP363" s="22"/>
      <c r="CQ363" s="23"/>
      <c r="CR363" s="21" t="s">
        <v>108</v>
      </c>
      <c r="CS363" s="23"/>
      <c r="CT363" s="19"/>
      <c r="CU363" s="19"/>
      <c r="CV363" s="16" t="s">
        <v>128</v>
      </c>
      <c r="CW363" s="19"/>
      <c r="CX363" s="19"/>
      <c r="CY363" s="19"/>
      <c r="CZ363" s="19"/>
      <c r="DA363" s="21" t="s">
        <v>115</v>
      </c>
      <c r="DB363" s="23"/>
      <c r="DC363" s="16" t="s">
        <v>129</v>
      </c>
      <c r="DD363" s="16" t="s">
        <v>129</v>
      </c>
      <c r="DE363" s="16" t="s">
        <v>129</v>
      </c>
      <c r="DF363" s="16" t="s">
        <v>129</v>
      </c>
      <c r="DG363" s="21" t="s">
        <v>1898</v>
      </c>
      <c r="DH363" s="22"/>
      <c r="DI363" s="23"/>
      <c r="DJ363" s="16" t="s">
        <v>1899</v>
      </c>
      <c r="DK363" s="19"/>
      <c r="DL363" s="19"/>
      <c r="DM363" s="21" t="s">
        <v>1900</v>
      </c>
      <c r="DN363" s="23"/>
      <c r="DO363" s="19"/>
    </row>
    <row r="364">
      <c r="A364" s="15">
        <v>362.0</v>
      </c>
      <c r="B364" s="16" t="s">
        <v>1901</v>
      </c>
      <c r="C364" s="17">
        <v>3.2010232600907E13</v>
      </c>
      <c r="D364" s="18">
        <v>113.0</v>
      </c>
      <c r="E364" s="16" t="s">
        <v>1902</v>
      </c>
      <c r="F364" s="16" t="s">
        <v>1903</v>
      </c>
      <c r="G364" s="16" t="s">
        <v>1875</v>
      </c>
      <c r="H364" s="25">
        <v>44127.0</v>
      </c>
      <c r="I364" s="16"/>
      <c r="J364" s="18">
        <v>1.0</v>
      </c>
      <c r="K364" s="16" t="s">
        <v>1904</v>
      </c>
      <c r="L364" s="16" t="s">
        <v>122</v>
      </c>
      <c r="M364" s="21" t="s">
        <v>36</v>
      </c>
      <c r="N364" s="22"/>
      <c r="O364" s="22"/>
      <c r="P364" s="23"/>
      <c r="Q364" s="19"/>
      <c r="R364" s="19"/>
      <c r="S364" s="19"/>
      <c r="T364" s="21" t="s">
        <v>43</v>
      </c>
      <c r="U364" s="23"/>
      <c r="V364" s="19"/>
      <c r="W364" s="19"/>
      <c r="X364" s="19"/>
      <c r="Y364" s="19"/>
      <c r="Z364" s="19"/>
      <c r="AA364" s="19"/>
      <c r="AB364" s="21" t="s">
        <v>51</v>
      </c>
      <c r="AC364" s="23"/>
      <c r="AD364" s="19"/>
      <c r="AE364" s="19"/>
      <c r="AF364" s="19"/>
      <c r="AG364" s="19"/>
      <c r="AH364" s="21" t="s">
        <v>152</v>
      </c>
      <c r="AI364" s="23"/>
      <c r="AJ364" s="16" t="s">
        <v>124</v>
      </c>
      <c r="AK364" s="16" t="s">
        <v>125</v>
      </c>
      <c r="AL364" s="16" t="s">
        <v>126</v>
      </c>
      <c r="AM364" s="16" t="s">
        <v>181</v>
      </c>
      <c r="AN364" s="16" t="s">
        <v>126</v>
      </c>
      <c r="AO364" s="16" t="s">
        <v>143</v>
      </c>
      <c r="AP364" s="16" t="s">
        <v>126</v>
      </c>
      <c r="AQ364" s="16" t="s">
        <v>126</v>
      </c>
      <c r="AR364" s="16" t="s">
        <v>126</v>
      </c>
      <c r="AS364" s="19"/>
      <c r="AT364" s="21" t="s">
        <v>66</v>
      </c>
      <c r="AU364" s="22"/>
      <c r="AV364" s="23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6" t="s">
        <v>80</v>
      </c>
      <c r="BK364" s="16" t="s">
        <v>81</v>
      </c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21" t="s">
        <v>96</v>
      </c>
      <c r="CC364" s="23"/>
      <c r="CD364" s="19"/>
      <c r="CE364" s="21" t="s">
        <v>99</v>
      </c>
      <c r="CF364" s="23"/>
      <c r="CG364" s="16" t="s">
        <v>128</v>
      </c>
      <c r="CH364" s="19"/>
      <c r="CI364" s="19"/>
      <c r="CJ364" s="19"/>
      <c r="CK364" s="19"/>
      <c r="CL364" s="21" t="s">
        <v>104</v>
      </c>
      <c r="CM364" s="23"/>
      <c r="CN364" s="16" t="s">
        <v>128</v>
      </c>
      <c r="CO364" s="21" t="s">
        <v>105</v>
      </c>
      <c r="CP364" s="22"/>
      <c r="CQ364" s="23"/>
      <c r="CR364" s="19"/>
      <c r="CS364" s="19"/>
      <c r="CT364" s="21" t="s">
        <v>110</v>
      </c>
      <c r="CU364" s="23"/>
      <c r="CV364" s="21" t="s">
        <v>154</v>
      </c>
      <c r="CW364" s="23"/>
      <c r="CX364" s="19"/>
      <c r="CY364" s="19"/>
      <c r="CZ364" s="19"/>
      <c r="DA364" s="19"/>
      <c r="DB364" s="19"/>
      <c r="DC364" s="16" t="s">
        <v>145</v>
      </c>
      <c r="DD364" s="16" t="s">
        <v>145</v>
      </c>
      <c r="DE364" s="19"/>
      <c r="DF364" s="19"/>
      <c r="DG364" s="21" t="s">
        <v>1905</v>
      </c>
      <c r="DH364" s="22"/>
      <c r="DI364" s="23"/>
      <c r="DJ364" s="16" t="s">
        <v>144</v>
      </c>
      <c r="DK364" s="19"/>
      <c r="DL364" s="19"/>
      <c r="DM364" s="16" t="s">
        <v>144</v>
      </c>
      <c r="DN364" s="19"/>
      <c r="DO364" s="19"/>
    </row>
    <row r="365">
      <c r="A365" s="15">
        <v>363.0</v>
      </c>
      <c r="B365" s="16" t="s">
        <v>1906</v>
      </c>
      <c r="C365" s="17">
        <v>3.1409062603562E13</v>
      </c>
      <c r="D365" s="18">
        <v>45.0</v>
      </c>
      <c r="E365" s="16" t="s">
        <v>1902</v>
      </c>
      <c r="F365" s="16" t="s">
        <v>1903</v>
      </c>
      <c r="G365" s="16" t="s">
        <v>1875</v>
      </c>
      <c r="H365" s="20">
        <v>41888.0</v>
      </c>
      <c r="I365" s="16"/>
      <c r="J365" s="18">
        <v>1.0</v>
      </c>
      <c r="K365" s="16" t="s">
        <v>1907</v>
      </c>
      <c r="L365" s="16" t="s">
        <v>138</v>
      </c>
      <c r="M365" s="21" t="s">
        <v>36</v>
      </c>
      <c r="N365" s="22"/>
      <c r="O365" s="22"/>
      <c r="P365" s="23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21" t="s">
        <v>51</v>
      </c>
      <c r="AC365" s="23"/>
      <c r="AD365" s="19"/>
      <c r="AE365" s="19"/>
      <c r="AF365" s="19"/>
      <c r="AG365" s="19"/>
      <c r="AH365" s="21" t="s">
        <v>228</v>
      </c>
      <c r="AI365" s="23"/>
      <c r="AJ365" s="16" t="s">
        <v>124</v>
      </c>
      <c r="AK365" s="16" t="s">
        <v>142</v>
      </c>
      <c r="AL365" s="16" t="s">
        <v>126</v>
      </c>
      <c r="AM365" s="16" t="s">
        <v>126</v>
      </c>
      <c r="AN365" s="16" t="s">
        <v>126</v>
      </c>
      <c r="AO365" s="16" t="s">
        <v>126</v>
      </c>
      <c r="AP365" s="16" t="s">
        <v>126</v>
      </c>
      <c r="AQ365" s="16" t="s">
        <v>126</v>
      </c>
      <c r="AR365" s="16" t="s">
        <v>126</v>
      </c>
      <c r="AS365" s="21" t="s">
        <v>65</v>
      </c>
      <c r="AT365" s="22"/>
      <c r="AU365" s="23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6" t="s">
        <v>78</v>
      </c>
      <c r="BH365" s="16" t="s">
        <v>79</v>
      </c>
      <c r="BI365" s="21" t="s">
        <v>52</v>
      </c>
      <c r="BJ365" s="23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21" t="s">
        <v>96</v>
      </c>
      <c r="CC365" s="23"/>
      <c r="CD365" s="19"/>
      <c r="CE365" s="19"/>
      <c r="CF365" s="19"/>
      <c r="CG365" s="16" t="s">
        <v>128</v>
      </c>
      <c r="CH365" s="19"/>
      <c r="CI365" s="21" t="s">
        <v>101</v>
      </c>
      <c r="CJ365" s="22"/>
      <c r="CK365" s="23"/>
      <c r="CL365" s="21" t="s">
        <v>104</v>
      </c>
      <c r="CM365" s="23"/>
      <c r="CN365" s="16" t="s">
        <v>128</v>
      </c>
      <c r="CO365" s="16" t="s">
        <v>105</v>
      </c>
      <c r="CP365" s="21" t="s">
        <v>106</v>
      </c>
      <c r="CQ365" s="23"/>
      <c r="CR365" s="21" t="s">
        <v>108</v>
      </c>
      <c r="CS365" s="23"/>
      <c r="CT365" s="19"/>
      <c r="CU365" s="19"/>
      <c r="CV365" s="16" t="s">
        <v>128</v>
      </c>
      <c r="CW365" s="19"/>
      <c r="CX365" s="21" t="s">
        <v>112</v>
      </c>
      <c r="CY365" s="22"/>
      <c r="CZ365" s="23"/>
      <c r="DA365" s="21" t="s">
        <v>115</v>
      </c>
      <c r="DB365" s="22"/>
      <c r="DC365" s="22"/>
      <c r="DD365" s="23"/>
      <c r="DE365" s="19"/>
      <c r="DF365" s="19"/>
      <c r="DG365" s="21" t="s">
        <v>1905</v>
      </c>
      <c r="DH365" s="22"/>
      <c r="DI365" s="23"/>
      <c r="DJ365" s="16" t="s">
        <v>144</v>
      </c>
      <c r="DK365" s="19"/>
      <c r="DL365" s="19"/>
      <c r="DM365" s="16" t="s">
        <v>144</v>
      </c>
      <c r="DN365" s="19"/>
      <c r="DO365" s="19"/>
    </row>
    <row r="366">
      <c r="A366" s="15">
        <v>364.0</v>
      </c>
      <c r="B366" s="16" t="s">
        <v>1908</v>
      </c>
      <c r="C366" s="17">
        <v>3.151119216837E12</v>
      </c>
      <c r="D366" s="18">
        <v>67.0</v>
      </c>
      <c r="E366" s="16" t="s">
        <v>1894</v>
      </c>
      <c r="F366" s="16" t="s">
        <v>1894</v>
      </c>
      <c r="G366" s="16" t="s">
        <v>1875</v>
      </c>
      <c r="H366" s="25">
        <v>42327.0</v>
      </c>
      <c r="I366" s="18">
        <v>1.0</v>
      </c>
      <c r="J366" s="19"/>
      <c r="K366" s="16" t="s">
        <v>1909</v>
      </c>
      <c r="L366" s="16" t="s">
        <v>122</v>
      </c>
      <c r="M366" s="21" t="s">
        <v>36</v>
      </c>
      <c r="N366" s="22"/>
      <c r="O366" s="22"/>
      <c r="P366" s="23"/>
      <c r="Q366" s="19"/>
      <c r="R366" s="19"/>
      <c r="S366" s="19"/>
      <c r="T366" s="19"/>
      <c r="U366" s="19"/>
      <c r="V366" s="19"/>
      <c r="W366" s="19"/>
      <c r="X366" s="19"/>
      <c r="Y366" s="21" t="s">
        <v>48</v>
      </c>
      <c r="Z366" s="23"/>
      <c r="AA366" s="19"/>
      <c r="AB366" s="19"/>
      <c r="AC366" s="19"/>
      <c r="AD366" s="19"/>
      <c r="AE366" s="19"/>
      <c r="AF366" s="19"/>
      <c r="AG366" s="19"/>
      <c r="AH366" s="21" t="s">
        <v>123</v>
      </c>
      <c r="AI366" s="23"/>
      <c r="AJ366" s="16" t="s">
        <v>124</v>
      </c>
      <c r="AK366" s="16" t="s">
        <v>142</v>
      </c>
      <c r="AL366" s="16" t="s">
        <v>126</v>
      </c>
      <c r="AM366" s="16" t="s">
        <v>181</v>
      </c>
      <c r="AN366" s="16" t="s">
        <v>181</v>
      </c>
      <c r="AO366" s="16" t="s">
        <v>126</v>
      </c>
      <c r="AP366" s="16" t="s">
        <v>181</v>
      </c>
      <c r="AQ366" s="16" t="s">
        <v>126</v>
      </c>
      <c r="AR366" s="16" t="s">
        <v>181</v>
      </c>
      <c r="AS366" s="19"/>
      <c r="AT366" s="19"/>
      <c r="AU366" s="21" t="s">
        <v>67</v>
      </c>
      <c r="AV366" s="22"/>
      <c r="AW366" s="23"/>
      <c r="AX366" s="19"/>
      <c r="AY366" s="19"/>
      <c r="AZ366" s="19"/>
      <c r="BA366" s="19"/>
      <c r="BB366" s="19"/>
      <c r="BC366" s="21" t="s">
        <v>75</v>
      </c>
      <c r="BD366" s="23"/>
      <c r="BE366" s="19"/>
      <c r="BF366" s="19"/>
      <c r="BG366" s="19"/>
      <c r="BH366" s="19"/>
      <c r="BI366" s="21" t="s">
        <v>52</v>
      </c>
      <c r="BJ366" s="23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6" t="s">
        <v>91</v>
      </c>
      <c r="BW366" s="19"/>
      <c r="BX366" s="19"/>
      <c r="BY366" s="19"/>
      <c r="BZ366" s="19"/>
      <c r="CA366" s="19"/>
      <c r="CB366" s="21" t="s">
        <v>96</v>
      </c>
      <c r="CC366" s="23"/>
      <c r="CD366" s="19"/>
      <c r="CE366" s="19"/>
      <c r="CF366" s="19"/>
      <c r="CG366" s="16" t="s">
        <v>128</v>
      </c>
      <c r="CH366" s="21" t="s">
        <v>100</v>
      </c>
      <c r="CI366" s="23"/>
      <c r="CJ366" s="19"/>
      <c r="CK366" s="19"/>
      <c r="CL366" s="19"/>
      <c r="CM366" s="19"/>
      <c r="CN366" s="16" t="s">
        <v>128</v>
      </c>
      <c r="CO366" s="21" t="s">
        <v>105</v>
      </c>
      <c r="CP366" s="22"/>
      <c r="CQ366" s="23"/>
      <c r="CR366" s="19"/>
      <c r="CS366" s="19"/>
      <c r="CT366" s="19"/>
      <c r="CU366" s="19"/>
      <c r="CV366" s="16" t="s">
        <v>128</v>
      </c>
      <c r="CW366" s="19"/>
      <c r="CX366" s="21" t="s">
        <v>112</v>
      </c>
      <c r="CY366" s="22"/>
      <c r="CZ366" s="23"/>
      <c r="DA366" s="19"/>
      <c r="DB366" s="19"/>
      <c r="DC366" s="16" t="s">
        <v>129</v>
      </c>
      <c r="DD366" s="16" t="s">
        <v>129</v>
      </c>
      <c r="DE366" s="16" t="s">
        <v>145</v>
      </c>
      <c r="DF366" s="16" t="s">
        <v>129</v>
      </c>
      <c r="DG366" s="16" t="s">
        <v>1910</v>
      </c>
      <c r="DH366" s="16" t="s">
        <v>1911</v>
      </c>
      <c r="DI366" s="16" t="s">
        <v>144</v>
      </c>
      <c r="DJ366" s="16" t="s">
        <v>1912</v>
      </c>
      <c r="DK366" s="16" t="s">
        <v>144</v>
      </c>
      <c r="DL366" s="16" t="s">
        <v>144</v>
      </c>
      <c r="DM366" s="16" t="s">
        <v>1913</v>
      </c>
      <c r="DN366" s="16" t="s">
        <v>1914</v>
      </c>
      <c r="DO366" s="16" t="s">
        <v>144</v>
      </c>
    </row>
    <row r="367">
      <c r="A367" s="15">
        <v>365.0</v>
      </c>
      <c r="B367" s="16" t="s">
        <v>1915</v>
      </c>
      <c r="C367" s="17">
        <v>3.0909012612152E13</v>
      </c>
      <c r="D367" s="18">
        <v>177.0</v>
      </c>
      <c r="E367" s="16" t="s">
        <v>1902</v>
      </c>
      <c r="F367" s="16" t="s">
        <v>1903</v>
      </c>
      <c r="G367" s="16" t="s">
        <v>1875</v>
      </c>
      <c r="H367" s="20">
        <v>40057.0</v>
      </c>
      <c r="I367" s="18">
        <v>1.0</v>
      </c>
      <c r="J367" s="19"/>
      <c r="K367" s="16" t="s">
        <v>1916</v>
      </c>
      <c r="L367" s="16" t="s">
        <v>122</v>
      </c>
      <c r="M367" s="21" t="s">
        <v>36</v>
      </c>
      <c r="N367" s="22"/>
      <c r="O367" s="22"/>
      <c r="P367" s="23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21" t="s">
        <v>51</v>
      </c>
      <c r="AC367" s="23"/>
      <c r="AD367" s="19"/>
      <c r="AE367" s="19"/>
      <c r="AF367" s="19"/>
      <c r="AG367" s="19"/>
      <c r="AH367" s="21" t="s">
        <v>152</v>
      </c>
      <c r="AI367" s="23"/>
      <c r="AJ367" s="16" t="s">
        <v>124</v>
      </c>
      <c r="AK367" s="16" t="s">
        <v>125</v>
      </c>
      <c r="AL367" s="16" t="s">
        <v>126</v>
      </c>
      <c r="AM367" s="16" t="s">
        <v>126</v>
      </c>
      <c r="AN367" s="16" t="s">
        <v>126</v>
      </c>
      <c r="AO367" s="16" t="s">
        <v>126</v>
      </c>
      <c r="AP367" s="16" t="s">
        <v>181</v>
      </c>
      <c r="AQ367" s="16" t="s">
        <v>181</v>
      </c>
      <c r="AR367" s="16" t="s">
        <v>181</v>
      </c>
      <c r="AS367" s="21" t="s">
        <v>65</v>
      </c>
      <c r="AT367" s="22"/>
      <c r="AU367" s="23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21" t="s">
        <v>78</v>
      </c>
      <c r="BH367" s="23"/>
      <c r="BI367" s="19"/>
      <c r="BJ367" s="19"/>
      <c r="BK367" s="19"/>
      <c r="BL367" s="19"/>
      <c r="BM367" s="19"/>
      <c r="BN367" s="19"/>
      <c r="BO367" s="21" t="s">
        <v>85</v>
      </c>
      <c r="BP367" s="22"/>
      <c r="BQ367" s="22"/>
      <c r="BR367" s="23"/>
      <c r="BS367" s="19"/>
      <c r="BT367" s="19"/>
      <c r="BU367" s="19"/>
      <c r="BV367" s="19"/>
      <c r="BW367" s="19"/>
      <c r="BX367" s="19"/>
      <c r="BY367" s="19"/>
      <c r="BZ367" s="19"/>
      <c r="CA367" s="19"/>
      <c r="CB367" s="21" t="s">
        <v>96</v>
      </c>
      <c r="CC367" s="23"/>
      <c r="CD367" s="19"/>
      <c r="CE367" s="21" t="s">
        <v>99</v>
      </c>
      <c r="CF367" s="23"/>
      <c r="CG367" s="16" t="s">
        <v>158</v>
      </c>
      <c r="CH367" s="16" t="s">
        <v>100</v>
      </c>
      <c r="CI367" s="21" t="s">
        <v>101</v>
      </c>
      <c r="CJ367" s="22"/>
      <c r="CK367" s="23"/>
      <c r="CL367" s="21" t="s">
        <v>104</v>
      </c>
      <c r="CM367" s="23"/>
      <c r="CN367" s="16" t="s">
        <v>128</v>
      </c>
      <c r="CO367" s="16" t="s">
        <v>105</v>
      </c>
      <c r="CP367" s="21" t="s">
        <v>106</v>
      </c>
      <c r="CQ367" s="22"/>
      <c r="CR367" s="22"/>
      <c r="CS367" s="23"/>
      <c r="CT367" s="21" t="s">
        <v>110</v>
      </c>
      <c r="CU367" s="23"/>
      <c r="CV367" s="21" t="s">
        <v>154</v>
      </c>
      <c r="CW367" s="23"/>
      <c r="CX367" s="19"/>
      <c r="CY367" s="21" t="s">
        <v>113</v>
      </c>
      <c r="CZ367" s="22"/>
      <c r="DA367" s="23"/>
      <c r="DB367" s="19"/>
      <c r="DC367" s="19"/>
      <c r="DD367" s="16" t="s">
        <v>145</v>
      </c>
      <c r="DE367" s="19"/>
      <c r="DF367" s="19"/>
      <c r="DG367" s="21" t="s">
        <v>1917</v>
      </c>
      <c r="DH367" s="23"/>
      <c r="DI367" s="19"/>
      <c r="DJ367" s="16" t="s">
        <v>144</v>
      </c>
      <c r="DK367" s="19"/>
      <c r="DL367" s="19"/>
      <c r="DM367" s="21" t="s">
        <v>1918</v>
      </c>
      <c r="DN367" s="22"/>
      <c r="DO367" s="23"/>
    </row>
    <row r="368">
      <c r="A368" s="15">
        <v>366.0</v>
      </c>
      <c r="B368" s="16" t="s">
        <v>1919</v>
      </c>
      <c r="C368" s="17">
        <v>1.402022607285E12</v>
      </c>
      <c r="D368" s="18">
        <v>34.0</v>
      </c>
      <c r="E368" s="16" t="s">
        <v>1894</v>
      </c>
      <c r="F368" s="16" t="s">
        <v>1894</v>
      </c>
      <c r="G368" s="16" t="s">
        <v>1875</v>
      </c>
      <c r="H368" s="20">
        <v>41672.0</v>
      </c>
      <c r="I368" s="16"/>
      <c r="J368" s="18">
        <v>1.0</v>
      </c>
      <c r="K368" s="16" t="s">
        <v>1920</v>
      </c>
      <c r="L368" s="21" t="s">
        <v>138</v>
      </c>
      <c r="M368" s="23"/>
      <c r="N368" s="19"/>
      <c r="O368" s="19"/>
      <c r="P368" s="19"/>
      <c r="Q368" s="19"/>
      <c r="R368" s="19"/>
      <c r="S368" s="19"/>
      <c r="T368" s="19"/>
      <c r="U368" s="19"/>
      <c r="V368" s="16" t="s">
        <v>853</v>
      </c>
      <c r="W368" s="19"/>
      <c r="X368" s="19"/>
      <c r="Y368" s="21" t="s">
        <v>48</v>
      </c>
      <c r="Z368" s="23"/>
      <c r="AA368" s="19"/>
      <c r="AB368" s="19"/>
      <c r="AC368" s="19"/>
      <c r="AD368" s="19"/>
      <c r="AE368" s="19"/>
      <c r="AF368" s="19"/>
      <c r="AG368" s="19"/>
      <c r="AH368" s="21" t="s">
        <v>123</v>
      </c>
      <c r="AI368" s="23"/>
      <c r="AJ368" s="16" t="s">
        <v>124</v>
      </c>
      <c r="AK368" s="16" t="s">
        <v>142</v>
      </c>
      <c r="AL368" s="16" t="s">
        <v>126</v>
      </c>
      <c r="AM368" s="16" t="s">
        <v>126</v>
      </c>
      <c r="AN368" s="16" t="s">
        <v>126</v>
      </c>
      <c r="AO368" s="16" t="s">
        <v>126</v>
      </c>
      <c r="AP368" s="16" t="s">
        <v>126</v>
      </c>
      <c r="AQ368" s="16" t="s">
        <v>126</v>
      </c>
      <c r="AR368" s="16" t="s">
        <v>126</v>
      </c>
      <c r="AS368" s="19"/>
      <c r="AT368" s="19"/>
      <c r="AU368" s="19"/>
      <c r="AV368" s="21" t="s">
        <v>68</v>
      </c>
      <c r="AW368" s="22"/>
      <c r="AX368" s="23"/>
      <c r="AY368" s="19"/>
      <c r="AZ368" s="19"/>
      <c r="BA368" s="19"/>
      <c r="BB368" s="19"/>
      <c r="BC368" s="21" t="s">
        <v>75</v>
      </c>
      <c r="BD368" s="23"/>
      <c r="BE368" s="19"/>
      <c r="BF368" s="19"/>
      <c r="BG368" s="19"/>
      <c r="BH368" s="19"/>
      <c r="BI368" s="21" t="s">
        <v>52</v>
      </c>
      <c r="BJ368" s="23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6" t="s">
        <v>91</v>
      </c>
      <c r="BW368" s="19"/>
      <c r="BX368" s="19"/>
      <c r="BY368" s="19"/>
      <c r="BZ368" s="19"/>
      <c r="CA368" s="19"/>
      <c r="CB368" s="21" t="s">
        <v>96</v>
      </c>
      <c r="CC368" s="23"/>
      <c r="CD368" s="19"/>
      <c r="CE368" s="19"/>
      <c r="CF368" s="19"/>
      <c r="CG368" s="16" t="s">
        <v>128</v>
      </c>
      <c r="CH368" s="21" t="s">
        <v>100</v>
      </c>
      <c r="CI368" s="23"/>
      <c r="CJ368" s="19"/>
      <c r="CK368" s="19"/>
      <c r="CL368" s="19"/>
      <c r="CM368" s="19"/>
      <c r="CN368" s="16" t="s">
        <v>128</v>
      </c>
      <c r="CO368" s="21" t="s">
        <v>105</v>
      </c>
      <c r="CP368" s="22"/>
      <c r="CQ368" s="23"/>
      <c r="CR368" s="19"/>
      <c r="CS368" s="19"/>
      <c r="CT368" s="19"/>
      <c r="CU368" s="19"/>
      <c r="CV368" s="16" t="s">
        <v>128</v>
      </c>
      <c r="CW368" s="19"/>
      <c r="CX368" s="21" t="s">
        <v>112</v>
      </c>
      <c r="CY368" s="22"/>
      <c r="CZ368" s="23"/>
      <c r="DA368" s="19"/>
      <c r="DB368" s="19"/>
      <c r="DC368" s="16" t="s">
        <v>129</v>
      </c>
      <c r="DD368" s="16" t="s">
        <v>129</v>
      </c>
      <c r="DE368" s="16" t="s">
        <v>129</v>
      </c>
      <c r="DF368" s="16" t="s">
        <v>129</v>
      </c>
      <c r="DG368" s="16" t="s">
        <v>1921</v>
      </c>
      <c r="DH368" s="16" t="s">
        <v>1922</v>
      </c>
      <c r="DI368" s="16" t="s">
        <v>144</v>
      </c>
      <c r="DJ368" s="16" t="s">
        <v>1923</v>
      </c>
      <c r="DK368" s="16" t="s">
        <v>144</v>
      </c>
      <c r="DL368" s="16" t="s">
        <v>144</v>
      </c>
      <c r="DM368" s="16" t="s">
        <v>1924</v>
      </c>
      <c r="DN368" s="16" t="s">
        <v>144</v>
      </c>
      <c r="DO368" s="16" t="s">
        <v>144</v>
      </c>
    </row>
    <row r="369">
      <c r="A369" s="15">
        <v>367.0</v>
      </c>
      <c r="B369" s="16" t="s">
        <v>1925</v>
      </c>
      <c r="C369" s="17">
        <v>3.1306252600264E13</v>
      </c>
      <c r="D369" s="18">
        <v>81.0</v>
      </c>
      <c r="E369" s="16" t="s">
        <v>1926</v>
      </c>
      <c r="F369" s="16" t="s">
        <v>1875</v>
      </c>
      <c r="G369" s="16" t="s">
        <v>1875</v>
      </c>
      <c r="H369" s="20">
        <v>41450.0</v>
      </c>
      <c r="I369" s="16"/>
      <c r="J369" s="18">
        <v>1.0</v>
      </c>
      <c r="K369" s="16" t="s">
        <v>1927</v>
      </c>
      <c r="L369" s="21" t="s">
        <v>138</v>
      </c>
      <c r="M369" s="23"/>
      <c r="N369" s="19"/>
      <c r="O369" s="19"/>
      <c r="P369" s="19"/>
      <c r="Q369" s="19"/>
      <c r="R369" s="19"/>
      <c r="S369" s="19"/>
      <c r="T369" s="19"/>
      <c r="U369" s="21" t="s">
        <v>44</v>
      </c>
      <c r="V369" s="22"/>
      <c r="W369" s="22"/>
      <c r="X369" s="23"/>
      <c r="Y369" s="21" t="s">
        <v>48</v>
      </c>
      <c r="Z369" s="23"/>
      <c r="AA369" s="19"/>
      <c r="AB369" s="19"/>
      <c r="AC369" s="19"/>
      <c r="AD369" s="19"/>
      <c r="AE369" s="19"/>
      <c r="AF369" s="19"/>
      <c r="AG369" s="19"/>
      <c r="AH369" s="21" t="s">
        <v>357</v>
      </c>
      <c r="AI369" s="23"/>
      <c r="AJ369" s="16" t="s">
        <v>168</v>
      </c>
      <c r="AK369" s="16" t="s">
        <v>153</v>
      </c>
      <c r="AL369" s="16" t="s">
        <v>126</v>
      </c>
      <c r="AM369" s="16" t="s">
        <v>181</v>
      </c>
      <c r="AN369" s="16" t="s">
        <v>181</v>
      </c>
      <c r="AO369" s="16" t="s">
        <v>181</v>
      </c>
      <c r="AP369" s="16" t="s">
        <v>181</v>
      </c>
      <c r="AQ369" s="16" t="s">
        <v>181</v>
      </c>
      <c r="AR369" s="16" t="s">
        <v>181</v>
      </c>
      <c r="AS369" s="19"/>
      <c r="AT369" s="19"/>
      <c r="AU369" s="16" t="s">
        <v>67</v>
      </c>
      <c r="AV369" s="21" t="s">
        <v>68</v>
      </c>
      <c r="AW369" s="22"/>
      <c r="AX369" s="23"/>
      <c r="AY369" s="19"/>
      <c r="AZ369" s="19"/>
      <c r="BA369" s="19"/>
      <c r="BB369" s="19"/>
      <c r="BC369" s="19"/>
      <c r="BD369" s="21" t="s">
        <v>76</v>
      </c>
      <c r="BE369" s="22"/>
      <c r="BF369" s="22"/>
      <c r="BG369" s="23"/>
      <c r="BH369" s="19"/>
      <c r="BI369" s="19"/>
      <c r="BJ369" s="19"/>
      <c r="BK369" s="19"/>
      <c r="BL369" s="21" t="s">
        <v>82</v>
      </c>
      <c r="BM369" s="23"/>
      <c r="BN369" s="21" t="s">
        <v>84</v>
      </c>
      <c r="BO369" s="22"/>
      <c r="BP369" s="23"/>
      <c r="BQ369" s="19"/>
      <c r="BR369" s="19"/>
      <c r="BS369" s="19"/>
      <c r="BT369" s="19"/>
      <c r="BU369" s="16" t="s">
        <v>90</v>
      </c>
      <c r="BV369" s="16" t="s">
        <v>91</v>
      </c>
      <c r="BW369" s="19"/>
      <c r="BX369" s="19"/>
      <c r="BY369" s="19"/>
      <c r="BZ369" s="19"/>
      <c r="CA369" s="19"/>
      <c r="CB369" s="19"/>
      <c r="CC369" s="19"/>
      <c r="CD369" s="19"/>
      <c r="CE369" s="21" t="s">
        <v>99</v>
      </c>
      <c r="CF369" s="23"/>
      <c r="CG369" s="16" t="s">
        <v>128</v>
      </c>
      <c r="CH369" s="19"/>
      <c r="CI369" s="19"/>
      <c r="CJ369" s="19"/>
      <c r="CK369" s="16" t="s">
        <v>103</v>
      </c>
      <c r="CL369" s="21" t="s">
        <v>104</v>
      </c>
      <c r="CM369" s="23"/>
      <c r="CN369" s="16" t="s">
        <v>128</v>
      </c>
      <c r="CO369" s="16" t="s">
        <v>105</v>
      </c>
      <c r="CP369" s="16" t="s">
        <v>106</v>
      </c>
      <c r="CQ369" s="16" t="s">
        <v>107</v>
      </c>
      <c r="CR369" s="16" t="s">
        <v>108</v>
      </c>
      <c r="CS369" s="16" t="s">
        <v>109</v>
      </c>
      <c r="CT369" s="21" t="s">
        <v>110</v>
      </c>
      <c r="CU369" s="23"/>
      <c r="CV369" s="16" t="s">
        <v>128</v>
      </c>
      <c r="CW369" s="16" t="s">
        <v>111</v>
      </c>
      <c r="CX369" s="21" t="s">
        <v>112</v>
      </c>
      <c r="CY369" s="22"/>
      <c r="CZ369" s="23"/>
      <c r="DA369" s="21" t="s">
        <v>115</v>
      </c>
      <c r="DB369" s="23"/>
      <c r="DC369" s="16" t="s">
        <v>129</v>
      </c>
      <c r="DD369" s="16" t="s">
        <v>129</v>
      </c>
      <c r="DE369" s="16" t="s">
        <v>129</v>
      </c>
      <c r="DF369" s="16" t="s">
        <v>129</v>
      </c>
      <c r="DG369" s="21" t="s">
        <v>1928</v>
      </c>
      <c r="DH369" s="23"/>
      <c r="DI369" s="19"/>
      <c r="DJ369" s="21" t="s">
        <v>1929</v>
      </c>
      <c r="DK369" s="23"/>
      <c r="DL369" s="19"/>
      <c r="DM369" s="21" t="s">
        <v>1930</v>
      </c>
      <c r="DN369" s="23"/>
      <c r="DO369" s="19"/>
    </row>
    <row r="370">
      <c r="A370" s="15">
        <v>368.0</v>
      </c>
      <c r="B370" s="16" t="s">
        <v>1931</v>
      </c>
      <c r="C370" s="17">
        <v>3.152012618631E12</v>
      </c>
      <c r="D370" s="18">
        <v>45.0</v>
      </c>
      <c r="E370" s="16" t="s">
        <v>1926</v>
      </c>
      <c r="F370" s="16" t="s">
        <v>1875</v>
      </c>
      <c r="G370" s="16" t="s">
        <v>1875</v>
      </c>
      <c r="H370" s="20">
        <v>42125.0</v>
      </c>
      <c r="I370" s="18">
        <v>1.0</v>
      </c>
      <c r="J370" s="19"/>
      <c r="K370" s="16" t="s">
        <v>1932</v>
      </c>
      <c r="L370" s="21" t="s">
        <v>138</v>
      </c>
      <c r="M370" s="23"/>
      <c r="N370" s="19"/>
      <c r="O370" s="19"/>
      <c r="P370" s="19"/>
      <c r="Q370" s="19"/>
      <c r="R370" s="21" t="s">
        <v>41</v>
      </c>
      <c r="S370" s="22"/>
      <c r="T370" s="23"/>
      <c r="U370" s="21" t="s">
        <v>44</v>
      </c>
      <c r="V370" s="23"/>
      <c r="W370" s="16" t="s">
        <v>46</v>
      </c>
      <c r="X370" s="21" t="s">
        <v>47</v>
      </c>
      <c r="Y370" s="23"/>
      <c r="Z370" s="16" t="s">
        <v>49</v>
      </c>
      <c r="AA370" s="16" t="s">
        <v>50</v>
      </c>
      <c r="AB370" s="16" t="s">
        <v>51</v>
      </c>
      <c r="AC370" s="16" t="s">
        <v>52</v>
      </c>
      <c r="AD370" s="16" t="s">
        <v>53</v>
      </c>
      <c r="AE370" s="16" t="s">
        <v>54</v>
      </c>
      <c r="AF370" s="21" t="s">
        <v>55</v>
      </c>
      <c r="AG370" s="23"/>
      <c r="AH370" s="21" t="s">
        <v>152</v>
      </c>
      <c r="AI370" s="23"/>
      <c r="AJ370" s="16" t="s">
        <v>168</v>
      </c>
      <c r="AK370" s="16" t="s">
        <v>153</v>
      </c>
      <c r="AL370" s="16" t="s">
        <v>181</v>
      </c>
      <c r="AM370" s="16" t="s">
        <v>181</v>
      </c>
      <c r="AN370" s="16" t="s">
        <v>181</v>
      </c>
      <c r="AO370" s="16" t="s">
        <v>181</v>
      </c>
      <c r="AP370" s="16" t="s">
        <v>181</v>
      </c>
      <c r="AQ370" s="16" t="s">
        <v>181</v>
      </c>
      <c r="AR370" s="16" t="s">
        <v>181</v>
      </c>
      <c r="AS370" s="21" t="s">
        <v>65</v>
      </c>
      <c r="AT370" s="22"/>
      <c r="AU370" s="23"/>
      <c r="AV370" s="19"/>
      <c r="AW370" s="19"/>
      <c r="AX370" s="19"/>
      <c r="AY370" s="21" t="s">
        <v>71</v>
      </c>
      <c r="AZ370" s="22"/>
      <c r="BA370" s="23"/>
      <c r="BB370" s="19"/>
      <c r="BC370" s="19"/>
      <c r="BD370" s="21" t="s">
        <v>76</v>
      </c>
      <c r="BE370" s="22"/>
      <c r="BF370" s="23"/>
      <c r="BG370" s="21" t="s">
        <v>78</v>
      </c>
      <c r="BH370" s="23"/>
      <c r="BI370" s="19"/>
      <c r="BJ370" s="21" t="s">
        <v>80</v>
      </c>
      <c r="BK370" s="23"/>
      <c r="BL370" s="19"/>
      <c r="BM370" s="21" t="s">
        <v>83</v>
      </c>
      <c r="BN370" s="22"/>
      <c r="BO370" s="23"/>
      <c r="BP370" s="19"/>
      <c r="BQ370" s="19"/>
      <c r="BR370" s="19"/>
      <c r="BS370" s="19"/>
      <c r="BT370" s="19"/>
      <c r="BU370" s="21" t="s">
        <v>90</v>
      </c>
      <c r="BV370" s="23"/>
      <c r="BW370" s="19"/>
      <c r="BX370" s="19"/>
      <c r="BY370" s="19"/>
      <c r="BZ370" s="19"/>
      <c r="CA370" s="19"/>
      <c r="CB370" s="21" t="s">
        <v>96</v>
      </c>
      <c r="CC370" s="23"/>
      <c r="CD370" s="21" t="s">
        <v>98</v>
      </c>
      <c r="CE370" s="23"/>
      <c r="CF370" s="19"/>
      <c r="CG370" s="16" t="s">
        <v>128</v>
      </c>
      <c r="CH370" s="19"/>
      <c r="CI370" s="21" t="s">
        <v>101</v>
      </c>
      <c r="CJ370" s="22"/>
      <c r="CK370" s="23"/>
      <c r="CL370" s="19"/>
      <c r="CM370" s="19"/>
      <c r="CN370" s="16" t="s">
        <v>128</v>
      </c>
      <c r="CO370" s="16" t="s">
        <v>105</v>
      </c>
      <c r="CP370" s="16" t="s">
        <v>106</v>
      </c>
      <c r="CQ370" s="16" t="s">
        <v>107</v>
      </c>
      <c r="CR370" s="16" t="s">
        <v>108</v>
      </c>
      <c r="CS370" s="16" t="s">
        <v>109</v>
      </c>
      <c r="CT370" s="21" t="s">
        <v>110</v>
      </c>
      <c r="CU370" s="23"/>
      <c r="CV370" s="16" t="s">
        <v>128</v>
      </c>
      <c r="CW370" s="19"/>
      <c r="CX370" s="19"/>
      <c r="CY370" s="19"/>
      <c r="CZ370" s="16" t="s">
        <v>114</v>
      </c>
      <c r="DA370" s="21" t="s">
        <v>115</v>
      </c>
      <c r="DB370" s="23"/>
      <c r="DC370" s="16" t="s">
        <v>129</v>
      </c>
      <c r="DD370" s="16" t="s">
        <v>129</v>
      </c>
      <c r="DE370" s="16" t="s">
        <v>129</v>
      </c>
      <c r="DF370" s="16" t="s">
        <v>129</v>
      </c>
      <c r="DG370" s="21" t="s">
        <v>1933</v>
      </c>
      <c r="DH370" s="23"/>
      <c r="DI370" s="19"/>
      <c r="DJ370" s="21" t="s">
        <v>1934</v>
      </c>
      <c r="DK370" s="23"/>
      <c r="DL370" s="19"/>
      <c r="DM370" s="21" t="s">
        <v>1935</v>
      </c>
      <c r="DN370" s="23"/>
      <c r="DO370" s="19"/>
    </row>
    <row r="371">
      <c r="A371" s="15">
        <v>369.0</v>
      </c>
      <c r="B371" s="16" t="s">
        <v>1936</v>
      </c>
      <c r="C371" s="17">
        <v>3.1505012601193E13</v>
      </c>
      <c r="D371" s="18">
        <v>87.0</v>
      </c>
      <c r="E371" s="16" t="s">
        <v>1937</v>
      </c>
      <c r="F371" s="16" t="s">
        <v>1875</v>
      </c>
      <c r="G371" s="16" t="s">
        <v>1875</v>
      </c>
      <c r="H371" s="20">
        <v>42125.0</v>
      </c>
      <c r="I371" s="18">
        <v>1.0</v>
      </c>
      <c r="J371" s="19"/>
      <c r="K371" s="16" t="s">
        <v>1938</v>
      </c>
      <c r="L371" s="16" t="s">
        <v>122</v>
      </c>
      <c r="M371" s="19"/>
      <c r="N371" s="19"/>
      <c r="O371" s="19"/>
      <c r="P371" s="19"/>
      <c r="Q371" s="19"/>
      <c r="R371" s="19"/>
      <c r="S371" s="19"/>
      <c r="T371" s="19"/>
      <c r="U371" s="21" t="s">
        <v>44</v>
      </c>
      <c r="V371" s="22"/>
      <c r="W371" s="22"/>
      <c r="X371" s="23"/>
      <c r="Y371" s="21" t="s">
        <v>48</v>
      </c>
      <c r="Z371" s="23"/>
      <c r="AA371" s="19"/>
      <c r="AB371" s="19"/>
      <c r="AC371" s="19"/>
      <c r="AD371" s="19"/>
      <c r="AE371" s="19"/>
      <c r="AF371" s="19"/>
      <c r="AG371" s="19"/>
      <c r="AH371" s="21" t="s">
        <v>123</v>
      </c>
      <c r="AI371" s="23"/>
      <c r="AJ371" s="16" t="s">
        <v>124</v>
      </c>
      <c r="AK371" s="16" t="s">
        <v>153</v>
      </c>
      <c r="AL371" s="16" t="s">
        <v>126</v>
      </c>
      <c r="AM371" s="16" t="s">
        <v>126</v>
      </c>
      <c r="AN371" s="16" t="s">
        <v>126</v>
      </c>
      <c r="AO371" s="16" t="s">
        <v>126</v>
      </c>
      <c r="AP371" s="16" t="s">
        <v>126</v>
      </c>
      <c r="AQ371" s="16" t="s">
        <v>126</v>
      </c>
      <c r="AR371" s="16" t="s">
        <v>126</v>
      </c>
      <c r="AS371" s="19"/>
      <c r="AT371" s="19"/>
      <c r="AU371" s="21" t="s">
        <v>67</v>
      </c>
      <c r="AV371" s="22"/>
      <c r="AW371" s="23"/>
      <c r="AX371" s="19"/>
      <c r="AY371" s="19"/>
      <c r="AZ371" s="19"/>
      <c r="BA371" s="19"/>
      <c r="BB371" s="19"/>
      <c r="BC371" s="19"/>
      <c r="BD371" s="19"/>
      <c r="BE371" s="21" t="s">
        <v>77</v>
      </c>
      <c r="BF371" s="22"/>
      <c r="BG371" s="22"/>
      <c r="BH371" s="23"/>
      <c r="BI371" s="19"/>
      <c r="BJ371" s="19"/>
      <c r="BK371" s="19"/>
      <c r="BL371" s="21" t="s">
        <v>82</v>
      </c>
      <c r="BM371" s="23"/>
      <c r="BN371" s="19"/>
      <c r="BO371" s="19"/>
      <c r="BP371" s="19"/>
      <c r="BQ371" s="19"/>
      <c r="BR371" s="19"/>
      <c r="BS371" s="19"/>
      <c r="BT371" s="19"/>
      <c r="BU371" s="19"/>
      <c r="BV371" s="16" t="s">
        <v>91</v>
      </c>
      <c r="BW371" s="19"/>
      <c r="BX371" s="19"/>
      <c r="BY371" s="19"/>
      <c r="BZ371" s="19"/>
      <c r="CA371" s="19"/>
      <c r="CB371" s="19"/>
      <c r="CC371" s="19"/>
      <c r="CD371" s="19"/>
      <c r="CE371" s="21" t="s">
        <v>99</v>
      </c>
      <c r="CF371" s="23"/>
      <c r="CG371" s="16" t="s">
        <v>128</v>
      </c>
      <c r="CH371" s="19"/>
      <c r="CI371" s="19"/>
      <c r="CJ371" s="19"/>
      <c r="CK371" s="21" t="s">
        <v>103</v>
      </c>
      <c r="CL371" s="23"/>
      <c r="CM371" s="19"/>
      <c r="CN371" s="16" t="s">
        <v>128</v>
      </c>
      <c r="CO371" s="19"/>
      <c r="CP371" s="19"/>
      <c r="CQ371" s="16" t="s">
        <v>107</v>
      </c>
      <c r="CR371" s="21" t="s">
        <v>108</v>
      </c>
      <c r="CS371" s="23"/>
      <c r="CT371" s="19"/>
      <c r="CU371" s="19"/>
      <c r="CV371" s="16" t="s">
        <v>128</v>
      </c>
      <c r="CW371" s="21" t="s">
        <v>111</v>
      </c>
      <c r="CX371" s="22"/>
      <c r="CY371" s="23"/>
      <c r="CZ371" s="19"/>
      <c r="DA371" s="19"/>
      <c r="DB371" s="19"/>
      <c r="DC371" s="16" t="s">
        <v>129</v>
      </c>
      <c r="DD371" s="16" t="s">
        <v>129</v>
      </c>
      <c r="DE371" s="16" t="s">
        <v>129</v>
      </c>
      <c r="DF371" s="16" t="s">
        <v>129</v>
      </c>
      <c r="DG371" s="16" t="s">
        <v>1939</v>
      </c>
      <c r="DH371" s="19"/>
      <c r="DI371" s="19"/>
      <c r="DJ371" s="21" t="s">
        <v>1940</v>
      </c>
      <c r="DK371" s="23"/>
      <c r="DL371" s="19"/>
      <c r="DM371" s="21" t="s">
        <v>1941</v>
      </c>
      <c r="DN371" s="23"/>
      <c r="DO371" s="19"/>
    </row>
    <row r="372">
      <c r="A372" s="15">
        <v>370.0</v>
      </c>
      <c r="B372" s="16" t="s">
        <v>1942</v>
      </c>
      <c r="C372" s="17">
        <v>3.1304022602729E13</v>
      </c>
      <c r="D372" s="18">
        <v>83.0</v>
      </c>
      <c r="E372" s="16" t="s">
        <v>1937</v>
      </c>
      <c r="F372" s="16" t="s">
        <v>1943</v>
      </c>
      <c r="G372" s="16" t="s">
        <v>1875</v>
      </c>
      <c r="H372" s="20">
        <v>42125.0</v>
      </c>
      <c r="I372" s="16"/>
      <c r="J372" s="18">
        <v>1.0</v>
      </c>
      <c r="K372" s="19"/>
      <c r="L372" s="16" t="s">
        <v>138</v>
      </c>
      <c r="M372" s="21" t="s">
        <v>36</v>
      </c>
      <c r="N372" s="22"/>
      <c r="O372" s="22"/>
      <c r="P372" s="23"/>
      <c r="Q372" s="19"/>
      <c r="R372" s="19"/>
      <c r="S372" s="19"/>
      <c r="T372" s="19"/>
      <c r="U372" s="19"/>
      <c r="V372" s="19"/>
      <c r="W372" s="16" t="s">
        <v>46</v>
      </c>
      <c r="X372" s="16" t="s">
        <v>47</v>
      </c>
      <c r="Y372" s="21" t="s">
        <v>48</v>
      </c>
      <c r="Z372" s="23"/>
      <c r="AA372" s="16" t="s">
        <v>50</v>
      </c>
      <c r="AB372" s="19"/>
      <c r="AC372" s="21" t="s">
        <v>52</v>
      </c>
      <c r="AD372" s="23"/>
      <c r="AE372" s="19"/>
      <c r="AF372" s="21" t="s">
        <v>55</v>
      </c>
      <c r="AG372" s="23"/>
      <c r="AH372" s="21" t="s">
        <v>123</v>
      </c>
      <c r="AI372" s="23"/>
      <c r="AJ372" s="16" t="s">
        <v>168</v>
      </c>
      <c r="AK372" s="16" t="s">
        <v>153</v>
      </c>
      <c r="AL372" s="16" t="s">
        <v>126</v>
      </c>
      <c r="AM372" s="16" t="s">
        <v>126</v>
      </c>
      <c r="AN372" s="16" t="s">
        <v>126</v>
      </c>
      <c r="AO372" s="16" t="s">
        <v>181</v>
      </c>
      <c r="AP372" s="16" t="s">
        <v>126</v>
      </c>
      <c r="AQ372" s="16" t="s">
        <v>181</v>
      </c>
      <c r="AR372" s="16" t="s">
        <v>181</v>
      </c>
      <c r="AS372" s="21" t="s">
        <v>65</v>
      </c>
      <c r="AT372" s="23"/>
      <c r="AU372" s="16" t="s">
        <v>67</v>
      </c>
      <c r="AV372" s="21" t="s">
        <v>68</v>
      </c>
      <c r="AW372" s="22"/>
      <c r="AX372" s="23"/>
      <c r="AY372" s="21" t="s">
        <v>71</v>
      </c>
      <c r="AZ372" s="22"/>
      <c r="BA372" s="23"/>
      <c r="BB372" s="19"/>
      <c r="BC372" s="19"/>
      <c r="BD372" s="16" t="s">
        <v>76</v>
      </c>
      <c r="BE372" s="21" t="s">
        <v>77</v>
      </c>
      <c r="BF372" s="23"/>
      <c r="BG372" s="21" t="s">
        <v>78</v>
      </c>
      <c r="BH372" s="23"/>
      <c r="BI372" s="21" t="s">
        <v>52</v>
      </c>
      <c r="BJ372" s="23"/>
      <c r="BK372" s="16" t="s">
        <v>81</v>
      </c>
      <c r="BL372" s="16" t="s">
        <v>82</v>
      </c>
      <c r="BM372" s="16" t="s">
        <v>83</v>
      </c>
      <c r="BN372" s="16" t="s">
        <v>84</v>
      </c>
      <c r="BO372" s="21" t="s">
        <v>85</v>
      </c>
      <c r="BP372" s="22"/>
      <c r="BQ372" s="22"/>
      <c r="BR372" s="23"/>
      <c r="BS372" s="16" t="s">
        <v>88</v>
      </c>
      <c r="BT372" s="16" t="s">
        <v>89</v>
      </c>
      <c r="BU372" s="16" t="s">
        <v>90</v>
      </c>
      <c r="BV372" s="16" t="s">
        <v>91</v>
      </c>
      <c r="BW372" s="21" t="s">
        <v>92</v>
      </c>
      <c r="BX372" s="22"/>
      <c r="BY372" s="23"/>
      <c r="BZ372" s="19"/>
      <c r="CA372" s="19"/>
      <c r="CB372" s="19"/>
      <c r="CC372" s="19"/>
      <c r="CD372" s="21" t="s">
        <v>98</v>
      </c>
      <c r="CE372" s="23"/>
      <c r="CF372" s="19"/>
      <c r="CG372" s="16" t="s">
        <v>128</v>
      </c>
      <c r="CH372" s="16" t="s">
        <v>100</v>
      </c>
      <c r="CI372" s="16" t="s">
        <v>101</v>
      </c>
      <c r="CJ372" s="16" t="s">
        <v>102</v>
      </c>
      <c r="CK372" s="16" t="s">
        <v>103</v>
      </c>
      <c r="CL372" s="21" t="s">
        <v>104</v>
      </c>
      <c r="CM372" s="23"/>
      <c r="CN372" s="16" t="s">
        <v>128</v>
      </c>
      <c r="CO372" s="16" t="s">
        <v>105</v>
      </c>
      <c r="CP372" s="16" t="s">
        <v>106</v>
      </c>
      <c r="CQ372" s="16" t="s">
        <v>107</v>
      </c>
      <c r="CR372" s="16" t="s">
        <v>108</v>
      </c>
      <c r="CS372" s="16" t="s">
        <v>109</v>
      </c>
      <c r="CT372" s="21" t="s">
        <v>110</v>
      </c>
      <c r="CU372" s="23"/>
      <c r="CV372" s="16" t="s">
        <v>128</v>
      </c>
      <c r="CW372" s="16" t="s">
        <v>111</v>
      </c>
      <c r="CX372" s="21" t="s">
        <v>112</v>
      </c>
      <c r="CY372" s="23"/>
      <c r="CZ372" s="16" t="s">
        <v>114</v>
      </c>
      <c r="DA372" s="21" t="s">
        <v>115</v>
      </c>
      <c r="DB372" s="23"/>
      <c r="DC372" s="16" t="s">
        <v>129</v>
      </c>
      <c r="DD372" s="16" t="s">
        <v>129</v>
      </c>
      <c r="DE372" s="16" t="s">
        <v>129</v>
      </c>
      <c r="DF372" s="16" t="s">
        <v>129</v>
      </c>
      <c r="DG372" s="16" t="s">
        <v>1944</v>
      </c>
      <c r="DH372" s="21" t="s">
        <v>1945</v>
      </c>
      <c r="DI372" s="23"/>
      <c r="DJ372" s="16" t="s">
        <v>1946</v>
      </c>
      <c r="DK372" s="21" t="s">
        <v>1947</v>
      </c>
      <c r="DL372" s="23"/>
      <c r="DM372" s="21" t="s">
        <v>1948</v>
      </c>
      <c r="DN372" s="22"/>
      <c r="DO372" s="23"/>
    </row>
    <row r="373">
      <c r="A373" s="15">
        <v>371.0</v>
      </c>
      <c r="B373" s="16" t="s">
        <v>1949</v>
      </c>
      <c r="C373" s="26">
        <v>3.1501012664556E13</v>
      </c>
      <c r="D373" s="18">
        <v>76.0</v>
      </c>
      <c r="E373" s="16" t="s">
        <v>1926</v>
      </c>
      <c r="F373" s="16" t="s">
        <v>1943</v>
      </c>
      <c r="G373" s="16" t="s">
        <v>1875</v>
      </c>
      <c r="H373" s="25">
        <v>41238.0</v>
      </c>
      <c r="I373" s="18">
        <v>1.0</v>
      </c>
      <c r="J373" s="19"/>
      <c r="K373" s="16" t="s">
        <v>1950</v>
      </c>
      <c r="L373" s="16" t="s">
        <v>138</v>
      </c>
      <c r="M373" s="21" t="s">
        <v>36</v>
      </c>
      <c r="N373" s="22"/>
      <c r="O373" s="22"/>
      <c r="P373" s="23"/>
      <c r="Q373" s="19"/>
      <c r="R373" s="19"/>
      <c r="S373" s="19"/>
      <c r="T373" s="19"/>
      <c r="U373" s="19"/>
      <c r="V373" s="19"/>
      <c r="W373" s="16" t="s">
        <v>46</v>
      </c>
      <c r="X373" s="19"/>
      <c r="Y373" s="19"/>
      <c r="Z373" s="19"/>
      <c r="AA373" s="16" t="s">
        <v>50</v>
      </c>
      <c r="AB373" s="16" t="s">
        <v>51</v>
      </c>
      <c r="AC373" s="16" t="s">
        <v>52</v>
      </c>
      <c r="AD373" s="16" t="s">
        <v>53</v>
      </c>
      <c r="AE373" s="19"/>
      <c r="AF373" s="19"/>
      <c r="AG373" s="19"/>
      <c r="AH373" s="21" t="s">
        <v>123</v>
      </c>
      <c r="AI373" s="23"/>
      <c r="AJ373" s="16" t="s">
        <v>168</v>
      </c>
      <c r="AK373" s="16" t="s">
        <v>153</v>
      </c>
      <c r="AL373" s="16" t="s">
        <v>181</v>
      </c>
      <c r="AM373" s="16" t="s">
        <v>126</v>
      </c>
      <c r="AN373" s="16" t="s">
        <v>181</v>
      </c>
      <c r="AO373" s="16" t="s">
        <v>126</v>
      </c>
      <c r="AP373" s="16" t="s">
        <v>126</v>
      </c>
      <c r="AQ373" s="16" t="s">
        <v>126</v>
      </c>
      <c r="AR373" s="16" t="s">
        <v>126</v>
      </c>
      <c r="AS373" s="21" t="s">
        <v>65</v>
      </c>
      <c r="AT373" s="22"/>
      <c r="AU373" s="23"/>
      <c r="AV373" s="19"/>
      <c r="AW373" s="21" t="s">
        <v>69</v>
      </c>
      <c r="AX373" s="22"/>
      <c r="AY373" s="23"/>
      <c r="AZ373" s="16" t="s">
        <v>1951</v>
      </c>
      <c r="BA373" s="16" t="s">
        <v>73</v>
      </c>
      <c r="BB373" s="21" t="s">
        <v>74</v>
      </c>
      <c r="BC373" s="23"/>
      <c r="BD373" s="16" t="s">
        <v>76</v>
      </c>
      <c r="BE373" s="21" t="s">
        <v>77</v>
      </c>
      <c r="BF373" s="23"/>
      <c r="BG373" s="21" t="s">
        <v>78</v>
      </c>
      <c r="BH373" s="23"/>
      <c r="BI373" s="21" t="s">
        <v>52</v>
      </c>
      <c r="BJ373" s="23"/>
      <c r="BK373" s="16" t="s">
        <v>81</v>
      </c>
      <c r="BL373" s="19"/>
      <c r="BM373" s="19"/>
      <c r="BN373" s="16" t="s">
        <v>84</v>
      </c>
      <c r="BO373" s="21" t="s">
        <v>85</v>
      </c>
      <c r="BP373" s="22"/>
      <c r="BQ373" s="23"/>
      <c r="BR373" s="16" t="s">
        <v>87</v>
      </c>
      <c r="BS373" s="16" t="s">
        <v>88</v>
      </c>
      <c r="BT373" s="16" t="s">
        <v>89</v>
      </c>
      <c r="BU373" s="21" t="s">
        <v>90</v>
      </c>
      <c r="BV373" s="23"/>
      <c r="BW373" s="21" t="s">
        <v>92</v>
      </c>
      <c r="BX373" s="22"/>
      <c r="BY373" s="23"/>
      <c r="BZ373" s="19"/>
      <c r="CA373" s="19"/>
      <c r="CB373" s="21" t="s">
        <v>96</v>
      </c>
      <c r="CC373" s="23"/>
      <c r="CD373" s="19"/>
      <c r="CE373" s="19"/>
      <c r="CF373" s="19"/>
      <c r="CG373" s="16" t="s">
        <v>128</v>
      </c>
      <c r="CH373" s="16" t="s">
        <v>100</v>
      </c>
      <c r="CI373" s="16" t="s">
        <v>101</v>
      </c>
      <c r="CJ373" s="21" t="s">
        <v>102</v>
      </c>
      <c r="CK373" s="23"/>
      <c r="CL373" s="21" t="s">
        <v>104</v>
      </c>
      <c r="CM373" s="23"/>
      <c r="CN373" s="16" t="s">
        <v>128</v>
      </c>
      <c r="CO373" s="16" t="s">
        <v>105</v>
      </c>
      <c r="CP373" s="16" t="s">
        <v>106</v>
      </c>
      <c r="CQ373" s="16" t="s">
        <v>107</v>
      </c>
      <c r="CR373" s="16" t="s">
        <v>108</v>
      </c>
      <c r="CS373" s="16" t="s">
        <v>109</v>
      </c>
      <c r="CT373" s="21" t="s">
        <v>110</v>
      </c>
      <c r="CU373" s="23"/>
      <c r="CV373" s="16" t="s">
        <v>128</v>
      </c>
      <c r="CW373" s="19"/>
      <c r="CX373" s="16" t="s">
        <v>112</v>
      </c>
      <c r="CY373" s="16" t="s">
        <v>113</v>
      </c>
      <c r="CZ373" s="21" t="s">
        <v>114</v>
      </c>
      <c r="DA373" s="22"/>
      <c r="DB373" s="23"/>
      <c r="DC373" s="16" t="s">
        <v>129</v>
      </c>
      <c r="DD373" s="16" t="s">
        <v>129</v>
      </c>
      <c r="DE373" s="16" t="s">
        <v>129</v>
      </c>
      <c r="DF373" s="16" t="s">
        <v>129</v>
      </c>
      <c r="DG373" s="16" t="s">
        <v>1952</v>
      </c>
      <c r="DH373" s="16" t="s">
        <v>1953</v>
      </c>
      <c r="DI373" s="16" t="s">
        <v>1954</v>
      </c>
      <c r="DJ373" s="16" t="s">
        <v>1955</v>
      </c>
      <c r="DK373" s="21" t="s">
        <v>1956</v>
      </c>
      <c r="DL373" s="23"/>
      <c r="DM373" s="16" t="s">
        <v>1957</v>
      </c>
      <c r="DN373" s="21" t="s">
        <v>1958</v>
      </c>
      <c r="DO373" s="23"/>
    </row>
    <row r="374">
      <c r="A374" s="15">
        <v>372.0</v>
      </c>
      <c r="B374" s="16" t="s">
        <v>1959</v>
      </c>
      <c r="C374" s="26">
        <v>3.1507021267253E13</v>
      </c>
      <c r="D374" s="18">
        <v>137.0</v>
      </c>
      <c r="E374" s="16" t="s">
        <v>1894</v>
      </c>
      <c r="F374" s="16" t="s">
        <v>1895</v>
      </c>
      <c r="G374" s="16" t="s">
        <v>1875</v>
      </c>
      <c r="H374" s="20">
        <v>45859.0</v>
      </c>
      <c r="I374" s="18">
        <v>1.0</v>
      </c>
      <c r="J374" s="19"/>
      <c r="K374" s="16" t="s">
        <v>1960</v>
      </c>
      <c r="L374" s="21" t="s">
        <v>138</v>
      </c>
      <c r="M374" s="23"/>
      <c r="N374" s="19"/>
      <c r="O374" s="19"/>
      <c r="P374" s="19"/>
      <c r="Q374" s="19"/>
      <c r="R374" s="19"/>
      <c r="S374" s="19"/>
      <c r="T374" s="19"/>
      <c r="U374" s="19"/>
      <c r="V374" s="16" t="s">
        <v>1961</v>
      </c>
      <c r="W374" s="19"/>
      <c r="X374" s="21" t="s">
        <v>47</v>
      </c>
      <c r="Y374" s="23"/>
      <c r="Z374" s="16" t="s">
        <v>49</v>
      </c>
      <c r="AA374" s="19"/>
      <c r="AB374" s="19"/>
      <c r="AC374" s="19"/>
      <c r="AD374" s="19"/>
      <c r="AE374" s="19"/>
      <c r="AF374" s="19"/>
      <c r="AG374" s="19"/>
      <c r="AH374" s="19"/>
      <c r="AI374" s="19"/>
      <c r="AJ374" s="16" t="s">
        <v>168</v>
      </c>
      <c r="AK374" s="16" t="s">
        <v>153</v>
      </c>
      <c r="AL374" s="16" t="s">
        <v>181</v>
      </c>
      <c r="AM374" s="16" t="s">
        <v>181</v>
      </c>
      <c r="AN374" s="16" t="s">
        <v>181</v>
      </c>
      <c r="AO374" s="16" t="s">
        <v>181</v>
      </c>
      <c r="AP374" s="16" t="s">
        <v>181</v>
      </c>
      <c r="AQ374" s="16" t="s">
        <v>181</v>
      </c>
      <c r="AR374" s="16" t="s">
        <v>181</v>
      </c>
      <c r="AS374" s="19"/>
      <c r="AT374" s="19"/>
      <c r="AU374" s="19"/>
      <c r="AV374" s="19"/>
      <c r="AW374" s="19"/>
      <c r="AX374" s="19"/>
      <c r="AY374" s="19"/>
      <c r="AZ374" s="21" t="s">
        <v>1962</v>
      </c>
      <c r="BA374" s="22"/>
      <c r="BB374" s="22"/>
      <c r="BC374" s="22"/>
      <c r="BD374" s="23"/>
      <c r="BE374" s="19"/>
      <c r="BF374" s="16" t="s">
        <v>144</v>
      </c>
      <c r="BG374" s="21" t="s">
        <v>78</v>
      </c>
      <c r="BH374" s="23"/>
      <c r="BI374" s="19"/>
      <c r="BJ374" s="21" t="s">
        <v>80</v>
      </c>
      <c r="BK374" s="23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6" t="s">
        <v>262</v>
      </c>
      <c r="BY374" s="19"/>
      <c r="BZ374" s="19"/>
      <c r="CA374" s="19"/>
      <c r="CB374" s="19"/>
      <c r="CC374" s="19"/>
      <c r="CD374" s="19"/>
      <c r="CE374" s="19"/>
      <c r="CF374" s="16" t="s">
        <v>144</v>
      </c>
      <c r="CG374" s="16" t="s">
        <v>128</v>
      </c>
      <c r="CH374" s="19"/>
      <c r="CI374" s="19"/>
      <c r="CJ374" s="19"/>
      <c r="CK374" s="19"/>
      <c r="CL374" s="19"/>
      <c r="CM374" s="16" t="s">
        <v>1963</v>
      </c>
      <c r="CN374" s="16" t="s">
        <v>128</v>
      </c>
      <c r="CO374" s="16" t="s">
        <v>105</v>
      </c>
      <c r="CP374" s="16" t="s">
        <v>106</v>
      </c>
      <c r="CQ374" s="16" t="s">
        <v>107</v>
      </c>
      <c r="CR374" s="16" t="s">
        <v>108</v>
      </c>
      <c r="CS374" s="16" t="s">
        <v>109</v>
      </c>
      <c r="CT374" s="21" t="s">
        <v>110</v>
      </c>
      <c r="CU374" s="23"/>
      <c r="CV374" s="16" t="s">
        <v>128</v>
      </c>
      <c r="CW374" s="19"/>
      <c r="CX374" s="21" t="s">
        <v>112</v>
      </c>
      <c r="CY374" s="23"/>
      <c r="CZ374" s="16" t="s">
        <v>114</v>
      </c>
      <c r="DA374" s="21" t="s">
        <v>115</v>
      </c>
      <c r="DB374" s="23"/>
      <c r="DC374" s="16" t="s">
        <v>145</v>
      </c>
      <c r="DD374" s="16" t="s">
        <v>129</v>
      </c>
      <c r="DE374" s="16" t="s">
        <v>129</v>
      </c>
      <c r="DF374" s="16" t="s">
        <v>129</v>
      </c>
      <c r="DG374" s="16" t="s">
        <v>1964</v>
      </c>
      <c r="DH374" s="21" t="s">
        <v>1965</v>
      </c>
      <c r="DI374" s="23"/>
      <c r="DJ374" s="19"/>
      <c r="DK374" s="19"/>
      <c r="DL374" s="19"/>
      <c r="DM374" s="16" t="s">
        <v>144</v>
      </c>
      <c r="DN374" s="19"/>
      <c r="DO374" s="19"/>
    </row>
    <row r="375">
      <c r="A375" s="15">
        <v>373.0</v>
      </c>
      <c r="B375" s="16" t="s">
        <v>1966</v>
      </c>
      <c r="C375" s="17">
        <v>3.1901012617807E13</v>
      </c>
      <c r="D375" s="18">
        <v>134.0</v>
      </c>
      <c r="E375" s="16" t="s">
        <v>1967</v>
      </c>
      <c r="F375" s="16" t="s">
        <v>1875</v>
      </c>
      <c r="G375" s="16" t="s">
        <v>1875</v>
      </c>
      <c r="H375" s="20">
        <v>43466.0</v>
      </c>
      <c r="I375" s="16"/>
      <c r="J375" s="18">
        <v>1.0</v>
      </c>
      <c r="K375" s="16" t="s">
        <v>1968</v>
      </c>
      <c r="L375" s="16" t="s">
        <v>138</v>
      </c>
      <c r="M375" s="21" t="s">
        <v>36</v>
      </c>
      <c r="N375" s="22"/>
      <c r="O375" s="22"/>
      <c r="P375" s="23"/>
      <c r="Q375" s="21" t="s">
        <v>40</v>
      </c>
      <c r="R375" s="22"/>
      <c r="S375" s="22"/>
      <c r="T375" s="22"/>
      <c r="U375" s="23"/>
      <c r="V375" s="19"/>
      <c r="W375" s="16" t="s">
        <v>46</v>
      </c>
      <c r="X375" s="21" t="s">
        <v>47</v>
      </c>
      <c r="Y375" s="23"/>
      <c r="Z375" s="19"/>
      <c r="AA375" s="16" t="s">
        <v>50</v>
      </c>
      <c r="AB375" s="19"/>
      <c r="AC375" s="21" t="s">
        <v>52</v>
      </c>
      <c r="AD375" s="23"/>
      <c r="AE375" s="19"/>
      <c r="AF375" s="19"/>
      <c r="AG375" s="19"/>
      <c r="AH375" s="21" t="s">
        <v>123</v>
      </c>
      <c r="AI375" s="23"/>
      <c r="AJ375" s="16" t="s">
        <v>168</v>
      </c>
      <c r="AK375" s="16" t="s">
        <v>153</v>
      </c>
      <c r="AL375" s="16" t="s">
        <v>181</v>
      </c>
      <c r="AM375" s="16" t="s">
        <v>181</v>
      </c>
      <c r="AN375" s="16" t="s">
        <v>181</v>
      </c>
      <c r="AO375" s="16" t="s">
        <v>181</v>
      </c>
      <c r="AP375" s="16" t="s">
        <v>181</v>
      </c>
      <c r="AQ375" s="16" t="s">
        <v>181</v>
      </c>
      <c r="AR375" s="16" t="s">
        <v>181</v>
      </c>
      <c r="AS375" s="21" t="s">
        <v>65</v>
      </c>
      <c r="AT375" s="22"/>
      <c r="AU375" s="23"/>
      <c r="AV375" s="19"/>
      <c r="AW375" s="19"/>
      <c r="AX375" s="19"/>
      <c r="AY375" s="19"/>
      <c r="AZ375" s="19"/>
      <c r="BA375" s="21" t="s">
        <v>73</v>
      </c>
      <c r="BB375" s="23"/>
      <c r="BC375" s="19"/>
      <c r="BD375" s="19"/>
      <c r="BE375" s="19"/>
      <c r="BF375" s="19"/>
      <c r="BG375" s="21" t="s">
        <v>78</v>
      </c>
      <c r="BH375" s="23"/>
      <c r="BI375" s="21" t="s">
        <v>52</v>
      </c>
      <c r="BJ375" s="23"/>
      <c r="BK375" s="16" t="s">
        <v>81</v>
      </c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21" t="s">
        <v>92</v>
      </c>
      <c r="BX375" s="22"/>
      <c r="BY375" s="23"/>
      <c r="BZ375" s="19"/>
      <c r="CA375" s="19"/>
      <c r="CB375" s="19"/>
      <c r="CC375" s="21" t="s">
        <v>97</v>
      </c>
      <c r="CD375" s="23"/>
      <c r="CE375" s="19"/>
      <c r="CF375" s="19"/>
      <c r="CG375" s="16" t="s">
        <v>128</v>
      </c>
      <c r="CH375" s="19"/>
      <c r="CI375" s="19"/>
      <c r="CJ375" s="19"/>
      <c r="CK375" s="19"/>
      <c r="CL375" s="21" t="s">
        <v>104</v>
      </c>
      <c r="CM375" s="23"/>
      <c r="CN375" s="16" t="s">
        <v>128</v>
      </c>
      <c r="CO375" s="16" t="s">
        <v>105</v>
      </c>
      <c r="CP375" s="16" t="s">
        <v>106</v>
      </c>
      <c r="CQ375" s="16" t="s">
        <v>107</v>
      </c>
      <c r="CR375" s="16" t="s">
        <v>108</v>
      </c>
      <c r="CS375" s="16" t="s">
        <v>109</v>
      </c>
      <c r="CT375" s="21" t="s">
        <v>110</v>
      </c>
      <c r="CU375" s="23"/>
      <c r="CV375" s="16" t="s">
        <v>128</v>
      </c>
      <c r="CW375" s="19"/>
      <c r="CX375" s="21" t="s">
        <v>112</v>
      </c>
      <c r="CY375" s="23"/>
      <c r="CZ375" s="16" t="s">
        <v>114</v>
      </c>
      <c r="DA375" s="21" t="s">
        <v>115</v>
      </c>
      <c r="DB375" s="23"/>
      <c r="DC375" s="16" t="s">
        <v>129</v>
      </c>
      <c r="DD375" s="16" t="s">
        <v>129</v>
      </c>
      <c r="DE375" s="16" t="s">
        <v>129</v>
      </c>
      <c r="DF375" s="16" t="s">
        <v>129</v>
      </c>
      <c r="DG375" s="21" t="s">
        <v>1969</v>
      </c>
      <c r="DH375" s="22"/>
      <c r="DI375" s="23"/>
      <c r="DJ375" s="21" t="s">
        <v>1934</v>
      </c>
      <c r="DK375" s="23"/>
      <c r="DL375" s="19"/>
      <c r="DM375" s="21" t="s">
        <v>1970</v>
      </c>
      <c r="DN375" s="23"/>
      <c r="DO375" s="19"/>
    </row>
    <row r="376" ht="15.75" customHeight="1">
      <c r="A376" s="15">
        <v>374.0</v>
      </c>
      <c r="B376" s="16" t="s">
        <v>1971</v>
      </c>
      <c r="C376" s="17">
        <v>3.0155212603174E13</v>
      </c>
      <c r="D376" s="18">
        <v>124.0</v>
      </c>
      <c r="E376" s="16" t="s">
        <v>1926</v>
      </c>
      <c r="F376" s="16" t="s">
        <v>1875</v>
      </c>
      <c r="G376" s="16" t="s">
        <v>1875</v>
      </c>
      <c r="H376" s="20">
        <v>42145.0</v>
      </c>
      <c r="I376" s="18">
        <v>1.0</v>
      </c>
      <c r="J376" s="19"/>
      <c r="K376" s="16" t="s">
        <v>1972</v>
      </c>
      <c r="L376" s="21" t="s">
        <v>138</v>
      </c>
      <c r="M376" s="23"/>
      <c r="N376" s="19"/>
      <c r="O376" s="19"/>
      <c r="P376" s="19"/>
      <c r="Q376" s="21" t="s">
        <v>40</v>
      </c>
      <c r="R376" s="22"/>
      <c r="S376" s="22"/>
      <c r="T376" s="22"/>
      <c r="U376" s="23"/>
      <c r="V376" s="19"/>
      <c r="W376" s="16" t="s">
        <v>46</v>
      </c>
      <c r="X376" s="21" t="s">
        <v>47</v>
      </c>
      <c r="Y376" s="23"/>
      <c r="Z376" s="19"/>
      <c r="AA376" s="16" t="s">
        <v>50</v>
      </c>
      <c r="AB376" s="19"/>
      <c r="AC376" s="19"/>
      <c r="AD376" s="19"/>
      <c r="AE376" s="19"/>
      <c r="AF376" s="19"/>
      <c r="AG376" s="19"/>
      <c r="AH376" s="21" t="s">
        <v>123</v>
      </c>
      <c r="AI376" s="23"/>
      <c r="AJ376" s="16" t="s">
        <v>168</v>
      </c>
      <c r="AK376" s="16" t="s">
        <v>153</v>
      </c>
      <c r="AL376" s="16" t="s">
        <v>126</v>
      </c>
      <c r="AM376" s="16" t="s">
        <v>126</v>
      </c>
      <c r="AN376" s="16" t="s">
        <v>126</v>
      </c>
      <c r="AO376" s="16" t="s">
        <v>126</v>
      </c>
      <c r="AP376" s="16" t="s">
        <v>126</v>
      </c>
      <c r="AQ376" s="16" t="s">
        <v>126</v>
      </c>
      <c r="AR376" s="16" t="s">
        <v>126</v>
      </c>
      <c r="AS376" s="21" t="s">
        <v>65</v>
      </c>
      <c r="AT376" s="22"/>
      <c r="AU376" s="23"/>
      <c r="AV376" s="19"/>
      <c r="AW376" s="19"/>
      <c r="AX376" s="19"/>
      <c r="AY376" s="21" t="s">
        <v>71</v>
      </c>
      <c r="AZ376" s="22"/>
      <c r="BA376" s="23"/>
      <c r="BB376" s="19"/>
      <c r="BC376" s="19"/>
      <c r="BD376" s="19"/>
      <c r="BE376" s="21" t="s">
        <v>77</v>
      </c>
      <c r="BF376" s="23"/>
      <c r="BG376" s="16" t="s">
        <v>78</v>
      </c>
      <c r="BH376" s="21" t="s">
        <v>79</v>
      </c>
      <c r="BI376" s="23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21" t="s">
        <v>92</v>
      </c>
      <c r="BX376" s="22"/>
      <c r="BY376" s="23"/>
      <c r="BZ376" s="19"/>
      <c r="CA376" s="19"/>
      <c r="CB376" s="19"/>
      <c r="CC376" s="19"/>
      <c r="CD376" s="19"/>
      <c r="CE376" s="21" t="s">
        <v>99</v>
      </c>
      <c r="CF376" s="23"/>
      <c r="CG376" s="16" t="s">
        <v>128</v>
      </c>
      <c r="CH376" s="21" t="s">
        <v>100</v>
      </c>
      <c r="CI376" s="23"/>
      <c r="CJ376" s="19"/>
      <c r="CK376" s="19"/>
      <c r="CL376" s="21" t="s">
        <v>104</v>
      </c>
      <c r="CM376" s="23"/>
      <c r="CN376" s="16" t="s">
        <v>128</v>
      </c>
      <c r="CO376" s="16" t="s">
        <v>105</v>
      </c>
      <c r="CP376" s="16" t="s">
        <v>106</v>
      </c>
      <c r="CQ376" s="16" t="s">
        <v>107</v>
      </c>
      <c r="CR376" s="16" t="s">
        <v>108</v>
      </c>
      <c r="CS376" s="16" t="s">
        <v>109</v>
      </c>
      <c r="CT376" s="21" t="s">
        <v>110</v>
      </c>
      <c r="CU376" s="23"/>
      <c r="CV376" s="16" t="s">
        <v>128</v>
      </c>
      <c r="CW376" s="21" t="s">
        <v>111</v>
      </c>
      <c r="CX376" s="22"/>
      <c r="CY376" s="23"/>
      <c r="CZ376" s="16" t="s">
        <v>114</v>
      </c>
      <c r="DA376" s="21" t="s">
        <v>115</v>
      </c>
      <c r="DB376" s="23"/>
      <c r="DC376" s="16" t="s">
        <v>129</v>
      </c>
      <c r="DD376" s="16" t="s">
        <v>129</v>
      </c>
      <c r="DE376" s="16" t="s">
        <v>129</v>
      </c>
      <c r="DF376" s="16" t="s">
        <v>129</v>
      </c>
      <c r="DG376" s="21" t="s">
        <v>1973</v>
      </c>
      <c r="DH376" s="22"/>
      <c r="DI376" s="23"/>
      <c r="DJ376" s="21" t="s">
        <v>1974</v>
      </c>
      <c r="DK376" s="23"/>
      <c r="DL376" s="19"/>
      <c r="DM376" s="21" t="s">
        <v>1975</v>
      </c>
      <c r="DN376" s="23"/>
      <c r="DO376" s="19"/>
    </row>
    <row r="377" ht="15.75" customHeight="1">
      <c r="A377" s="15">
        <v>375.0</v>
      </c>
      <c r="B377" s="16" t="s">
        <v>1976</v>
      </c>
      <c r="C377" s="17">
        <v>2.9604012603161E13</v>
      </c>
      <c r="D377" s="18">
        <v>42.0</v>
      </c>
      <c r="E377" s="16" t="s">
        <v>1902</v>
      </c>
      <c r="F377" s="16" t="s">
        <v>1903</v>
      </c>
      <c r="G377" s="16" t="s">
        <v>1875</v>
      </c>
      <c r="H377" s="20">
        <v>35156.0</v>
      </c>
      <c r="I377" s="16"/>
      <c r="J377" s="18">
        <v>1.0</v>
      </c>
      <c r="K377" s="19"/>
      <c r="L377" s="16" t="s">
        <v>122</v>
      </c>
      <c r="M377" s="19"/>
      <c r="N377" s="21" t="s">
        <v>37</v>
      </c>
      <c r="O377" s="22"/>
      <c r="P377" s="22"/>
      <c r="Q377" s="22"/>
      <c r="R377" s="23"/>
      <c r="S377" s="19"/>
      <c r="T377" s="19"/>
      <c r="U377" s="19"/>
      <c r="V377" s="19"/>
      <c r="W377" s="19"/>
      <c r="X377" s="19"/>
      <c r="Y377" s="19"/>
      <c r="Z377" s="19"/>
      <c r="AA377" s="19"/>
      <c r="AB377" s="21" t="s">
        <v>51</v>
      </c>
      <c r="AC377" s="23"/>
      <c r="AD377" s="19"/>
      <c r="AE377" s="19"/>
      <c r="AF377" s="19"/>
      <c r="AG377" s="19"/>
      <c r="AH377" s="16" t="s">
        <v>313</v>
      </c>
      <c r="AI377" s="19"/>
      <c r="AJ377" s="16" t="s">
        <v>243</v>
      </c>
      <c r="AK377" s="16" t="s">
        <v>244</v>
      </c>
      <c r="AL377" s="16" t="s">
        <v>126</v>
      </c>
      <c r="AM377" s="16" t="s">
        <v>126</v>
      </c>
      <c r="AN377" s="16" t="s">
        <v>143</v>
      </c>
      <c r="AO377" s="16" t="s">
        <v>126</v>
      </c>
      <c r="AP377" s="16" t="s">
        <v>126</v>
      </c>
      <c r="AQ377" s="16" t="s">
        <v>181</v>
      </c>
      <c r="AR377" s="16" t="s">
        <v>181</v>
      </c>
      <c r="AS377" s="19"/>
      <c r="AT377" s="19"/>
      <c r="AU377" s="19"/>
      <c r="AV377" s="19"/>
      <c r="AW377" s="19"/>
      <c r="AX377" s="19"/>
      <c r="AY377" s="19"/>
      <c r="AZ377" s="19"/>
      <c r="BA377" s="21" t="s">
        <v>73</v>
      </c>
      <c r="BB377" s="23"/>
      <c r="BC377" s="19"/>
      <c r="BD377" s="19"/>
      <c r="BE377" s="21" t="s">
        <v>77</v>
      </c>
      <c r="BF377" s="22"/>
      <c r="BG377" s="22"/>
      <c r="BH377" s="23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21" t="s">
        <v>88</v>
      </c>
      <c r="BT377" s="23"/>
      <c r="BU377" s="19"/>
      <c r="BV377" s="19"/>
      <c r="BW377" s="19"/>
      <c r="BX377" s="19"/>
      <c r="BY377" s="19"/>
      <c r="BZ377" s="19"/>
      <c r="CA377" s="19"/>
      <c r="CB377" s="21" t="s">
        <v>96</v>
      </c>
      <c r="CC377" s="23"/>
      <c r="CD377" s="19"/>
      <c r="CE377" s="19"/>
      <c r="CF377" s="19"/>
      <c r="CG377" s="16" t="s">
        <v>128</v>
      </c>
      <c r="CH377" s="19"/>
      <c r="CI377" s="21" t="s">
        <v>101</v>
      </c>
      <c r="CJ377" s="22"/>
      <c r="CK377" s="23"/>
      <c r="CL377" s="21" t="s">
        <v>104</v>
      </c>
      <c r="CM377" s="23"/>
      <c r="CN377" s="16" t="s">
        <v>128</v>
      </c>
      <c r="CO377" s="21" t="s">
        <v>105</v>
      </c>
      <c r="CP377" s="22"/>
      <c r="CQ377" s="23"/>
      <c r="CR377" s="19"/>
      <c r="CS377" s="19"/>
      <c r="CT377" s="21" t="s">
        <v>110</v>
      </c>
      <c r="CU377" s="23"/>
      <c r="CV377" s="16" t="s">
        <v>128</v>
      </c>
      <c r="CW377" s="19"/>
      <c r="CX377" s="19"/>
      <c r="CY377" s="19"/>
      <c r="CZ377" s="19"/>
      <c r="DA377" s="21" t="s">
        <v>115</v>
      </c>
      <c r="DB377" s="22"/>
      <c r="DC377" s="22"/>
      <c r="DD377" s="23"/>
      <c r="DE377" s="16" t="s">
        <v>145</v>
      </c>
      <c r="DF377" s="19"/>
      <c r="DG377" s="21" t="s">
        <v>1917</v>
      </c>
      <c r="DH377" s="23"/>
      <c r="DI377" s="19"/>
      <c r="DJ377" s="16" t="s">
        <v>144</v>
      </c>
      <c r="DK377" s="19"/>
      <c r="DL377" s="19"/>
      <c r="DM377" s="16" t="s">
        <v>144</v>
      </c>
      <c r="DN377" s="19"/>
      <c r="DO377" s="19"/>
    </row>
    <row r="378" ht="15.75" customHeight="1">
      <c r="A378" s="15">
        <v>376.0</v>
      </c>
      <c r="B378" s="16" t="s">
        <v>1977</v>
      </c>
      <c r="C378" s="17">
        <v>2.9405042600414E13</v>
      </c>
      <c r="D378" s="18">
        <v>41.0</v>
      </c>
      <c r="E378" s="16" t="s">
        <v>1902</v>
      </c>
      <c r="F378" s="16" t="s">
        <v>1903</v>
      </c>
      <c r="G378" s="16" t="s">
        <v>1875</v>
      </c>
      <c r="H378" s="20">
        <v>34458.0</v>
      </c>
      <c r="I378" s="18">
        <v>1.0</v>
      </c>
      <c r="J378" s="19"/>
      <c r="K378" s="19"/>
      <c r="L378" s="16" t="s">
        <v>122</v>
      </c>
      <c r="M378" s="19"/>
      <c r="N378" s="21" t="s">
        <v>37</v>
      </c>
      <c r="O378" s="22"/>
      <c r="P378" s="22"/>
      <c r="Q378" s="22"/>
      <c r="R378" s="23"/>
      <c r="S378" s="19"/>
      <c r="T378" s="19"/>
      <c r="U378" s="19"/>
      <c r="V378" s="19"/>
      <c r="W378" s="19"/>
      <c r="X378" s="19"/>
      <c r="Y378" s="19"/>
      <c r="Z378" s="19"/>
      <c r="AA378" s="19"/>
      <c r="AB378" s="21" t="s">
        <v>51</v>
      </c>
      <c r="AC378" s="23"/>
      <c r="AD378" s="19"/>
      <c r="AE378" s="19"/>
      <c r="AF378" s="19"/>
      <c r="AG378" s="19"/>
      <c r="AH378" s="16" t="s">
        <v>313</v>
      </c>
      <c r="AI378" s="19"/>
      <c r="AJ378" s="16" t="s">
        <v>124</v>
      </c>
      <c r="AK378" s="16" t="s">
        <v>244</v>
      </c>
      <c r="AL378" s="16" t="s">
        <v>126</v>
      </c>
      <c r="AM378" s="16" t="s">
        <v>126</v>
      </c>
      <c r="AN378" s="16" t="s">
        <v>597</v>
      </c>
      <c r="AO378" s="16" t="s">
        <v>126</v>
      </c>
      <c r="AP378" s="16" t="s">
        <v>126</v>
      </c>
      <c r="AQ378" s="16" t="s">
        <v>126</v>
      </c>
      <c r="AR378" s="16" t="s">
        <v>126</v>
      </c>
      <c r="AS378" s="19"/>
      <c r="AT378" s="19"/>
      <c r="AU378" s="19"/>
      <c r="AV378" s="19"/>
      <c r="AW378" s="19"/>
      <c r="AX378" s="19"/>
      <c r="AY378" s="19"/>
      <c r="AZ378" s="19"/>
      <c r="BA378" s="21" t="s">
        <v>73</v>
      </c>
      <c r="BB378" s="23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21" t="s">
        <v>88</v>
      </c>
      <c r="BT378" s="23"/>
      <c r="BU378" s="19"/>
      <c r="BV378" s="19"/>
      <c r="BW378" s="19"/>
      <c r="BX378" s="19"/>
      <c r="BY378" s="19"/>
      <c r="BZ378" s="21" t="s">
        <v>94</v>
      </c>
      <c r="CA378" s="22"/>
      <c r="CB378" s="23"/>
      <c r="CC378" s="19"/>
      <c r="CD378" s="19"/>
      <c r="CE378" s="19"/>
      <c r="CF378" s="19"/>
      <c r="CG378" s="16" t="s">
        <v>128</v>
      </c>
      <c r="CH378" s="16" t="s">
        <v>100</v>
      </c>
      <c r="CI378" s="21" t="s">
        <v>101</v>
      </c>
      <c r="CJ378" s="22"/>
      <c r="CK378" s="23"/>
      <c r="CL378" s="19"/>
      <c r="CM378" s="19"/>
      <c r="CN378" s="16" t="s">
        <v>128</v>
      </c>
      <c r="CO378" s="16" t="s">
        <v>105</v>
      </c>
      <c r="CP378" s="21" t="s">
        <v>106</v>
      </c>
      <c r="CQ378" s="23"/>
      <c r="CR378" s="21" t="s">
        <v>108</v>
      </c>
      <c r="CS378" s="23"/>
      <c r="CT378" s="19"/>
      <c r="CU378" s="19"/>
      <c r="CV378" s="16" t="s">
        <v>128</v>
      </c>
      <c r="CW378" s="19"/>
      <c r="CX378" s="19"/>
      <c r="CY378" s="19"/>
      <c r="CZ378" s="16" t="s">
        <v>114</v>
      </c>
      <c r="DA378" s="21" t="s">
        <v>115</v>
      </c>
      <c r="DB378" s="22"/>
      <c r="DC378" s="22"/>
      <c r="DD378" s="23"/>
      <c r="DE378" s="16" t="s">
        <v>145</v>
      </c>
      <c r="DF378" s="19"/>
      <c r="DG378" s="21" t="s">
        <v>1978</v>
      </c>
      <c r="DH378" s="22"/>
      <c r="DI378" s="23"/>
      <c r="DJ378" s="16" t="s">
        <v>144</v>
      </c>
      <c r="DK378" s="19"/>
      <c r="DL378" s="19"/>
      <c r="DM378" s="16" t="s">
        <v>144</v>
      </c>
      <c r="DN378" s="19"/>
      <c r="DO378" s="19"/>
    </row>
    <row r="379" ht="15.75" customHeight="1">
      <c r="A379" s="15">
        <v>377.0</v>
      </c>
      <c r="B379" s="16" t="s">
        <v>1979</v>
      </c>
      <c r="C379" s="17">
        <v>2.8612142603927E13</v>
      </c>
      <c r="D379" s="18">
        <v>40.0</v>
      </c>
      <c r="E379" s="16" t="s">
        <v>1902</v>
      </c>
      <c r="F379" s="16" t="s">
        <v>1903</v>
      </c>
      <c r="G379" s="16" t="s">
        <v>1875</v>
      </c>
      <c r="H379" s="25">
        <v>31760.0</v>
      </c>
      <c r="I379" s="16"/>
      <c r="J379" s="18">
        <v>1.0</v>
      </c>
      <c r="K379" s="19"/>
      <c r="L379" s="16" t="s">
        <v>122</v>
      </c>
      <c r="M379" s="19"/>
      <c r="N379" s="21" t="s">
        <v>37</v>
      </c>
      <c r="O379" s="22"/>
      <c r="P379" s="22"/>
      <c r="Q379" s="22"/>
      <c r="R379" s="23"/>
      <c r="S379" s="19"/>
      <c r="T379" s="21" t="s">
        <v>43</v>
      </c>
      <c r="U379" s="23"/>
      <c r="V379" s="19"/>
      <c r="W379" s="19"/>
      <c r="X379" s="19"/>
      <c r="Y379" s="19"/>
      <c r="Z379" s="19"/>
      <c r="AA379" s="19"/>
      <c r="AB379" s="16" t="s">
        <v>51</v>
      </c>
      <c r="AC379" s="21" t="s">
        <v>52</v>
      </c>
      <c r="AD379" s="23"/>
      <c r="AE379" s="19"/>
      <c r="AF379" s="19"/>
      <c r="AG379" s="19"/>
      <c r="AH379" s="21" t="s">
        <v>152</v>
      </c>
      <c r="AI379" s="23"/>
      <c r="AJ379" s="16" t="s">
        <v>243</v>
      </c>
      <c r="AK379" s="16" t="s">
        <v>125</v>
      </c>
      <c r="AL379" s="16" t="s">
        <v>126</v>
      </c>
      <c r="AM379" s="16" t="s">
        <v>126</v>
      </c>
      <c r="AN379" s="16" t="s">
        <v>143</v>
      </c>
      <c r="AO379" s="16" t="s">
        <v>143</v>
      </c>
      <c r="AP379" s="16" t="s">
        <v>597</v>
      </c>
      <c r="AQ379" s="16" t="s">
        <v>181</v>
      </c>
      <c r="AR379" s="16" t="s">
        <v>126</v>
      </c>
      <c r="AS379" s="19"/>
      <c r="AT379" s="19"/>
      <c r="AU379" s="19"/>
      <c r="AV379" s="19"/>
      <c r="AW379" s="19"/>
      <c r="AX379" s="19"/>
      <c r="AY379" s="19"/>
      <c r="AZ379" s="19"/>
      <c r="BA379" s="19"/>
      <c r="BB379" s="21" t="s">
        <v>74</v>
      </c>
      <c r="BC379" s="22"/>
      <c r="BD379" s="23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21" t="s">
        <v>88</v>
      </c>
      <c r="BT379" s="23"/>
      <c r="BU379" s="19"/>
      <c r="BV379" s="19"/>
      <c r="BW379" s="19"/>
      <c r="BX379" s="19"/>
      <c r="BY379" s="19"/>
      <c r="BZ379" s="19"/>
      <c r="CA379" s="21" t="s">
        <v>95</v>
      </c>
      <c r="CB379" s="22"/>
      <c r="CC379" s="23"/>
      <c r="CD379" s="19"/>
      <c r="CE379" s="19"/>
      <c r="CF379" s="19"/>
      <c r="CG379" s="16" t="s">
        <v>158</v>
      </c>
      <c r="CH379" s="19"/>
      <c r="CI379" s="21" t="s">
        <v>101</v>
      </c>
      <c r="CJ379" s="22"/>
      <c r="CK379" s="23"/>
      <c r="CL379" s="19"/>
      <c r="CM379" s="19"/>
      <c r="CN379" s="16" t="s">
        <v>128</v>
      </c>
      <c r="CO379" s="16" t="s">
        <v>105</v>
      </c>
      <c r="CP379" s="21" t="s">
        <v>106</v>
      </c>
      <c r="CQ379" s="22"/>
      <c r="CR379" s="22"/>
      <c r="CS379" s="23"/>
      <c r="CT379" s="19"/>
      <c r="CU379" s="19"/>
      <c r="CV379" s="21" t="s">
        <v>154</v>
      </c>
      <c r="CW379" s="23"/>
      <c r="CX379" s="19"/>
      <c r="CY379" s="19"/>
      <c r="CZ379" s="19"/>
      <c r="DA379" s="21" t="s">
        <v>115</v>
      </c>
      <c r="DB379" s="22"/>
      <c r="DC379" s="22"/>
      <c r="DD379" s="23"/>
      <c r="DE379" s="19"/>
      <c r="DF379" s="19"/>
      <c r="DG379" s="21" t="s">
        <v>1980</v>
      </c>
      <c r="DH379" s="22"/>
      <c r="DI379" s="23"/>
      <c r="DJ379" s="16" t="s">
        <v>144</v>
      </c>
      <c r="DK379" s="19"/>
      <c r="DL379" s="19"/>
      <c r="DM379" s="16" t="s">
        <v>144</v>
      </c>
      <c r="DN379" s="19"/>
      <c r="DO379" s="19"/>
    </row>
    <row r="380" ht="15.75" customHeight="1">
      <c r="A380" s="15">
        <v>378.0</v>
      </c>
      <c r="B380" s="16" t="s">
        <v>1981</v>
      </c>
      <c r="C380" s="17">
        <v>3.0709012609764E13</v>
      </c>
      <c r="D380" s="18">
        <v>22.0</v>
      </c>
      <c r="E380" s="16" t="s">
        <v>1902</v>
      </c>
      <c r="F380" s="16" t="s">
        <v>1903</v>
      </c>
      <c r="G380" s="16" t="s">
        <v>1875</v>
      </c>
      <c r="H380" s="20">
        <v>39326.0</v>
      </c>
      <c r="I380" s="16"/>
      <c r="J380" s="18">
        <v>1.0</v>
      </c>
      <c r="K380" s="16" t="s">
        <v>1982</v>
      </c>
      <c r="L380" s="21" t="s">
        <v>138</v>
      </c>
      <c r="M380" s="23"/>
      <c r="N380" s="19"/>
      <c r="O380" s="19"/>
      <c r="P380" s="19"/>
      <c r="Q380" s="19"/>
      <c r="R380" s="19"/>
      <c r="S380" s="19"/>
      <c r="T380" s="19"/>
      <c r="U380" s="19"/>
      <c r="V380" s="21" t="s">
        <v>271</v>
      </c>
      <c r="W380" s="23"/>
      <c r="X380" s="19"/>
      <c r="Y380" s="19"/>
      <c r="Z380" s="16" t="s">
        <v>49</v>
      </c>
      <c r="AA380" s="19"/>
      <c r="AB380" s="21" t="s">
        <v>51</v>
      </c>
      <c r="AC380" s="23"/>
      <c r="AD380" s="19"/>
      <c r="AE380" s="16" t="s">
        <v>54</v>
      </c>
      <c r="AF380" s="21" t="s">
        <v>55</v>
      </c>
      <c r="AG380" s="23"/>
      <c r="AH380" s="21" t="s">
        <v>123</v>
      </c>
      <c r="AI380" s="23"/>
      <c r="AJ380" s="16" t="s">
        <v>124</v>
      </c>
      <c r="AK380" s="16" t="s">
        <v>125</v>
      </c>
      <c r="AL380" s="16" t="s">
        <v>181</v>
      </c>
      <c r="AM380" s="16" t="s">
        <v>126</v>
      </c>
      <c r="AN380" s="16" t="s">
        <v>126</v>
      </c>
      <c r="AO380" s="16" t="s">
        <v>126</v>
      </c>
      <c r="AP380" s="16" t="s">
        <v>126</v>
      </c>
      <c r="AQ380" s="16" t="s">
        <v>181</v>
      </c>
      <c r="AR380" s="16" t="s">
        <v>143</v>
      </c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21" t="s">
        <v>77</v>
      </c>
      <c r="BF380" s="22"/>
      <c r="BG380" s="22"/>
      <c r="BH380" s="23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21" t="s">
        <v>88</v>
      </c>
      <c r="BT380" s="23"/>
      <c r="BU380" s="19"/>
      <c r="BV380" s="19"/>
      <c r="BW380" s="19"/>
      <c r="BX380" s="19"/>
      <c r="BY380" s="19"/>
      <c r="BZ380" s="19"/>
      <c r="CA380" s="19"/>
      <c r="CB380" s="21" t="s">
        <v>96</v>
      </c>
      <c r="CC380" s="23"/>
      <c r="CD380" s="19"/>
      <c r="CE380" s="19"/>
      <c r="CF380" s="19"/>
      <c r="CG380" s="16" t="s">
        <v>128</v>
      </c>
      <c r="CH380" s="16" t="s">
        <v>100</v>
      </c>
      <c r="CI380" s="16" t="s">
        <v>101</v>
      </c>
      <c r="CJ380" s="21" t="s">
        <v>102</v>
      </c>
      <c r="CK380" s="23"/>
      <c r="CL380" s="21" t="s">
        <v>104</v>
      </c>
      <c r="CM380" s="23"/>
      <c r="CN380" s="16" t="s">
        <v>128</v>
      </c>
      <c r="CO380" s="16" t="s">
        <v>105</v>
      </c>
      <c r="CP380" s="16" t="s">
        <v>106</v>
      </c>
      <c r="CQ380" s="16" t="s">
        <v>107</v>
      </c>
      <c r="CR380" s="16" t="s">
        <v>108</v>
      </c>
      <c r="CS380" s="21" t="s">
        <v>109</v>
      </c>
      <c r="CT380" s="23"/>
      <c r="CU380" s="19"/>
      <c r="CV380" s="16" t="s">
        <v>128</v>
      </c>
      <c r="CW380" s="19"/>
      <c r="CX380" s="16" t="s">
        <v>112</v>
      </c>
      <c r="CY380" s="16" t="s">
        <v>113</v>
      </c>
      <c r="CZ380" s="21" t="s">
        <v>114</v>
      </c>
      <c r="DA380" s="22"/>
      <c r="DB380" s="22"/>
      <c r="DC380" s="23"/>
      <c r="DD380" s="16" t="s">
        <v>145</v>
      </c>
      <c r="DE380" s="16" t="s">
        <v>145</v>
      </c>
      <c r="DF380" s="19"/>
      <c r="DG380" s="21" t="s">
        <v>1983</v>
      </c>
      <c r="DH380" s="22"/>
      <c r="DI380" s="23"/>
      <c r="DJ380" s="16" t="s">
        <v>144</v>
      </c>
      <c r="DK380" s="19"/>
      <c r="DL380" s="19"/>
      <c r="DM380" s="16" t="s">
        <v>144</v>
      </c>
      <c r="DN380" s="19"/>
      <c r="DO380" s="19"/>
    </row>
    <row r="381" ht="15.75" customHeight="1">
      <c r="A381" s="15">
        <v>379.0</v>
      </c>
      <c r="B381" s="16" t="s">
        <v>1984</v>
      </c>
      <c r="C381" s="17">
        <v>3.0803022600508E13</v>
      </c>
      <c r="D381" s="18">
        <v>110.0</v>
      </c>
      <c r="E381" s="16" t="s">
        <v>1902</v>
      </c>
      <c r="F381" s="16" t="s">
        <v>1874</v>
      </c>
      <c r="G381" s="16" t="s">
        <v>1875</v>
      </c>
      <c r="H381" s="20">
        <v>45677.0</v>
      </c>
      <c r="I381" s="16"/>
      <c r="J381" s="18">
        <v>1.0</v>
      </c>
      <c r="K381" s="16" t="s">
        <v>1985</v>
      </c>
      <c r="L381" s="16" t="s">
        <v>122</v>
      </c>
      <c r="M381" s="21" t="s">
        <v>36</v>
      </c>
      <c r="N381" s="22"/>
      <c r="O381" s="22"/>
      <c r="P381" s="23"/>
      <c r="Q381" s="19"/>
      <c r="R381" s="21" t="s">
        <v>41</v>
      </c>
      <c r="S381" s="22"/>
      <c r="T381" s="22"/>
      <c r="U381" s="22"/>
      <c r="V381" s="23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</row>
    <row r="382" ht="15.75" customHeight="1">
      <c r="A382" s="15">
        <v>380.0</v>
      </c>
      <c r="B382" s="16" t="s">
        <v>1986</v>
      </c>
      <c r="C382" s="17" t="s">
        <v>1987</v>
      </c>
      <c r="D382" s="18">
        <v>55.0</v>
      </c>
      <c r="E382" s="16" t="s">
        <v>1902</v>
      </c>
      <c r="F382" s="16" t="s">
        <v>1988</v>
      </c>
      <c r="G382" s="16" t="s">
        <v>1875</v>
      </c>
      <c r="H382" s="25">
        <v>44187.0</v>
      </c>
      <c r="I382" s="16"/>
      <c r="J382" s="18">
        <v>1.0</v>
      </c>
      <c r="K382" s="16" t="s">
        <v>1989</v>
      </c>
      <c r="L382" s="16" t="s">
        <v>122</v>
      </c>
      <c r="M382" s="21" t="s">
        <v>36</v>
      </c>
      <c r="N382" s="22"/>
      <c r="O382" s="22"/>
      <c r="P382" s="23"/>
      <c r="Q382" s="19"/>
      <c r="R382" s="19"/>
      <c r="S382" s="19"/>
      <c r="T382" s="19"/>
      <c r="U382" s="19"/>
      <c r="V382" s="19"/>
      <c r="W382" s="16" t="s">
        <v>46</v>
      </c>
      <c r="X382" s="21" t="s">
        <v>47</v>
      </c>
      <c r="Y382" s="23"/>
      <c r="Z382" s="19"/>
      <c r="AA382" s="19"/>
      <c r="AB382" s="21" t="s">
        <v>51</v>
      </c>
      <c r="AC382" s="23"/>
      <c r="AD382" s="19"/>
      <c r="AE382" s="19"/>
      <c r="AF382" s="21" t="s">
        <v>55</v>
      </c>
      <c r="AG382" s="23"/>
      <c r="AH382" s="21" t="s">
        <v>152</v>
      </c>
      <c r="AI382" s="23"/>
      <c r="AJ382" s="16" t="s">
        <v>124</v>
      </c>
      <c r="AK382" s="16" t="s">
        <v>125</v>
      </c>
      <c r="AL382" s="16" t="s">
        <v>181</v>
      </c>
      <c r="AM382" s="16" t="s">
        <v>126</v>
      </c>
      <c r="AN382" s="16" t="s">
        <v>126</v>
      </c>
      <c r="AO382" s="16" t="s">
        <v>126</v>
      </c>
      <c r="AP382" s="16" t="s">
        <v>181</v>
      </c>
      <c r="AQ382" s="16" t="s">
        <v>181</v>
      </c>
      <c r="AR382" s="16" t="s">
        <v>126</v>
      </c>
      <c r="AS382" s="16" t="s">
        <v>65</v>
      </c>
      <c r="AT382" s="21" t="s">
        <v>66</v>
      </c>
      <c r="AU382" s="22"/>
      <c r="AV382" s="23"/>
      <c r="AW382" s="16" t="s">
        <v>69</v>
      </c>
      <c r="AX382" s="16" t="s">
        <v>70</v>
      </c>
      <c r="AY382" s="21" t="s">
        <v>71</v>
      </c>
      <c r="AZ382" s="22"/>
      <c r="BA382" s="23"/>
      <c r="BB382" s="19"/>
      <c r="BC382" s="19"/>
      <c r="BD382" s="19"/>
      <c r="BE382" s="19"/>
      <c r="BF382" s="19"/>
      <c r="BG382" s="21" t="s">
        <v>78</v>
      </c>
      <c r="BH382" s="23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6" t="s">
        <v>99</v>
      </c>
      <c r="CF382" s="16" t="s">
        <v>1990</v>
      </c>
      <c r="CG382" s="16" t="s">
        <v>128</v>
      </c>
      <c r="CH382" s="16" t="s">
        <v>100</v>
      </c>
      <c r="CI382" s="21" t="s">
        <v>101</v>
      </c>
      <c r="CJ382" s="22"/>
      <c r="CK382" s="23"/>
      <c r="CL382" s="19"/>
      <c r="CM382" s="19"/>
      <c r="CN382" s="16" t="s">
        <v>128</v>
      </c>
      <c r="CO382" s="16" t="s">
        <v>105</v>
      </c>
      <c r="CP382" s="21" t="s">
        <v>106</v>
      </c>
      <c r="CQ382" s="22"/>
      <c r="CR382" s="22"/>
      <c r="CS382" s="23"/>
      <c r="CT382" s="19"/>
      <c r="CU382" s="19"/>
      <c r="CV382" s="16" t="s">
        <v>128</v>
      </c>
      <c r="CW382" s="19"/>
      <c r="CX382" s="21" t="s">
        <v>112</v>
      </c>
      <c r="CY382" s="23"/>
      <c r="CZ382" s="16" t="s">
        <v>114</v>
      </c>
      <c r="DA382" s="21" t="s">
        <v>115</v>
      </c>
      <c r="DB382" s="22"/>
      <c r="DC382" s="23"/>
      <c r="DD382" s="16" t="s">
        <v>129</v>
      </c>
      <c r="DE382" s="16" t="s">
        <v>129</v>
      </c>
      <c r="DF382" s="19"/>
      <c r="DG382" s="21" t="s">
        <v>1905</v>
      </c>
      <c r="DH382" s="22"/>
      <c r="DI382" s="23"/>
      <c r="DJ382" s="16" t="s">
        <v>144</v>
      </c>
      <c r="DK382" s="19"/>
      <c r="DL382" s="19"/>
      <c r="DM382" s="16" t="s">
        <v>144</v>
      </c>
      <c r="DN382" s="19"/>
      <c r="DO382" s="19"/>
    </row>
    <row r="383" ht="15.75" customHeight="1">
      <c r="A383" s="15">
        <v>381.0</v>
      </c>
      <c r="B383" s="16" t="s">
        <v>1991</v>
      </c>
      <c r="C383" s="17">
        <v>3.1610162500954E13</v>
      </c>
      <c r="D383" s="18">
        <v>2.0</v>
      </c>
      <c r="E383" s="16" t="s">
        <v>1335</v>
      </c>
      <c r="F383" s="16" t="s">
        <v>606</v>
      </c>
      <c r="G383" s="16" t="s">
        <v>1875</v>
      </c>
      <c r="H383" s="25">
        <v>42659.0</v>
      </c>
      <c r="I383" s="18">
        <v>1.0</v>
      </c>
      <c r="J383" s="19"/>
      <c r="K383" s="16" t="s">
        <v>1992</v>
      </c>
      <c r="L383" s="21" t="s">
        <v>138</v>
      </c>
      <c r="M383" s="23"/>
      <c r="N383" s="19"/>
      <c r="O383" s="19"/>
      <c r="P383" s="19"/>
      <c r="Q383" s="19"/>
      <c r="R383" s="19"/>
      <c r="S383" s="19"/>
      <c r="T383" s="19"/>
      <c r="U383" s="19"/>
      <c r="V383" s="16" t="s">
        <v>932</v>
      </c>
      <c r="W383" s="16" t="s">
        <v>46</v>
      </c>
      <c r="X383" s="21" t="s">
        <v>47</v>
      </c>
      <c r="Y383" s="23"/>
      <c r="Z383" s="19"/>
      <c r="AA383" s="16" t="s">
        <v>50</v>
      </c>
      <c r="AB383" s="19"/>
      <c r="AC383" s="19"/>
      <c r="AD383" s="19"/>
      <c r="AE383" s="19"/>
      <c r="AF383" s="19"/>
      <c r="AG383" s="18" t="s">
        <v>839</v>
      </c>
      <c r="AH383" s="16" t="s">
        <v>57</v>
      </c>
      <c r="AI383" s="18" t="s">
        <v>839</v>
      </c>
      <c r="AJ383" s="16" t="s">
        <v>168</v>
      </c>
      <c r="AK383" s="16" t="s">
        <v>153</v>
      </c>
      <c r="AL383" s="16" t="s">
        <v>181</v>
      </c>
      <c r="AM383" s="16" t="s">
        <v>181</v>
      </c>
      <c r="AN383" s="16" t="s">
        <v>181</v>
      </c>
      <c r="AO383" s="16" t="s">
        <v>181</v>
      </c>
      <c r="AP383" s="16" t="s">
        <v>181</v>
      </c>
      <c r="AQ383" s="16" t="s">
        <v>181</v>
      </c>
      <c r="AR383" s="16" t="s">
        <v>181</v>
      </c>
      <c r="AS383" s="21" t="s">
        <v>65</v>
      </c>
      <c r="AT383" s="22"/>
      <c r="AU383" s="23"/>
      <c r="AV383" s="19"/>
      <c r="AW383" s="16" t="s">
        <v>69</v>
      </c>
      <c r="AX383" s="21" t="s">
        <v>70</v>
      </c>
      <c r="AY383" s="23"/>
      <c r="AZ383" s="18" t="s">
        <v>839</v>
      </c>
      <c r="BA383" s="19"/>
      <c r="BB383" s="19"/>
      <c r="BC383" s="19"/>
      <c r="BD383" s="16" t="s">
        <v>76</v>
      </c>
      <c r="BE383" s="16" t="s">
        <v>77</v>
      </c>
      <c r="BF383" s="18">
        <v>0.0</v>
      </c>
      <c r="BG383" s="16" t="s">
        <v>78</v>
      </c>
      <c r="BH383" s="21" t="s">
        <v>79</v>
      </c>
      <c r="BI383" s="23"/>
      <c r="BJ383" s="19"/>
      <c r="BK383" s="16" t="s">
        <v>81</v>
      </c>
      <c r="BL383" s="19"/>
      <c r="BM383" s="21" t="s">
        <v>83</v>
      </c>
      <c r="BN383" s="23"/>
      <c r="BO383" s="16" t="s">
        <v>85</v>
      </c>
      <c r="BP383" s="18" t="s">
        <v>839</v>
      </c>
      <c r="BQ383" s="19"/>
      <c r="BR383" s="19"/>
      <c r="BS383" s="19"/>
      <c r="BT383" s="21" t="s">
        <v>89</v>
      </c>
      <c r="BU383" s="22"/>
      <c r="BV383" s="23"/>
      <c r="BW383" s="16" t="s">
        <v>92</v>
      </c>
      <c r="BX383" s="18" t="s">
        <v>844</v>
      </c>
      <c r="BY383" s="19"/>
      <c r="BZ383" s="19"/>
      <c r="CA383" s="19"/>
      <c r="CB383" s="21" t="s">
        <v>96</v>
      </c>
      <c r="CC383" s="23"/>
      <c r="CD383" s="19"/>
      <c r="CE383" s="19"/>
      <c r="CF383" s="18" t="s">
        <v>840</v>
      </c>
      <c r="CG383" s="16" t="s">
        <v>128</v>
      </c>
      <c r="CH383" s="19"/>
      <c r="CI383" s="16" t="s">
        <v>101</v>
      </c>
      <c r="CJ383" s="21" t="s">
        <v>102</v>
      </c>
      <c r="CK383" s="23"/>
      <c r="CL383" s="16" t="s">
        <v>104</v>
      </c>
      <c r="CM383" s="18" t="s">
        <v>844</v>
      </c>
      <c r="CN383" s="16" t="s">
        <v>128</v>
      </c>
      <c r="CO383" s="16" t="s">
        <v>105</v>
      </c>
      <c r="CP383" s="21" t="s">
        <v>106</v>
      </c>
      <c r="CQ383" s="23"/>
      <c r="CR383" s="16" t="s">
        <v>108</v>
      </c>
      <c r="CS383" s="16" t="s">
        <v>109</v>
      </c>
      <c r="CT383" s="16" t="s">
        <v>110</v>
      </c>
      <c r="CU383" s="18" t="s">
        <v>844</v>
      </c>
      <c r="CV383" s="21" t="s">
        <v>154</v>
      </c>
      <c r="CW383" s="23"/>
      <c r="CX383" s="19"/>
      <c r="CY383" s="19"/>
      <c r="CZ383" s="16" t="s">
        <v>114</v>
      </c>
      <c r="DA383" s="16" t="s">
        <v>115</v>
      </c>
      <c r="DB383" s="18">
        <v>0.0</v>
      </c>
      <c r="DC383" s="16" t="s">
        <v>129</v>
      </c>
      <c r="DD383" s="16" t="s">
        <v>129</v>
      </c>
      <c r="DE383" s="16" t="s">
        <v>129</v>
      </c>
      <c r="DF383" s="16" t="s">
        <v>129</v>
      </c>
      <c r="DG383" s="16" t="s">
        <v>841</v>
      </c>
      <c r="DH383" s="16" t="s">
        <v>873</v>
      </c>
      <c r="DI383" s="16" t="s">
        <v>843</v>
      </c>
      <c r="DJ383" s="16" t="s">
        <v>1104</v>
      </c>
      <c r="DK383" s="18" t="s">
        <v>844</v>
      </c>
      <c r="DL383" s="18" t="s">
        <v>845</v>
      </c>
      <c r="DM383" s="16" t="s">
        <v>876</v>
      </c>
      <c r="DN383" s="16" t="s">
        <v>901</v>
      </c>
      <c r="DO383" s="18">
        <v>0.0</v>
      </c>
    </row>
    <row r="384" ht="15.75" customHeight="1">
      <c r="A384" s="15">
        <v>382.0</v>
      </c>
      <c r="B384" s="16" t="s">
        <v>1993</v>
      </c>
      <c r="C384" s="17">
        <v>3.1401222601579E13</v>
      </c>
      <c r="D384" s="18">
        <v>123.0</v>
      </c>
      <c r="E384" s="16" t="s">
        <v>1937</v>
      </c>
      <c r="F384" s="16" t="s">
        <v>1875</v>
      </c>
      <c r="G384" s="16" t="s">
        <v>1875</v>
      </c>
      <c r="H384" s="20">
        <v>41661.0</v>
      </c>
      <c r="I384" s="18">
        <v>1.0</v>
      </c>
      <c r="J384" s="19"/>
      <c r="K384" s="16" t="s">
        <v>1994</v>
      </c>
      <c r="L384" s="16" t="s">
        <v>138</v>
      </c>
      <c r="M384" s="21" t="s">
        <v>36</v>
      </c>
      <c r="N384" s="22"/>
      <c r="O384" s="22"/>
      <c r="P384" s="23"/>
      <c r="Q384" s="19"/>
      <c r="R384" s="19"/>
      <c r="S384" s="19"/>
      <c r="T384" s="19"/>
      <c r="U384" s="19"/>
      <c r="V384" s="19"/>
      <c r="W384" s="19"/>
      <c r="X384" s="19"/>
      <c r="Y384" s="21" t="s">
        <v>48</v>
      </c>
      <c r="Z384" s="23"/>
      <c r="AA384" s="16" t="s">
        <v>50</v>
      </c>
      <c r="AB384" s="19"/>
      <c r="AC384" s="19"/>
      <c r="AD384" s="19"/>
      <c r="AE384" s="19"/>
      <c r="AF384" s="21" t="s">
        <v>55</v>
      </c>
      <c r="AG384" s="23"/>
      <c r="AH384" s="19"/>
      <c r="AI384" s="19"/>
      <c r="AJ384" s="16" t="s">
        <v>168</v>
      </c>
      <c r="AK384" s="16" t="s">
        <v>153</v>
      </c>
      <c r="AL384" s="16" t="s">
        <v>181</v>
      </c>
      <c r="AM384" s="16" t="s">
        <v>181</v>
      </c>
      <c r="AN384" s="16" t="s">
        <v>181</v>
      </c>
      <c r="AO384" s="16" t="s">
        <v>181</v>
      </c>
      <c r="AP384" s="16" t="s">
        <v>181</v>
      </c>
      <c r="AQ384" s="16" t="s">
        <v>181</v>
      </c>
      <c r="AR384" s="16" t="s">
        <v>181</v>
      </c>
      <c r="AS384" s="19"/>
      <c r="AT384" s="19"/>
      <c r="AU384" s="16" t="s">
        <v>67</v>
      </c>
      <c r="AV384" s="21" t="s">
        <v>68</v>
      </c>
      <c r="AW384" s="22"/>
      <c r="AX384" s="23"/>
      <c r="AY384" s="19"/>
      <c r="AZ384" s="19"/>
      <c r="BA384" s="19"/>
      <c r="BB384" s="19"/>
      <c r="BC384" s="19"/>
      <c r="BD384" s="19"/>
      <c r="BE384" s="21" t="s">
        <v>77</v>
      </c>
      <c r="BF384" s="22"/>
      <c r="BG384" s="22"/>
      <c r="BH384" s="23"/>
      <c r="BI384" s="19"/>
      <c r="BJ384" s="19"/>
      <c r="BK384" s="19"/>
      <c r="BL384" s="16" t="s">
        <v>82</v>
      </c>
      <c r="BM384" s="21" t="s">
        <v>83</v>
      </c>
      <c r="BN384" s="23"/>
      <c r="BO384" s="21" t="s">
        <v>85</v>
      </c>
      <c r="BP384" s="22"/>
      <c r="BQ384" s="22"/>
      <c r="BR384" s="23"/>
      <c r="BS384" s="21" t="s">
        <v>88</v>
      </c>
      <c r="BT384" s="23"/>
      <c r="BU384" s="19"/>
      <c r="BV384" s="16" t="s">
        <v>91</v>
      </c>
      <c r="BW384" s="19"/>
      <c r="BX384" s="19"/>
      <c r="BY384" s="19"/>
      <c r="BZ384" s="19"/>
      <c r="CA384" s="19"/>
      <c r="CB384" s="21" t="s">
        <v>96</v>
      </c>
      <c r="CC384" s="23"/>
      <c r="CD384" s="19"/>
      <c r="CE384" s="19"/>
      <c r="CF384" s="19"/>
      <c r="CG384" s="16" t="s">
        <v>128</v>
      </c>
      <c r="CH384" s="19"/>
      <c r="CI384" s="19"/>
      <c r="CJ384" s="19"/>
      <c r="CK384" s="21" t="s">
        <v>103</v>
      </c>
      <c r="CL384" s="23"/>
      <c r="CM384" s="19"/>
      <c r="CN384" s="16" t="s">
        <v>128</v>
      </c>
      <c r="CO384" s="16" t="s">
        <v>105</v>
      </c>
      <c r="CP384" s="16" t="s">
        <v>106</v>
      </c>
      <c r="CQ384" s="16" t="s">
        <v>107</v>
      </c>
      <c r="CR384" s="16" t="s">
        <v>108</v>
      </c>
      <c r="CS384" s="16" t="s">
        <v>109</v>
      </c>
      <c r="CT384" s="21" t="s">
        <v>110</v>
      </c>
      <c r="CU384" s="23"/>
      <c r="CV384" s="16" t="s">
        <v>128</v>
      </c>
      <c r="CW384" s="21" t="s">
        <v>111</v>
      </c>
      <c r="CX384" s="22"/>
      <c r="CY384" s="23"/>
      <c r="CZ384" s="16" t="s">
        <v>114</v>
      </c>
      <c r="DA384" s="21" t="s">
        <v>115</v>
      </c>
      <c r="DB384" s="23"/>
      <c r="DC384" s="16" t="s">
        <v>129</v>
      </c>
      <c r="DD384" s="16" t="s">
        <v>129</v>
      </c>
      <c r="DE384" s="16" t="s">
        <v>129</v>
      </c>
      <c r="DF384" s="16" t="s">
        <v>129</v>
      </c>
      <c r="DG384" s="21" t="s">
        <v>1995</v>
      </c>
      <c r="DH384" s="23"/>
      <c r="DI384" s="19"/>
      <c r="DJ384" s="21" t="s">
        <v>1934</v>
      </c>
      <c r="DK384" s="23"/>
      <c r="DL384" s="19"/>
      <c r="DM384" s="21" t="s">
        <v>1996</v>
      </c>
      <c r="DN384" s="23"/>
      <c r="DO384" s="19"/>
    </row>
    <row r="385" ht="15.75" customHeight="1">
      <c r="A385" s="15">
        <v>383.0</v>
      </c>
      <c r="B385" s="16" t="s">
        <v>1997</v>
      </c>
      <c r="C385" s="26">
        <v>3.1501012664556E13</v>
      </c>
      <c r="D385" s="18">
        <v>88.0</v>
      </c>
      <c r="E385" s="16" t="s">
        <v>1998</v>
      </c>
      <c r="F385" s="16" t="s">
        <v>1943</v>
      </c>
      <c r="G385" s="16" t="s">
        <v>1875</v>
      </c>
      <c r="H385" s="20">
        <v>42005.0</v>
      </c>
      <c r="I385" s="18">
        <v>1.0</v>
      </c>
      <c r="J385" s="19"/>
      <c r="K385" s="16" t="s">
        <v>1999</v>
      </c>
      <c r="L385" s="16" t="s">
        <v>138</v>
      </c>
      <c r="M385" s="21" t="s">
        <v>36</v>
      </c>
      <c r="N385" s="22"/>
      <c r="O385" s="22"/>
      <c r="P385" s="23"/>
      <c r="Q385" s="19"/>
      <c r="R385" s="19"/>
      <c r="S385" s="19"/>
      <c r="T385" s="19"/>
      <c r="U385" s="19"/>
      <c r="V385" s="19"/>
      <c r="W385" s="19"/>
      <c r="X385" s="19"/>
      <c r="Y385" s="21" t="s">
        <v>48</v>
      </c>
      <c r="Z385" s="23"/>
      <c r="AA385" s="19"/>
      <c r="AB385" s="19"/>
      <c r="AC385" s="21" t="s">
        <v>52</v>
      </c>
      <c r="AD385" s="23"/>
      <c r="AE385" s="19"/>
      <c r="AF385" s="19"/>
      <c r="AG385" s="19"/>
      <c r="AH385" s="21" t="s">
        <v>123</v>
      </c>
      <c r="AI385" s="23"/>
      <c r="AJ385" s="16" t="s">
        <v>168</v>
      </c>
      <c r="AK385" s="16" t="s">
        <v>153</v>
      </c>
      <c r="AL385" s="16" t="s">
        <v>181</v>
      </c>
      <c r="AM385" s="16" t="s">
        <v>126</v>
      </c>
      <c r="AN385" s="16" t="s">
        <v>181</v>
      </c>
      <c r="AO385" s="16" t="s">
        <v>181</v>
      </c>
      <c r="AP385" s="16" t="s">
        <v>126</v>
      </c>
      <c r="AQ385" s="16" t="s">
        <v>181</v>
      </c>
      <c r="AR385" s="16" t="s">
        <v>126</v>
      </c>
      <c r="AS385" s="19"/>
      <c r="AT385" s="19"/>
      <c r="AU385" s="16" t="s">
        <v>67</v>
      </c>
      <c r="AV385" s="21" t="s">
        <v>68</v>
      </c>
      <c r="AW385" s="22"/>
      <c r="AX385" s="23"/>
      <c r="AY385" s="16" t="s">
        <v>71</v>
      </c>
      <c r="AZ385" s="21" t="s">
        <v>2000</v>
      </c>
      <c r="BA385" s="22"/>
      <c r="BB385" s="22"/>
      <c r="BC385" s="23"/>
      <c r="BD385" s="16" t="s">
        <v>76</v>
      </c>
      <c r="BE385" s="21" t="s">
        <v>77</v>
      </c>
      <c r="BF385" s="22"/>
      <c r="BG385" s="22"/>
      <c r="BH385" s="23"/>
      <c r="BI385" s="21" t="s">
        <v>52</v>
      </c>
      <c r="BJ385" s="23"/>
      <c r="BK385" s="19"/>
      <c r="BL385" s="21" t="s">
        <v>82</v>
      </c>
      <c r="BM385" s="23"/>
      <c r="BN385" s="19"/>
      <c r="BO385" s="21" t="s">
        <v>85</v>
      </c>
      <c r="BP385" s="22"/>
      <c r="BQ385" s="22"/>
      <c r="BR385" s="23"/>
      <c r="BS385" s="19"/>
      <c r="BT385" s="19"/>
      <c r="BU385" s="19"/>
      <c r="BV385" s="16" t="s">
        <v>91</v>
      </c>
      <c r="BW385" s="21" t="s">
        <v>92</v>
      </c>
      <c r="BX385" s="22"/>
      <c r="BY385" s="23"/>
      <c r="BZ385" s="19"/>
      <c r="CA385" s="19"/>
      <c r="CB385" s="21" t="s">
        <v>96</v>
      </c>
      <c r="CC385" s="23"/>
      <c r="CD385" s="19"/>
      <c r="CE385" s="19"/>
      <c r="CF385" s="19"/>
      <c r="CG385" s="16" t="s">
        <v>128</v>
      </c>
      <c r="CH385" s="19"/>
      <c r="CI385" s="19"/>
      <c r="CJ385" s="19"/>
      <c r="CK385" s="16" t="s">
        <v>103</v>
      </c>
      <c r="CL385" s="21" t="s">
        <v>104</v>
      </c>
      <c r="CM385" s="23"/>
      <c r="CN385" s="16" t="s">
        <v>128</v>
      </c>
      <c r="CO385" s="21" t="s">
        <v>105</v>
      </c>
      <c r="CP385" s="23"/>
      <c r="CQ385" s="16" t="s">
        <v>107</v>
      </c>
      <c r="CR385" s="16" t="s">
        <v>108</v>
      </c>
      <c r="CS385" s="21" t="s">
        <v>109</v>
      </c>
      <c r="CT385" s="23"/>
      <c r="CU385" s="19"/>
      <c r="CV385" s="16" t="s">
        <v>128</v>
      </c>
      <c r="CW385" s="16" t="s">
        <v>111</v>
      </c>
      <c r="CX385" s="21" t="s">
        <v>112</v>
      </c>
      <c r="CY385" s="22"/>
      <c r="CZ385" s="23"/>
      <c r="DA385" s="21" t="s">
        <v>115</v>
      </c>
      <c r="DB385" s="23"/>
      <c r="DC385" s="16" t="s">
        <v>129</v>
      </c>
      <c r="DD385" s="16" t="s">
        <v>129</v>
      </c>
      <c r="DE385" s="16" t="s">
        <v>129</v>
      </c>
      <c r="DF385" s="16" t="s">
        <v>129</v>
      </c>
      <c r="DG385" s="16" t="s">
        <v>109</v>
      </c>
      <c r="DH385" s="16" t="s">
        <v>2001</v>
      </c>
      <c r="DI385" s="16" t="s">
        <v>2002</v>
      </c>
      <c r="DJ385" s="16" t="s">
        <v>2003</v>
      </c>
      <c r="DK385" s="21" t="s">
        <v>2004</v>
      </c>
      <c r="DL385" s="23"/>
      <c r="DM385" s="16" t="s">
        <v>2005</v>
      </c>
      <c r="DN385" s="16" t="s">
        <v>2006</v>
      </c>
      <c r="DO385" s="16" t="s">
        <v>2007</v>
      </c>
    </row>
    <row r="386" ht="15.75" customHeight="1">
      <c r="A386" s="15">
        <v>384.0</v>
      </c>
      <c r="B386" s="16" t="s">
        <v>2008</v>
      </c>
      <c r="C386" s="17">
        <v>3.1802152600558E13</v>
      </c>
      <c r="D386" s="18">
        <v>34.0</v>
      </c>
      <c r="E386" s="16" t="s">
        <v>1926</v>
      </c>
      <c r="F386" s="16" t="s">
        <v>1875</v>
      </c>
      <c r="G386" s="16" t="s">
        <v>1875</v>
      </c>
      <c r="H386" s="20">
        <v>43146.0</v>
      </c>
      <c r="I386" s="18">
        <v>1.0</v>
      </c>
      <c r="J386" s="19"/>
      <c r="K386" s="16" t="s">
        <v>2009</v>
      </c>
      <c r="L386" s="16" t="s">
        <v>122</v>
      </c>
      <c r="M386" s="19"/>
      <c r="N386" s="19"/>
      <c r="O386" s="19"/>
      <c r="P386" s="19"/>
      <c r="Q386" s="19"/>
      <c r="R386" s="19"/>
      <c r="S386" s="19"/>
      <c r="T386" s="19"/>
      <c r="U386" s="19"/>
      <c r="V386" s="16" t="s">
        <v>2010</v>
      </c>
      <c r="W386" s="16" t="s">
        <v>46</v>
      </c>
      <c r="X386" s="19"/>
      <c r="Y386" s="21" t="s">
        <v>48</v>
      </c>
      <c r="Z386" s="23"/>
      <c r="AA386" s="19"/>
      <c r="AB386" s="19"/>
      <c r="AC386" s="19"/>
      <c r="AD386" s="19"/>
      <c r="AE386" s="19"/>
      <c r="AF386" s="19"/>
      <c r="AG386" s="19"/>
      <c r="AH386" s="21" t="s">
        <v>357</v>
      </c>
      <c r="AI386" s="23"/>
      <c r="AJ386" s="16" t="s">
        <v>168</v>
      </c>
      <c r="AK386" s="16" t="s">
        <v>153</v>
      </c>
      <c r="AL386" s="16" t="s">
        <v>181</v>
      </c>
      <c r="AM386" s="16" t="s">
        <v>181</v>
      </c>
      <c r="AN386" s="16" t="s">
        <v>181</v>
      </c>
      <c r="AO386" s="16" t="s">
        <v>181</v>
      </c>
      <c r="AP386" s="16" t="s">
        <v>181</v>
      </c>
      <c r="AQ386" s="16" t="s">
        <v>181</v>
      </c>
      <c r="AR386" s="16" t="s">
        <v>181</v>
      </c>
      <c r="AS386" s="21" t="s">
        <v>65</v>
      </c>
      <c r="AT386" s="22"/>
      <c r="AU386" s="23"/>
      <c r="AV386" s="19"/>
      <c r="AW386" s="19"/>
      <c r="AX386" s="19"/>
      <c r="AY386" s="19"/>
      <c r="AZ386" s="19"/>
      <c r="BA386" s="19"/>
      <c r="BB386" s="19"/>
      <c r="BC386" s="19"/>
      <c r="BD386" s="19"/>
      <c r="BE386" s="21" t="s">
        <v>77</v>
      </c>
      <c r="BF386" s="23"/>
      <c r="BG386" s="21" t="s">
        <v>78</v>
      </c>
      <c r="BH386" s="23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21" t="s">
        <v>90</v>
      </c>
      <c r="BV386" s="23"/>
      <c r="BW386" s="19"/>
      <c r="BX386" s="19"/>
      <c r="BY386" s="19"/>
      <c r="BZ386" s="19"/>
      <c r="CA386" s="19"/>
      <c r="CB386" s="19"/>
      <c r="CC386" s="21" t="s">
        <v>97</v>
      </c>
      <c r="CD386" s="23"/>
      <c r="CE386" s="19"/>
      <c r="CF386" s="19"/>
      <c r="CG386" s="16" t="s">
        <v>128</v>
      </c>
      <c r="CH386" s="19"/>
      <c r="CI386" s="19"/>
      <c r="CJ386" s="19"/>
      <c r="CK386" s="19"/>
      <c r="CL386" s="21" t="s">
        <v>104</v>
      </c>
      <c r="CM386" s="23"/>
      <c r="CN386" s="16" t="s">
        <v>128</v>
      </c>
      <c r="CO386" s="21" t="s">
        <v>105</v>
      </c>
      <c r="CP386" s="22"/>
      <c r="CQ386" s="23"/>
      <c r="CR386" s="21" t="s">
        <v>108</v>
      </c>
      <c r="CS386" s="23"/>
      <c r="CT386" s="21" t="s">
        <v>110</v>
      </c>
      <c r="CU386" s="23"/>
      <c r="CV386" s="16" t="s">
        <v>128</v>
      </c>
      <c r="CW386" s="19"/>
      <c r="CX386" s="19"/>
      <c r="CY386" s="19"/>
      <c r="CZ386" s="21" t="s">
        <v>114</v>
      </c>
      <c r="DA386" s="22"/>
      <c r="DB386" s="23"/>
      <c r="DC386" s="16" t="s">
        <v>129</v>
      </c>
      <c r="DD386" s="16" t="s">
        <v>129</v>
      </c>
      <c r="DE386" s="16" t="s">
        <v>129</v>
      </c>
      <c r="DF386" s="16" t="s">
        <v>129</v>
      </c>
      <c r="DG386" s="21" t="s">
        <v>2011</v>
      </c>
      <c r="DH386" s="22"/>
      <c r="DI386" s="23"/>
      <c r="DJ386" s="21" t="s">
        <v>2012</v>
      </c>
      <c r="DK386" s="22"/>
      <c r="DL386" s="23"/>
      <c r="DM386" s="21" t="s">
        <v>1975</v>
      </c>
      <c r="DN386" s="23"/>
      <c r="DO386" s="19"/>
    </row>
    <row r="387" ht="15.75" customHeight="1">
      <c r="A387" s="15">
        <v>385.0</v>
      </c>
      <c r="B387" s="16" t="s">
        <v>2013</v>
      </c>
      <c r="C387" s="17">
        <v>3.1512172602672E13</v>
      </c>
      <c r="D387" s="18">
        <v>32.0</v>
      </c>
      <c r="E387" s="16" t="s">
        <v>1937</v>
      </c>
      <c r="F387" s="16" t="s">
        <v>1875</v>
      </c>
      <c r="G387" s="16" t="s">
        <v>1875</v>
      </c>
      <c r="H387" s="25">
        <v>42355.0</v>
      </c>
      <c r="I387" s="18">
        <v>1.0</v>
      </c>
      <c r="J387" s="19"/>
      <c r="K387" s="16" t="s">
        <v>2014</v>
      </c>
      <c r="L387" s="21" t="s">
        <v>138</v>
      </c>
      <c r="M387" s="23"/>
      <c r="N387" s="19"/>
      <c r="O387" s="19"/>
      <c r="P387" s="19"/>
      <c r="Q387" s="19"/>
      <c r="R387" s="19"/>
      <c r="S387" s="19"/>
      <c r="T387" s="21" t="s">
        <v>43</v>
      </c>
      <c r="U387" s="23"/>
      <c r="V387" s="19"/>
      <c r="W387" s="19"/>
      <c r="X387" s="21" t="s">
        <v>47</v>
      </c>
      <c r="Y387" s="23"/>
      <c r="Z387" s="19"/>
      <c r="AA387" s="19"/>
      <c r="AB387" s="19"/>
      <c r="AC387" s="19"/>
      <c r="AD387" s="19"/>
      <c r="AE387" s="19"/>
      <c r="AF387" s="21" t="s">
        <v>55</v>
      </c>
      <c r="AG387" s="23"/>
      <c r="AH387" s="21" t="s">
        <v>357</v>
      </c>
      <c r="AI387" s="23"/>
      <c r="AJ387" s="16" t="s">
        <v>168</v>
      </c>
      <c r="AK387" s="16" t="s">
        <v>153</v>
      </c>
      <c r="AL387" s="16" t="s">
        <v>126</v>
      </c>
      <c r="AM387" s="16" t="s">
        <v>181</v>
      </c>
      <c r="AN387" s="16" t="s">
        <v>181</v>
      </c>
      <c r="AO387" s="16" t="s">
        <v>126</v>
      </c>
      <c r="AP387" s="16" t="s">
        <v>181</v>
      </c>
      <c r="AQ387" s="16" t="s">
        <v>126</v>
      </c>
      <c r="AR387" s="16" t="s">
        <v>126</v>
      </c>
      <c r="AS387" s="21" t="s">
        <v>65</v>
      </c>
      <c r="AT387" s="22"/>
      <c r="AU387" s="23"/>
      <c r="AV387" s="19"/>
      <c r="AW387" s="19"/>
      <c r="AX387" s="19"/>
      <c r="AY387" s="19"/>
      <c r="AZ387" s="19"/>
      <c r="BA387" s="19"/>
      <c r="BB387" s="19"/>
      <c r="BC387" s="19"/>
      <c r="BD387" s="19"/>
      <c r="BE387" s="21" t="s">
        <v>77</v>
      </c>
      <c r="BF387" s="23"/>
      <c r="BG387" s="21" t="s">
        <v>78</v>
      </c>
      <c r="BH387" s="23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21" t="s">
        <v>89</v>
      </c>
      <c r="BU387" s="22"/>
      <c r="BV387" s="23"/>
      <c r="BW387" s="19"/>
      <c r="BX387" s="19"/>
      <c r="BY387" s="19"/>
      <c r="BZ387" s="19"/>
      <c r="CA387" s="19"/>
      <c r="CB387" s="21" t="s">
        <v>96</v>
      </c>
      <c r="CC387" s="23"/>
      <c r="CD387" s="19"/>
      <c r="CE387" s="19"/>
      <c r="CF387" s="19"/>
      <c r="CG387" s="16" t="s">
        <v>128</v>
      </c>
      <c r="CH387" s="19"/>
      <c r="CI387" s="19"/>
      <c r="CJ387" s="19"/>
      <c r="CK387" s="19"/>
      <c r="CL387" s="21" t="s">
        <v>104</v>
      </c>
      <c r="CM387" s="23"/>
      <c r="CN387" s="16" t="s">
        <v>128</v>
      </c>
      <c r="CO387" s="16" t="s">
        <v>105</v>
      </c>
      <c r="CP387" s="16" t="s">
        <v>106</v>
      </c>
      <c r="CQ387" s="16" t="s">
        <v>107</v>
      </c>
      <c r="CR387" s="21" t="s">
        <v>108</v>
      </c>
      <c r="CS387" s="23"/>
      <c r="CT387" s="19"/>
      <c r="CU387" s="19"/>
      <c r="CV387" s="16" t="s">
        <v>128</v>
      </c>
      <c r="CW387" s="19"/>
      <c r="CX387" s="21" t="s">
        <v>112</v>
      </c>
      <c r="CY387" s="23"/>
      <c r="CZ387" s="21" t="s">
        <v>114</v>
      </c>
      <c r="DA387" s="22"/>
      <c r="DB387" s="23"/>
      <c r="DC387" s="16" t="s">
        <v>129</v>
      </c>
      <c r="DD387" s="16" t="s">
        <v>129</v>
      </c>
      <c r="DE387" s="16" t="s">
        <v>129</v>
      </c>
      <c r="DF387" s="16" t="s">
        <v>129</v>
      </c>
      <c r="DG387" s="21" t="s">
        <v>2015</v>
      </c>
      <c r="DH387" s="23"/>
      <c r="DI387" s="19"/>
      <c r="DJ387" s="21" t="s">
        <v>1996</v>
      </c>
      <c r="DK387" s="23"/>
      <c r="DL387" s="19"/>
      <c r="DM387" s="16" t="s">
        <v>2016</v>
      </c>
      <c r="DN387" s="19"/>
      <c r="DO387" s="19"/>
    </row>
    <row r="388" ht="15.75" customHeight="1">
      <c r="A388" s="15">
        <v>386.0</v>
      </c>
      <c r="B388" s="16" t="s">
        <v>2017</v>
      </c>
      <c r="C388" s="17">
        <v>3.16081226026026E16</v>
      </c>
      <c r="D388" s="18">
        <v>52.0</v>
      </c>
      <c r="E388" s="16" t="s">
        <v>1926</v>
      </c>
      <c r="F388" s="16" t="s">
        <v>1943</v>
      </c>
      <c r="G388" s="16" t="s">
        <v>1875</v>
      </c>
      <c r="H388" s="20">
        <v>42594.0</v>
      </c>
      <c r="I388" s="16"/>
      <c r="J388" s="18">
        <v>1.0</v>
      </c>
      <c r="K388" s="16" t="s">
        <v>2018</v>
      </c>
      <c r="L388" s="16" t="s">
        <v>138</v>
      </c>
      <c r="M388" s="21" t="s">
        <v>36</v>
      </c>
      <c r="N388" s="22"/>
      <c r="O388" s="22"/>
      <c r="P388" s="23"/>
      <c r="Q388" s="19"/>
      <c r="R388" s="19"/>
      <c r="S388" s="19"/>
      <c r="T388" s="19"/>
      <c r="U388" s="19"/>
      <c r="V388" s="19"/>
      <c r="W388" s="16" t="s">
        <v>46</v>
      </c>
      <c r="X388" s="19"/>
      <c r="Y388" s="19"/>
      <c r="Z388" s="19"/>
      <c r="AA388" s="16" t="s">
        <v>50</v>
      </c>
      <c r="AB388" s="19"/>
      <c r="AC388" s="21" t="s">
        <v>52</v>
      </c>
      <c r="AD388" s="23"/>
      <c r="AE388" s="19"/>
      <c r="AF388" s="19"/>
      <c r="AG388" s="19"/>
      <c r="AH388" s="21" t="s">
        <v>123</v>
      </c>
      <c r="AI388" s="23"/>
      <c r="AJ388" s="16" t="s">
        <v>168</v>
      </c>
      <c r="AK388" s="16" t="s">
        <v>153</v>
      </c>
      <c r="AL388" s="16" t="s">
        <v>126</v>
      </c>
      <c r="AM388" s="16" t="s">
        <v>126</v>
      </c>
      <c r="AN388" s="16" t="s">
        <v>126</v>
      </c>
      <c r="AO388" s="16" t="s">
        <v>126</v>
      </c>
      <c r="AP388" s="16" t="s">
        <v>126</v>
      </c>
      <c r="AQ388" s="16" t="s">
        <v>126</v>
      </c>
      <c r="AR388" s="16" t="s">
        <v>181</v>
      </c>
      <c r="AS388" s="21" t="s">
        <v>65</v>
      </c>
      <c r="AT388" s="22"/>
      <c r="AU388" s="23"/>
      <c r="AV388" s="19"/>
      <c r="AW388" s="21" t="s">
        <v>69</v>
      </c>
      <c r="AX388" s="22"/>
      <c r="AY388" s="23"/>
      <c r="AZ388" s="19"/>
      <c r="BA388" s="16" t="s">
        <v>73</v>
      </c>
      <c r="BB388" s="21" t="s">
        <v>74</v>
      </c>
      <c r="BC388" s="23"/>
      <c r="BD388" s="16" t="s">
        <v>76</v>
      </c>
      <c r="BE388" s="21" t="s">
        <v>77</v>
      </c>
      <c r="BF388" s="22"/>
      <c r="BG388" s="22"/>
      <c r="BH388" s="23"/>
      <c r="BI388" s="16" t="s">
        <v>52</v>
      </c>
      <c r="BJ388" s="16" t="s">
        <v>80</v>
      </c>
      <c r="BK388" s="16" t="s">
        <v>81</v>
      </c>
      <c r="BL388" s="19"/>
      <c r="BM388" s="19"/>
      <c r="BN388" s="19"/>
      <c r="BO388" s="16" t="s">
        <v>85</v>
      </c>
      <c r="BP388" s="21" t="s">
        <v>2019</v>
      </c>
      <c r="BQ388" s="22"/>
      <c r="BR388" s="23"/>
      <c r="BS388" s="21" t="s">
        <v>88</v>
      </c>
      <c r="BT388" s="23"/>
      <c r="BU388" s="21" t="s">
        <v>90</v>
      </c>
      <c r="BV388" s="23"/>
      <c r="BW388" s="21" t="s">
        <v>92</v>
      </c>
      <c r="BX388" s="22"/>
      <c r="BY388" s="23"/>
      <c r="BZ388" s="19"/>
      <c r="CA388" s="19"/>
      <c r="CB388" s="16" t="s">
        <v>96</v>
      </c>
      <c r="CC388" s="21" t="s">
        <v>97</v>
      </c>
      <c r="CD388" s="23"/>
      <c r="CE388" s="19"/>
      <c r="CF388" s="19"/>
      <c r="CG388" s="16" t="s">
        <v>128</v>
      </c>
      <c r="CH388" s="19"/>
      <c r="CI388" s="16" t="s">
        <v>101</v>
      </c>
      <c r="CJ388" s="21" t="s">
        <v>102</v>
      </c>
      <c r="CK388" s="23"/>
      <c r="CL388" s="21" t="s">
        <v>104</v>
      </c>
      <c r="CM388" s="23"/>
      <c r="CN388" s="16" t="s">
        <v>128</v>
      </c>
      <c r="CO388" s="21" t="s">
        <v>105</v>
      </c>
      <c r="CP388" s="23"/>
      <c r="CQ388" s="16" t="s">
        <v>107</v>
      </c>
      <c r="CR388" s="16" t="s">
        <v>108</v>
      </c>
      <c r="CS388" s="21" t="s">
        <v>109</v>
      </c>
      <c r="CT388" s="23"/>
      <c r="CU388" s="19"/>
      <c r="CV388" s="16" t="s">
        <v>128</v>
      </c>
      <c r="CW388" s="19"/>
      <c r="CX388" s="21" t="s">
        <v>112</v>
      </c>
      <c r="CY388" s="23"/>
      <c r="CZ388" s="16" t="s">
        <v>114</v>
      </c>
      <c r="DA388" s="21" t="s">
        <v>115</v>
      </c>
      <c r="DB388" s="23"/>
      <c r="DC388" s="16" t="s">
        <v>129</v>
      </c>
      <c r="DD388" s="16" t="s">
        <v>129</v>
      </c>
      <c r="DE388" s="16" t="s">
        <v>129</v>
      </c>
      <c r="DF388" s="16" t="s">
        <v>129</v>
      </c>
      <c r="DG388" s="16" t="s">
        <v>2020</v>
      </c>
      <c r="DH388" s="16" t="s">
        <v>2021</v>
      </c>
      <c r="DI388" s="16" t="s">
        <v>2022</v>
      </c>
      <c r="DJ388" s="16" t="s">
        <v>2023</v>
      </c>
      <c r="DK388" s="21" t="s">
        <v>2024</v>
      </c>
      <c r="DL388" s="23"/>
      <c r="DM388" s="16" t="s">
        <v>2025</v>
      </c>
      <c r="DN388" s="16" t="s">
        <v>2026</v>
      </c>
      <c r="DO388" s="16" t="s">
        <v>220</v>
      </c>
    </row>
    <row r="389" ht="15.75" customHeight="1">
      <c r="A389" s="15">
        <v>387.0</v>
      </c>
      <c r="B389" s="16" t="s">
        <v>2027</v>
      </c>
      <c r="C389" s="17">
        <v>3.1407162600525E13</v>
      </c>
      <c r="D389" s="18">
        <v>85.0</v>
      </c>
      <c r="E389" s="16" t="s">
        <v>1926</v>
      </c>
      <c r="F389" s="16" t="s">
        <v>1943</v>
      </c>
      <c r="G389" s="16" t="s">
        <v>1875</v>
      </c>
      <c r="H389" s="20">
        <v>41836.0</v>
      </c>
      <c r="I389" s="16"/>
      <c r="J389" s="18">
        <v>1.0</v>
      </c>
      <c r="K389" s="16" t="s">
        <v>2028</v>
      </c>
      <c r="L389" s="16" t="s">
        <v>138</v>
      </c>
      <c r="M389" s="21" t="s">
        <v>36</v>
      </c>
      <c r="N389" s="22"/>
      <c r="O389" s="22"/>
      <c r="P389" s="23"/>
      <c r="Q389" s="19"/>
      <c r="R389" s="19"/>
      <c r="S389" s="19"/>
      <c r="T389" s="19"/>
      <c r="U389" s="19"/>
      <c r="V389" s="19"/>
      <c r="W389" s="19"/>
      <c r="X389" s="19"/>
      <c r="Y389" s="21" t="s">
        <v>48</v>
      </c>
      <c r="Z389" s="23"/>
      <c r="AA389" s="16" t="s">
        <v>50</v>
      </c>
      <c r="AB389" s="19"/>
      <c r="AC389" s="19"/>
      <c r="AD389" s="19"/>
      <c r="AE389" s="21" t="s">
        <v>54</v>
      </c>
      <c r="AF389" s="23"/>
      <c r="AG389" s="19"/>
      <c r="AH389" s="21" t="s">
        <v>123</v>
      </c>
      <c r="AI389" s="23"/>
      <c r="AJ389" s="16" t="s">
        <v>168</v>
      </c>
      <c r="AK389" s="16" t="s">
        <v>153</v>
      </c>
      <c r="AL389" s="16" t="s">
        <v>126</v>
      </c>
      <c r="AM389" s="16" t="s">
        <v>126</v>
      </c>
      <c r="AN389" s="16" t="s">
        <v>126</v>
      </c>
      <c r="AO389" s="16" t="s">
        <v>181</v>
      </c>
      <c r="AP389" s="16" t="s">
        <v>181</v>
      </c>
      <c r="AQ389" s="16" t="s">
        <v>181</v>
      </c>
      <c r="AR389" s="16" t="s">
        <v>126</v>
      </c>
      <c r="AS389" s="19"/>
      <c r="AT389" s="19"/>
      <c r="AU389" s="16" t="s">
        <v>67</v>
      </c>
      <c r="AV389" s="21" t="s">
        <v>68</v>
      </c>
      <c r="AW389" s="23"/>
      <c r="AX389" s="21" t="s">
        <v>70</v>
      </c>
      <c r="AY389" s="22"/>
      <c r="AZ389" s="23"/>
      <c r="BA389" s="19"/>
      <c r="BB389" s="19"/>
      <c r="BC389" s="19"/>
      <c r="BD389" s="16" t="s">
        <v>76</v>
      </c>
      <c r="BE389" s="21" t="s">
        <v>77</v>
      </c>
      <c r="BF389" s="22"/>
      <c r="BG389" s="22"/>
      <c r="BH389" s="23"/>
      <c r="BI389" s="21" t="s">
        <v>52</v>
      </c>
      <c r="BJ389" s="23"/>
      <c r="BK389" s="19"/>
      <c r="BL389" s="21" t="s">
        <v>82</v>
      </c>
      <c r="BM389" s="23"/>
      <c r="BN389" s="16" t="s">
        <v>84</v>
      </c>
      <c r="BO389" s="21" t="s">
        <v>85</v>
      </c>
      <c r="BP389" s="22"/>
      <c r="BQ389" s="22"/>
      <c r="BR389" s="23"/>
      <c r="BS389" s="19"/>
      <c r="BT389" s="19"/>
      <c r="BU389" s="19"/>
      <c r="BV389" s="19"/>
      <c r="BW389" s="16" t="s">
        <v>92</v>
      </c>
      <c r="BX389" s="21" t="s">
        <v>2029</v>
      </c>
      <c r="BY389" s="22"/>
      <c r="BZ389" s="23"/>
      <c r="CA389" s="19"/>
      <c r="CB389" s="21" t="s">
        <v>96</v>
      </c>
      <c r="CC389" s="23"/>
      <c r="CD389" s="19"/>
      <c r="CE389" s="21" t="s">
        <v>99</v>
      </c>
      <c r="CF389" s="23"/>
      <c r="CG389" s="16" t="s">
        <v>128</v>
      </c>
      <c r="CH389" s="16" t="s">
        <v>100</v>
      </c>
      <c r="CI389" s="16" t="s">
        <v>101</v>
      </c>
      <c r="CJ389" s="16" t="s">
        <v>102</v>
      </c>
      <c r="CK389" s="16" t="s">
        <v>103</v>
      </c>
      <c r="CL389" s="21" t="s">
        <v>104</v>
      </c>
      <c r="CM389" s="23"/>
      <c r="CN389" s="16" t="s">
        <v>128</v>
      </c>
      <c r="CO389" s="16" t="s">
        <v>105</v>
      </c>
      <c r="CP389" s="16" t="s">
        <v>106</v>
      </c>
      <c r="CQ389" s="16" t="s">
        <v>107</v>
      </c>
      <c r="CR389" s="16" t="s">
        <v>108</v>
      </c>
      <c r="CS389" s="16" t="s">
        <v>109</v>
      </c>
      <c r="CT389" s="21" t="s">
        <v>110</v>
      </c>
      <c r="CU389" s="23"/>
      <c r="CV389" s="16" t="s">
        <v>128</v>
      </c>
      <c r="CW389" s="16" t="s">
        <v>111</v>
      </c>
      <c r="CX389" s="21" t="s">
        <v>112</v>
      </c>
      <c r="CY389" s="23"/>
      <c r="CZ389" s="16" t="s">
        <v>114</v>
      </c>
      <c r="DA389" s="21" t="s">
        <v>115</v>
      </c>
      <c r="DB389" s="23"/>
      <c r="DC389" s="16" t="s">
        <v>129</v>
      </c>
      <c r="DD389" s="16" t="s">
        <v>129</v>
      </c>
      <c r="DE389" s="16" t="s">
        <v>129</v>
      </c>
      <c r="DF389" s="16" t="s">
        <v>129</v>
      </c>
      <c r="DG389" s="16" t="s">
        <v>2030</v>
      </c>
      <c r="DH389" s="16" t="s">
        <v>2031</v>
      </c>
      <c r="DI389" s="16" t="s">
        <v>2032</v>
      </c>
      <c r="DJ389" s="21" t="s">
        <v>2033</v>
      </c>
      <c r="DK389" s="22"/>
      <c r="DL389" s="23"/>
      <c r="DM389" s="16" t="s">
        <v>2034</v>
      </c>
      <c r="DN389" s="16" t="s">
        <v>2026</v>
      </c>
      <c r="DO389" s="16" t="s">
        <v>2035</v>
      </c>
    </row>
    <row r="390" ht="15.75" customHeight="1">
      <c r="A390" s="15">
        <v>388.0</v>
      </c>
      <c r="B390" s="16" t="s">
        <v>2036</v>
      </c>
      <c r="C390" s="17">
        <v>3.1910022601584E13</v>
      </c>
      <c r="D390" s="18">
        <v>67.0</v>
      </c>
      <c r="E390" s="16" t="s">
        <v>2037</v>
      </c>
      <c r="F390" s="16" t="s">
        <v>1875</v>
      </c>
      <c r="G390" s="16" t="s">
        <v>1875</v>
      </c>
      <c r="H390" s="20">
        <v>43740.0</v>
      </c>
      <c r="I390" s="16"/>
      <c r="J390" s="18">
        <v>1.0</v>
      </c>
      <c r="K390" s="16" t="s">
        <v>2038</v>
      </c>
      <c r="L390" s="16" t="s">
        <v>138</v>
      </c>
      <c r="M390" s="21" t="s">
        <v>36</v>
      </c>
      <c r="N390" s="22"/>
      <c r="O390" s="22"/>
      <c r="P390" s="23"/>
      <c r="Q390" s="19"/>
      <c r="R390" s="19"/>
      <c r="S390" s="19"/>
      <c r="T390" s="19"/>
      <c r="U390" s="19"/>
      <c r="V390" s="19"/>
      <c r="W390" s="16" t="s">
        <v>46</v>
      </c>
      <c r="X390" s="21" t="s">
        <v>47</v>
      </c>
      <c r="Y390" s="23"/>
      <c r="Z390" s="19"/>
      <c r="AA390" s="16" t="s">
        <v>50</v>
      </c>
      <c r="AB390" s="19"/>
      <c r="AC390" s="21" t="s">
        <v>52</v>
      </c>
      <c r="AD390" s="23"/>
      <c r="AE390" s="16" t="s">
        <v>54</v>
      </c>
      <c r="AF390" s="21" t="s">
        <v>55</v>
      </c>
      <c r="AG390" s="23"/>
      <c r="AH390" s="21" t="s">
        <v>123</v>
      </c>
      <c r="AI390" s="23"/>
      <c r="AJ390" s="16" t="s">
        <v>168</v>
      </c>
      <c r="AK390" s="16" t="s">
        <v>153</v>
      </c>
      <c r="AL390" s="16" t="s">
        <v>126</v>
      </c>
      <c r="AM390" s="16" t="s">
        <v>143</v>
      </c>
      <c r="AN390" s="16" t="s">
        <v>126</v>
      </c>
      <c r="AO390" s="16" t="s">
        <v>126</v>
      </c>
      <c r="AP390" s="16" t="s">
        <v>126</v>
      </c>
      <c r="AQ390" s="16" t="s">
        <v>126</v>
      </c>
      <c r="AR390" s="16" t="s">
        <v>126</v>
      </c>
      <c r="AS390" s="21" t="s">
        <v>65</v>
      </c>
      <c r="AT390" s="22"/>
      <c r="AU390" s="23"/>
      <c r="AV390" s="19"/>
      <c r="AW390" s="21" t="s">
        <v>69</v>
      </c>
      <c r="AX390" s="22"/>
      <c r="AY390" s="23"/>
      <c r="AZ390" s="19"/>
      <c r="BA390" s="19"/>
      <c r="BB390" s="19"/>
      <c r="BC390" s="19"/>
      <c r="BD390" s="16" t="s">
        <v>76</v>
      </c>
      <c r="BE390" s="21" t="s">
        <v>77</v>
      </c>
      <c r="BF390" s="22"/>
      <c r="BG390" s="22"/>
      <c r="BH390" s="23"/>
      <c r="BI390" s="21" t="s">
        <v>52</v>
      </c>
      <c r="BJ390" s="23"/>
      <c r="BK390" s="16" t="s">
        <v>81</v>
      </c>
      <c r="BL390" s="19"/>
      <c r="BM390" s="21" t="s">
        <v>83</v>
      </c>
      <c r="BN390" s="23"/>
      <c r="BO390" s="21" t="s">
        <v>85</v>
      </c>
      <c r="BP390" s="23"/>
      <c r="BQ390" s="21" t="s">
        <v>86</v>
      </c>
      <c r="BR390" s="23"/>
      <c r="BS390" s="21" t="s">
        <v>88</v>
      </c>
      <c r="BT390" s="23"/>
      <c r="BU390" s="21" t="s">
        <v>90</v>
      </c>
      <c r="BV390" s="23"/>
      <c r="BW390" s="21" t="s">
        <v>92</v>
      </c>
      <c r="BX390" s="23"/>
      <c r="BY390" s="21" t="s">
        <v>93</v>
      </c>
      <c r="BZ390" s="22"/>
      <c r="CA390" s="23"/>
      <c r="CB390" s="19"/>
      <c r="CC390" s="19"/>
      <c r="CD390" s="19"/>
      <c r="CE390" s="19"/>
      <c r="CF390" s="19"/>
      <c r="CG390" s="16" t="s">
        <v>128</v>
      </c>
      <c r="CH390" s="16" t="s">
        <v>100</v>
      </c>
      <c r="CI390" s="16" t="s">
        <v>101</v>
      </c>
      <c r="CJ390" s="21" t="s">
        <v>102</v>
      </c>
      <c r="CK390" s="23"/>
      <c r="CL390" s="21" t="s">
        <v>104</v>
      </c>
      <c r="CM390" s="23"/>
      <c r="CN390" s="16" t="s">
        <v>128</v>
      </c>
      <c r="CO390" s="16" t="s">
        <v>105</v>
      </c>
      <c r="CP390" s="16" t="s">
        <v>106</v>
      </c>
      <c r="CQ390" s="16" t="s">
        <v>107</v>
      </c>
      <c r="CR390" s="16" t="s">
        <v>108</v>
      </c>
      <c r="CS390" s="16" t="s">
        <v>109</v>
      </c>
      <c r="CT390" s="21" t="s">
        <v>110</v>
      </c>
      <c r="CU390" s="23"/>
      <c r="CV390" s="16" t="s">
        <v>128</v>
      </c>
      <c r="CW390" s="19"/>
      <c r="CX390" s="16" t="s">
        <v>112</v>
      </c>
      <c r="CY390" s="21" t="s">
        <v>113</v>
      </c>
      <c r="CZ390" s="23"/>
      <c r="DA390" s="21" t="s">
        <v>115</v>
      </c>
      <c r="DB390" s="23"/>
      <c r="DC390" s="16" t="s">
        <v>129</v>
      </c>
      <c r="DD390" s="16" t="s">
        <v>129</v>
      </c>
      <c r="DE390" s="16" t="s">
        <v>129</v>
      </c>
      <c r="DF390" s="16" t="s">
        <v>129</v>
      </c>
      <c r="DG390" s="16" t="s">
        <v>2039</v>
      </c>
      <c r="DH390" s="16" t="s">
        <v>2040</v>
      </c>
      <c r="DI390" s="16" t="s">
        <v>2041</v>
      </c>
      <c r="DJ390" s="21" t="s">
        <v>2042</v>
      </c>
      <c r="DK390" s="22"/>
      <c r="DL390" s="23"/>
      <c r="DM390" s="16" t="s">
        <v>2043</v>
      </c>
      <c r="DN390" s="21" t="s">
        <v>2044</v>
      </c>
      <c r="DO390" s="23"/>
    </row>
    <row r="391" ht="15.75" customHeight="1">
      <c r="A391" s="15">
        <v>389.0</v>
      </c>
      <c r="B391" s="16" t="s">
        <v>2045</v>
      </c>
      <c r="C391" s="17">
        <v>3.1112092601235E13</v>
      </c>
      <c r="D391" s="18">
        <v>133.0</v>
      </c>
      <c r="E391" s="16" t="s">
        <v>2046</v>
      </c>
      <c r="F391" s="16" t="s">
        <v>2047</v>
      </c>
      <c r="G391" s="16" t="s">
        <v>1875</v>
      </c>
      <c r="H391" s="20">
        <v>40886.0</v>
      </c>
      <c r="I391" s="18">
        <v>1.0</v>
      </c>
      <c r="J391" s="19"/>
      <c r="K391" s="16" t="s">
        <v>2048</v>
      </c>
      <c r="L391" s="21" t="s">
        <v>138</v>
      </c>
      <c r="M391" s="23"/>
      <c r="N391" s="19"/>
      <c r="O391" s="19"/>
      <c r="P391" s="19"/>
      <c r="Q391" s="19"/>
      <c r="R391" s="19"/>
      <c r="S391" s="19"/>
      <c r="T391" s="19"/>
      <c r="U391" s="19"/>
      <c r="V391" s="16" t="s">
        <v>2049</v>
      </c>
      <c r="W391" s="16" t="s">
        <v>46</v>
      </c>
      <c r="X391" s="16" t="s">
        <v>47</v>
      </c>
      <c r="Y391" s="21" t="s">
        <v>48</v>
      </c>
      <c r="Z391" s="23"/>
      <c r="AA391" s="19"/>
      <c r="AB391" s="19"/>
      <c r="AC391" s="19"/>
      <c r="AD391" s="19"/>
      <c r="AE391" s="19"/>
      <c r="AF391" s="19"/>
      <c r="AG391" s="19"/>
      <c r="AH391" s="21" t="s">
        <v>357</v>
      </c>
      <c r="AI391" s="23"/>
      <c r="AJ391" s="16" t="s">
        <v>124</v>
      </c>
      <c r="AK391" s="16" t="s">
        <v>153</v>
      </c>
      <c r="AL391" s="16" t="s">
        <v>181</v>
      </c>
      <c r="AM391" s="16" t="s">
        <v>181</v>
      </c>
      <c r="AN391" s="16" t="s">
        <v>181</v>
      </c>
      <c r="AO391" s="16" t="s">
        <v>181</v>
      </c>
      <c r="AP391" s="16" t="s">
        <v>181</v>
      </c>
      <c r="AQ391" s="16" t="s">
        <v>181</v>
      </c>
      <c r="AR391" s="16" t="s">
        <v>181</v>
      </c>
      <c r="AS391" s="19"/>
      <c r="AT391" s="19"/>
      <c r="AU391" s="16" t="s">
        <v>67</v>
      </c>
      <c r="AV391" s="16" t="s">
        <v>68</v>
      </c>
      <c r="AW391" s="16" t="s">
        <v>69</v>
      </c>
      <c r="AX391" s="21" t="s">
        <v>70</v>
      </c>
      <c r="AY391" s="22"/>
      <c r="AZ391" s="23"/>
      <c r="BA391" s="19"/>
      <c r="BB391" s="19"/>
      <c r="BC391" s="19"/>
      <c r="BD391" s="19"/>
      <c r="BE391" s="19"/>
      <c r="BF391" s="19"/>
      <c r="BG391" s="16" t="s">
        <v>78</v>
      </c>
      <c r="BH391" s="21" t="s">
        <v>79</v>
      </c>
      <c r="BI391" s="23"/>
      <c r="BJ391" s="19"/>
      <c r="BK391" s="19"/>
      <c r="BL391" s="21" t="s">
        <v>82</v>
      </c>
      <c r="BM391" s="23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6" t="s">
        <v>96</v>
      </c>
      <c r="CC391" s="16" t="s">
        <v>97</v>
      </c>
      <c r="CD391" s="21" t="s">
        <v>98</v>
      </c>
      <c r="CE391" s="23"/>
      <c r="CF391" s="19"/>
      <c r="CG391" s="16" t="s">
        <v>128</v>
      </c>
      <c r="CH391" s="21" t="s">
        <v>100</v>
      </c>
      <c r="CI391" s="23"/>
      <c r="CJ391" s="19"/>
      <c r="CK391" s="16" t="s">
        <v>103</v>
      </c>
      <c r="CL391" s="21" t="s">
        <v>104</v>
      </c>
      <c r="CM391" s="23"/>
      <c r="CN391" s="16" t="s">
        <v>128</v>
      </c>
      <c r="CO391" s="16" t="s">
        <v>105</v>
      </c>
      <c r="CP391" s="16" t="s">
        <v>106</v>
      </c>
      <c r="CQ391" s="16" t="s">
        <v>107</v>
      </c>
      <c r="CR391" s="21" t="s">
        <v>108</v>
      </c>
      <c r="CS391" s="23"/>
      <c r="CT391" s="21" t="s">
        <v>110</v>
      </c>
      <c r="CU391" s="23"/>
      <c r="CV391" s="16" t="s">
        <v>128</v>
      </c>
      <c r="CW391" s="16" t="s">
        <v>111</v>
      </c>
      <c r="CX391" s="21" t="s">
        <v>112</v>
      </c>
      <c r="CY391" s="22"/>
      <c r="CZ391" s="23"/>
      <c r="DA391" s="21" t="s">
        <v>115</v>
      </c>
      <c r="DB391" s="23"/>
      <c r="DC391" s="16" t="s">
        <v>129</v>
      </c>
      <c r="DD391" s="16" t="s">
        <v>129</v>
      </c>
      <c r="DE391" s="16" t="s">
        <v>129</v>
      </c>
      <c r="DF391" s="16" t="s">
        <v>129</v>
      </c>
      <c r="DG391" s="16" t="s">
        <v>2050</v>
      </c>
      <c r="DH391" s="16" t="s">
        <v>2051</v>
      </c>
      <c r="DI391" s="16" t="s">
        <v>2052</v>
      </c>
      <c r="DJ391" s="16" t="s">
        <v>2053</v>
      </c>
      <c r="DK391" s="16" t="s">
        <v>2054</v>
      </c>
      <c r="DL391" s="16" t="s">
        <v>2055</v>
      </c>
      <c r="DM391" s="16" t="s">
        <v>2056</v>
      </c>
      <c r="DN391" s="16" t="s">
        <v>2057</v>
      </c>
      <c r="DO391" s="16" t="s">
        <v>2058</v>
      </c>
    </row>
    <row r="392" ht="15.75" customHeight="1">
      <c r="A392" s="15">
        <v>390.0</v>
      </c>
      <c r="B392" s="16" t="s">
        <v>2059</v>
      </c>
      <c r="C392" s="17">
        <v>3.1207242601275E13</v>
      </c>
      <c r="D392" s="18">
        <v>37.0</v>
      </c>
      <c r="E392" s="16" t="s">
        <v>1926</v>
      </c>
      <c r="F392" s="16" t="s">
        <v>1875</v>
      </c>
      <c r="G392" s="16" t="s">
        <v>1875</v>
      </c>
      <c r="H392" s="20">
        <v>41114.0</v>
      </c>
      <c r="I392" s="18">
        <v>1.0</v>
      </c>
      <c r="J392" s="19"/>
      <c r="K392" s="16" t="s">
        <v>2060</v>
      </c>
      <c r="L392" s="16" t="s">
        <v>138</v>
      </c>
      <c r="M392" s="21" t="s">
        <v>36</v>
      </c>
      <c r="N392" s="22"/>
      <c r="O392" s="22"/>
      <c r="P392" s="23"/>
      <c r="Q392" s="19"/>
      <c r="R392" s="19"/>
      <c r="S392" s="19"/>
      <c r="T392" s="19"/>
      <c r="U392" s="19"/>
      <c r="V392" s="19"/>
      <c r="W392" s="19"/>
      <c r="X392" s="19"/>
      <c r="Y392" s="21" t="s">
        <v>48</v>
      </c>
      <c r="Z392" s="23"/>
      <c r="AA392" s="19"/>
      <c r="AB392" s="19"/>
      <c r="AC392" s="21" t="s">
        <v>52</v>
      </c>
      <c r="AD392" s="23"/>
      <c r="AE392" s="19"/>
      <c r="AF392" s="19"/>
      <c r="AG392" s="19"/>
      <c r="AH392" s="21" t="s">
        <v>123</v>
      </c>
      <c r="AI392" s="23"/>
      <c r="AJ392" s="16" t="s">
        <v>168</v>
      </c>
      <c r="AK392" s="16" t="s">
        <v>153</v>
      </c>
      <c r="AL392" s="16" t="s">
        <v>126</v>
      </c>
      <c r="AM392" s="16" t="s">
        <v>126</v>
      </c>
      <c r="AN392" s="16" t="s">
        <v>181</v>
      </c>
      <c r="AO392" s="16" t="s">
        <v>181</v>
      </c>
      <c r="AP392" s="16" t="s">
        <v>181</v>
      </c>
      <c r="AQ392" s="16" t="s">
        <v>181</v>
      </c>
      <c r="AR392" s="16" t="s">
        <v>126</v>
      </c>
      <c r="AS392" s="19"/>
      <c r="AT392" s="19"/>
      <c r="AU392" s="19"/>
      <c r="AV392" s="21" t="s">
        <v>68</v>
      </c>
      <c r="AW392" s="22"/>
      <c r="AX392" s="23"/>
      <c r="AY392" s="19"/>
      <c r="AZ392" s="19"/>
      <c r="BA392" s="19"/>
      <c r="BB392" s="19"/>
      <c r="BC392" s="19"/>
      <c r="BD392" s="19"/>
      <c r="BE392" s="21" t="s">
        <v>77</v>
      </c>
      <c r="BF392" s="22"/>
      <c r="BG392" s="22"/>
      <c r="BH392" s="23"/>
      <c r="BI392" s="19"/>
      <c r="BJ392" s="19"/>
      <c r="BK392" s="19"/>
      <c r="BL392" s="19"/>
      <c r="BM392" s="19"/>
      <c r="BN392" s="19"/>
      <c r="BO392" s="21" t="s">
        <v>85</v>
      </c>
      <c r="BP392" s="22"/>
      <c r="BQ392" s="22"/>
      <c r="BR392" s="23"/>
      <c r="BS392" s="19"/>
      <c r="BT392" s="19"/>
      <c r="BU392" s="19"/>
      <c r="BV392" s="16" t="s">
        <v>91</v>
      </c>
      <c r="BW392" s="19"/>
      <c r="BX392" s="19"/>
      <c r="BY392" s="19"/>
      <c r="BZ392" s="19"/>
      <c r="CA392" s="19"/>
      <c r="CB392" s="21" t="s">
        <v>96</v>
      </c>
      <c r="CC392" s="23"/>
      <c r="CD392" s="19"/>
      <c r="CE392" s="19"/>
      <c r="CF392" s="19"/>
      <c r="CG392" s="16" t="s">
        <v>128</v>
      </c>
      <c r="CH392" s="19"/>
      <c r="CI392" s="19"/>
      <c r="CJ392" s="19"/>
      <c r="CK392" s="21" t="s">
        <v>103</v>
      </c>
      <c r="CL392" s="23"/>
      <c r="CM392" s="19"/>
      <c r="CN392" s="16" t="s">
        <v>128</v>
      </c>
      <c r="CO392" s="16" t="s">
        <v>105</v>
      </c>
      <c r="CP392" s="21" t="s">
        <v>106</v>
      </c>
      <c r="CQ392" s="23"/>
      <c r="CR392" s="16" t="s">
        <v>108</v>
      </c>
      <c r="CS392" s="16" t="s">
        <v>109</v>
      </c>
      <c r="CT392" s="21" t="s">
        <v>110</v>
      </c>
      <c r="CU392" s="23"/>
      <c r="CV392" s="16" t="s">
        <v>128</v>
      </c>
      <c r="CW392" s="19"/>
      <c r="CX392" s="21" t="s">
        <v>112</v>
      </c>
      <c r="CY392" s="23"/>
      <c r="CZ392" s="16" t="s">
        <v>114</v>
      </c>
      <c r="DA392" s="21" t="s">
        <v>115</v>
      </c>
      <c r="DB392" s="23"/>
      <c r="DC392" s="16" t="s">
        <v>129</v>
      </c>
      <c r="DD392" s="16" t="s">
        <v>129</v>
      </c>
      <c r="DE392" s="16" t="s">
        <v>129</v>
      </c>
      <c r="DF392" s="16" t="s">
        <v>129</v>
      </c>
      <c r="DG392" s="21" t="s">
        <v>1608</v>
      </c>
      <c r="DH392" s="23"/>
      <c r="DI392" s="19"/>
      <c r="DJ392" s="21" t="s">
        <v>1940</v>
      </c>
      <c r="DK392" s="23"/>
      <c r="DL392" s="19"/>
      <c r="DM392" s="21" t="s">
        <v>1930</v>
      </c>
      <c r="DN392" s="23"/>
      <c r="DO392" s="19"/>
    </row>
    <row r="393" ht="15.75" customHeight="1">
      <c r="A393" s="15">
        <v>391.0</v>
      </c>
      <c r="B393" s="16" t="s">
        <v>2061</v>
      </c>
      <c r="C393" s="17">
        <v>3.0902072603069E13</v>
      </c>
      <c r="D393" s="18">
        <v>134.0</v>
      </c>
      <c r="E393" s="16" t="s">
        <v>2046</v>
      </c>
      <c r="F393" s="16" t="s">
        <v>2047</v>
      </c>
      <c r="G393" s="16" t="s">
        <v>1875</v>
      </c>
      <c r="H393" s="20">
        <v>39851.0</v>
      </c>
      <c r="I393" s="16"/>
      <c r="J393" s="18">
        <v>1.0</v>
      </c>
      <c r="K393" s="16" t="s">
        <v>2048</v>
      </c>
      <c r="L393" s="21" t="s">
        <v>138</v>
      </c>
      <c r="M393" s="23"/>
      <c r="N393" s="19"/>
      <c r="O393" s="19"/>
      <c r="P393" s="19"/>
      <c r="Q393" s="19"/>
      <c r="R393" s="19"/>
      <c r="S393" s="19"/>
      <c r="T393" s="19"/>
      <c r="U393" s="19"/>
      <c r="V393" s="16" t="s">
        <v>2049</v>
      </c>
      <c r="W393" s="16" t="s">
        <v>46</v>
      </c>
      <c r="X393" s="16" t="s">
        <v>47</v>
      </c>
      <c r="Y393" s="21" t="s">
        <v>48</v>
      </c>
      <c r="Z393" s="23"/>
      <c r="AA393" s="16" t="s">
        <v>50</v>
      </c>
      <c r="AB393" s="19"/>
      <c r="AC393" s="21" t="s">
        <v>52</v>
      </c>
      <c r="AD393" s="23"/>
      <c r="AE393" s="19"/>
      <c r="AF393" s="19"/>
      <c r="AG393" s="19"/>
      <c r="AH393" s="21" t="s">
        <v>357</v>
      </c>
      <c r="AI393" s="23"/>
      <c r="AJ393" s="16" t="s">
        <v>124</v>
      </c>
      <c r="AK393" s="16" t="s">
        <v>153</v>
      </c>
      <c r="AL393" s="16" t="s">
        <v>181</v>
      </c>
      <c r="AM393" s="16" t="s">
        <v>181</v>
      </c>
      <c r="AN393" s="16" t="s">
        <v>181</v>
      </c>
      <c r="AO393" s="16" t="s">
        <v>181</v>
      </c>
      <c r="AP393" s="16" t="s">
        <v>181</v>
      </c>
      <c r="AQ393" s="16" t="s">
        <v>181</v>
      </c>
      <c r="AR393" s="16" t="s">
        <v>181</v>
      </c>
      <c r="AS393" s="19"/>
      <c r="AT393" s="19"/>
      <c r="AU393" s="19"/>
      <c r="AV393" s="19"/>
      <c r="AW393" s="19"/>
      <c r="AX393" s="19"/>
      <c r="AY393" s="19"/>
      <c r="AZ393" s="19"/>
      <c r="BA393" s="16" t="s">
        <v>73</v>
      </c>
      <c r="BB393" s="16" t="s">
        <v>74</v>
      </c>
      <c r="BC393" s="16" t="s">
        <v>75</v>
      </c>
      <c r="BD393" s="21" t="s">
        <v>76</v>
      </c>
      <c r="BE393" s="22"/>
      <c r="BF393" s="22"/>
      <c r="BG393" s="23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21" t="s">
        <v>88</v>
      </c>
      <c r="BT393" s="23"/>
      <c r="BU393" s="16" t="s">
        <v>90</v>
      </c>
      <c r="BV393" s="16" t="s">
        <v>91</v>
      </c>
      <c r="BW393" s="21" t="s">
        <v>92</v>
      </c>
      <c r="BX393" s="22"/>
      <c r="BY393" s="23"/>
      <c r="BZ393" s="19"/>
      <c r="CA393" s="19"/>
      <c r="CB393" s="16" t="s">
        <v>96</v>
      </c>
      <c r="CC393" s="21" t="s">
        <v>97</v>
      </c>
      <c r="CD393" s="23"/>
      <c r="CE393" s="19"/>
      <c r="CF393" s="19"/>
      <c r="CG393" s="16" t="s">
        <v>128</v>
      </c>
      <c r="CH393" s="21" t="s">
        <v>100</v>
      </c>
      <c r="CI393" s="23"/>
      <c r="CJ393" s="16" t="s">
        <v>102</v>
      </c>
      <c r="CK393" s="16" t="s">
        <v>103</v>
      </c>
      <c r="CL393" s="21" t="s">
        <v>104</v>
      </c>
      <c r="CM393" s="23"/>
      <c r="CN393" s="16" t="s">
        <v>128</v>
      </c>
      <c r="CO393" s="16" t="s">
        <v>105</v>
      </c>
      <c r="CP393" s="21" t="s">
        <v>106</v>
      </c>
      <c r="CQ393" s="23"/>
      <c r="CR393" s="21" t="s">
        <v>108</v>
      </c>
      <c r="CS393" s="23"/>
      <c r="CT393" s="21" t="s">
        <v>110</v>
      </c>
      <c r="CU393" s="23"/>
      <c r="CV393" s="16" t="s">
        <v>128</v>
      </c>
      <c r="CW393" s="16" t="s">
        <v>111</v>
      </c>
      <c r="CX393" s="21" t="s">
        <v>112</v>
      </c>
      <c r="CY393" s="23"/>
      <c r="CZ393" s="16" t="s">
        <v>114</v>
      </c>
      <c r="DA393" s="21" t="s">
        <v>115</v>
      </c>
      <c r="DB393" s="23"/>
      <c r="DC393" s="16" t="s">
        <v>129</v>
      </c>
      <c r="DD393" s="16" t="s">
        <v>129</v>
      </c>
      <c r="DE393" s="16" t="s">
        <v>129</v>
      </c>
      <c r="DF393" s="16" t="s">
        <v>129</v>
      </c>
      <c r="DG393" s="16" t="s">
        <v>2062</v>
      </c>
      <c r="DH393" s="16" t="s">
        <v>2063</v>
      </c>
      <c r="DI393" s="16" t="s">
        <v>2064</v>
      </c>
      <c r="DJ393" s="16" t="s">
        <v>2065</v>
      </c>
      <c r="DK393" s="21" t="s">
        <v>2066</v>
      </c>
      <c r="DL393" s="23"/>
      <c r="DM393" s="16" t="s">
        <v>2057</v>
      </c>
      <c r="DN393" s="16" t="s">
        <v>2058</v>
      </c>
      <c r="DO393" s="16" t="s">
        <v>2067</v>
      </c>
    </row>
    <row r="394" ht="15.75" customHeight="1">
      <c r="A394" s="15">
        <v>392.0</v>
      </c>
      <c r="B394" s="16" t="s">
        <v>2068</v>
      </c>
      <c r="C394" s="17">
        <v>3.11212122605421E14</v>
      </c>
      <c r="D394" s="18">
        <v>118.0</v>
      </c>
      <c r="E394" s="16" t="s">
        <v>2069</v>
      </c>
      <c r="F394" s="16" t="s">
        <v>2070</v>
      </c>
      <c r="G394" s="16" t="s">
        <v>1875</v>
      </c>
      <c r="H394" s="25">
        <v>41255.0</v>
      </c>
      <c r="I394" s="16"/>
      <c r="J394" s="18">
        <v>1.0</v>
      </c>
      <c r="K394" s="16" t="s">
        <v>2071</v>
      </c>
      <c r="L394" s="16" t="s">
        <v>138</v>
      </c>
      <c r="M394" s="21" t="s">
        <v>36</v>
      </c>
      <c r="N394" s="22"/>
      <c r="O394" s="22"/>
      <c r="P394" s="23"/>
      <c r="Q394" s="19"/>
      <c r="R394" s="19"/>
      <c r="S394" s="19"/>
      <c r="T394" s="19"/>
      <c r="U394" s="19"/>
      <c r="V394" s="19"/>
      <c r="W394" s="16" t="s">
        <v>46</v>
      </c>
      <c r="X394" s="16" t="s">
        <v>47</v>
      </c>
      <c r="Y394" s="21" t="s">
        <v>48</v>
      </c>
      <c r="Z394" s="23"/>
      <c r="AA394" s="16" t="s">
        <v>50</v>
      </c>
      <c r="AB394" s="19"/>
      <c r="AC394" s="19"/>
      <c r="AD394" s="19"/>
      <c r="AE394" s="19"/>
      <c r="AF394" s="19"/>
      <c r="AG394" s="19"/>
      <c r="AH394" s="21" t="s">
        <v>123</v>
      </c>
      <c r="AI394" s="23"/>
      <c r="AJ394" s="16" t="s">
        <v>124</v>
      </c>
      <c r="AK394" s="16" t="s">
        <v>142</v>
      </c>
      <c r="AL394" s="16" t="s">
        <v>181</v>
      </c>
      <c r="AM394" s="16" t="s">
        <v>181</v>
      </c>
      <c r="AN394" s="16" t="s">
        <v>181</v>
      </c>
      <c r="AO394" s="16" t="s">
        <v>181</v>
      </c>
      <c r="AP394" s="16" t="s">
        <v>181</v>
      </c>
      <c r="AQ394" s="16" t="s">
        <v>181</v>
      </c>
      <c r="AR394" s="16" t="s">
        <v>181</v>
      </c>
      <c r="AS394" s="21" t="s">
        <v>65</v>
      </c>
      <c r="AT394" s="22"/>
      <c r="AU394" s="23"/>
      <c r="AV394" s="21" t="s">
        <v>68</v>
      </c>
      <c r="AW394" s="22"/>
      <c r="AX394" s="23"/>
      <c r="AY394" s="19"/>
      <c r="AZ394" s="19"/>
      <c r="BA394" s="21" t="s">
        <v>73</v>
      </c>
      <c r="BB394" s="23"/>
      <c r="BC394" s="19"/>
      <c r="BD394" s="19"/>
      <c r="BE394" s="19"/>
      <c r="BF394" s="19"/>
      <c r="BG394" s="21" t="s">
        <v>78</v>
      </c>
      <c r="BH394" s="23"/>
      <c r="BI394" s="19"/>
      <c r="BJ394" s="19"/>
      <c r="BK394" s="16" t="s">
        <v>81</v>
      </c>
      <c r="BL394" s="19"/>
      <c r="BM394" s="19"/>
      <c r="BN394" s="19"/>
      <c r="BO394" s="19"/>
      <c r="BP394" s="19"/>
      <c r="BQ394" s="19"/>
      <c r="BR394" s="19"/>
      <c r="BS394" s="19"/>
      <c r="BT394" s="21" t="s">
        <v>89</v>
      </c>
      <c r="BU394" s="22"/>
      <c r="BV394" s="23"/>
      <c r="BW394" s="19"/>
      <c r="BX394" s="19"/>
      <c r="BY394" s="19"/>
      <c r="BZ394" s="19"/>
      <c r="CA394" s="19"/>
      <c r="CB394" s="21" t="s">
        <v>96</v>
      </c>
      <c r="CC394" s="23"/>
      <c r="CD394" s="21" t="s">
        <v>98</v>
      </c>
      <c r="CE394" s="23"/>
      <c r="CF394" s="19"/>
      <c r="CG394" s="16" t="s">
        <v>128</v>
      </c>
      <c r="CH394" s="19"/>
      <c r="CI394" s="19"/>
      <c r="CJ394" s="19"/>
      <c r="CK394" s="19"/>
      <c r="CL394" s="21" t="s">
        <v>104</v>
      </c>
      <c r="CM394" s="23"/>
      <c r="CN394" s="16" t="s">
        <v>128</v>
      </c>
      <c r="CO394" s="19"/>
      <c r="CP394" s="21" t="s">
        <v>106</v>
      </c>
      <c r="CQ394" s="22"/>
      <c r="CR394" s="22"/>
      <c r="CS394" s="23"/>
      <c r="CT394" s="19"/>
      <c r="CU394" s="19"/>
      <c r="CV394" s="16" t="s">
        <v>128</v>
      </c>
      <c r="CW394" s="19"/>
      <c r="CX394" s="19"/>
      <c r="CY394" s="21" t="s">
        <v>113</v>
      </c>
      <c r="CZ394" s="22"/>
      <c r="DA394" s="23"/>
      <c r="DB394" s="19"/>
      <c r="DC394" s="16" t="s">
        <v>129</v>
      </c>
      <c r="DD394" s="16" t="s">
        <v>129</v>
      </c>
      <c r="DE394" s="16" t="s">
        <v>129</v>
      </c>
      <c r="DF394" s="16" t="s">
        <v>129</v>
      </c>
      <c r="DG394" s="16" t="s">
        <v>2072</v>
      </c>
      <c r="DH394" s="16" t="s">
        <v>2073</v>
      </c>
      <c r="DI394" s="16" t="s">
        <v>869</v>
      </c>
      <c r="DJ394" s="16" t="s">
        <v>2074</v>
      </c>
      <c r="DK394" s="16" t="s">
        <v>2075</v>
      </c>
      <c r="DL394" s="16" t="s">
        <v>2076</v>
      </c>
      <c r="DM394" s="16" t="s">
        <v>2077</v>
      </c>
      <c r="DN394" s="16" t="s">
        <v>2078</v>
      </c>
      <c r="DO394" s="16" t="s">
        <v>2079</v>
      </c>
    </row>
    <row r="395" ht="15.75" customHeight="1">
      <c r="A395" s="15">
        <v>393.0</v>
      </c>
      <c r="B395" s="16" t="s">
        <v>2080</v>
      </c>
      <c r="C395" s="17">
        <v>3.1408132601213E13</v>
      </c>
      <c r="D395" s="18">
        <v>183.0</v>
      </c>
      <c r="E395" s="16" t="s">
        <v>2070</v>
      </c>
      <c r="F395" s="16" t="s">
        <v>2070</v>
      </c>
      <c r="G395" s="16" t="s">
        <v>1875</v>
      </c>
      <c r="H395" s="20">
        <v>41864.0</v>
      </c>
      <c r="I395" s="18">
        <v>1.0</v>
      </c>
      <c r="J395" s="19"/>
      <c r="K395" s="16" t="s">
        <v>2081</v>
      </c>
      <c r="L395" s="16" t="s">
        <v>138</v>
      </c>
      <c r="M395" s="21" t="s">
        <v>36</v>
      </c>
      <c r="N395" s="22"/>
      <c r="O395" s="22"/>
      <c r="P395" s="23"/>
      <c r="Q395" s="19"/>
      <c r="R395" s="19"/>
      <c r="S395" s="19"/>
      <c r="T395" s="19"/>
      <c r="U395" s="19"/>
      <c r="V395" s="19"/>
      <c r="W395" s="16" t="s">
        <v>46</v>
      </c>
      <c r="X395" s="16" t="s">
        <v>47</v>
      </c>
      <c r="Y395" s="21" t="s">
        <v>48</v>
      </c>
      <c r="Z395" s="23"/>
      <c r="AA395" s="19"/>
      <c r="AB395" s="19"/>
      <c r="AC395" s="19"/>
      <c r="AD395" s="19"/>
      <c r="AE395" s="19"/>
      <c r="AF395" s="19"/>
      <c r="AG395" s="19"/>
      <c r="AH395" s="21" t="s">
        <v>123</v>
      </c>
      <c r="AI395" s="23"/>
      <c r="AJ395" s="16" t="s">
        <v>124</v>
      </c>
      <c r="AK395" s="16" t="s">
        <v>142</v>
      </c>
      <c r="AL395" s="16" t="s">
        <v>181</v>
      </c>
      <c r="AM395" s="16" t="s">
        <v>181</v>
      </c>
      <c r="AN395" s="16" t="s">
        <v>181</v>
      </c>
      <c r="AO395" s="16" t="s">
        <v>181</v>
      </c>
      <c r="AP395" s="16" t="s">
        <v>181</v>
      </c>
      <c r="AQ395" s="16" t="s">
        <v>181</v>
      </c>
      <c r="AR395" s="16" t="s">
        <v>181</v>
      </c>
      <c r="AS395" s="21" t="s">
        <v>65</v>
      </c>
      <c r="AT395" s="22"/>
      <c r="AU395" s="23"/>
      <c r="AV395" s="21" t="s">
        <v>68</v>
      </c>
      <c r="AW395" s="22"/>
      <c r="AX395" s="23"/>
      <c r="AY395" s="19"/>
      <c r="AZ395" s="19"/>
      <c r="BA395" s="19"/>
      <c r="BB395" s="19"/>
      <c r="BC395" s="19"/>
      <c r="BD395" s="19"/>
      <c r="BE395" s="21" t="s">
        <v>77</v>
      </c>
      <c r="BF395" s="23"/>
      <c r="BG395" s="21" t="s">
        <v>78</v>
      </c>
      <c r="BH395" s="23"/>
      <c r="BI395" s="21" t="s">
        <v>52</v>
      </c>
      <c r="BJ395" s="23"/>
      <c r="BK395" s="16" t="s">
        <v>81</v>
      </c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21" t="s">
        <v>92</v>
      </c>
      <c r="BX395" s="22"/>
      <c r="BY395" s="23"/>
      <c r="BZ395" s="19"/>
      <c r="CA395" s="19"/>
      <c r="CB395" s="21" t="s">
        <v>96</v>
      </c>
      <c r="CC395" s="23"/>
      <c r="CD395" s="19"/>
      <c r="CE395" s="19"/>
      <c r="CF395" s="19"/>
      <c r="CG395" s="16" t="s">
        <v>128</v>
      </c>
      <c r="CH395" s="19"/>
      <c r="CI395" s="19"/>
      <c r="CJ395" s="19"/>
      <c r="CK395" s="19"/>
      <c r="CL395" s="21" t="s">
        <v>104</v>
      </c>
      <c r="CM395" s="23"/>
      <c r="CN395" s="16" t="s">
        <v>128</v>
      </c>
      <c r="CO395" s="19"/>
      <c r="CP395" s="21" t="s">
        <v>106</v>
      </c>
      <c r="CQ395" s="22"/>
      <c r="CR395" s="22"/>
      <c r="CS395" s="23"/>
      <c r="CT395" s="19"/>
      <c r="CU395" s="19"/>
      <c r="CV395" s="16" t="s">
        <v>128</v>
      </c>
      <c r="CW395" s="19"/>
      <c r="CX395" s="19"/>
      <c r="CY395" s="21" t="s">
        <v>113</v>
      </c>
      <c r="CZ395" s="22"/>
      <c r="DA395" s="23"/>
      <c r="DB395" s="19"/>
      <c r="DC395" s="16" t="s">
        <v>129</v>
      </c>
      <c r="DD395" s="16" t="s">
        <v>129</v>
      </c>
      <c r="DE395" s="16" t="s">
        <v>129</v>
      </c>
      <c r="DF395" s="16" t="s">
        <v>129</v>
      </c>
      <c r="DG395" s="16" t="s">
        <v>2072</v>
      </c>
      <c r="DH395" s="16" t="s">
        <v>2082</v>
      </c>
      <c r="DI395" s="16" t="s">
        <v>869</v>
      </c>
      <c r="DJ395" s="16" t="s">
        <v>2074</v>
      </c>
      <c r="DK395" s="16" t="s">
        <v>2083</v>
      </c>
      <c r="DL395" s="16" t="s">
        <v>2076</v>
      </c>
      <c r="DM395" s="16" t="s">
        <v>2077</v>
      </c>
      <c r="DN395" s="16" t="s">
        <v>2078</v>
      </c>
      <c r="DO395" s="16" t="s">
        <v>2079</v>
      </c>
    </row>
    <row r="396" ht="15.75" customHeight="1">
      <c r="A396" s="15">
        <v>394.0</v>
      </c>
      <c r="B396" s="16" t="s">
        <v>2084</v>
      </c>
      <c r="C396" s="17">
        <v>3.0901012649683E13</v>
      </c>
      <c r="D396" s="18">
        <v>77.0</v>
      </c>
      <c r="E396" s="16" t="s">
        <v>2085</v>
      </c>
      <c r="F396" s="16" t="s">
        <v>2047</v>
      </c>
      <c r="G396" s="16" t="s">
        <v>1875</v>
      </c>
      <c r="H396" s="20">
        <v>39814.0</v>
      </c>
      <c r="I396" s="16"/>
      <c r="J396" s="18">
        <v>1.0</v>
      </c>
      <c r="K396" s="16" t="s">
        <v>2086</v>
      </c>
      <c r="L396" s="21" t="s">
        <v>138</v>
      </c>
      <c r="M396" s="23"/>
      <c r="N396" s="19"/>
      <c r="O396" s="19"/>
      <c r="P396" s="19"/>
      <c r="Q396" s="19"/>
      <c r="R396" s="19"/>
      <c r="S396" s="19"/>
      <c r="T396" s="19"/>
      <c r="U396" s="19"/>
      <c r="V396" s="16" t="s">
        <v>2049</v>
      </c>
      <c r="W396" s="16" t="s">
        <v>46</v>
      </c>
      <c r="X396" s="16" t="s">
        <v>47</v>
      </c>
      <c r="Y396" s="21" t="s">
        <v>48</v>
      </c>
      <c r="Z396" s="23"/>
      <c r="AA396" s="16" t="s">
        <v>50</v>
      </c>
      <c r="AB396" s="19"/>
      <c r="AC396" s="19"/>
      <c r="AD396" s="19"/>
      <c r="AE396" s="19"/>
      <c r="AF396" s="19"/>
      <c r="AG396" s="19"/>
      <c r="AH396" s="21" t="s">
        <v>357</v>
      </c>
      <c r="AI396" s="23"/>
      <c r="AJ396" s="16" t="s">
        <v>124</v>
      </c>
      <c r="AK396" s="16" t="s">
        <v>142</v>
      </c>
      <c r="AL396" s="16" t="s">
        <v>181</v>
      </c>
      <c r="AM396" s="16" t="s">
        <v>181</v>
      </c>
      <c r="AN396" s="16" t="s">
        <v>181</v>
      </c>
      <c r="AO396" s="16" t="s">
        <v>181</v>
      </c>
      <c r="AP396" s="16" t="s">
        <v>181</v>
      </c>
      <c r="AQ396" s="16" t="s">
        <v>181</v>
      </c>
      <c r="AR396" s="16" t="s">
        <v>181</v>
      </c>
      <c r="AS396" s="19"/>
      <c r="AT396" s="19"/>
      <c r="AU396" s="19"/>
      <c r="AV396" s="19"/>
      <c r="AW396" s="19"/>
      <c r="AX396" s="19"/>
      <c r="AY396" s="19"/>
      <c r="AZ396" s="19"/>
      <c r="BA396" s="16" t="s">
        <v>73</v>
      </c>
      <c r="BB396" s="16" t="s">
        <v>74</v>
      </c>
      <c r="BC396" s="16" t="s">
        <v>75</v>
      </c>
      <c r="BD396" s="16" t="s">
        <v>76</v>
      </c>
      <c r="BE396" s="21" t="s">
        <v>77</v>
      </c>
      <c r="BF396" s="22"/>
      <c r="BG396" s="22"/>
      <c r="BH396" s="23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21" t="s">
        <v>90</v>
      </c>
      <c r="BV396" s="23"/>
      <c r="BW396" s="21" t="s">
        <v>92</v>
      </c>
      <c r="BX396" s="23"/>
      <c r="BY396" s="21" t="s">
        <v>93</v>
      </c>
      <c r="BZ396" s="22"/>
      <c r="CA396" s="23"/>
      <c r="CB396" s="16" t="s">
        <v>96</v>
      </c>
      <c r="CC396" s="16" t="s">
        <v>97</v>
      </c>
      <c r="CD396" s="21" t="s">
        <v>98</v>
      </c>
      <c r="CE396" s="23"/>
      <c r="CF396" s="19"/>
      <c r="CG396" s="16" t="s">
        <v>128</v>
      </c>
      <c r="CH396" s="21" t="s">
        <v>100</v>
      </c>
      <c r="CI396" s="23"/>
      <c r="CJ396" s="21" t="s">
        <v>102</v>
      </c>
      <c r="CK396" s="23"/>
      <c r="CL396" s="21" t="s">
        <v>104</v>
      </c>
      <c r="CM396" s="23"/>
      <c r="CN396" s="16" t="s">
        <v>128</v>
      </c>
      <c r="CO396" s="21" t="s">
        <v>105</v>
      </c>
      <c r="CP396" s="22"/>
      <c r="CQ396" s="23"/>
      <c r="CR396" s="21" t="s">
        <v>108</v>
      </c>
      <c r="CS396" s="23"/>
      <c r="CT396" s="21" t="s">
        <v>110</v>
      </c>
      <c r="CU396" s="23"/>
      <c r="CV396" s="16" t="s">
        <v>128</v>
      </c>
      <c r="CW396" s="19"/>
      <c r="CX396" s="21" t="s">
        <v>112</v>
      </c>
      <c r="CY396" s="23"/>
      <c r="CZ396" s="16" t="s">
        <v>114</v>
      </c>
      <c r="DA396" s="21" t="s">
        <v>115</v>
      </c>
      <c r="DB396" s="23"/>
      <c r="DC396" s="16" t="s">
        <v>129</v>
      </c>
      <c r="DD396" s="16" t="s">
        <v>129</v>
      </c>
      <c r="DE396" s="16" t="s">
        <v>129</v>
      </c>
      <c r="DF396" s="16" t="s">
        <v>129</v>
      </c>
      <c r="DG396" s="16" t="s">
        <v>2087</v>
      </c>
      <c r="DH396" s="16" t="s">
        <v>2088</v>
      </c>
      <c r="DI396" s="16" t="s">
        <v>2064</v>
      </c>
      <c r="DJ396" s="16" t="s">
        <v>2065</v>
      </c>
      <c r="DK396" s="16" t="s">
        <v>2089</v>
      </c>
      <c r="DL396" s="16" t="s">
        <v>2090</v>
      </c>
      <c r="DM396" s="16" t="s">
        <v>2057</v>
      </c>
      <c r="DN396" s="16" t="s">
        <v>2090</v>
      </c>
      <c r="DO396" s="16" t="s">
        <v>2051</v>
      </c>
    </row>
    <row r="397" ht="15.75" customHeight="1">
      <c r="A397" s="15">
        <v>395.0</v>
      </c>
      <c r="B397" s="16" t="s">
        <v>2091</v>
      </c>
      <c r="C397" s="17">
        <v>3.1708122605346E13</v>
      </c>
      <c r="D397" s="18">
        <v>122.0</v>
      </c>
      <c r="E397" s="16" t="s">
        <v>2092</v>
      </c>
      <c r="F397" s="16" t="s">
        <v>2047</v>
      </c>
      <c r="G397" s="16" t="s">
        <v>1875</v>
      </c>
      <c r="H397" s="20">
        <v>42959.0</v>
      </c>
      <c r="I397" s="16"/>
      <c r="J397" s="18">
        <v>1.0</v>
      </c>
      <c r="K397" s="16" t="s">
        <v>2093</v>
      </c>
      <c r="L397" s="21" t="s">
        <v>138</v>
      </c>
      <c r="M397" s="23"/>
      <c r="N397" s="19"/>
      <c r="O397" s="19"/>
      <c r="P397" s="19"/>
      <c r="Q397" s="19"/>
      <c r="R397" s="19"/>
      <c r="S397" s="19"/>
      <c r="T397" s="19"/>
      <c r="U397" s="19"/>
      <c r="V397" s="16" t="s">
        <v>2049</v>
      </c>
      <c r="W397" s="16" t="s">
        <v>46</v>
      </c>
      <c r="X397" s="16" t="s">
        <v>47</v>
      </c>
      <c r="Y397" s="21" t="s">
        <v>48</v>
      </c>
      <c r="Z397" s="23"/>
      <c r="AA397" s="16" t="s">
        <v>50</v>
      </c>
      <c r="AB397" s="19"/>
      <c r="AC397" s="19"/>
      <c r="AD397" s="19"/>
      <c r="AE397" s="19"/>
      <c r="AF397" s="19"/>
      <c r="AG397" s="19"/>
      <c r="AH397" s="21" t="s">
        <v>357</v>
      </c>
      <c r="AI397" s="23"/>
      <c r="AJ397" s="16" t="s">
        <v>124</v>
      </c>
      <c r="AK397" s="16" t="s">
        <v>153</v>
      </c>
      <c r="AL397" s="16" t="s">
        <v>181</v>
      </c>
      <c r="AM397" s="16" t="s">
        <v>181</v>
      </c>
      <c r="AN397" s="16" t="s">
        <v>181</v>
      </c>
      <c r="AO397" s="16" t="s">
        <v>181</v>
      </c>
      <c r="AP397" s="16" t="s">
        <v>181</v>
      </c>
      <c r="AQ397" s="16" t="s">
        <v>181</v>
      </c>
      <c r="AR397" s="16" t="s">
        <v>181</v>
      </c>
      <c r="AS397" s="21" t="s">
        <v>65</v>
      </c>
      <c r="AT397" s="22"/>
      <c r="AU397" s="23"/>
      <c r="AV397" s="19"/>
      <c r="AW397" s="21" t="s">
        <v>69</v>
      </c>
      <c r="AX397" s="23"/>
      <c r="AY397" s="21" t="s">
        <v>71</v>
      </c>
      <c r="AZ397" s="22"/>
      <c r="BA397" s="23"/>
      <c r="BB397" s="19"/>
      <c r="BC397" s="19"/>
      <c r="BD397" s="19"/>
      <c r="BE397" s="19"/>
      <c r="BF397" s="16" t="s">
        <v>2094</v>
      </c>
      <c r="BG397" s="16" t="s">
        <v>78</v>
      </c>
      <c r="BH397" s="16" t="s">
        <v>79</v>
      </c>
      <c r="BI397" s="21" t="s">
        <v>52</v>
      </c>
      <c r="BJ397" s="23"/>
      <c r="BK397" s="16" t="s">
        <v>81</v>
      </c>
      <c r="BL397" s="19"/>
      <c r="BM397" s="19"/>
      <c r="BN397" s="16" t="s">
        <v>84</v>
      </c>
      <c r="BO397" s="21" t="s">
        <v>85</v>
      </c>
      <c r="BP397" s="22"/>
      <c r="BQ397" s="22"/>
      <c r="BR397" s="23"/>
      <c r="BS397" s="19"/>
      <c r="BT397" s="19"/>
      <c r="BU397" s="19"/>
      <c r="BV397" s="19"/>
      <c r="BW397" s="19"/>
      <c r="BX397" s="16" t="s">
        <v>2094</v>
      </c>
      <c r="BY397" s="21" t="s">
        <v>93</v>
      </c>
      <c r="BZ397" s="22"/>
      <c r="CA397" s="23"/>
      <c r="CB397" s="21" t="s">
        <v>96</v>
      </c>
      <c r="CC397" s="23"/>
      <c r="CD397" s="21" t="s">
        <v>98</v>
      </c>
      <c r="CE397" s="23"/>
      <c r="CF397" s="19"/>
      <c r="CG397" s="16" t="s">
        <v>128</v>
      </c>
      <c r="CH397" s="21" t="s">
        <v>100</v>
      </c>
      <c r="CI397" s="23"/>
      <c r="CJ397" s="21" t="s">
        <v>102</v>
      </c>
      <c r="CK397" s="23"/>
      <c r="CL397" s="21" t="s">
        <v>104</v>
      </c>
      <c r="CM397" s="23"/>
      <c r="CN397" s="16" t="s">
        <v>128</v>
      </c>
      <c r="CO397" s="16" t="s">
        <v>105</v>
      </c>
      <c r="CP397" s="21" t="s">
        <v>106</v>
      </c>
      <c r="CQ397" s="23"/>
      <c r="CR397" s="21" t="s">
        <v>108</v>
      </c>
      <c r="CS397" s="23"/>
      <c r="CT397" s="19"/>
      <c r="CU397" s="19"/>
      <c r="CV397" s="16" t="s">
        <v>128</v>
      </c>
      <c r="CW397" s="19"/>
      <c r="CX397" s="21" t="s">
        <v>112</v>
      </c>
      <c r="CY397" s="23"/>
      <c r="CZ397" s="16" t="s">
        <v>114</v>
      </c>
      <c r="DA397" s="21" t="s">
        <v>115</v>
      </c>
      <c r="DB397" s="23"/>
      <c r="DC397" s="16" t="s">
        <v>129</v>
      </c>
      <c r="DD397" s="16" t="s">
        <v>129</v>
      </c>
      <c r="DE397" s="16" t="s">
        <v>129</v>
      </c>
      <c r="DF397" s="16" t="s">
        <v>129</v>
      </c>
      <c r="DG397" s="16" t="s">
        <v>2062</v>
      </c>
      <c r="DH397" s="16" t="s">
        <v>2095</v>
      </c>
      <c r="DI397" s="16" t="s">
        <v>2064</v>
      </c>
      <c r="DJ397" s="16" t="s">
        <v>2089</v>
      </c>
      <c r="DK397" s="16" t="s">
        <v>2096</v>
      </c>
      <c r="DL397" s="16" t="s">
        <v>2097</v>
      </c>
      <c r="DM397" s="16" t="s">
        <v>2051</v>
      </c>
      <c r="DN397" s="16" t="s">
        <v>2058</v>
      </c>
      <c r="DO397" s="16" t="s">
        <v>2098</v>
      </c>
    </row>
    <row r="398" ht="15.75" customHeight="1">
      <c r="A398" s="15">
        <v>396.0</v>
      </c>
      <c r="B398" s="16" t="s">
        <v>2099</v>
      </c>
      <c r="C398" s="17">
        <v>3.1512062601166E13</v>
      </c>
      <c r="D398" s="18">
        <v>122.0</v>
      </c>
      <c r="E398" s="16" t="s">
        <v>2069</v>
      </c>
      <c r="F398" s="16" t="s">
        <v>2070</v>
      </c>
      <c r="G398" s="16" t="s">
        <v>1875</v>
      </c>
      <c r="H398" s="20">
        <v>42344.0</v>
      </c>
      <c r="I398" s="16"/>
      <c r="J398" s="18">
        <v>1.0</v>
      </c>
      <c r="K398" s="16" t="s">
        <v>2071</v>
      </c>
      <c r="L398" s="16" t="s">
        <v>138</v>
      </c>
      <c r="M398" s="21" t="s">
        <v>36</v>
      </c>
      <c r="N398" s="22"/>
      <c r="O398" s="22"/>
      <c r="P398" s="23"/>
      <c r="Q398" s="19"/>
      <c r="R398" s="19"/>
      <c r="S398" s="19"/>
      <c r="T398" s="19"/>
      <c r="U398" s="19"/>
      <c r="V398" s="19"/>
      <c r="W398" s="16" t="s">
        <v>46</v>
      </c>
      <c r="X398" s="16" t="s">
        <v>47</v>
      </c>
      <c r="Y398" s="21" t="s">
        <v>48</v>
      </c>
      <c r="Z398" s="23"/>
      <c r="AA398" s="19"/>
      <c r="AB398" s="19"/>
      <c r="AC398" s="19"/>
      <c r="AD398" s="19"/>
      <c r="AE398" s="19"/>
      <c r="AF398" s="19"/>
      <c r="AG398" s="19"/>
      <c r="AH398" s="21" t="s">
        <v>123</v>
      </c>
      <c r="AI398" s="23"/>
      <c r="AJ398" s="16" t="s">
        <v>124</v>
      </c>
      <c r="AK398" s="16" t="s">
        <v>142</v>
      </c>
      <c r="AL398" s="16" t="s">
        <v>181</v>
      </c>
      <c r="AM398" s="16" t="s">
        <v>181</v>
      </c>
      <c r="AN398" s="16" t="s">
        <v>181</v>
      </c>
      <c r="AO398" s="16" t="s">
        <v>181</v>
      </c>
      <c r="AP398" s="16" t="s">
        <v>181</v>
      </c>
      <c r="AQ398" s="16" t="s">
        <v>181</v>
      </c>
      <c r="AR398" s="16" t="s">
        <v>181</v>
      </c>
      <c r="AS398" s="16" t="s">
        <v>65</v>
      </c>
      <c r="AT398" s="21" t="s">
        <v>66</v>
      </c>
      <c r="AU398" s="22"/>
      <c r="AV398" s="23"/>
      <c r="AW398" s="19"/>
      <c r="AX398" s="19"/>
      <c r="AY398" s="19"/>
      <c r="AZ398" s="19"/>
      <c r="BA398" s="19"/>
      <c r="BB398" s="19"/>
      <c r="BC398" s="19"/>
      <c r="BD398" s="21" t="s">
        <v>76</v>
      </c>
      <c r="BE398" s="22"/>
      <c r="BF398" s="23"/>
      <c r="BG398" s="21" t="s">
        <v>78</v>
      </c>
      <c r="BH398" s="23"/>
      <c r="BI398" s="21" t="s">
        <v>52</v>
      </c>
      <c r="BJ398" s="23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21" t="s">
        <v>92</v>
      </c>
      <c r="BX398" s="22"/>
      <c r="BY398" s="23"/>
      <c r="BZ398" s="19"/>
      <c r="CA398" s="19"/>
      <c r="CB398" s="19"/>
      <c r="CC398" s="21" t="s">
        <v>97</v>
      </c>
      <c r="CD398" s="23"/>
      <c r="CE398" s="19"/>
      <c r="CF398" s="19"/>
      <c r="CG398" s="16" t="s">
        <v>128</v>
      </c>
      <c r="CH398" s="19"/>
      <c r="CI398" s="19"/>
      <c r="CJ398" s="19"/>
      <c r="CK398" s="19"/>
      <c r="CL398" s="21" t="s">
        <v>104</v>
      </c>
      <c r="CM398" s="23"/>
      <c r="CN398" s="16" t="s">
        <v>128</v>
      </c>
      <c r="CO398" s="19"/>
      <c r="CP398" s="21" t="s">
        <v>106</v>
      </c>
      <c r="CQ398" s="22"/>
      <c r="CR398" s="22"/>
      <c r="CS398" s="23"/>
      <c r="CT398" s="19"/>
      <c r="CU398" s="19"/>
      <c r="CV398" s="16" t="s">
        <v>128</v>
      </c>
      <c r="CW398" s="19"/>
      <c r="CX398" s="19"/>
      <c r="CY398" s="21" t="s">
        <v>113</v>
      </c>
      <c r="CZ398" s="22"/>
      <c r="DA398" s="23"/>
      <c r="DB398" s="19"/>
      <c r="DC398" s="16" t="s">
        <v>129</v>
      </c>
      <c r="DD398" s="16" t="s">
        <v>129</v>
      </c>
      <c r="DE398" s="16" t="s">
        <v>129</v>
      </c>
      <c r="DF398" s="16" t="s">
        <v>129</v>
      </c>
      <c r="DG398" s="16" t="s">
        <v>2072</v>
      </c>
      <c r="DH398" s="16" t="s">
        <v>2073</v>
      </c>
      <c r="DI398" s="16" t="s">
        <v>869</v>
      </c>
      <c r="DJ398" s="16" t="s">
        <v>2074</v>
      </c>
      <c r="DK398" s="16" t="s">
        <v>2083</v>
      </c>
      <c r="DL398" s="16" t="s">
        <v>2076</v>
      </c>
      <c r="DM398" s="16" t="s">
        <v>2077</v>
      </c>
      <c r="DN398" s="16" t="s">
        <v>2078</v>
      </c>
      <c r="DO398" s="16" t="s">
        <v>2079</v>
      </c>
    </row>
    <row r="399" ht="15.75" customHeight="1">
      <c r="A399" s="15">
        <v>397.0</v>
      </c>
      <c r="B399" s="16" t="s">
        <v>2100</v>
      </c>
      <c r="C399" s="17">
        <v>3.0911012615318E13</v>
      </c>
      <c r="D399" s="18">
        <v>178.0</v>
      </c>
      <c r="E399" s="16" t="s">
        <v>2101</v>
      </c>
      <c r="F399" s="16" t="s">
        <v>2070</v>
      </c>
      <c r="G399" s="16" t="s">
        <v>1875</v>
      </c>
      <c r="H399" s="20">
        <v>40118.0</v>
      </c>
      <c r="I399" s="18">
        <v>1.0</v>
      </c>
      <c r="J399" s="19"/>
      <c r="K399" s="16" t="s">
        <v>2102</v>
      </c>
      <c r="L399" s="16" t="s">
        <v>138</v>
      </c>
      <c r="M399" s="21" t="s">
        <v>36</v>
      </c>
      <c r="N399" s="22"/>
      <c r="O399" s="22"/>
      <c r="P399" s="23"/>
      <c r="Q399" s="19"/>
      <c r="R399" s="19"/>
      <c r="S399" s="19"/>
      <c r="T399" s="19"/>
      <c r="U399" s="19"/>
      <c r="V399" s="19"/>
      <c r="W399" s="16" t="s">
        <v>46</v>
      </c>
      <c r="X399" s="16" t="s">
        <v>47</v>
      </c>
      <c r="Y399" s="21" t="s">
        <v>48</v>
      </c>
      <c r="Z399" s="23"/>
      <c r="AA399" s="19"/>
      <c r="AB399" s="19"/>
      <c r="AC399" s="19"/>
      <c r="AD399" s="19"/>
      <c r="AE399" s="19"/>
      <c r="AF399" s="19"/>
      <c r="AG399" s="19"/>
      <c r="AH399" s="21" t="s">
        <v>123</v>
      </c>
      <c r="AI399" s="23"/>
      <c r="AJ399" s="16" t="s">
        <v>168</v>
      </c>
      <c r="AK399" s="16" t="s">
        <v>153</v>
      </c>
      <c r="AL399" s="16" t="s">
        <v>181</v>
      </c>
      <c r="AM399" s="16" t="s">
        <v>181</v>
      </c>
      <c r="AN399" s="16" t="s">
        <v>181</v>
      </c>
      <c r="AO399" s="16" t="s">
        <v>181</v>
      </c>
      <c r="AP399" s="16" t="s">
        <v>181</v>
      </c>
      <c r="AQ399" s="16" t="s">
        <v>181</v>
      </c>
      <c r="AR399" s="16" t="s">
        <v>181</v>
      </c>
      <c r="AS399" s="16" t="s">
        <v>65</v>
      </c>
      <c r="AT399" s="21" t="s">
        <v>66</v>
      </c>
      <c r="AU399" s="22"/>
      <c r="AV399" s="23"/>
      <c r="AW399" s="19"/>
      <c r="AX399" s="19"/>
      <c r="AY399" s="19"/>
      <c r="AZ399" s="19"/>
      <c r="BA399" s="19"/>
      <c r="BB399" s="19"/>
      <c r="BC399" s="19"/>
      <c r="BD399" s="19"/>
      <c r="BE399" s="21" t="s">
        <v>77</v>
      </c>
      <c r="BF399" s="23"/>
      <c r="BG399" s="21" t="s">
        <v>78</v>
      </c>
      <c r="BH399" s="23"/>
      <c r="BI399" s="21" t="s">
        <v>52</v>
      </c>
      <c r="BJ399" s="23"/>
      <c r="BK399" s="19"/>
      <c r="BL399" s="19"/>
      <c r="BM399" s="21" t="s">
        <v>83</v>
      </c>
      <c r="BN399" s="22"/>
      <c r="BO399" s="23"/>
      <c r="BP399" s="19"/>
      <c r="BQ399" s="19"/>
      <c r="BR399" s="19"/>
      <c r="BS399" s="19"/>
      <c r="BT399" s="21" t="s">
        <v>89</v>
      </c>
      <c r="BU399" s="22"/>
      <c r="BV399" s="23"/>
      <c r="BW399" s="19"/>
      <c r="BX399" s="19"/>
      <c r="BY399" s="19"/>
      <c r="BZ399" s="19"/>
      <c r="CA399" s="19"/>
      <c r="CB399" s="19"/>
      <c r="CC399" s="21" t="s">
        <v>97</v>
      </c>
      <c r="CD399" s="23"/>
      <c r="CE399" s="19"/>
      <c r="CF399" s="19"/>
      <c r="CG399" s="16" t="s">
        <v>128</v>
      </c>
      <c r="CH399" s="19"/>
      <c r="CI399" s="19"/>
      <c r="CJ399" s="19"/>
      <c r="CK399" s="19"/>
      <c r="CL399" s="21" t="s">
        <v>104</v>
      </c>
      <c r="CM399" s="23"/>
      <c r="CN399" s="16" t="s">
        <v>128</v>
      </c>
      <c r="CO399" s="19"/>
      <c r="CP399" s="21" t="s">
        <v>106</v>
      </c>
      <c r="CQ399" s="22"/>
      <c r="CR399" s="22"/>
      <c r="CS399" s="23"/>
      <c r="CT399" s="19"/>
      <c r="CU399" s="19"/>
      <c r="CV399" s="16" t="s">
        <v>128</v>
      </c>
      <c r="CW399" s="19"/>
      <c r="CX399" s="19"/>
      <c r="CY399" s="21" t="s">
        <v>113</v>
      </c>
      <c r="CZ399" s="22"/>
      <c r="DA399" s="23"/>
      <c r="DB399" s="19"/>
      <c r="DC399" s="16" t="s">
        <v>129</v>
      </c>
      <c r="DD399" s="16" t="s">
        <v>129</v>
      </c>
      <c r="DE399" s="16" t="s">
        <v>129</v>
      </c>
      <c r="DF399" s="16" t="s">
        <v>129</v>
      </c>
      <c r="DG399" s="16" t="s">
        <v>2072</v>
      </c>
      <c r="DH399" s="16" t="s">
        <v>2082</v>
      </c>
      <c r="DI399" s="16" t="s">
        <v>2103</v>
      </c>
      <c r="DJ399" s="16" t="s">
        <v>2074</v>
      </c>
      <c r="DK399" s="16" t="s">
        <v>2075</v>
      </c>
      <c r="DL399" s="16" t="s">
        <v>2104</v>
      </c>
      <c r="DM399" s="16" t="s">
        <v>2077</v>
      </c>
      <c r="DN399" s="16" t="s">
        <v>2105</v>
      </c>
      <c r="DO399" s="16" t="s">
        <v>2079</v>
      </c>
    </row>
    <row r="400" ht="15.75" customHeight="1">
      <c r="A400" s="15">
        <v>398.0</v>
      </c>
      <c r="B400" s="16" t="s">
        <v>2106</v>
      </c>
      <c r="C400" s="17">
        <v>3.2102262601071E13</v>
      </c>
      <c r="D400" s="18">
        <v>124.0</v>
      </c>
      <c r="E400" s="16" t="s">
        <v>2107</v>
      </c>
      <c r="F400" s="16" t="s">
        <v>2047</v>
      </c>
      <c r="G400" s="16" t="s">
        <v>1875</v>
      </c>
      <c r="H400" s="20">
        <v>44253.0</v>
      </c>
      <c r="I400" s="18">
        <v>1.0</v>
      </c>
      <c r="J400" s="19"/>
      <c r="K400" s="16" t="s">
        <v>2108</v>
      </c>
      <c r="L400" s="21" t="s">
        <v>138</v>
      </c>
      <c r="M400" s="23"/>
      <c r="N400" s="19"/>
      <c r="O400" s="19"/>
      <c r="P400" s="19"/>
      <c r="Q400" s="19"/>
      <c r="R400" s="19"/>
      <c r="S400" s="19"/>
      <c r="T400" s="19"/>
      <c r="U400" s="19"/>
      <c r="V400" s="16" t="s">
        <v>2049</v>
      </c>
      <c r="W400" s="19"/>
      <c r="X400" s="21" t="s">
        <v>47</v>
      </c>
      <c r="Y400" s="23"/>
      <c r="Z400" s="19"/>
      <c r="AA400" s="16" t="s">
        <v>50</v>
      </c>
      <c r="AB400" s="19"/>
      <c r="AC400" s="21" t="s">
        <v>52</v>
      </c>
      <c r="AD400" s="23"/>
      <c r="AE400" s="19"/>
      <c r="AF400" s="19"/>
      <c r="AG400" s="19"/>
      <c r="AH400" s="21" t="s">
        <v>357</v>
      </c>
      <c r="AI400" s="23"/>
      <c r="AJ400" s="16" t="s">
        <v>124</v>
      </c>
      <c r="AK400" s="16" t="s">
        <v>142</v>
      </c>
      <c r="AL400" s="16" t="s">
        <v>181</v>
      </c>
      <c r="AM400" s="16" t="s">
        <v>181</v>
      </c>
      <c r="AN400" s="16" t="s">
        <v>181</v>
      </c>
      <c r="AO400" s="16" t="s">
        <v>181</v>
      </c>
      <c r="AP400" s="16" t="s">
        <v>181</v>
      </c>
      <c r="AQ400" s="16" t="s">
        <v>181</v>
      </c>
      <c r="AR400" s="16" t="s">
        <v>181</v>
      </c>
      <c r="AS400" s="21" t="s">
        <v>65</v>
      </c>
      <c r="AT400" s="22"/>
      <c r="AU400" s="23"/>
      <c r="AV400" s="19"/>
      <c r="AW400" s="21" t="s">
        <v>69</v>
      </c>
      <c r="AX400" s="22"/>
      <c r="AY400" s="23"/>
      <c r="AZ400" s="19"/>
      <c r="BA400" s="19"/>
      <c r="BB400" s="19"/>
      <c r="BC400" s="19"/>
      <c r="BD400" s="19"/>
      <c r="BE400" s="19"/>
      <c r="BF400" s="16" t="s">
        <v>457</v>
      </c>
      <c r="BG400" s="16" t="s">
        <v>78</v>
      </c>
      <c r="BH400" s="16" t="s">
        <v>79</v>
      </c>
      <c r="BI400" s="21" t="s">
        <v>52</v>
      </c>
      <c r="BJ400" s="23"/>
      <c r="BK400" s="19"/>
      <c r="BL400" s="19"/>
      <c r="BM400" s="19"/>
      <c r="BN400" s="19"/>
      <c r="BO400" s="21" t="s">
        <v>85</v>
      </c>
      <c r="BP400" s="22"/>
      <c r="BQ400" s="22"/>
      <c r="BR400" s="23"/>
      <c r="BS400" s="19"/>
      <c r="BT400" s="19"/>
      <c r="BU400" s="19"/>
      <c r="BV400" s="19"/>
      <c r="BW400" s="19"/>
      <c r="BX400" s="16" t="s">
        <v>457</v>
      </c>
      <c r="BY400" s="19"/>
      <c r="BZ400" s="19"/>
      <c r="CA400" s="19"/>
      <c r="CB400" s="21" t="s">
        <v>96</v>
      </c>
      <c r="CC400" s="23"/>
      <c r="CD400" s="19"/>
      <c r="CE400" s="19"/>
      <c r="CF400" s="19"/>
      <c r="CG400" s="16" t="s">
        <v>128</v>
      </c>
      <c r="CH400" s="21" t="s">
        <v>100</v>
      </c>
      <c r="CI400" s="23"/>
      <c r="CJ400" s="21" t="s">
        <v>102</v>
      </c>
      <c r="CK400" s="23"/>
      <c r="CL400" s="21" t="s">
        <v>104</v>
      </c>
      <c r="CM400" s="23"/>
      <c r="CN400" s="16" t="s">
        <v>128</v>
      </c>
      <c r="CO400" s="16" t="s">
        <v>105</v>
      </c>
      <c r="CP400" s="16" t="s">
        <v>106</v>
      </c>
      <c r="CQ400" s="16" t="s">
        <v>107</v>
      </c>
      <c r="CR400" s="21" t="s">
        <v>108</v>
      </c>
      <c r="CS400" s="23"/>
      <c r="CT400" s="19"/>
      <c r="CU400" s="19"/>
      <c r="CV400" s="16" t="s">
        <v>128</v>
      </c>
      <c r="CW400" s="19"/>
      <c r="CX400" s="21" t="s">
        <v>112</v>
      </c>
      <c r="CY400" s="23"/>
      <c r="CZ400" s="16" t="s">
        <v>114</v>
      </c>
      <c r="DA400" s="21" t="s">
        <v>115</v>
      </c>
      <c r="DB400" s="23"/>
      <c r="DC400" s="16" t="s">
        <v>129</v>
      </c>
      <c r="DD400" s="16" t="s">
        <v>129</v>
      </c>
      <c r="DE400" s="16" t="s">
        <v>129</v>
      </c>
      <c r="DF400" s="16" t="s">
        <v>129</v>
      </c>
      <c r="DG400" s="16" t="s">
        <v>2051</v>
      </c>
      <c r="DH400" s="16" t="s">
        <v>2109</v>
      </c>
      <c r="DI400" s="16" t="s">
        <v>2087</v>
      </c>
      <c r="DJ400" s="16" t="s">
        <v>2097</v>
      </c>
      <c r="DK400" s="16" t="s">
        <v>2110</v>
      </c>
      <c r="DL400" s="16" t="s">
        <v>2096</v>
      </c>
      <c r="DM400" s="16" t="s">
        <v>2077</v>
      </c>
      <c r="DN400" s="16" t="s">
        <v>2111</v>
      </c>
      <c r="DO400" s="16" t="s">
        <v>2112</v>
      </c>
    </row>
    <row r="401" ht="15.75" customHeight="1">
      <c r="A401" s="15">
        <v>399.0</v>
      </c>
      <c r="B401" s="16" t="s">
        <v>2113</v>
      </c>
      <c r="C401" s="17">
        <v>3.1401252613075E13</v>
      </c>
      <c r="D401" s="18">
        <v>167.0</v>
      </c>
      <c r="E401" s="16" t="s">
        <v>2107</v>
      </c>
      <c r="F401" s="16" t="s">
        <v>2047</v>
      </c>
      <c r="G401" s="16" t="s">
        <v>1875</v>
      </c>
      <c r="H401" s="20">
        <v>41654.0</v>
      </c>
      <c r="I401" s="18">
        <v>1.0</v>
      </c>
      <c r="J401" s="19"/>
      <c r="K401" s="16" t="s">
        <v>2114</v>
      </c>
      <c r="L401" s="16" t="s">
        <v>138</v>
      </c>
      <c r="M401" s="21" t="s">
        <v>36</v>
      </c>
      <c r="N401" s="22"/>
      <c r="O401" s="22"/>
      <c r="P401" s="23"/>
      <c r="Q401" s="19"/>
      <c r="R401" s="19"/>
      <c r="S401" s="19"/>
      <c r="T401" s="19"/>
      <c r="U401" s="19"/>
      <c r="V401" s="19"/>
      <c r="W401" s="16" t="s">
        <v>46</v>
      </c>
      <c r="X401" s="16" t="s">
        <v>47</v>
      </c>
      <c r="Y401" s="21" t="s">
        <v>48</v>
      </c>
      <c r="Z401" s="23"/>
      <c r="AA401" s="19"/>
      <c r="AB401" s="21" t="s">
        <v>51</v>
      </c>
      <c r="AC401" s="23"/>
      <c r="AD401" s="19"/>
      <c r="AE401" s="19"/>
      <c r="AF401" s="19"/>
      <c r="AG401" s="19"/>
      <c r="AH401" s="21" t="s">
        <v>123</v>
      </c>
      <c r="AI401" s="23"/>
      <c r="AJ401" s="16" t="s">
        <v>124</v>
      </c>
      <c r="AK401" s="16" t="s">
        <v>142</v>
      </c>
      <c r="AL401" s="16" t="s">
        <v>181</v>
      </c>
      <c r="AM401" s="16" t="s">
        <v>181</v>
      </c>
      <c r="AN401" s="16" t="s">
        <v>181</v>
      </c>
      <c r="AO401" s="16" t="s">
        <v>181</v>
      </c>
      <c r="AP401" s="16" t="s">
        <v>181</v>
      </c>
      <c r="AQ401" s="16" t="s">
        <v>181</v>
      </c>
      <c r="AR401" s="16" t="s">
        <v>181</v>
      </c>
      <c r="AS401" s="21" t="s">
        <v>65</v>
      </c>
      <c r="AT401" s="22"/>
      <c r="AU401" s="23"/>
      <c r="AV401" s="21" t="s">
        <v>68</v>
      </c>
      <c r="AW401" s="22"/>
      <c r="AX401" s="23"/>
      <c r="AY401" s="19"/>
      <c r="AZ401" s="19"/>
      <c r="BA401" s="19"/>
      <c r="BB401" s="19"/>
      <c r="BC401" s="19"/>
      <c r="BD401" s="19"/>
      <c r="BE401" s="21" t="s">
        <v>77</v>
      </c>
      <c r="BF401" s="23"/>
      <c r="BG401" s="21" t="s">
        <v>78</v>
      </c>
      <c r="BH401" s="23"/>
      <c r="BI401" s="21" t="s">
        <v>52</v>
      </c>
      <c r="BJ401" s="23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21" t="s">
        <v>92</v>
      </c>
      <c r="BX401" s="22"/>
      <c r="BY401" s="23"/>
      <c r="BZ401" s="19"/>
      <c r="CA401" s="19"/>
      <c r="CB401" s="21" t="s">
        <v>96</v>
      </c>
      <c r="CC401" s="23"/>
      <c r="CD401" s="19"/>
      <c r="CE401" s="19"/>
      <c r="CF401" s="19"/>
      <c r="CG401" s="16" t="s">
        <v>128</v>
      </c>
      <c r="CH401" s="19"/>
      <c r="CI401" s="19"/>
      <c r="CJ401" s="19"/>
      <c r="CK401" s="19"/>
      <c r="CL401" s="21" t="s">
        <v>104</v>
      </c>
      <c r="CM401" s="23"/>
      <c r="CN401" s="16" t="s">
        <v>128</v>
      </c>
      <c r="CO401" s="19"/>
      <c r="CP401" s="21" t="s">
        <v>106</v>
      </c>
      <c r="CQ401" s="22"/>
      <c r="CR401" s="22"/>
      <c r="CS401" s="23"/>
      <c r="CT401" s="19"/>
      <c r="CU401" s="19"/>
      <c r="CV401" s="16" t="s">
        <v>128</v>
      </c>
      <c r="CW401" s="19"/>
      <c r="CX401" s="19"/>
      <c r="CY401" s="19"/>
      <c r="CZ401" s="19"/>
      <c r="DA401" s="21" t="s">
        <v>115</v>
      </c>
      <c r="DB401" s="23"/>
      <c r="DC401" s="16" t="s">
        <v>129</v>
      </c>
      <c r="DD401" s="16" t="s">
        <v>129</v>
      </c>
      <c r="DE401" s="16" t="s">
        <v>129</v>
      </c>
      <c r="DF401" s="16" t="s">
        <v>129</v>
      </c>
      <c r="DG401" s="16" t="s">
        <v>2072</v>
      </c>
      <c r="DH401" s="16" t="s">
        <v>2073</v>
      </c>
      <c r="DI401" s="16" t="s">
        <v>869</v>
      </c>
      <c r="DJ401" s="16" t="s">
        <v>2115</v>
      </c>
      <c r="DK401" s="16" t="s">
        <v>2075</v>
      </c>
      <c r="DL401" s="16" t="s">
        <v>2074</v>
      </c>
      <c r="DM401" s="16" t="s">
        <v>2077</v>
      </c>
      <c r="DN401" s="16" t="s">
        <v>2116</v>
      </c>
      <c r="DO401" s="16" t="s">
        <v>2079</v>
      </c>
    </row>
    <row r="402" ht="15.75" customHeight="1">
      <c r="A402" s="15">
        <v>400.0</v>
      </c>
      <c r="B402" s="16" t="s">
        <v>2117</v>
      </c>
      <c r="C402" s="17">
        <v>3.1903012609211E13</v>
      </c>
      <c r="D402" s="19"/>
      <c r="E402" s="16" t="s">
        <v>2118</v>
      </c>
      <c r="F402" s="16" t="s">
        <v>2047</v>
      </c>
      <c r="G402" s="16" t="s">
        <v>1875</v>
      </c>
      <c r="H402" s="20">
        <v>43534.0</v>
      </c>
      <c r="I402" s="18">
        <v>1.0</v>
      </c>
      <c r="J402" s="19"/>
      <c r="K402" s="16" t="s">
        <v>2119</v>
      </c>
      <c r="L402" s="21" t="s">
        <v>138</v>
      </c>
      <c r="M402" s="23"/>
      <c r="N402" s="19"/>
      <c r="O402" s="19"/>
      <c r="P402" s="19"/>
      <c r="Q402" s="19"/>
      <c r="R402" s="21" t="s">
        <v>41</v>
      </c>
      <c r="S402" s="22"/>
      <c r="T402" s="23"/>
      <c r="U402" s="21" t="s">
        <v>44</v>
      </c>
      <c r="V402" s="23"/>
      <c r="W402" s="16" t="s">
        <v>46</v>
      </c>
      <c r="X402" s="21" t="s">
        <v>47</v>
      </c>
      <c r="Y402" s="23"/>
      <c r="Z402" s="19"/>
      <c r="AA402" s="16" t="s">
        <v>50</v>
      </c>
      <c r="AB402" s="19"/>
      <c r="AC402" s="21" t="s">
        <v>52</v>
      </c>
      <c r="AD402" s="23"/>
      <c r="AE402" s="19"/>
      <c r="AF402" s="19"/>
      <c r="AG402" s="19"/>
      <c r="AH402" s="21" t="s">
        <v>357</v>
      </c>
      <c r="AI402" s="23"/>
      <c r="AJ402" s="16" t="s">
        <v>243</v>
      </c>
      <c r="AK402" s="16" t="s">
        <v>153</v>
      </c>
      <c r="AL402" s="16" t="s">
        <v>181</v>
      </c>
      <c r="AM402" s="16" t="s">
        <v>181</v>
      </c>
      <c r="AN402" s="16" t="s">
        <v>181</v>
      </c>
      <c r="AO402" s="16" t="s">
        <v>181</v>
      </c>
      <c r="AP402" s="16" t="s">
        <v>181</v>
      </c>
      <c r="AQ402" s="16" t="s">
        <v>181</v>
      </c>
      <c r="AR402" s="16" t="s">
        <v>181</v>
      </c>
      <c r="AS402" s="19"/>
      <c r="AT402" s="19"/>
      <c r="AU402" s="19"/>
      <c r="AV402" s="19"/>
      <c r="AW402" s="21" t="s">
        <v>69</v>
      </c>
      <c r="AX402" s="22"/>
      <c r="AY402" s="23"/>
      <c r="AZ402" s="19"/>
      <c r="BA402" s="19"/>
      <c r="BB402" s="19"/>
      <c r="BC402" s="19"/>
      <c r="BD402" s="19"/>
      <c r="BE402" s="19"/>
      <c r="BF402" s="19"/>
      <c r="BG402" s="19"/>
      <c r="BH402" s="16" t="s">
        <v>79</v>
      </c>
      <c r="BI402" s="21" t="s">
        <v>52</v>
      </c>
      <c r="BJ402" s="23"/>
      <c r="BK402" s="16" t="s">
        <v>81</v>
      </c>
      <c r="BL402" s="19"/>
      <c r="BM402" s="19"/>
      <c r="BN402" s="21" t="s">
        <v>84</v>
      </c>
      <c r="BO402" s="22"/>
      <c r="BP402" s="23"/>
      <c r="BQ402" s="19"/>
      <c r="BR402" s="19"/>
      <c r="BS402" s="19"/>
      <c r="BT402" s="19"/>
      <c r="BU402" s="19"/>
      <c r="BV402" s="19"/>
      <c r="BW402" s="19"/>
      <c r="BX402" s="19"/>
      <c r="BY402" s="19"/>
      <c r="BZ402" s="16" t="s">
        <v>94</v>
      </c>
      <c r="CA402" s="21" t="s">
        <v>95</v>
      </c>
      <c r="CB402" s="23"/>
      <c r="CC402" s="21" t="s">
        <v>97</v>
      </c>
      <c r="CD402" s="23"/>
      <c r="CE402" s="19"/>
      <c r="CF402" s="19"/>
      <c r="CG402" s="16" t="s">
        <v>128</v>
      </c>
      <c r="CH402" s="19"/>
      <c r="CI402" s="19"/>
      <c r="CJ402" s="21" t="s">
        <v>102</v>
      </c>
      <c r="CK402" s="23"/>
      <c r="CL402" s="21" t="s">
        <v>104</v>
      </c>
      <c r="CM402" s="23"/>
      <c r="CN402" s="16" t="s">
        <v>128</v>
      </c>
      <c r="CO402" s="16" t="s">
        <v>105</v>
      </c>
      <c r="CP402" s="16" t="s">
        <v>106</v>
      </c>
      <c r="CQ402" s="16" t="s">
        <v>107</v>
      </c>
      <c r="CR402" s="16" t="s">
        <v>108</v>
      </c>
      <c r="CS402" s="16" t="s">
        <v>109</v>
      </c>
      <c r="CT402" s="21" t="s">
        <v>110</v>
      </c>
      <c r="CU402" s="23"/>
      <c r="CV402" s="16" t="s">
        <v>128</v>
      </c>
      <c r="CW402" s="19"/>
      <c r="CX402" s="21" t="s">
        <v>112</v>
      </c>
      <c r="CY402" s="23"/>
      <c r="CZ402" s="16" t="s">
        <v>114</v>
      </c>
      <c r="DA402" s="21" t="s">
        <v>115</v>
      </c>
      <c r="DB402" s="23"/>
      <c r="DC402" s="16" t="s">
        <v>129</v>
      </c>
      <c r="DD402" s="16" t="s">
        <v>129</v>
      </c>
      <c r="DE402" s="16" t="s">
        <v>129</v>
      </c>
      <c r="DF402" s="16" t="s">
        <v>129</v>
      </c>
      <c r="DG402" s="16" t="s">
        <v>2120</v>
      </c>
      <c r="DH402" s="21" t="s">
        <v>769</v>
      </c>
      <c r="DI402" s="23"/>
      <c r="DJ402" s="16" t="s">
        <v>2121</v>
      </c>
      <c r="DK402" s="21" t="s">
        <v>2122</v>
      </c>
      <c r="DL402" s="23"/>
      <c r="DM402" s="16" t="s">
        <v>2123</v>
      </c>
      <c r="DN402" s="21" t="s">
        <v>2124</v>
      </c>
      <c r="DO402" s="23"/>
    </row>
    <row r="403" ht="15.75" customHeight="1">
      <c r="A403" s="15">
        <v>401.0</v>
      </c>
      <c r="B403" s="16" t="s">
        <v>2125</v>
      </c>
      <c r="C403" s="17">
        <v>3.0501252603046E13</v>
      </c>
      <c r="D403" s="18">
        <v>59.0</v>
      </c>
      <c r="E403" s="16" t="s">
        <v>2126</v>
      </c>
      <c r="F403" s="16" t="s">
        <v>2070</v>
      </c>
      <c r="G403" s="16" t="s">
        <v>1875</v>
      </c>
      <c r="H403" s="20">
        <v>45658.0</v>
      </c>
      <c r="I403" s="16"/>
      <c r="J403" s="18">
        <v>1.0</v>
      </c>
      <c r="K403" s="16" t="s">
        <v>2127</v>
      </c>
      <c r="L403" s="21" t="s">
        <v>138</v>
      </c>
      <c r="M403" s="23"/>
      <c r="N403" s="19"/>
      <c r="O403" s="19"/>
      <c r="P403" s="19"/>
      <c r="Q403" s="19"/>
      <c r="R403" s="19"/>
      <c r="S403" s="19"/>
      <c r="T403" s="19"/>
      <c r="U403" s="19"/>
      <c r="V403" s="16" t="s">
        <v>2128</v>
      </c>
      <c r="W403" s="16" t="s">
        <v>46</v>
      </c>
      <c r="X403" s="21" t="s">
        <v>47</v>
      </c>
      <c r="Y403" s="23"/>
      <c r="Z403" s="19"/>
      <c r="AA403" s="19"/>
      <c r="AB403" s="16" t="s">
        <v>51</v>
      </c>
      <c r="AC403" s="21" t="s">
        <v>52</v>
      </c>
      <c r="AD403" s="23"/>
      <c r="AE403" s="21" t="s">
        <v>54</v>
      </c>
      <c r="AF403" s="23"/>
      <c r="AG403" s="19"/>
      <c r="AH403" s="21" t="s">
        <v>152</v>
      </c>
      <c r="AI403" s="23"/>
      <c r="AJ403" s="16" t="s">
        <v>168</v>
      </c>
      <c r="AK403" s="16" t="s">
        <v>153</v>
      </c>
      <c r="AL403" s="16" t="s">
        <v>126</v>
      </c>
      <c r="AM403" s="16" t="s">
        <v>181</v>
      </c>
      <c r="AN403" s="16" t="s">
        <v>126</v>
      </c>
      <c r="AO403" s="16" t="s">
        <v>126</v>
      </c>
      <c r="AP403" s="16" t="s">
        <v>126</v>
      </c>
      <c r="AQ403" s="16" t="s">
        <v>126</v>
      </c>
      <c r="AR403" s="16" t="s">
        <v>126</v>
      </c>
      <c r="AS403" s="21" t="s">
        <v>65</v>
      </c>
      <c r="AT403" s="22"/>
      <c r="AU403" s="23"/>
      <c r="AV403" s="19"/>
      <c r="AW403" s="19"/>
      <c r="AX403" s="21" t="s">
        <v>70</v>
      </c>
      <c r="AY403" s="22"/>
      <c r="AZ403" s="23"/>
      <c r="BA403" s="16" t="s">
        <v>73</v>
      </c>
      <c r="BB403" s="21" t="s">
        <v>74</v>
      </c>
      <c r="BC403" s="23"/>
      <c r="BD403" s="16" t="s">
        <v>76</v>
      </c>
      <c r="BE403" s="21" t="s">
        <v>77</v>
      </c>
      <c r="BF403" s="22"/>
      <c r="BG403" s="22"/>
      <c r="BH403" s="23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21" t="s">
        <v>90</v>
      </c>
      <c r="BV403" s="23"/>
      <c r="BW403" s="21" t="s">
        <v>92</v>
      </c>
      <c r="BX403" s="22"/>
      <c r="BY403" s="23"/>
      <c r="BZ403" s="19"/>
      <c r="CA403" s="19"/>
      <c r="CB403" s="16" t="s">
        <v>96</v>
      </c>
      <c r="CC403" s="21" t="s">
        <v>97</v>
      </c>
      <c r="CD403" s="23"/>
      <c r="CE403" s="21" t="s">
        <v>99</v>
      </c>
      <c r="CF403" s="23"/>
      <c r="CG403" s="16" t="s">
        <v>128</v>
      </c>
      <c r="CH403" s="21" t="s">
        <v>100</v>
      </c>
      <c r="CI403" s="23"/>
      <c r="CJ403" s="19"/>
      <c r="CK403" s="19"/>
      <c r="CL403" s="21" t="s">
        <v>104</v>
      </c>
      <c r="CM403" s="23"/>
      <c r="CN403" s="16" t="s">
        <v>128</v>
      </c>
      <c r="CO403" s="16" t="s">
        <v>105</v>
      </c>
      <c r="CP403" s="16" t="s">
        <v>106</v>
      </c>
      <c r="CQ403" s="16" t="s">
        <v>107</v>
      </c>
      <c r="CR403" s="21" t="s">
        <v>108</v>
      </c>
      <c r="CS403" s="23"/>
      <c r="CT403" s="21" t="s">
        <v>110</v>
      </c>
      <c r="CU403" s="23"/>
      <c r="CV403" s="16" t="s">
        <v>128</v>
      </c>
      <c r="CW403" s="19"/>
      <c r="CX403" s="16" t="s">
        <v>112</v>
      </c>
      <c r="CY403" s="16" t="s">
        <v>113</v>
      </c>
      <c r="CZ403" s="16" t="s">
        <v>114</v>
      </c>
      <c r="DA403" s="21" t="s">
        <v>115</v>
      </c>
      <c r="DB403" s="23"/>
      <c r="DC403" s="16" t="s">
        <v>129</v>
      </c>
      <c r="DD403" s="16" t="s">
        <v>129</v>
      </c>
      <c r="DE403" s="16" t="s">
        <v>129</v>
      </c>
      <c r="DF403" s="16" t="s">
        <v>129</v>
      </c>
      <c r="DG403" s="16" t="s">
        <v>2129</v>
      </c>
      <c r="DH403" s="21" t="s">
        <v>2130</v>
      </c>
      <c r="DI403" s="23"/>
      <c r="DJ403" s="16" t="s">
        <v>144</v>
      </c>
      <c r="DK403" s="19"/>
      <c r="DL403" s="19"/>
      <c r="DM403" s="16" t="s">
        <v>2131</v>
      </c>
      <c r="DN403" s="21" t="s">
        <v>2132</v>
      </c>
      <c r="DO403" s="23"/>
    </row>
    <row r="404" ht="15.75" customHeight="1">
      <c r="A404" s="15">
        <v>402.0</v>
      </c>
      <c r="B404" s="16" t="s">
        <v>2133</v>
      </c>
      <c r="C404" s="17">
        <v>3.1504062602763E13</v>
      </c>
      <c r="D404" s="18">
        <v>147.0</v>
      </c>
      <c r="E404" s="16" t="s">
        <v>2107</v>
      </c>
      <c r="F404" s="16" t="s">
        <v>2047</v>
      </c>
      <c r="G404" s="16" t="s">
        <v>1875</v>
      </c>
      <c r="H404" s="20">
        <v>42100.0</v>
      </c>
      <c r="I404" s="16"/>
      <c r="J404" s="18">
        <v>1.0</v>
      </c>
      <c r="K404" s="16" t="s">
        <v>2134</v>
      </c>
      <c r="L404" s="16" t="s">
        <v>138</v>
      </c>
      <c r="M404" s="21" t="s">
        <v>36</v>
      </c>
      <c r="N404" s="22"/>
      <c r="O404" s="22"/>
      <c r="P404" s="23"/>
      <c r="Q404" s="19"/>
      <c r="R404" s="19"/>
      <c r="S404" s="19"/>
      <c r="T404" s="19"/>
      <c r="U404" s="19"/>
      <c r="V404" s="19"/>
      <c r="W404" s="16" t="s">
        <v>46</v>
      </c>
      <c r="X404" s="16" t="s">
        <v>47</v>
      </c>
      <c r="Y404" s="21" t="s">
        <v>48</v>
      </c>
      <c r="Z404" s="23"/>
      <c r="AA404" s="19"/>
      <c r="AB404" s="16" t="s">
        <v>51</v>
      </c>
      <c r="AC404" s="21" t="s">
        <v>52</v>
      </c>
      <c r="AD404" s="23"/>
      <c r="AE404" s="19"/>
      <c r="AF404" s="19"/>
      <c r="AG404" s="19"/>
      <c r="AH404" s="21" t="s">
        <v>123</v>
      </c>
      <c r="AI404" s="23"/>
      <c r="AJ404" s="16" t="s">
        <v>124</v>
      </c>
      <c r="AK404" s="16" t="s">
        <v>142</v>
      </c>
      <c r="AL404" s="16" t="s">
        <v>181</v>
      </c>
      <c r="AM404" s="16" t="s">
        <v>181</v>
      </c>
      <c r="AN404" s="16" t="s">
        <v>181</v>
      </c>
      <c r="AO404" s="16" t="s">
        <v>126</v>
      </c>
      <c r="AP404" s="16" t="s">
        <v>181</v>
      </c>
      <c r="AQ404" s="16" t="s">
        <v>181</v>
      </c>
      <c r="AR404" s="16" t="s">
        <v>126</v>
      </c>
      <c r="AS404" s="21" t="s">
        <v>65</v>
      </c>
      <c r="AT404" s="22"/>
      <c r="AU404" s="23"/>
      <c r="AV404" s="21" t="s">
        <v>68</v>
      </c>
      <c r="AW404" s="23"/>
      <c r="AX404" s="21" t="s">
        <v>70</v>
      </c>
      <c r="AY404" s="22"/>
      <c r="AZ404" s="23"/>
      <c r="BA404" s="21" t="s">
        <v>73</v>
      </c>
      <c r="BB404" s="23"/>
      <c r="BC404" s="19"/>
      <c r="BD404" s="19"/>
      <c r="BE404" s="19"/>
      <c r="BF404" s="19"/>
      <c r="BG404" s="21" t="s">
        <v>78</v>
      </c>
      <c r="BH404" s="23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21" t="s">
        <v>92</v>
      </c>
      <c r="BX404" s="22"/>
      <c r="BY404" s="23"/>
      <c r="BZ404" s="19"/>
      <c r="CA404" s="19"/>
      <c r="CB404" s="21" t="s">
        <v>96</v>
      </c>
      <c r="CC404" s="23"/>
      <c r="CD404" s="19"/>
      <c r="CE404" s="19"/>
      <c r="CF404" s="19"/>
      <c r="CG404" s="16" t="s">
        <v>128</v>
      </c>
      <c r="CH404" s="19"/>
      <c r="CI404" s="19"/>
      <c r="CJ404" s="19"/>
      <c r="CK404" s="19"/>
      <c r="CL404" s="21" t="s">
        <v>104</v>
      </c>
      <c r="CM404" s="23"/>
      <c r="CN404" s="16" t="s">
        <v>128</v>
      </c>
      <c r="CO404" s="19"/>
      <c r="CP404" s="19"/>
      <c r="CQ404" s="19"/>
      <c r="CR404" s="19"/>
      <c r="CS404" s="21" t="s">
        <v>109</v>
      </c>
      <c r="CT404" s="23"/>
      <c r="CU404" s="19"/>
      <c r="CV404" s="16" t="s">
        <v>128</v>
      </c>
      <c r="CW404" s="19"/>
      <c r="CX404" s="19"/>
      <c r="CY404" s="19"/>
      <c r="CZ404" s="19"/>
      <c r="DA404" s="21" t="s">
        <v>115</v>
      </c>
      <c r="DB404" s="23"/>
      <c r="DC404" s="16" t="s">
        <v>129</v>
      </c>
      <c r="DD404" s="16" t="s">
        <v>129</v>
      </c>
      <c r="DE404" s="16" t="s">
        <v>129</v>
      </c>
      <c r="DF404" s="16" t="s">
        <v>129</v>
      </c>
      <c r="DG404" s="16" t="s">
        <v>2135</v>
      </c>
      <c r="DH404" s="16" t="s">
        <v>2136</v>
      </c>
      <c r="DI404" s="16" t="s">
        <v>2137</v>
      </c>
      <c r="DJ404" s="16" t="s">
        <v>2074</v>
      </c>
      <c r="DK404" s="16" t="s">
        <v>2075</v>
      </c>
      <c r="DL404" s="16" t="s">
        <v>2138</v>
      </c>
      <c r="DM404" s="16" t="s">
        <v>2077</v>
      </c>
      <c r="DN404" s="16" t="s">
        <v>2078</v>
      </c>
      <c r="DO404" s="16" t="s">
        <v>2139</v>
      </c>
    </row>
    <row r="405" ht="15.75" customHeight="1">
      <c r="A405" s="15">
        <v>403.0</v>
      </c>
      <c r="B405" s="16" t="s">
        <v>2140</v>
      </c>
      <c r="C405" s="17">
        <v>3.1902072604069E13</v>
      </c>
      <c r="D405" s="19"/>
      <c r="E405" s="16" t="s">
        <v>2141</v>
      </c>
      <c r="F405" s="16" t="s">
        <v>2047</v>
      </c>
      <c r="G405" s="16" t="s">
        <v>1875</v>
      </c>
      <c r="H405" s="20">
        <v>43503.0</v>
      </c>
      <c r="I405" s="16"/>
      <c r="J405" s="18">
        <v>1.0</v>
      </c>
      <c r="K405" s="16" t="s">
        <v>2142</v>
      </c>
      <c r="L405" s="16" t="s">
        <v>138</v>
      </c>
      <c r="M405" s="21" t="s">
        <v>36</v>
      </c>
      <c r="N405" s="22"/>
      <c r="O405" s="22"/>
      <c r="P405" s="23"/>
      <c r="Q405" s="19"/>
      <c r="R405" s="19"/>
      <c r="S405" s="19"/>
      <c r="T405" s="19"/>
      <c r="U405" s="19"/>
      <c r="V405" s="19"/>
      <c r="W405" s="19"/>
      <c r="X405" s="19"/>
      <c r="Y405" s="21" t="s">
        <v>48</v>
      </c>
      <c r="Z405" s="23"/>
      <c r="AA405" s="16" t="s">
        <v>50</v>
      </c>
      <c r="AB405" s="19"/>
      <c r="AC405" s="19"/>
      <c r="AD405" s="19"/>
      <c r="AE405" s="19"/>
      <c r="AF405" s="19"/>
      <c r="AG405" s="19"/>
      <c r="AH405" s="21" t="s">
        <v>357</v>
      </c>
      <c r="AI405" s="23"/>
      <c r="AJ405" s="16" t="s">
        <v>124</v>
      </c>
      <c r="AK405" s="16" t="s">
        <v>153</v>
      </c>
      <c r="AL405" s="16" t="s">
        <v>181</v>
      </c>
      <c r="AM405" s="16" t="s">
        <v>181</v>
      </c>
      <c r="AN405" s="16" t="s">
        <v>181</v>
      </c>
      <c r="AO405" s="16" t="s">
        <v>181</v>
      </c>
      <c r="AP405" s="16" t="s">
        <v>126</v>
      </c>
      <c r="AQ405" s="16" t="s">
        <v>181</v>
      </c>
      <c r="AR405" s="16" t="s">
        <v>181</v>
      </c>
      <c r="AS405" s="21" t="s">
        <v>65</v>
      </c>
      <c r="AT405" s="23"/>
      <c r="AU405" s="16" t="s">
        <v>67</v>
      </c>
      <c r="AV405" s="16" t="s">
        <v>68</v>
      </c>
      <c r="AW405" s="16" t="s">
        <v>69</v>
      </c>
      <c r="AX405" s="21" t="s">
        <v>70</v>
      </c>
      <c r="AY405" s="22"/>
      <c r="AZ405" s="23"/>
      <c r="BA405" s="19"/>
      <c r="BB405" s="19"/>
      <c r="BC405" s="19"/>
      <c r="BD405" s="21" t="s">
        <v>76</v>
      </c>
      <c r="BE405" s="22"/>
      <c r="BF405" s="23"/>
      <c r="BG405" s="21" t="s">
        <v>78</v>
      </c>
      <c r="BH405" s="23"/>
      <c r="BI405" s="21" t="s">
        <v>52</v>
      </c>
      <c r="BJ405" s="23"/>
      <c r="BK405" s="19"/>
      <c r="BL405" s="21" t="s">
        <v>82</v>
      </c>
      <c r="BM405" s="23"/>
      <c r="BN405" s="19"/>
      <c r="BO405" s="21" t="s">
        <v>85</v>
      </c>
      <c r="BP405" s="22"/>
      <c r="BQ405" s="22"/>
      <c r="BR405" s="23"/>
      <c r="BS405" s="19"/>
      <c r="BT405" s="19"/>
      <c r="BU405" s="19"/>
      <c r="BV405" s="16" t="s">
        <v>91</v>
      </c>
      <c r="BW405" s="19"/>
      <c r="BX405" s="19"/>
      <c r="BY405" s="19"/>
      <c r="BZ405" s="19"/>
      <c r="CA405" s="19"/>
      <c r="CB405" s="21" t="s">
        <v>96</v>
      </c>
      <c r="CC405" s="23"/>
      <c r="CD405" s="19"/>
      <c r="CE405" s="19"/>
      <c r="CF405" s="19"/>
      <c r="CG405" s="16" t="s">
        <v>128</v>
      </c>
      <c r="CH405" s="19"/>
      <c r="CI405" s="19"/>
      <c r="CJ405" s="16" t="s">
        <v>102</v>
      </c>
      <c r="CK405" s="21" t="s">
        <v>103</v>
      </c>
      <c r="CL405" s="23"/>
      <c r="CM405" s="19"/>
      <c r="CN405" s="16" t="s">
        <v>128</v>
      </c>
      <c r="CO405" s="16" t="s">
        <v>105</v>
      </c>
      <c r="CP405" s="16" t="s">
        <v>106</v>
      </c>
      <c r="CQ405" s="16" t="s">
        <v>107</v>
      </c>
      <c r="CR405" s="16" t="s">
        <v>108</v>
      </c>
      <c r="CS405" s="16" t="s">
        <v>109</v>
      </c>
      <c r="CT405" s="21" t="s">
        <v>110</v>
      </c>
      <c r="CU405" s="23"/>
      <c r="CV405" s="16" t="s">
        <v>128</v>
      </c>
      <c r="CW405" s="21" t="s">
        <v>111</v>
      </c>
      <c r="CX405" s="22"/>
      <c r="CY405" s="23"/>
      <c r="CZ405" s="21" t="s">
        <v>114</v>
      </c>
      <c r="DA405" s="22"/>
      <c r="DB405" s="23"/>
      <c r="DC405" s="16" t="s">
        <v>129</v>
      </c>
      <c r="DD405" s="16" t="s">
        <v>129</v>
      </c>
      <c r="DE405" s="16" t="s">
        <v>129</v>
      </c>
      <c r="DF405" s="16" t="s">
        <v>129</v>
      </c>
      <c r="DG405" s="16" t="s">
        <v>2143</v>
      </c>
      <c r="DH405" s="21" t="s">
        <v>2144</v>
      </c>
      <c r="DI405" s="23"/>
      <c r="DJ405" s="16" t="s">
        <v>2145</v>
      </c>
      <c r="DK405" s="21" t="s">
        <v>2122</v>
      </c>
      <c r="DL405" s="23"/>
      <c r="DM405" s="16" t="s">
        <v>2123</v>
      </c>
      <c r="DN405" s="21" t="s">
        <v>2124</v>
      </c>
      <c r="DO405" s="23"/>
    </row>
    <row r="406" ht="15.75" customHeight="1">
      <c r="A406" s="15">
        <v>404.0</v>
      </c>
      <c r="B406" s="16" t="s">
        <v>2146</v>
      </c>
      <c r="C406" s="17">
        <v>3.1610132602469E13</v>
      </c>
      <c r="D406" s="18">
        <v>230.0</v>
      </c>
      <c r="E406" s="16" t="s">
        <v>2141</v>
      </c>
      <c r="F406" s="16" t="s">
        <v>2047</v>
      </c>
      <c r="G406" s="16" t="s">
        <v>1875</v>
      </c>
      <c r="H406" s="25">
        <v>42656.0</v>
      </c>
      <c r="I406" s="16"/>
      <c r="J406" s="18">
        <v>1.0</v>
      </c>
      <c r="K406" s="16" t="s">
        <v>2147</v>
      </c>
      <c r="L406" s="16" t="s">
        <v>138</v>
      </c>
      <c r="M406" s="21" t="s">
        <v>36</v>
      </c>
      <c r="N406" s="22"/>
      <c r="O406" s="22"/>
      <c r="P406" s="23"/>
      <c r="Q406" s="19"/>
      <c r="R406" s="19"/>
      <c r="S406" s="19"/>
      <c r="T406" s="19"/>
      <c r="U406" s="19"/>
      <c r="V406" s="19"/>
      <c r="W406" s="16" t="s">
        <v>46</v>
      </c>
      <c r="X406" s="16" t="s">
        <v>47</v>
      </c>
      <c r="Y406" s="21" t="s">
        <v>48</v>
      </c>
      <c r="Z406" s="23"/>
      <c r="AA406" s="16" t="s">
        <v>50</v>
      </c>
      <c r="AB406" s="19"/>
      <c r="AC406" s="19"/>
      <c r="AD406" s="19"/>
      <c r="AE406" s="19"/>
      <c r="AF406" s="19"/>
      <c r="AG406" s="19"/>
      <c r="AH406" s="21" t="s">
        <v>123</v>
      </c>
      <c r="AI406" s="23"/>
      <c r="AJ406" s="16" t="s">
        <v>243</v>
      </c>
      <c r="AK406" s="16" t="s">
        <v>125</v>
      </c>
      <c r="AL406" s="16" t="s">
        <v>181</v>
      </c>
      <c r="AM406" s="16" t="s">
        <v>181</v>
      </c>
      <c r="AN406" s="16" t="s">
        <v>181</v>
      </c>
      <c r="AO406" s="16" t="s">
        <v>181</v>
      </c>
      <c r="AP406" s="16" t="s">
        <v>181</v>
      </c>
      <c r="AQ406" s="16" t="s">
        <v>181</v>
      </c>
      <c r="AR406" s="16" t="s">
        <v>181</v>
      </c>
      <c r="AS406" s="21" t="s">
        <v>65</v>
      </c>
      <c r="AT406" s="22"/>
      <c r="AU406" s="23"/>
      <c r="AV406" s="19"/>
      <c r="AW406" s="21" t="s">
        <v>69</v>
      </c>
      <c r="AX406" s="23"/>
      <c r="AY406" s="21" t="s">
        <v>71</v>
      </c>
      <c r="AZ406" s="22"/>
      <c r="BA406" s="23"/>
      <c r="BB406" s="19"/>
      <c r="BC406" s="19"/>
      <c r="BD406" s="19"/>
      <c r="BE406" s="21" t="s">
        <v>77</v>
      </c>
      <c r="BF406" s="23"/>
      <c r="BG406" s="21" t="s">
        <v>78</v>
      </c>
      <c r="BH406" s="23"/>
      <c r="BI406" s="21" t="s">
        <v>52</v>
      </c>
      <c r="BJ406" s="23"/>
      <c r="BK406" s="16" t="s">
        <v>81</v>
      </c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21" t="s">
        <v>92</v>
      </c>
      <c r="BX406" s="22"/>
      <c r="BY406" s="23"/>
      <c r="BZ406" s="19"/>
      <c r="CA406" s="19"/>
      <c r="CB406" s="21" t="s">
        <v>96</v>
      </c>
      <c r="CC406" s="23"/>
      <c r="CD406" s="19"/>
      <c r="CE406" s="19"/>
      <c r="CF406" s="19"/>
      <c r="CG406" s="16" t="s">
        <v>128</v>
      </c>
      <c r="CH406" s="21" t="s">
        <v>100</v>
      </c>
      <c r="CI406" s="23"/>
      <c r="CJ406" s="19"/>
      <c r="CK406" s="19"/>
      <c r="CL406" s="19"/>
      <c r="CM406" s="19"/>
      <c r="CN406" s="16" t="s">
        <v>128</v>
      </c>
      <c r="CO406" s="19"/>
      <c r="CP406" s="19"/>
      <c r="CQ406" s="19"/>
      <c r="CR406" s="19"/>
      <c r="CS406" s="19"/>
      <c r="CT406" s="21" t="s">
        <v>110</v>
      </c>
      <c r="CU406" s="23"/>
      <c r="CV406" s="16" t="s">
        <v>128</v>
      </c>
      <c r="CW406" s="19"/>
      <c r="CX406" s="19"/>
      <c r="CY406" s="21" t="s">
        <v>113</v>
      </c>
      <c r="CZ406" s="22"/>
      <c r="DA406" s="23"/>
      <c r="DB406" s="19"/>
      <c r="DC406" s="16" t="s">
        <v>129</v>
      </c>
      <c r="DD406" s="16" t="s">
        <v>129</v>
      </c>
      <c r="DE406" s="16" t="s">
        <v>129</v>
      </c>
      <c r="DF406" s="16" t="s">
        <v>129</v>
      </c>
      <c r="DG406" s="16" t="s">
        <v>2148</v>
      </c>
      <c r="DH406" s="16" t="s">
        <v>2073</v>
      </c>
      <c r="DI406" s="16" t="s">
        <v>2103</v>
      </c>
      <c r="DJ406" s="16" t="s">
        <v>2074</v>
      </c>
      <c r="DK406" s="16" t="s">
        <v>2075</v>
      </c>
      <c r="DL406" s="16" t="s">
        <v>2076</v>
      </c>
      <c r="DM406" s="16" t="s">
        <v>2077</v>
      </c>
      <c r="DN406" s="16" t="s">
        <v>2105</v>
      </c>
      <c r="DO406" s="16" t="s">
        <v>2079</v>
      </c>
    </row>
    <row r="407" ht="15.75" customHeight="1">
      <c r="A407" s="15">
        <v>405.0</v>
      </c>
      <c r="B407" s="16" t="s">
        <v>2149</v>
      </c>
      <c r="C407" s="17">
        <v>3.1308172602811E13</v>
      </c>
      <c r="D407" s="18">
        <v>190.0</v>
      </c>
      <c r="E407" s="16" t="s">
        <v>2150</v>
      </c>
      <c r="F407" s="16" t="s">
        <v>2047</v>
      </c>
      <c r="G407" s="16" t="s">
        <v>1875</v>
      </c>
      <c r="H407" s="20">
        <v>41503.0</v>
      </c>
      <c r="I407" s="18">
        <v>1.0</v>
      </c>
      <c r="J407" s="19"/>
      <c r="K407" s="16" t="s">
        <v>2151</v>
      </c>
      <c r="L407" s="16" t="s">
        <v>138</v>
      </c>
      <c r="M407" s="21" t="s">
        <v>36</v>
      </c>
      <c r="N407" s="22"/>
      <c r="O407" s="22"/>
      <c r="P407" s="23"/>
      <c r="Q407" s="19"/>
      <c r="R407" s="19"/>
      <c r="S407" s="19"/>
      <c r="T407" s="19"/>
      <c r="U407" s="19"/>
      <c r="V407" s="19"/>
      <c r="W407" s="16" t="s">
        <v>46</v>
      </c>
      <c r="X407" s="16" t="s">
        <v>47</v>
      </c>
      <c r="Y407" s="21" t="s">
        <v>48</v>
      </c>
      <c r="Z407" s="23"/>
      <c r="AA407" s="16" t="s">
        <v>50</v>
      </c>
      <c r="AB407" s="19"/>
      <c r="AC407" s="19"/>
      <c r="AD407" s="19"/>
      <c r="AE407" s="19"/>
      <c r="AF407" s="19"/>
      <c r="AG407" s="19"/>
      <c r="AH407" s="21" t="s">
        <v>228</v>
      </c>
      <c r="AI407" s="23"/>
      <c r="AJ407" s="16" t="s">
        <v>124</v>
      </c>
      <c r="AK407" s="16" t="s">
        <v>142</v>
      </c>
      <c r="AL407" s="16" t="s">
        <v>181</v>
      </c>
      <c r="AM407" s="16" t="s">
        <v>126</v>
      </c>
      <c r="AN407" s="16" t="s">
        <v>181</v>
      </c>
      <c r="AO407" s="16" t="s">
        <v>181</v>
      </c>
      <c r="AP407" s="16" t="s">
        <v>181</v>
      </c>
      <c r="AQ407" s="16" t="s">
        <v>181</v>
      </c>
      <c r="AR407" s="16" t="s">
        <v>126</v>
      </c>
      <c r="AS407" s="16" t="s">
        <v>65</v>
      </c>
      <c r="AT407" s="16" t="s">
        <v>66</v>
      </c>
      <c r="AU407" s="16" t="s">
        <v>67</v>
      </c>
      <c r="AV407" s="16" t="s">
        <v>68</v>
      </c>
      <c r="AW407" s="21" t="s">
        <v>69</v>
      </c>
      <c r="AX407" s="23"/>
      <c r="AY407" s="21" t="s">
        <v>71</v>
      </c>
      <c r="AZ407" s="22"/>
      <c r="BA407" s="23"/>
      <c r="BB407" s="19"/>
      <c r="BC407" s="19"/>
      <c r="BD407" s="19"/>
      <c r="BE407" s="21" t="s">
        <v>77</v>
      </c>
      <c r="BF407" s="23"/>
      <c r="BG407" s="21" t="s">
        <v>78</v>
      </c>
      <c r="BH407" s="23"/>
      <c r="BI407" s="19"/>
      <c r="BJ407" s="19"/>
      <c r="BK407" s="16" t="s">
        <v>81</v>
      </c>
      <c r="BL407" s="19"/>
      <c r="BM407" s="19"/>
      <c r="BN407" s="19"/>
      <c r="BO407" s="21" t="s">
        <v>85</v>
      </c>
      <c r="BP407" s="22"/>
      <c r="BQ407" s="22"/>
      <c r="BR407" s="23"/>
      <c r="BS407" s="19"/>
      <c r="BT407" s="21" t="s">
        <v>89</v>
      </c>
      <c r="BU407" s="22"/>
      <c r="BV407" s="23"/>
      <c r="BW407" s="19"/>
      <c r="BX407" s="19"/>
      <c r="BY407" s="19"/>
      <c r="BZ407" s="19"/>
      <c r="CA407" s="21" t="s">
        <v>95</v>
      </c>
      <c r="CB407" s="22"/>
      <c r="CC407" s="23"/>
      <c r="CD407" s="19"/>
      <c r="CE407" s="19"/>
      <c r="CF407" s="19"/>
      <c r="CG407" s="16" t="s">
        <v>128</v>
      </c>
      <c r="CH407" s="19"/>
      <c r="CI407" s="19"/>
      <c r="CJ407" s="21" t="s">
        <v>102</v>
      </c>
      <c r="CK407" s="22"/>
      <c r="CL407" s="23"/>
      <c r="CM407" s="19"/>
      <c r="CN407" s="16" t="s">
        <v>128</v>
      </c>
      <c r="CO407" s="19"/>
      <c r="CP407" s="21" t="s">
        <v>106</v>
      </c>
      <c r="CQ407" s="22"/>
      <c r="CR407" s="22"/>
      <c r="CS407" s="23"/>
      <c r="CT407" s="19"/>
      <c r="CU407" s="19"/>
      <c r="CV407" s="16" t="s">
        <v>128</v>
      </c>
      <c r="CW407" s="19"/>
      <c r="CX407" s="19"/>
      <c r="CY407" s="19"/>
      <c r="CZ407" s="19"/>
      <c r="DA407" s="21" t="s">
        <v>115</v>
      </c>
      <c r="DB407" s="23"/>
      <c r="DC407" s="16" t="s">
        <v>129</v>
      </c>
      <c r="DD407" s="16" t="s">
        <v>129</v>
      </c>
      <c r="DE407" s="16" t="s">
        <v>145</v>
      </c>
      <c r="DF407" s="16" t="s">
        <v>145</v>
      </c>
      <c r="DG407" s="16" t="s">
        <v>2072</v>
      </c>
      <c r="DH407" s="16" t="s">
        <v>2082</v>
      </c>
      <c r="DI407" s="16" t="s">
        <v>869</v>
      </c>
      <c r="DJ407" s="16" t="s">
        <v>2074</v>
      </c>
      <c r="DK407" s="16" t="s">
        <v>2083</v>
      </c>
      <c r="DL407" s="16" t="s">
        <v>2104</v>
      </c>
      <c r="DM407" s="16" t="s">
        <v>2077</v>
      </c>
      <c r="DN407" s="16" t="s">
        <v>2078</v>
      </c>
      <c r="DO407" s="16" t="s">
        <v>2152</v>
      </c>
    </row>
    <row r="408" ht="15.75" customHeight="1">
      <c r="A408" s="15">
        <v>406.0</v>
      </c>
      <c r="B408" s="16" t="s">
        <v>2153</v>
      </c>
      <c r="C408" s="17">
        <v>2.8601182603472E13</v>
      </c>
      <c r="D408" s="18">
        <v>10.0</v>
      </c>
      <c r="E408" s="19"/>
      <c r="F408" s="16" t="s">
        <v>2070</v>
      </c>
      <c r="G408" s="16" t="s">
        <v>1875</v>
      </c>
      <c r="H408" s="20">
        <v>31423.0</v>
      </c>
      <c r="I408" s="18">
        <v>1.0</v>
      </c>
      <c r="J408" s="19"/>
      <c r="K408" s="19"/>
      <c r="L408" s="21" t="s">
        <v>138</v>
      </c>
      <c r="M408" s="23"/>
      <c r="N408" s="19"/>
      <c r="O408" s="19"/>
      <c r="P408" s="19"/>
      <c r="Q408" s="19"/>
      <c r="R408" s="19"/>
      <c r="S408" s="19"/>
      <c r="T408" s="19"/>
      <c r="U408" s="21" t="s">
        <v>44</v>
      </c>
      <c r="V408" s="22"/>
      <c r="W408" s="22"/>
      <c r="X408" s="22"/>
      <c r="Y408" s="23"/>
      <c r="Z408" s="19"/>
      <c r="AA408" s="19"/>
      <c r="AB408" s="16" t="s">
        <v>51</v>
      </c>
      <c r="AC408" s="21" t="s">
        <v>52</v>
      </c>
      <c r="AD408" s="23"/>
      <c r="AE408" s="19"/>
      <c r="AF408" s="19"/>
      <c r="AG408" s="19"/>
      <c r="AH408" s="21" t="s">
        <v>152</v>
      </c>
      <c r="AI408" s="23"/>
      <c r="AJ408" s="16" t="s">
        <v>168</v>
      </c>
      <c r="AK408" s="16" t="s">
        <v>142</v>
      </c>
      <c r="AL408" s="16" t="s">
        <v>126</v>
      </c>
      <c r="AM408" s="16" t="s">
        <v>143</v>
      </c>
      <c r="AN408" s="16" t="s">
        <v>143</v>
      </c>
      <c r="AO408" s="19"/>
      <c r="AP408" s="16" t="s">
        <v>181</v>
      </c>
      <c r="AQ408" s="16" t="s">
        <v>143</v>
      </c>
      <c r="AR408" s="16" t="s">
        <v>143</v>
      </c>
      <c r="AS408" s="19"/>
      <c r="AT408" s="19"/>
      <c r="AU408" s="19"/>
      <c r="AV408" s="19"/>
      <c r="AW408" s="19"/>
      <c r="AX408" s="19"/>
      <c r="AY408" s="19"/>
      <c r="AZ408" s="19"/>
      <c r="BA408" s="21" t="s">
        <v>73</v>
      </c>
      <c r="BB408" s="23"/>
      <c r="BC408" s="21" t="s">
        <v>75</v>
      </c>
      <c r="BD408" s="23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21" t="s">
        <v>87</v>
      </c>
      <c r="BS408" s="23"/>
      <c r="BT408" s="19"/>
      <c r="BU408" s="19"/>
      <c r="BV408" s="19"/>
      <c r="BW408" s="19"/>
      <c r="BX408" s="19"/>
      <c r="BY408" s="19"/>
      <c r="BZ408" s="19"/>
      <c r="CA408" s="19"/>
      <c r="CB408" s="21" t="s">
        <v>96</v>
      </c>
      <c r="CC408" s="23"/>
      <c r="CD408" s="19"/>
      <c r="CE408" s="21" t="s">
        <v>99</v>
      </c>
      <c r="CF408" s="23"/>
      <c r="CG408" s="16" t="s">
        <v>128</v>
      </c>
      <c r="CH408" s="21" t="s">
        <v>100</v>
      </c>
      <c r="CI408" s="23"/>
      <c r="CJ408" s="19"/>
      <c r="CK408" s="19"/>
      <c r="CL408" s="21" t="s">
        <v>104</v>
      </c>
      <c r="CM408" s="23"/>
      <c r="CN408" s="16" t="s">
        <v>128</v>
      </c>
      <c r="CO408" s="21" t="s">
        <v>105</v>
      </c>
      <c r="CP408" s="22"/>
      <c r="CQ408" s="23"/>
      <c r="CR408" s="19"/>
      <c r="CS408" s="16" t="s">
        <v>109</v>
      </c>
      <c r="CT408" s="21" t="s">
        <v>110</v>
      </c>
      <c r="CU408" s="23"/>
      <c r="CV408" s="16" t="s">
        <v>128</v>
      </c>
      <c r="CW408" s="19"/>
      <c r="CX408" s="19"/>
      <c r="CY408" s="19"/>
      <c r="CZ408" s="19"/>
      <c r="DA408" s="21" t="s">
        <v>115</v>
      </c>
      <c r="DB408" s="23"/>
      <c r="DC408" s="16" t="s">
        <v>602</v>
      </c>
      <c r="DD408" s="16" t="s">
        <v>602</v>
      </c>
      <c r="DE408" s="16" t="s">
        <v>129</v>
      </c>
      <c r="DF408" s="16" t="s">
        <v>129</v>
      </c>
      <c r="DG408" s="21" t="s">
        <v>2154</v>
      </c>
      <c r="DH408" s="23"/>
      <c r="DI408" s="19"/>
      <c r="DJ408" s="19"/>
      <c r="DK408" s="19"/>
      <c r="DL408" s="19"/>
      <c r="DM408" s="21" t="s">
        <v>2155</v>
      </c>
      <c r="DN408" s="23"/>
      <c r="DO408" s="19"/>
    </row>
    <row r="409" ht="15.75" customHeight="1">
      <c r="A409" s="15">
        <v>407.0</v>
      </c>
      <c r="B409" s="16" t="s">
        <v>2156</v>
      </c>
      <c r="C409" s="17">
        <v>3.1407272106453E13</v>
      </c>
      <c r="D409" s="18">
        <v>6.0</v>
      </c>
      <c r="E409" s="16" t="s">
        <v>1894</v>
      </c>
      <c r="F409" s="16" t="s">
        <v>1894</v>
      </c>
      <c r="G409" s="16" t="s">
        <v>1875</v>
      </c>
      <c r="H409" s="20">
        <v>41847.0</v>
      </c>
      <c r="I409" s="18">
        <v>1.0</v>
      </c>
      <c r="J409" s="19"/>
      <c r="K409" s="16" t="s">
        <v>1909</v>
      </c>
      <c r="L409" s="21" t="s">
        <v>138</v>
      </c>
      <c r="M409" s="23"/>
      <c r="N409" s="19"/>
      <c r="O409" s="19"/>
      <c r="P409" s="19"/>
      <c r="Q409" s="19"/>
      <c r="R409" s="19"/>
      <c r="S409" s="19"/>
      <c r="T409" s="19"/>
      <c r="U409" s="19"/>
      <c r="V409" s="16" t="s">
        <v>139</v>
      </c>
      <c r="W409" s="19"/>
      <c r="X409" s="19"/>
      <c r="Y409" s="21" t="s">
        <v>48</v>
      </c>
      <c r="Z409" s="23"/>
      <c r="AA409" s="19"/>
      <c r="AB409" s="19"/>
      <c r="AC409" s="19"/>
      <c r="AD409" s="19"/>
      <c r="AE409" s="19"/>
      <c r="AF409" s="19"/>
      <c r="AG409" s="19"/>
      <c r="AH409" s="21" t="s">
        <v>123</v>
      </c>
      <c r="AI409" s="23"/>
      <c r="AJ409" s="16" t="s">
        <v>168</v>
      </c>
      <c r="AK409" s="16" t="s">
        <v>153</v>
      </c>
      <c r="AL409" s="16" t="s">
        <v>126</v>
      </c>
      <c r="AM409" s="16" t="s">
        <v>126</v>
      </c>
      <c r="AN409" s="16" t="s">
        <v>181</v>
      </c>
      <c r="AO409" s="16" t="s">
        <v>181</v>
      </c>
      <c r="AP409" s="16" t="s">
        <v>126</v>
      </c>
      <c r="AQ409" s="16" t="s">
        <v>181</v>
      </c>
      <c r="AR409" s="16" t="s">
        <v>126</v>
      </c>
      <c r="AS409" s="19"/>
      <c r="AT409" s="19"/>
      <c r="AU409" s="19"/>
      <c r="AV409" s="21" t="s">
        <v>68</v>
      </c>
      <c r="AW409" s="22"/>
      <c r="AX409" s="23"/>
      <c r="AY409" s="19"/>
      <c r="AZ409" s="19"/>
      <c r="BA409" s="21" t="s">
        <v>73</v>
      </c>
      <c r="BB409" s="23"/>
      <c r="BC409" s="19"/>
      <c r="BD409" s="19"/>
      <c r="BE409" s="19"/>
      <c r="BF409" s="19"/>
      <c r="BG409" s="19"/>
      <c r="BH409" s="21" t="s">
        <v>79</v>
      </c>
      <c r="BI409" s="23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21" t="s">
        <v>90</v>
      </c>
      <c r="BV409" s="23"/>
      <c r="BW409" s="19"/>
      <c r="BX409" s="19"/>
      <c r="BY409" s="21" t="s">
        <v>93</v>
      </c>
      <c r="BZ409" s="22"/>
      <c r="CA409" s="23"/>
      <c r="CB409" s="19"/>
      <c r="CC409" s="19"/>
      <c r="CD409" s="19"/>
      <c r="CE409" s="19"/>
      <c r="CF409" s="19"/>
      <c r="CG409" s="16" t="s">
        <v>128</v>
      </c>
      <c r="CH409" s="21" t="s">
        <v>100</v>
      </c>
      <c r="CI409" s="23"/>
      <c r="CJ409" s="19"/>
      <c r="CK409" s="19"/>
      <c r="CL409" s="19"/>
      <c r="CM409" s="19"/>
      <c r="CN409" s="16" t="s">
        <v>128</v>
      </c>
      <c r="CO409" s="19"/>
      <c r="CP409" s="19"/>
      <c r="CQ409" s="19"/>
      <c r="CR409" s="19"/>
      <c r="CS409" s="19"/>
      <c r="CT409" s="21" t="s">
        <v>110</v>
      </c>
      <c r="CU409" s="23"/>
      <c r="CV409" s="16" t="s">
        <v>128</v>
      </c>
      <c r="CW409" s="19"/>
      <c r="CX409" s="21" t="s">
        <v>112</v>
      </c>
      <c r="CY409" s="22"/>
      <c r="CZ409" s="23"/>
      <c r="DA409" s="19"/>
      <c r="DB409" s="19"/>
      <c r="DC409" s="16" t="s">
        <v>129</v>
      </c>
      <c r="DD409" s="16" t="s">
        <v>129</v>
      </c>
      <c r="DE409" s="16" t="s">
        <v>129</v>
      </c>
      <c r="DF409" s="16" t="s">
        <v>145</v>
      </c>
      <c r="DG409" s="16" t="s">
        <v>2157</v>
      </c>
      <c r="DH409" s="16" t="s">
        <v>2158</v>
      </c>
      <c r="DI409" s="16" t="s">
        <v>2159</v>
      </c>
      <c r="DJ409" s="16" t="s">
        <v>2160</v>
      </c>
      <c r="DK409" s="16" t="s">
        <v>2161</v>
      </c>
      <c r="DL409" s="16" t="s">
        <v>2162</v>
      </c>
      <c r="DM409" s="16" t="s">
        <v>2163</v>
      </c>
      <c r="DN409" s="16" t="s">
        <v>2164</v>
      </c>
      <c r="DO409" s="16" t="s">
        <v>144</v>
      </c>
    </row>
    <row r="410" ht="15.75" customHeight="1">
      <c r="A410" s="15">
        <v>408.0</v>
      </c>
      <c r="B410" s="16" t="s">
        <v>2165</v>
      </c>
      <c r="C410" s="17">
        <v>3.1106292602606E13</v>
      </c>
      <c r="D410" s="18">
        <v>26.0</v>
      </c>
      <c r="E410" s="16" t="s">
        <v>2166</v>
      </c>
      <c r="F410" s="16" t="s">
        <v>2070</v>
      </c>
      <c r="G410" s="16" t="s">
        <v>1875</v>
      </c>
      <c r="H410" s="20">
        <v>41819.0</v>
      </c>
      <c r="I410" s="18">
        <v>1.0</v>
      </c>
      <c r="J410" s="19"/>
      <c r="K410" s="16" t="s">
        <v>2167</v>
      </c>
      <c r="L410" s="16" t="s">
        <v>122</v>
      </c>
      <c r="M410" s="19"/>
      <c r="N410" s="19"/>
      <c r="O410" s="19"/>
      <c r="P410" s="19"/>
      <c r="Q410" s="21" t="s">
        <v>40</v>
      </c>
      <c r="R410" s="22"/>
      <c r="S410" s="22"/>
      <c r="T410" s="22"/>
      <c r="U410" s="23"/>
      <c r="V410" s="19"/>
      <c r="W410" s="16" t="s">
        <v>46</v>
      </c>
      <c r="X410" s="19"/>
      <c r="Y410" s="21" t="s">
        <v>48</v>
      </c>
      <c r="Z410" s="23"/>
      <c r="AA410" s="16" t="s">
        <v>50</v>
      </c>
      <c r="AB410" s="19"/>
      <c r="AC410" s="21" t="s">
        <v>52</v>
      </c>
      <c r="AD410" s="23"/>
      <c r="AE410" s="19"/>
      <c r="AF410" s="19"/>
      <c r="AG410" s="19"/>
      <c r="AH410" s="21" t="s">
        <v>228</v>
      </c>
      <c r="AI410" s="23"/>
      <c r="AJ410" s="16" t="s">
        <v>168</v>
      </c>
      <c r="AK410" s="16" t="s">
        <v>142</v>
      </c>
      <c r="AL410" s="16" t="s">
        <v>126</v>
      </c>
      <c r="AM410" s="16" t="s">
        <v>126</v>
      </c>
      <c r="AN410" s="16" t="s">
        <v>181</v>
      </c>
      <c r="AO410" s="16" t="s">
        <v>181</v>
      </c>
      <c r="AP410" s="16" t="s">
        <v>181</v>
      </c>
      <c r="AQ410" s="16" t="s">
        <v>181</v>
      </c>
      <c r="AR410" s="16" t="s">
        <v>181</v>
      </c>
      <c r="AS410" s="19"/>
      <c r="AT410" s="19"/>
      <c r="AU410" s="19"/>
      <c r="AV410" s="21" t="s">
        <v>68</v>
      </c>
      <c r="AW410" s="22"/>
      <c r="AX410" s="23"/>
      <c r="AY410" s="21" t="s">
        <v>71</v>
      </c>
      <c r="AZ410" s="22"/>
      <c r="BA410" s="23"/>
      <c r="BB410" s="19"/>
      <c r="BC410" s="19"/>
      <c r="BD410" s="19"/>
      <c r="BE410" s="19"/>
      <c r="BF410" s="19"/>
      <c r="BG410" s="21" t="s">
        <v>78</v>
      </c>
      <c r="BH410" s="23"/>
      <c r="BI410" s="21" t="s">
        <v>52</v>
      </c>
      <c r="BJ410" s="23"/>
      <c r="BK410" s="16" t="s">
        <v>81</v>
      </c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21" t="s">
        <v>96</v>
      </c>
      <c r="CC410" s="23"/>
      <c r="CD410" s="19"/>
      <c r="CE410" s="21" t="s">
        <v>99</v>
      </c>
      <c r="CF410" s="23"/>
      <c r="CG410" s="16" t="s">
        <v>128</v>
      </c>
      <c r="CH410" s="19"/>
      <c r="CI410" s="19"/>
      <c r="CJ410" s="19"/>
      <c r="CK410" s="16" t="s">
        <v>103</v>
      </c>
      <c r="CL410" s="21" t="s">
        <v>104</v>
      </c>
      <c r="CM410" s="23"/>
      <c r="CN410" s="16" t="s">
        <v>128</v>
      </c>
      <c r="CO410" s="16" t="s">
        <v>105</v>
      </c>
      <c r="CP410" s="16" t="s">
        <v>106</v>
      </c>
      <c r="CQ410" s="16" t="s">
        <v>107</v>
      </c>
      <c r="CR410" s="21" t="s">
        <v>108</v>
      </c>
      <c r="CS410" s="23"/>
      <c r="CT410" s="21" t="s">
        <v>110</v>
      </c>
      <c r="CU410" s="23"/>
      <c r="CV410" s="16" t="s">
        <v>128</v>
      </c>
      <c r="CW410" s="19"/>
      <c r="CX410" s="19"/>
      <c r="CY410" s="21" t="s">
        <v>113</v>
      </c>
      <c r="CZ410" s="23"/>
      <c r="DA410" s="21" t="s">
        <v>115</v>
      </c>
      <c r="DB410" s="23"/>
      <c r="DC410" s="16" t="s">
        <v>129</v>
      </c>
      <c r="DD410" s="16" t="s">
        <v>129</v>
      </c>
      <c r="DE410" s="16" t="s">
        <v>129</v>
      </c>
      <c r="DF410" s="16" t="s">
        <v>129</v>
      </c>
      <c r="DG410" s="16" t="s">
        <v>2168</v>
      </c>
      <c r="DH410" s="16" t="s">
        <v>2169</v>
      </c>
      <c r="DI410" s="19"/>
      <c r="DJ410" s="19"/>
      <c r="DK410" s="19"/>
      <c r="DL410" s="19"/>
      <c r="DM410" s="21" t="s">
        <v>2170</v>
      </c>
      <c r="DN410" s="23"/>
      <c r="DO410" s="19"/>
    </row>
    <row r="411" ht="15.75" customHeight="1">
      <c r="A411" s="15">
        <v>409.0</v>
      </c>
      <c r="B411" s="16" t="s">
        <v>2171</v>
      </c>
      <c r="C411" s="17">
        <v>3.0704112601033E13</v>
      </c>
      <c r="D411" s="18">
        <v>191.0</v>
      </c>
      <c r="E411" s="16" t="s">
        <v>2172</v>
      </c>
      <c r="F411" s="16" t="s">
        <v>2047</v>
      </c>
      <c r="G411" s="16" t="s">
        <v>1875</v>
      </c>
      <c r="H411" s="20">
        <v>39183.0</v>
      </c>
      <c r="I411" s="18">
        <v>1.0</v>
      </c>
      <c r="J411" s="19"/>
      <c r="K411" s="16" t="s">
        <v>2173</v>
      </c>
      <c r="L411" s="16" t="s">
        <v>138</v>
      </c>
      <c r="M411" s="21" t="s">
        <v>36</v>
      </c>
      <c r="N411" s="22"/>
      <c r="O411" s="22"/>
      <c r="P411" s="23"/>
      <c r="Q411" s="19"/>
      <c r="R411" s="19"/>
      <c r="S411" s="19"/>
      <c r="T411" s="19"/>
      <c r="U411" s="19"/>
      <c r="V411" s="19"/>
      <c r="W411" s="16" t="s">
        <v>46</v>
      </c>
      <c r="X411" s="16" t="s">
        <v>47</v>
      </c>
      <c r="Y411" s="21" t="s">
        <v>48</v>
      </c>
      <c r="Z411" s="23"/>
      <c r="AA411" s="16" t="s">
        <v>50</v>
      </c>
      <c r="AB411" s="16" t="s">
        <v>51</v>
      </c>
      <c r="AC411" s="21" t="s">
        <v>52</v>
      </c>
      <c r="AD411" s="23"/>
      <c r="AE411" s="19"/>
      <c r="AF411" s="19"/>
      <c r="AG411" s="19"/>
      <c r="AH411" s="21" t="s">
        <v>123</v>
      </c>
      <c r="AI411" s="23"/>
      <c r="AJ411" s="16" t="s">
        <v>124</v>
      </c>
      <c r="AK411" s="16" t="s">
        <v>153</v>
      </c>
      <c r="AL411" s="16" t="s">
        <v>181</v>
      </c>
      <c r="AM411" s="16" t="s">
        <v>181</v>
      </c>
      <c r="AN411" s="16" t="s">
        <v>181</v>
      </c>
      <c r="AO411" s="16" t="s">
        <v>181</v>
      </c>
      <c r="AP411" s="16" t="s">
        <v>181</v>
      </c>
      <c r="AQ411" s="16" t="s">
        <v>181</v>
      </c>
      <c r="AR411" s="16" t="s">
        <v>126</v>
      </c>
      <c r="AS411" s="16" t="s">
        <v>65</v>
      </c>
      <c r="AT411" s="21" t="s">
        <v>66</v>
      </c>
      <c r="AU411" s="22"/>
      <c r="AV411" s="23"/>
      <c r="AW411" s="21" t="s">
        <v>69</v>
      </c>
      <c r="AX411" s="23"/>
      <c r="AY411" s="21" t="s">
        <v>71</v>
      </c>
      <c r="AZ411" s="23"/>
      <c r="BA411" s="16" t="s">
        <v>73</v>
      </c>
      <c r="BB411" s="21" t="s">
        <v>74</v>
      </c>
      <c r="BC411" s="22"/>
      <c r="BD411" s="23"/>
      <c r="BE411" s="19"/>
      <c r="BF411" s="19"/>
      <c r="BG411" s="21" t="s">
        <v>78</v>
      </c>
      <c r="BH411" s="23"/>
      <c r="BI411" s="19"/>
      <c r="BJ411" s="19"/>
      <c r="BK411" s="16" t="s">
        <v>81</v>
      </c>
      <c r="BL411" s="19"/>
      <c r="BM411" s="19"/>
      <c r="BN411" s="16" t="s">
        <v>84</v>
      </c>
      <c r="BO411" s="21" t="s">
        <v>85</v>
      </c>
      <c r="BP411" s="22"/>
      <c r="BQ411" s="22"/>
      <c r="BR411" s="23"/>
      <c r="BS411" s="19"/>
      <c r="BT411" s="21" t="s">
        <v>89</v>
      </c>
      <c r="BU411" s="22"/>
      <c r="BV411" s="23"/>
      <c r="BW411" s="21" t="s">
        <v>92</v>
      </c>
      <c r="BX411" s="22"/>
      <c r="BY411" s="23"/>
      <c r="BZ411" s="19"/>
      <c r="CA411" s="19"/>
      <c r="CB411" s="21" t="s">
        <v>96</v>
      </c>
      <c r="CC411" s="23"/>
      <c r="CD411" s="19"/>
      <c r="CE411" s="19"/>
      <c r="CF411" s="19"/>
      <c r="CG411" s="16" t="s">
        <v>128</v>
      </c>
      <c r="CH411" s="21" t="s">
        <v>100</v>
      </c>
      <c r="CI411" s="23"/>
      <c r="CJ411" s="21" t="s">
        <v>102</v>
      </c>
      <c r="CK411" s="23"/>
      <c r="CL411" s="21" t="s">
        <v>104</v>
      </c>
      <c r="CM411" s="23"/>
      <c r="CN411" s="16" t="s">
        <v>128</v>
      </c>
      <c r="CO411" s="19"/>
      <c r="CP411" s="21" t="s">
        <v>106</v>
      </c>
      <c r="CQ411" s="22"/>
      <c r="CR411" s="22"/>
      <c r="CS411" s="23"/>
      <c r="CT411" s="19"/>
      <c r="CU411" s="19"/>
      <c r="CV411" s="16" t="s">
        <v>128</v>
      </c>
      <c r="CW411" s="19"/>
      <c r="CX411" s="19"/>
      <c r="CY411" s="19"/>
      <c r="CZ411" s="21" t="s">
        <v>114</v>
      </c>
      <c r="DA411" s="22"/>
      <c r="DB411" s="23"/>
      <c r="DC411" s="16" t="s">
        <v>129</v>
      </c>
      <c r="DD411" s="16" t="s">
        <v>129</v>
      </c>
      <c r="DE411" s="16" t="s">
        <v>129</v>
      </c>
      <c r="DF411" s="16" t="s">
        <v>145</v>
      </c>
      <c r="DG411" s="16" t="s">
        <v>2174</v>
      </c>
      <c r="DH411" s="16" t="s">
        <v>2175</v>
      </c>
      <c r="DI411" s="16" t="s">
        <v>2176</v>
      </c>
      <c r="DJ411" s="16" t="s">
        <v>2115</v>
      </c>
      <c r="DK411" s="16" t="s">
        <v>2177</v>
      </c>
      <c r="DL411" s="16" t="s">
        <v>2074</v>
      </c>
      <c r="DM411" s="16" t="s">
        <v>2178</v>
      </c>
      <c r="DN411" s="16" t="s">
        <v>2077</v>
      </c>
      <c r="DO411" s="16" t="s">
        <v>2179</v>
      </c>
    </row>
    <row r="412" ht="15.75" customHeight="1">
      <c r="A412" s="15">
        <v>410.0</v>
      </c>
      <c r="B412" s="16" t="s">
        <v>2180</v>
      </c>
      <c r="C412" s="17">
        <v>3.1112122602029E13</v>
      </c>
      <c r="D412" s="18">
        <v>39.0</v>
      </c>
      <c r="E412" s="16" t="s">
        <v>1894</v>
      </c>
      <c r="F412" s="16" t="s">
        <v>1894</v>
      </c>
      <c r="G412" s="16" t="s">
        <v>1875</v>
      </c>
      <c r="H412" s="25">
        <v>40889.0</v>
      </c>
      <c r="I412" s="16"/>
      <c r="J412" s="18">
        <v>1.0</v>
      </c>
      <c r="K412" s="16" t="s">
        <v>2181</v>
      </c>
      <c r="L412" s="21" t="s">
        <v>138</v>
      </c>
      <c r="M412" s="23"/>
      <c r="N412" s="19"/>
      <c r="O412" s="19"/>
      <c r="P412" s="19"/>
      <c r="Q412" s="19"/>
      <c r="R412" s="19"/>
      <c r="S412" s="19"/>
      <c r="T412" s="19"/>
      <c r="U412" s="19"/>
      <c r="V412" s="16" t="s">
        <v>853</v>
      </c>
      <c r="W412" s="19"/>
      <c r="X412" s="19"/>
      <c r="Y412" s="21" t="s">
        <v>48</v>
      </c>
      <c r="Z412" s="23"/>
      <c r="AA412" s="19"/>
      <c r="AB412" s="19"/>
      <c r="AC412" s="19"/>
      <c r="AD412" s="19"/>
      <c r="AE412" s="19"/>
      <c r="AF412" s="19"/>
      <c r="AG412" s="19"/>
      <c r="AH412" s="21" t="s">
        <v>123</v>
      </c>
      <c r="AI412" s="23"/>
      <c r="AJ412" s="16" t="s">
        <v>124</v>
      </c>
      <c r="AK412" s="16" t="s">
        <v>153</v>
      </c>
      <c r="AL412" s="16" t="s">
        <v>126</v>
      </c>
      <c r="AM412" s="16" t="s">
        <v>181</v>
      </c>
      <c r="AN412" s="16" t="s">
        <v>181</v>
      </c>
      <c r="AO412" s="16" t="s">
        <v>126</v>
      </c>
      <c r="AP412" s="16" t="s">
        <v>181</v>
      </c>
      <c r="AQ412" s="16" t="s">
        <v>181</v>
      </c>
      <c r="AR412" s="16" t="s">
        <v>181</v>
      </c>
      <c r="AS412" s="19"/>
      <c r="AT412" s="19"/>
      <c r="AU412" s="19"/>
      <c r="AV412" s="21" t="s">
        <v>68</v>
      </c>
      <c r="AW412" s="22"/>
      <c r="AX412" s="23"/>
      <c r="AY412" s="19"/>
      <c r="AZ412" s="19"/>
      <c r="BA412" s="21" t="s">
        <v>73</v>
      </c>
      <c r="BB412" s="23"/>
      <c r="BC412" s="19"/>
      <c r="BD412" s="19"/>
      <c r="BE412" s="19"/>
      <c r="BF412" s="19"/>
      <c r="BG412" s="19"/>
      <c r="BH412" s="21" t="s">
        <v>79</v>
      </c>
      <c r="BI412" s="23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6" t="s">
        <v>91</v>
      </c>
      <c r="BW412" s="19"/>
      <c r="BX412" s="19"/>
      <c r="BY412" s="21" t="s">
        <v>93</v>
      </c>
      <c r="BZ412" s="22"/>
      <c r="CA412" s="23"/>
      <c r="CB412" s="19"/>
      <c r="CC412" s="19"/>
      <c r="CD412" s="19"/>
      <c r="CE412" s="19"/>
      <c r="CF412" s="19"/>
      <c r="CG412" s="16" t="s">
        <v>128</v>
      </c>
      <c r="CH412" s="19"/>
      <c r="CI412" s="19"/>
      <c r="CJ412" s="19"/>
      <c r="CK412" s="21" t="s">
        <v>103</v>
      </c>
      <c r="CL412" s="23"/>
      <c r="CM412" s="19"/>
      <c r="CN412" s="16" t="s">
        <v>128</v>
      </c>
      <c r="CO412" s="21" t="s">
        <v>105</v>
      </c>
      <c r="CP412" s="22"/>
      <c r="CQ412" s="23"/>
      <c r="CR412" s="19"/>
      <c r="CS412" s="19"/>
      <c r="CT412" s="19"/>
      <c r="CU412" s="19"/>
      <c r="CV412" s="16" t="s">
        <v>128</v>
      </c>
      <c r="CW412" s="19"/>
      <c r="CX412" s="21" t="s">
        <v>112</v>
      </c>
      <c r="CY412" s="22"/>
      <c r="CZ412" s="23"/>
      <c r="DA412" s="19"/>
      <c r="DB412" s="19"/>
      <c r="DC412" s="16" t="s">
        <v>129</v>
      </c>
      <c r="DD412" s="16" t="s">
        <v>129</v>
      </c>
      <c r="DE412" s="16" t="s">
        <v>129</v>
      </c>
      <c r="DF412" s="16" t="s">
        <v>129</v>
      </c>
      <c r="DG412" s="16" t="s">
        <v>2182</v>
      </c>
      <c r="DH412" s="16" t="s">
        <v>2183</v>
      </c>
      <c r="DI412" s="16" t="s">
        <v>144</v>
      </c>
      <c r="DJ412" s="16" t="s">
        <v>2184</v>
      </c>
      <c r="DK412" s="16" t="s">
        <v>2185</v>
      </c>
      <c r="DL412" s="16" t="s">
        <v>144</v>
      </c>
      <c r="DM412" s="16" t="s">
        <v>2186</v>
      </c>
      <c r="DN412" s="16" t="s">
        <v>2187</v>
      </c>
      <c r="DO412" s="16" t="s">
        <v>144</v>
      </c>
    </row>
    <row r="413" ht="15.75" customHeight="1">
      <c r="A413" s="15">
        <v>411.0</v>
      </c>
      <c r="B413" s="16" t="s">
        <v>2188</v>
      </c>
      <c r="C413" s="17">
        <v>3.1605202605645E13</v>
      </c>
      <c r="D413" s="19"/>
      <c r="E413" s="16" t="s">
        <v>2189</v>
      </c>
      <c r="F413" s="16" t="s">
        <v>2047</v>
      </c>
      <c r="G413" s="16" t="s">
        <v>1875</v>
      </c>
      <c r="H413" s="20">
        <v>42510.0</v>
      </c>
      <c r="I413" s="16"/>
      <c r="J413" s="18">
        <v>1.0</v>
      </c>
      <c r="K413" s="16" t="s">
        <v>2190</v>
      </c>
      <c r="L413" s="21" t="s">
        <v>138</v>
      </c>
      <c r="M413" s="23"/>
      <c r="N413" s="19"/>
      <c r="O413" s="19"/>
      <c r="P413" s="19"/>
      <c r="Q413" s="19"/>
      <c r="R413" s="19"/>
      <c r="S413" s="19"/>
      <c r="T413" s="21" t="s">
        <v>43</v>
      </c>
      <c r="U413" s="23"/>
      <c r="V413" s="19"/>
      <c r="W413" s="19"/>
      <c r="X413" s="19"/>
      <c r="Y413" s="21" t="s">
        <v>48</v>
      </c>
      <c r="Z413" s="23"/>
      <c r="AA413" s="19"/>
      <c r="AB413" s="19"/>
      <c r="AC413" s="19"/>
      <c r="AD413" s="19"/>
      <c r="AE413" s="19"/>
      <c r="AF413" s="19"/>
      <c r="AG413" s="19"/>
      <c r="AH413" s="21" t="s">
        <v>123</v>
      </c>
      <c r="AI413" s="23"/>
      <c r="AJ413" s="16" t="s">
        <v>124</v>
      </c>
      <c r="AK413" s="16" t="s">
        <v>153</v>
      </c>
      <c r="AL413" s="16" t="s">
        <v>181</v>
      </c>
      <c r="AM413" s="16" t="s">
        <v>181</v>
      </c>
      <c r="AN413" s="16" t="s">
        <v>181</v>
      </c>
      <c r="AO413" s="16" t="s">
        <v>181</v>
      </c>
      <c r="AP413" s="16" t="s">
        <v>181</v>
      </c>
      <c r="AQ413" s="16" t="s">
        <v>181</v>
      </c>
      <c r="AR413" s="16" t="s">
        <v>181</v>
      </c>
      <c r="AS413" s="19"/>
      <c r="AT413" s="19"/>
      <c r="AU413" s="16" t="s">
        <v>67</v>
      </c>
      <c r="AV413" s="21" t="s">
        <v>68</v>
      </c>
      <c r="AW413" s="22"/>
      <c r="AX413" s="23"/>
      <c r="AY413" s="21" t="s">
        <v>71</v>
      </c>
      <c r="AZ413" s="22"/>
      <c r="BA413" s="23"/>
      <c r="BB413" s="19"/>
      <c r="BC413" s="19"/>
      <c r="BD413" s="16" t="s">
        <v>76</v>
      </c>
      <c r="BE413" s="21" t="s">
        <v>77</v>
      </c>
      <c r="BF413" s="22"/>
      <c r="BG413" s="22"/>
      <c r="BH413" s="23"/>
      <c r="BI413" s="19"/>
      <c r="BJ413" s="19"/>
      <c r="BK413" s="16" t="s">
        <v>81</v>
      </c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6" t="s">
        <v>91</v>
      </c>
      <c r="BW413" s="19"/>
      <c r="BX413" s="19"/>
      <c r="BY413" s="21" t="s">
        <v>93</v>
      </c>
      <c r="BZ413" s="22"/>
      <c r="CA413" s="23"/>
      <c r="CB413" s="19"/>
      <c r="CC413" s="19"/>
      <c r="CD413" s="19"/>
      <c r="CE413" s="19"/>
      <c r="CF413" s="19"/>
      <c r="CG413" s="16" t="s">
        <v>128</v>
      </c>
      <c r="CH413" s="19"/>
      <c r="CI413" s="19"/>
      <c r="CJ413" s="19"/>
      <c r="CK413" s="21" t="s">
        <v>103</v>
      </c>
      <c r="CL413" s="23"/>
      <c r="CM413" s="19"/>
      <c r="CN413" s="16" t="s">
        <v>128</v>
      </c>
      <c r="CO413" s="16" t="s">
        <v>105</v>
      </c>
      <c r="CP413" s="16" t="s">
        <v>106</v>
      </c>
      <c r="CQ413" s="16" t="s">
        <v>107</v>
      </c>
      <c r="CR413" s="16" t="s">
        <v>108</v>
      </c>
      <c r="CS413" s="16" t="s">
        <v>109</v>
      </c>
      <c r="CT413" s="21" t="s">
        <v>110</v>
      </c>
      <c r="CU413" s="23"/>
      <c r="CV413" s="16" t="s">
        <v>128</v>
      </c>
      <c r="CW413" s="16" t="s">
        <v>111</v>
      </c>
      <c r="CX413" s="21" t="s">
        <v>112</v>
      </c>
      <c r="CY413" s="22"/>
      <c r="CZ413" s="23"/>
      <c r="DA413" s="21" t="s">
        <v>115</v>
      </c>
      <c r="DB413" s="23"/>
      <c r="DC413" s="16" t="s">
        <v>129</v>
      </c>
      <c r="DD413" s="16" t="s">
        <v>129</v>
      </c>
      <c r="DE413" s="16" t="s">
        <v>129</v>
      </c>
      <c r="DF413" s="16" t="s">
        <v>129</v>
      </c>
      <c r="DG413" s="16" t="s">
        <v>2191</v>
      </c>
      <c r="DH413" s="16" t="s">
        <v>2192</v>
      </c>
      <c r="DI413" s="16" t="s">
        <v>2193</v>
      </c>
      <c r="DJ413" s="16" t="s">
        <v>2121</v>
      </c>
      <c r="DK413" s="16" t="s">
        <v>2194</v>
      </c>
      <c r="DL413" s="16" t="s">
        <v>2122</v>
      </c>
      <c r="DM413" s="16" t="s">
        <v>2123</v>
      </c>
      <c r="DN413" s="21" t="s">
        <v>1996</v>
      </c>
      <c r="DO413" s="23"/>
    </row>
    <row r="414" ht="15.75" customHeight="1">
      <c r="A414" s="15">
        <v>412.0</v>
      </c>
      <c r="B414" s="16" t="s">
        <v>2195</v>
      </c>
      <c r="C414" s="17">
        <v>3.1309030200658E13</v>
      </c>
      <c r="D414" s="18">
        <v>37.0</v>
      </c>
      <c r="E414" s="16" t="s">
        <v>1894</v>
      </c>
      <c r="F414" s="16" t="s">
        <v>1894</v>
      </c>
      <c r="G414" s="16" t="s">
        <v>1875</v>
      </c>
      <c r="H414" s="20">
        <v>41520.0</v>
      </c>
      <c r="I414" s="18">
        <v>1.0</v>
      </c>
      <c r="J414" s="19"/>
      <c r="K414" s="16" t="s">
        <v>2196</v>
      </c>
      <c r="L414" s="16" t="s">
        <v>122</v>
      </c>
      <c r="M414" s="21" t="s">
        <v>36</v>
      </c>
      <c r="N414" s="22"/>
      <c r="O414" s="22"/>
      <c r="P414" s="23"/>
      <c r="Q414" s="19"/>
      <c r="R414" s="19"/>
      <c r="S414" s="19"/>
      <c r="T414" s="19"/>
      <c r="U414" s="19"/>
      <c r="V414" s="19"/>
      <c r="W414" s="19"/>
      <c r="X414" s="19"/>
      <c r="Y414" s="21" t="s">
        <v>48</v>
      </c>
      <c r="Z414" s="23"/>
      <c r="AA414" s="19"/>
      <c r="AB414" s="19"/>
      <c r="AC414" s="19"/>
      <c r="AD414" s="19"/>
      <c r="AE414" s="19"/>
      <c r="AF414" s="19"/>
      <c r="AG414" s="19"/>
      <c r="AH414" s="21" t="s">
        <v>123</v>
      </c>
      <c r="AI414" s="23"/>
      <c r="AJ414" s="16" t="s">
        <v>124</v>
      </c>
      <c r="AK414" s="16" t="s">
        <v>153</v>
      </c>
      <c r="AL414" s="16" t="s">
        <v>126</v>
      </c>
      <c r="AM414" s="16" t="s">
        <v>126</v>
      </c>
      <c r="AN414" s="16" t="s">
        <v>126</v>
      </c>
      <c r="AO414" s="16" t="s">
        <v>126</v>
      </c>
      <c r="AP414" s="16" t="s">
        <v>126</v>
      </c>
      <c r="AQ414" s="16" t="s">
        <v>126</v>
      </c>
      <c r="AR414" s="16" t="s">
        <v>126</v>
      </c>
      <c r="AS414" s="19"/>
      <c r="AT414" s="19"/>
      <c r="AU414" s="19"/>
      <c r="AV414" s="21" t="s">
        <v>68</v>
      </c>
      <c r="AW414" s="22"/>
      <c r="AX414" s="23"/>
      <c r="AY414" s="19"/>
      <c r="AZ414" s="19"/>
      <c r="BA414" s="19"/>
      <c r="BB414" s="21" t="s">
        <v>74</v>
      </c>
      <c r="BC414" s="22"/>
      <c r="BD414" s="23"/>
      <c r="BE414" s="19"/>
      <c r="BF414" s="19"/>
      <c r="BG414" s="19"/>
      <c r="BH414" s="19"/>
      <c r="BI414" s="19"/>
      <c r="BJ414" s="19"/>
      <c r="BK414" s="16" t="s">
        <v>81</v>
      </c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6" t="s">
        <v>91</v>
      </c>
      <c r="BW414" s="19"/>
      <c r="BX414" s="19"/>
      <c r="BY414" s="19"/>
      <c r="BZ414" s="19"/>
      <c r="CA414" s="19"/>
      <c r="CB414" s="21" t="s">
        <v>96</v>
      </c>
      <c r="CC414" s="23"/>
      <c r="CD414" s="19"/>
      <c r="CE414" s="19"/>
      <c r="CF414" s="19"/>
      <c r="CG414" s="16" t="s">
        <v>128</v>
      </c>
      <c r="CH414" s="19"/>
      <c r="CI414" s="19"/>
      <c r="CJ414" s="19"/>
      <c r="CK414" s="21" t="s">
        <v>103</v>
      </c>
      <c r="CL414" s="23"/>
      <c r="CM414" s="19"/>
      <c r="CN414" s="16" t="s">
        <v>128</v>
      </c>
      <c r="CO414" s="21" t="s">
        <v>105</v>
      </c>
      <c r="CP414" s="22"/>
      <c r="CQ414" s="23"/>
      <c r="CR414" s="19"/>
      <c r="CS414" s="19"/>
      <c r="CT414" s="19"/>
      <c r="CU414" s="19"/>
      <c r="CV414" s="16" t="s">
        <v>128</v>
      </c>
      <c r="CW414" s="19"/>
      <c r="CX414" s="21" t="s">
        <v>112</v>
      </c>
      <c r="CY414" s="22"/>
      <c r="CZ414" s="23"/>
      <c r="DA414" s="19"/>
      <c r="DB414" s="19"/>
      <c r="DC414" s="16" t="s">
        <v>129</v>
      </c>
      <c r="DD414" s="16" t="s">
        <v>129</v>
      </c>
      <c r="DE414" s="16" t="s">
        <v>129</v>
      </c>
      <c r="DF414" s="16" t="s">
        <v>129</v>
      </c>
      <c r="DG414" s="16" t="s">
        <v>2197</v>
      </c>
      <c r="DH414" s="16" t="s">
        <v>2198</v>
      </c>
      <c r="DI414" s="16" t="s">
        <v>2199</v>
      </c>
      <c r="DJ414" s="16" t="s">
        <v>2200</v>
      </c>
      <c r="DK414" s="16" t="s">
        <v>2201</v>
      </c>
      <c r="DL414" s="16" t="s">
        <v>144</v>
      </c>
      <c r="DM414" s="16" t="s">
        <v>2202</v>
      </c>
      <c r="DN414" s="16" t="s">
        <v>2203</v>
      </c>
      <c r="DO414" s="16" t="s">
        <v>144</v>
      </c>
    </row>
    <row r="415" ht="15.75" customHeight="1">
      <c r="A415" s="15">
        <v>413.0</v>
      </c>
      <c r="B415" s="16" t="s">
        <v>2204</v>
      </c>
      <c r="C415" s="17">
        <v>3.1604092600875E13</v>
      </c>
      <c r="D415" s="18">
        <v>44.0</v>
      </c>
      <c r="E415" s="19"/>
      <c r="F415" s="16" t="s">
        <v>2070</v>
      </c>
      <c r="G415" s="16" t="s">
        <v>1875</v>
      </c>
      <c r="H415" s="20">
        <v>42469.0</v>
      </c>
      <c r="I415" s="18">
        <v>1.0</v>
      </c>
      <c r="J415" s="19"/>
      <c r="K415" s="16" t="s">
        <v>2205</v>
      </c>
      <c r="L415" s="21" t="s">
        <v>138</v>
      </c>
      <c r="M415" s="23"/>
      <c r="N415" s="19"/>
      <c r="O415" s="19"/>
      <c r="P415" s="19"/>
      <c r="Q415" s="21" t="s">
        <v>40</v>
      </c>
      <c r="R415" s="22"/>
      <c r="S415" s="22"/>
      <c r="T415" s="22"/>
      <c r="U415" s="23"/>
      <c r="V415" s="19"/>
      <c r="W415" s="16" t="s">
        <v>46</v>
      </c>
      <c r="X415" s="19"/>
      <c r="Y415" s="21" t="s">
        <v>48</v>
      </c>
      <c r="Z415" s="23"/>
      <c r="AA415" s="16" t="s">
        <v>50</v>
      </c>
      <c r="AB415" s="19"/>
      <c r="AC415" s="21" t="s">
        <v>52</v>
      </c>
      <c r="AD415" s="23"/>
      <c r="AE415" s="19"/>
      <c r="AF415" s="19"/>
      <c r="AG415" s="19"/>
      <c r="AH415" s="21" t="s">
        <v>123</v>
      </c>
      <c r="AI415" s="23"/>
      <c r="AJ415" s="16" t="s">
        <v>168</v>
      </c>
      <c r="AK415" s="16" t="s">
        <v>153</v>
      </c>
      <c r="AL415" s="16" t="s">
        <v>126</v>
      </c>
      <c r="AM415" s="16" t="s">
        <v>126</v>
      </c>
      <c r="AN415" s="16" t="s">
        <v>181</v>
      </c>
      <c r="AO415" s="16" t="s">
        <v>181</v>
      </c>
      <c r="AP415" s="16" t="s">
        <v>126</v>
      </c>
      <c r="AQ415" s="16" t="s">
        <v>126</v>
      </c>
      <c r="AR415" s="16" t="s">
        <v>126</v>
      </c>
      <c r="AS415" s="21" t="s">
        <v>65</v>
      </c>
      <c r="AT415" s="23"/>
      <c r="AU415" s="16" t="s">
        <v>67</v>
      </c>
      <c r="AV415" s="21" t="s">
        <v>68</v>
      </c>
      <c r="AW415" s="22"/>
      <c r="AX415" s="23"/>
      <c r="AY415" s="19"/>
      <c r="AZ415" s="19"/>
      <c r="BA415" s="19"/>
      <c r="BB415" s="19"/>
      <c r="BC415" s="19"/>
      <c r="BD415" s="19"/>
      <c r="BE415" s="19"/>
      <c r="BF415" s="19"/>
      <c r="BG415" s="16" t="s">
        <v>78</v>
      </c>
      <c r="BH415" s="16" t="s">
        <v>79</v>
      </c>
      <c r="BI415" s="21" t="s">
        <v>52</v>
      </c>
      <c r="BJ415" s="23"/>
      <c r="BK415" s="16" t="s">
        <v>81</v>
      </c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21" t="s">
        <v>99</v>
      </c>
      <c r="CF415" s="23"/>
      <c r="CG415" s="16" t="s">
        <v>128</v>
      </c>
      <c r="CH415" s="21" t="s">
        <v>100</v>
      </c>
      <c r="CI415" s="23"/>
      <c r="CJ415" s="19"/>
      <c r="CK415" s="16" t="s">
        <v>103</v>
      </c>
      <c r="CL415" s="21" t="s">
        <v>104</v>
      </c>
      <c r="CM415" s="23"/>
      <c r="CN415" s="16" t="s">
        <v>128</v>
      </c>
      <c r="CO415" s="19"/>
      <c r="CP415" s="21" t="s">
        <v>106</v>
      </c>
      <c r="CQ415" s="22"/>
      <c r="CR415" s="23"/>
      <c r="CS415" s="16" t="s">
        <v>109</v>
      </c>
      <c r="CT415" s="21" t="s">
        <v>110</v>
      </c>
      <c r="CU415" s="23"/>
      <c r="CV415" s="16" t="s">
        <v>128</v>
      </c>
      <c r="CW415" s="21" t="s">
        <v>111</v>
      </c>
      <c r="CX415" s="22"/>
      <c r="CY415" s="23"/>
      <c r="CZ415" s="19"/>
      <c r="DA415" s="21" t="s">
        <v>115</v>
      </c>
      <c r="DB415" s="23"/>
      <c r="DC415" s="16" t="s">
        <v>145</v>
      </c>
      <c r="DD415" s="16" t="s">
        <v>145</v>
      </c>
      <c r="DE415" s="16" t="s">
        <v>145</v>
      </c>
      <c r="DF415" s="16" t="s">
        <v>145</v>
      </c>
      <c r="DG415" s="16" t="s">
        <v>2206</v>
      </c>
      <c r="DH415" s="16" t="s">
        <v>2154</v>
      </c>
      <c r="DI415" s="16" t="s">
        <v>2168</v>
      </c>
      <c r="DJ415" s="19"/>
      <c r="DK415" s="19"/>
      <c r="DL415" s="19"/>
      <c r="DM415" s="21" t="s">
        <v>2170</v>
      </c>
      <c r="DN415" s="23"/>
      <c r="DO415" s="19"/>
    </row>
    <row r="416" ht="15.75" customHeight="1">
      <c r="A416" s="15">
        <v>414.0</v>
      </c>
      <c r="B416" s="16" t="s">
        <v>2207</v>
      </c>
      <c r="C416" s="17">
        <v>2.7701012617291E13</v>
      </c>
      <c r="D416" s="18">
        <v>360.0</v>
      </c>
      <c r="E416" s="19"/>
      <c r="F416" s="16" t="s">
        <v>2070</v>
      </c>
      <c r="G416" s="16" t="s">
        <v>1875</v>
      </c>
      <c r="H416" s="20">
        <v>28137.0</v>
      </c>
      <c r="I416" s="18">
        <v>1.0</v>
      </c>
      <c r="J416" s="19"/>
      <c r="K416" s="19"/>
      <c r="L416" s="21" t="s">
        <v>138</v>
      </c>
      <c r="M416" s="23"/>
      <c r="N416" s="19"/>
      <c r="O416" s="19"/>
      <c r="P416" s="19"/>
      <c r="Q416" s="19"/>
      <c r="R416" s="21" t="s">
        <v>41</v>
      </c>
      <c r="S416" s="22"/>
      <c r="T416" s="22"/>
      <c r="U416" s="22"/>
      <c r="V416" s="23"/>
      <c r="W416" s="19"/>
      <c r="X416" s="19"/>
      <c r="Y416" s="19"/>
      <c r="Z416" s="19"/>
      <c r="AA416" s="19"/>
      <c r="AB416" s="21" t="s">
        <v>51</v>
      </c>
      <c r="AC416" s="23"/>
      <c r="AD416" s="19"/>
      <c r="AE416" s="19"/>
      <c r="AF416" s="19"/>
      <c r="AG416" s="19"/>
      <c r="AH416" s="21" t="s">
        <v>152</v>
      </c>
      <c r="AI416" s="23"/>
      <c r="AJ416" s="16" t="s">
        <v>168</v>
      </c>
      <c r="AK416" s="16" t="s">
        <v>142</v>
      </c>
      <c r="AL416" s="16" t="s">
        <v>126</v>
      </c>
      <c r="AM416" s="16" t="s">
        <v>143</v>
      </c>
      <c r="AN416" s="16" t="s">
        <v>143</v>
      </c>
      <c r="AO416" s="16" t="s">
        <v>143</v>
      </c>
      <c r="AP416" s="16" t="s">
        <v>143</v>
      </c>
      <c r="AQ416" s="16" t="s">
        <v>126</v>
      </c>
      <c r="AR416" s="16" t="s">
        <v>126</v>
      </c>
      <c r="AS416" s="19"/>
      <c r="AT416" s="19"/>
      <c r="AU416" s="19"/>
      <c r="AV416" s="19"/>
      <c r="AW416" s="19"/>
      <c r="AX416" s="19"/>
      <c r="AY416" s="19"/>
      <c r="AZ416" s="19"/>
      <c r="BA416" s="16" t="s">
        <v>73</v>
      </c>
      <c r="BB416" s="21" t="s">
        <v>74</v>
      </c>
      <c r="BC416" s="22"/>
      <c r="BD416" s="23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6" t="s">
        <v>88</v>
      </c>
      <c r="BT416" s="16" t="s">
        <v>89</v>
      </c>
      <c r="BU416" s="21" t="s">
        <v>90</v>
      </c>
      <c r="BV416" s="23"/>
      <c r="BW416" s="19"/>
      <c r="BX416" s="19"/>
      <c r="BY416" s="19"/>
      <c r="BZ416" s="19"/>
      <c r="CA416" s="19"/>
      <c r="CB416" s="21" t="s">
        <v>96</v>
      </c>
      <c r="CC416" s="23"/>
      <c r="CD416" s="19"/>
      <c r="CE416" s="21" t="s">
        <v>99</v>
      </c>
      <c r="CF416" s="23"/>
      <c r="CG416" s="16" t="s">
        <v>128</v>
      </c>
      <c r="CH416" s="21" t="s">
        <v>100</v>
      </c>
      <c r="CI416" s="23"/>
      <c r="CJ416" s="19"/>
      <c r="CK416" s="19"/>
      <c r="CL416" s="19"/>
      <c r="CM416" s="19"/>
      <c r="CN416" s="16" t="s">
        <v>128</v>
      </c>
      <c r="CO416" s="21" t="s">
        <v>105</v>
      </c>
      <c r="CP416" s="22"/>
      <c r="CQ416" s="23"/>
      <c r="CR416" s="16" t="s">
        <v>108</v>
      </c>
      <c r="CS416" s="16" t="s">
        <v>109</v>
      </c>
      <c r="CT416" s="21" t="s">
        <v>110</v>
      </c>
      <c r="CU416" s="23"/>
      <c r="CV416" s="16" t="s">
        <v>128</v>
      </c>
      <c r="CW416" s="19"/>
      <c r="CX416" s="19"/>
      <c r="CY416" s="19"/>
      <c r="CZ416" s="19"/>
      <c r="DA416" s="21" t="s">
        <v>115</v>
      </c>
      <c r="DB416" s="23"/>
      <c r="DC416" s="16" t="s">
        <v>145</v>
      </c>
      <c r="DD416" s="16" t="s">
        <v>145</v>
      </c>
      <c r="DE416" s="16" t="s">
        <v>145</v>
      </c>
      <c r="DF416" s="16" t="s">
        <v>145</v>
      </c>
      <c r="DG416" s="21" t="s">
        <v>2208</v>
      </c>
      <c r="DH416" s="22"/>
      <c r="DI416" s="22"/>
      <c r="DJ416" s="23"/>
      <c r="DK416" s="19"/>
      <c r="DL416" s="19"/>
      <c r="DM416" s="21" t="s">
        <v>2170</v>
      </c>
      <c r="DN416" s="23"/>
      <c r="DO416" s="19"/>
    </row>
    <row r="417" ht="15.75" customHeight="1">
      <c r="A417" s="15">
        <v>415.0</v>
      </c>
      <c r="B417" s="16" t="s">
        <v>2209</v>
      </c>
      <c r="C417" s="17">
        <v>3.1811072603148E13</v>
      </c>
      <c r="D417" s="18">
        <v>66.0</v>
      </c>
      <c r="E417" s="16" t="s">
        <v>1894</v>
      </c>
      <c r="F417" s="16" t="s">
        <v>1894</v>
      </c>
      <c r="G417" s="16" t="s">
        <v>1875</v>
      </c>
      <c r="H417" s="20">
        <v>43411.0</v>
      </c>
      <c r="I417" s="18">
        <v>1.0</v>
      </c>
      <c r="J417" s="18">
        <v>1.0</v>
      </c>
      <c r="K417" s="16" t="s">
        <v>2210</v>
      </c>
      <c r="L417" s="21" t="s">
        <v>138</v>
      </c>
      <c r="M417" s="23"/>
      <c r="N417" s="19"/>
      <c r="O417" s="19"/>
      <c r="P417" s="19"/>
      <c r="Q417" s="19"/>
      <c r="R417" s="19"/>
      <c r="S417" s="19"/>
      <c r="T417" s="19"/>
      <c r="U417" s="19"/>
      <c r="V417" s="21" t="s">
        <v>2211</v>
      </c>
      <c r="W417" s="23"/>
      <c r="X417" s="21" t="s">
        <v>47</v>
      </c>
      <c r="Y417" s="23"/>
      <c r="Z417" s="19"/>
      <c r="AA417" s="19"/>
      <c r="AB417" s="19"/>
      <c r="AC417" s="19"/>
      <c r="AD417" s="19"/>
      <c r="AE417" s="19"/>
      <c r="AF417" s="19"/>
      <c r="AG417" s="19"/>
      <c r="AH417" s="21" t="s">
        <v>123</v>
      </c>
      <c r="AI417" s="23"/>
      <c r="AJ417" s="16" t="s">
        <v>124</v>
      </c>
      <c r="AK417" s="16" t="s">
        <v>153</v>
      </c>
      <c r="AL417" s="16" t="s">
        <v>181</v>
      </c>
      <c r="AM417" s="16" t="s">
        <v>181</v>
      </c>
      <c r="AN417" s="16" t="s">
        <v>181</v>
      </c>
      <c r="AO417" s="16" t="s">
        <v>181</v>
      </c>
      <c r="AP417" s="16" t="s">
        <v>181</v>
      </c>
      <c r="AQ417" s="16" t="s">
        <v>181</v>
      </c>
      <c r="AR417" s="16" t="s">
        <v>181</v>
      </c>
      <c r="AS417" s="21" t="s">
        <v>65</v>
      </c>
      <c r="AT417" s="22"/>
      <c r="AU417" s="23"/>
      <c r="AV417" s="19"/>
      <c r="AW417" s="19"/>
      <c r="AX417" s="19"/>
      <c r="AY417" s="19"/>
      <c r="AZ417" s="19"/>
      <c r="BA417" s="21" t="s">
        <v>73</v>
      </c>
      <c r="BB417" s="23"/>
      <c r="BC417" s="19"/>
      <c r="BD417" s="19"/>
      <c r="BE417" s="19"/>
      <c r="BF417" s="19"/>
      <c r="BG417" s="21" t="s">
        <v>78</v>
      </c>
      <c r="BH417" s="23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21" t="s">
        <v>90</v>
      </c>
      <c r="BV417" s="23"/>
      <c r="BW417" s="19"/>
      <c r="BX417" s="19"/>
      <c r="BY417" s="21" t="s">
        <v>93</v>
      </c>
      <c r="BZ417" s="22"/>
      <c r="CA417" s="23"/>
      <c r="CB417" s="19"/>
      <c r="CC417" s="19"/>
      <c r="CD417" s="19"/>
      <c r="CE417" s="19"/>
      <c r="CF417" s="19"/>
      <c r="CG417" s="16" t="s">
        <v>128</v>
      </c>
      <c r="CH417" s="19"/>
      <c r="CI417" s="19"/>
      <c r="CJ417" s="21" t="s">
        <v>102</v>
      </c>
      <c r="CK417" s="22"/>
      <c r="CL417" s="23"/>
      <c r="CM417" s="19"/>
      <c r="CN417" s="16" t="s">
        <v>128</v>
      </c>
      <c r="CO417" s="19"/>
      <c r="CP417" s="19"/>
      <c r="CQ417" s="19"/>
      <c r="CR417" s="19"/>
      <c r="CS417" s="19"/>
      <c r="CT417" s="21" t="s">
        <v>110</v>
      </c>
      <c r="CU417" s="23"/>
      <c r="CV417" s="16" t="s">
        <v>128</v>
      </c>
      <c r="CW417" s="19"/>
      <c r="CX417" s="21" t="s">
        <v>112</v>
      </c>
      <c r="CY417" s="22"/>
      <c r="CZ417" s="23"/>
      <c r="DA417" s="19"/>
      <c r="DB417" s="19"/>
      <c r="DC417" s="16" t="s">
        <v>129</v>
      </c>
      <c r="DD417" s="16" t="s">
        <v>129</v>
      </c>
      <c r="DE417" s="16" t="s">
        <v>129</v>
      </c>
      <c r="DF417" s="16" t="s">
        <v>129</v>
      </c>
      <c r="DG417" s="16" t="s">
        <v>2197</v>
      </c>
      <c r="DH417" s="16" t="s">
        <v>2212</v>
      </c>
      <c r="DI417" s="16" t="s">
        <v>2213</v>
      </c>
      <c r="DJ417" s="16" t="s">
        <v>2214</v>
      </c>
      <c r="DK417" s="16" t="s">
        <v>2215</v>
      </c>
      <c r="DL417" s="16" t="s">
        <v>144</v>
      </c>
      <c r="DM417" s="16" t="s">
        <v>2216</v>
      </c>
      <c r="DN417" s="16" t="s">
        <v>2217</v>
      </c>
      <c r="DO417" s="16" t="s">
        <v>144</v>
      </c>
    </row>
    <row r="418" ht="15.75" customHeight="1">
      <c r="A418" s="15">
        <v>416.0</v>
      </c>
      <c r="B418" s="16" t="s">
        <v>2218</v>
      </c>
      <c r="C418" s="17">
        <v>3.1608252606366E13</v>
      </c>
      <c r="D418" s="19"/>
      <c r="E418" s="16" t="s">
        <v>2141</v>
      </c>
      <c r="F418" s="16" t="s">
        <v>2047</v>
      </c>
      <c r="G418" s="16" t="s">
        <v>1875</v>
      </c>
      <c r="H418" s="20">
        <v>42607.0</v>
      </c>
      <c r="I418" s="16"/>
      <c r="J418" s="18">
        <v>1.0</v>
      </c>
      <c r="K418" s="16" t="s">
        <v>2142</v>
      </c>
      <c r="L418" s="16" t="s">
        <v>138</v>
      </c>
      <c r="M418" s="21" t="s">
        <v>36</v>
      </c>
      <c r="N418" s="22"/>
      <c r="O418" s="22"/>
      <c r="P418" s="23"/>
      <c r="Q418" s="19"/>
      <c r="R418" s="19"/>
      <c r="S418" s="19"/>
      <c r="T418" s="19"/>
      <c r="U418" s="19"/>
      <c r="V418" s="19"/>
      <c r="W418" s="16" t="s">
        <v>46</v>
      </c>
      <c r="X418" s="19"/>
      <c r="Y418" s="21" t="s">
        <v>48</v>
      </c>
      <c r="Z418" s="23"/>
      <c r="AA418" s="16" t="s">
        <v>50</v>
      </c>
      <c r="AB418" s="19"/>
      <c r="AC418" s="21" t="s">
        <v>52</v>
      </c>
      <c r="AD418" s="23"/>
      <c r="AE418" s="19"/>
      <c r="AF418" s="19"/>
      <c r="AG418" s="19"/>
      <c r="AH418" s="21" t="s">
        <v>357</v>
      </c>
      <c r="AI418" s="23"/>
      <c r="AJ418" s="16" t="s">
        <v>124</v>
      </c>
      <c r="AK418" s="16" t="s">
        <v>153</v>
      </c>
      <c r="AL418" s="16" t="s">
        <v>181</v>
      </c>
      <c r="AM418" s="16" t="s">
        <v>181</v>
      </c>
      <c r="AN418" s="16" t="s">
        <v>181</v>
      </c>
      <c r="AO418" s="16" t="s">
        <v>181</v>
      </c>
      <c r="AP418" s="16" t="s">
        <v>181</v>
      </c>
      <c r="AQ418" s="16" t="s">
        <v>181</v>
      </c>
      <c r="AR418" s="16" t="s">
        <v>181</v>
      </c>
      <c r="AS418" s="19"/>
      <c r="AT418" s="19"/>
      <c r="AU418" s="16" t="s">
        <v>67</v>
      </c>
      <c r="AV418" s="21" t="s">
        <v>68</v>
      </c>
      <c r="AW418" s="23"/>
      <c r="AX418" s="16" t="s">
        <v>70</v>
      </c>
      <c r="AY418" s="21" t="s">
        <v>71</v>
      </c>
      <c r="AZ418" s="22"/>
      <c r="BA418" s="23"/>
      <c r="BB418" s="19"/>
      <c r="BC418" s="19"/>
      <c r="BD418" s="19"/>
      <c r="BE418" s="19"/>
      <c r="BF418" s="19"/>
      <c r="BG418" s="19"/>
      <c r="BH418" s="16" t="s">
        <v>79</v>
      </c>
      <c r="BI418" s="21" t="s">
        <v>52</v>
      </c>
      <c r="BJ418" s="23"/>
      <c r="BK418" s="16" t="s">
        <v>81</v>
      </c>
      <c r="BL418" s="21" t="s">
        <v>82</v>
      </c>
      <c r="BM418" s="23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21" t="s">
        <v>96</v>
      </c>
      <c r="CC418" s="23"/>
      <c r="CD418" s="19"/>
      <c r="CE418" s="19"/>
      <c r="CF418" s="19"/>
      <c r="CG418" s="16" t="s">
        <v>128</v>
      </c>
      <c r="CH418" s="21" t="s">
        <v>100</v>
      </c>
      <c r="CI418" s="23"/>
      <c r="CJ418" s="16" t="s">
        <v>102</v>
      </c>
      <c r="CK418" s="16" t="s">
        <v>103</v>
      </c>
      <c r="CL418" s="21" t="s">
        <v>104</v>
      </c>
      <c r="CM418" s="23"/>
      <c r="CN418" s="16" t="s">
        <v>128</v>
      </c>
      <c r="CO418" s="16" t="s">
        <v>105</v>
      </c>
      <c r="CP418" s="16" t="s">
        <v>106</v>
      </c>
      <c r="CQ418" s="16" t="s">
        <v>107</v>
      </c>
      <c r="CR418" s="16" t="s">
        <v>108</v>
      </c>
      <c r="CS418" s="16" t="s">
        <v>109</v>
      </c>
      <c r="CT418" s="21" t="s">
        <v>110</v>
      </c>
      <c r="CU418" s="23"/>
      <c r="CV418" s="16" t="s">
        <v>128</v>
      </c>
      <c r="CW418" s="16" t="s">
        <v>111</v>
      </c>
      <c r="CX418" s="21" t="s">
        <v>112</v>
      </c>
      <c r="CY418" s="23"/>
      <c r="CZ418" s="16" t="s">
        <v>114</v>
      </c>
      <c r="DA418" s="21" t="s">
        <v>115</v>
      </c>
      <c r="DB418" s="23"/>
      <c r="DC418" s="16" t="s">
        <v>129</v>
      </c>
      <c r="DD418" s="16" t="s">
        <v>129</v>
      </c>
      <c r="DE418" s="16" t="s">
        <v>129</v>
      </c>
      <c r="DF418" s="16" t="s">
        <v>129</v>
      </c>
      <c r="DG418" s="16" t="s">
        <v>2191</v>
      </c>
      <c r="DH418" s="16" t="s">
        <v>2144</v>
      </c>
      <c r="DI418" s="16" t="s">
        <v>2193</v>
      </c>
      <c r="DJ418" s="16" t="s">
        <v>2145</v>
      </c>
      <c r="DK418" s="21" t="s">
        <v>2122</v>
      </c>
      <c r="DL418" s="23"/>
      <c r="DM418" s="16" t="s">
        <v>2219</v>
      </c>
      <c r="DN418" s="16" t="s">
        <v>2124</v>
      </c>
      <c r="DO418" s="16" t="s">
        <v>1996</v>
      </c>
    </row>
    <row r="419" ht="15.75" customHeight="1">
      <c r="A419" s="15">
        <v>417.0</v>
      </c>
      <c r="B419" s="16" t="s">
        <v>2220</v>
      </c>
      <c r="C419" s="17">
        <v>3.1906122602084E13</v>
      </c>
      <c r="D419" s="18">
        <v>176.0</v>
      </c>
      <c r="E419" s="19"/>
      <c r="F419" s="16" t="s">
        <v>2070</v>
      </c>
      <c r="G419" s="16" t="s">
        <v>1875</v>
      </c>
      <c r="H419" s="20">
        <v>43628.0</v>
      </c>
      <c r="I419" s="16"/>
      <c r="J419" s="18">
        <v>1.0</v>
      </c>
      <c r="K419" s="16" t="s">
        <v>2221</v>
      </c>
      <c r="L419" s="21" t="s">
        <v>138</v>
      </c>
      <c r="M419" s="23"/>
      <c r="N419" s="19"/>
      <c r="O419" s="19"/>
      <c r="P419" s="19"/>
      <c r="Q419" s="21" t="s">
        <v>40</v>
      </c>
      <c r="R419" s="22"/>
      <c r="S419" s="22"/>
      <c r="T419" s="22"/>
      <c r="U419" s="23"/>
      <c r="V419" s="19"/>
      <c r="W419" s="16" t="s">
        <v>46</v>
      </c>
      <c r="X419" s="19"/>
      <c r="Y419" s="21" t="s">
        <v>48</v>
      </c>
      <c r="Z419" s="23"/>
      <c r="AA419" s="19"/>
      <c r="AB419" s="19"/>
      <c r="AC419" s="19"/>
      <c r="AD419" s="19"/>
      <c r="AE419" s="19"/>
      <c r="AF419" s="19"/>
      <c r="AG419" s="19"/>
      <c r="AH419" s="21" t="s">
        <v>123</v>
      </c>
      <c r="AI419" s="23"/>
      <c r="AJ419" s="16" t="s">
        <v>243</v>
      </c>
      <c r="AK419" s="16" t="s">
        <v>142</v>
      </c>
      <c r="AL419" s="16" t="s">
        <v>126</v>
      </c>
      <c r="AM419" s="16" t="s">
        <v>126</v>
      </c>
      <c r="AN419" s="16" t="s">
        <v>126</v>
      </c>
      <c r="AO419" s="16" t="s">
        <v>181</v>
      </c>
      <c r="AP419" s="16" t="s">
        <v>181</v>
      </c>
      <c r="AQ419" s="16" t="s">
        <v>181</v>
      </c>
      <c r="AR419" s="16" t="s">
        <v>181</v>
      </c>
      <c r="AS419" s="21" t="s">
        <v>65</v>
      </c>
      <c r="AT419" s="22"/>
      <c r="AU419" s="23"/>
      <c r="AV419" s="19"/>
      <c r="AW419" s="16" t="s">
        <v>69</v>
      </c>
      <c r="AX419" s="21" t="s">
        <v>70</v>
      </c>
      <c r="AY419" s="22"/>
      <c r="AZ419" s="23"/>
      <c r="BA419" s="19"/>
      <c r="BB419" s="19"/>
      <c r="BC419" s="19"/>
      <c r="BD419" s="19"/>
      <c r="BE419" s="19"/>
      <c r="BF419" s="19"/>
      <c r="BG419" s="19"/>
      <c r="BH419" s="16" t="s">
        <v>79</v>
      </c>
      <c r="BI419" s="21" t="s">
        <v>52</v>
      </c>
      <c r="BJ419" s="23"/>
      <c r="BK419" s="16" t="s">
        <v>81</v>
      </c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21" t="s">
        <v>99</v>
      </c>
      <c r="CF419" s="23"/>
      <c r="CG419" s="16" t="s">
        <v>128</v>
      </c>
      <c r="CH419" s="21" t="s">
        <v>100</v>
      </c>
      <c r="CI419" s="23"/>
      <c r="CJ419" s="19"/>
      <c r="CK419" s="19"/>
      <c r="CL419" s="21" t="s">
        <v>104</v>
      </c>
      <c r="CM419" s="23"/>
      <c r="CN419" s="16" t="s">
        <v>128</v>
      </c>
      <c r="CO419" s="16" t="s">
        <v>105</v>
      </c>
      <c r="CP419" s="21" t="s">
        <v>106</v>
      </c>
      <c r="CQ419" s="23"/>
      <c r="CR419" s="16" t="s">
        <v>108</v>
      </c>
      <c r="CS419" s="21" t="s">
        <v>109</v>
      </c>
      <c r="CT419" s="23"/>
      <c r="CU419" s="19"/>
      <c r="CV419" s="16" t="s">
        <v>128</v>
      </c>
      <c r="CW419" s="19"/>
      <c r="CX419" s="21" t="s">
        <v>112</v>
      </c>
      <c r="CY419" s="22"/>
      <c r="CZ419" s="23"/>
      <c r="DA419" s="21" t="s">
        <v>115</v>
      </c>
      <c r="DB419" s="23"/>
      <c r="DC419" s="16" t="s">
        <v>145</v>
      </c>
      <c r="DD419" s="16" t="s">
        <v>145</v>
      </c>
      <c r="DE419" s="16" t="s">
        <v>145</v>
      </c>
      <c r="DF419" s="16" t="s">
        <v>145</v>
      </c>
      <c r="DG419" s="16" t="s">
        <v>2222</v>
      </c>
      <c r="DH419" s="21" t="s">
        <v>2154</v>
      </c>
      <c r="DI419" s="23"/>
      <c r="DJ419" s="19"/>
      <c r="DK419" s="19"/>
      <c r="DL419" s="19"/>
      <c r="DM419" s="16" t="s">
        <v>2223</v>
      </c>
      <c r="DN419" s="21" t="s">
        <v>2224</v>
      </c>
      <c r="DO419" s="23"/>
    </row>
    <row r="420" ht="15.75" customHeight="1">
      <c r="A420" s="15">
        <v>418.0</v>
      </c>
      <c r="B420" s="16" t="s">
        <v>2225</v>
      </c>
      <c r="C420" s="17">
        <v>3.1512132605387E13</v>
      </c>
      <c r="D420" s="18">
        <v>152.0</v>
      </c>
      <c r="E420" s="16" t="s">
        <v>2226</v>
      </c>
      <c r="F420" s="16" t="s">
        <v>2226</v>
      </c>
      <c r="G420" s="16" t="s">
        <v>1875</v>
      </c>
      <c r="H420" s="25">
        <v>42350.0</v>
      </c>
      <c r="I420" s="16"/>
      <c r="J420" s="18">
        <v>1.0</v>
      </c>
      <c r="K420" s="16" t="s">
        <v>2227</v>
      </c>
      <c r="L420" s="21" t="s">
        <v>138</v>
      </c>
      <c r="M420" s="23"/>
      <c r="N420" s="19"/>
      <c r="O420" s="19"/>
      <c r="P420" s="19"/>
      <c r="Q420" s="19"/>
      <c r="R420" s="19"/>
      <c r="S420" s="19"/>
      <c r="T420" s="19"/>
      <c r="U420" s="19"/>
      <c r="V420" s="16" t="s">
        <v>127</v>
      </c>
      <c r="W420" s="19"/>
      <c r="X420" s="19"/>
      <c r="Y420" s="21" t="s">
        <v>48</v>
      </c>
      <c r="Z420" s="23"/>
      <c r="AA420" s="19"/>
      <c r="AB420" s="19"/>
      <c r="AC420" s="19"/>
      <c r="AD420" s="19"/>
      <c r="AE420" s="19"/>
      <c r="AF420" s="19"/>
      <c r="AG420" s="19"/>
      <c r="AH420" s="19"/>
      <c r="AI420" s="19"/>
      <c r="AJ420" s="16" t="s">
        <v>168</v>
      </c>
      <c r="AK420" s="16" t="s">
        <v>153</v>
      </c>
      <c r="AL420" s="16" t="s">
        <v>181</v>
      </c>
      <c r="AM420" s="16" t="s">
        <v>181</v>
      </c>
      <c r="AN420" s="16" t="s">
        <v>181</v>
      </c>
      <c r="AO420" s="16" t="s">
        <v>181</v>
      </c>
      <c r="AP420" s="16" t="s">
        <v>181</v>
      </c>
      <c r="AQ420" s="16" t="s">
        <v>181</v>
      </c>
      <c r="AR420" s="16" t="s">
        <v>181</v>
      </c>
      <c r="AS420" s="19"/>
      <c r="AT420" s="19"/>
      <c r="AU420" s="16" t="s">
        <v>67</v>
      </c>
      <c r="AV420" s="21" t="s">
        <v>68</v>
      </c>
      <c r="AW420" s="23"/>
      <c r="AX420" s="16" t="s">
        <v>70</v>
      </c>
      <c r="AY420" s="21" t="s">
        <v>71</v>
      </c>
      <c r="AZ420" s="22"/>
      <c r="BA420" s="23"/>
      <c r="BB420" s="19"/>
      <c r="BC420" s="19"/>
      <c r="BD420" s="19"/>
      <c r="BE420" s="19"/>
      <c r="BF420" s="16" t="s">
        <v>127</v>
      </c>
      <c r="BG420" s="19"/>
      <c r="BH420" s="16" t="s">
        <v>79</v>
      </c>
      <c r="BI420" s="21" t="s">
        <v>52</v>
      </c>
      <c r="BJ420" s="23"/>
      <c r="BK420" s="16" t="s">
        <v>81</v>
      </c>
      <c r="BL420" s="19"/>
      <c r="BM420" s="19"/>
      <c r="BN420" s="16" t="s">
        <v>84</v>
      </c>
      <c r="BO420" s="21" t="s">
        <v>85</v>
      </c>
      <c r="BP420" s="22"/>
      <c r="BQ420" s="22"/>
      <c r="BR420" s="23"/>
      <c r="BS420" s="19"/>
      <c r="BT420" s="19"/>
      <c r="BU420" s="19"/>
      <c r="BV420" s="19"/>
      <c r="BW420" s="19"/>
      <c r="BX420" s="16" t="s">
        <v>127</v>
      </c>
      <c r="BY420" s="19"/>
      <c r="BZ420" s="19"/>
      <c r="CA420" s="19"/>
      <c r="CB420" s="19"/>
      <c r="CC420" s="19"/>
      <c r="CD420" s="19"/>
      <c r="CE420" s="19"/>
      <c r="CF420" s="16" t="s">
        <v>127</v>
      </c>
      <c r="CG420" s="16" t="s">
        <v>128</v>
      </c>
      <c r="CH420" s="21" t="s">
        <v>100</v>
      </c>
      <c r="CI420" s="23"/>
      <c r="CJ420" s="16" t="s">
        <v>102</v>
      </c>
      <c r="CK420" s="16" t="s">
        <v>103</v>
      </c>
      <c r="CL420" s="21" t="s">
        <v>104</v>
      </c>
      <c r="CM420" s="23"/>
      <c r="CN420" s="16" t="s">
        <v>128</v>
      </c>
      <c r="CO420" s="16" t="s">
        <v>105</v>
      </c>
      <c r="CP420" s="16" t="s">
        <v>106</v>
      </c>
      <c r="CQ420" s="16" t="s">
        <v>107</v>
      </c>
      <c r="CR420" s="16" t="s">
        <v>108</v>
      </c>
      <c r="CS420" s="16" t="s">
        <v>109</v>
      </c>
      <c r="CT420" s="21" t="s">
        <v>110</v>
      </c>
      <c r="CU420" s="23"/>
      <c r="CV420" s="16" t="s">
        <v>128</v>
      </c>
      <c r="CW420" s="19"/>
      <c r="CX420" s="21" t="s">
        <v>112</v>
      </c>
      <c r="CY420" s="23"/>
      <c r="CZ420" s="16" t="s">
        <v>114</v>
      </c>
      <c r="DA420" s="21" t="s">
        <v>115</v>
      </c>
      <c r="DB420" s="23"/>
      <c r="DC420" s="16" t="s">
        <v>129</v>
      </c>
      <c r="DD420" s="16" t="s">
        <v>129</v>
      </c>
      <c r="DE420" s="16" t="s">
        <v>129</v>
      </c>
      <c r="DF420" s="16" t="s">
        <v>145</v>
      </c>
      <c r="DG420" s="16" t="s">
        <v>2228</v>
      </c>
      <c r="DH420" s="16" t="s">
        <v>116</v>
      </c>
      <c r="DI420" s="16" t="s">
        <v>1995</v>
      </c>
      <c r="DJ420" s="16" t="s">
        <v>2229</v>
      </c>
      <c r="DK420" s="16" t="s">
        <v>295</v>
      </c>
      <c r="DL420" s="16" t="s">
        <v>2230</v>
      </c>
      <c r="DM420" s="16" t="s">
        <v>2231</v>
      </c>
      <c r="DN420" s="16" t="s">
        <v>2232</v>
      </c>
      <c r="DO420" s="16" t="s">
        <v>2233</v>
      </c>
    </row>
    <row r="421" ht="15.75" customHeight="1">
      <c r="A421" s="15">
        <v>419.0</v>
      </c>
      <c r="B421" s="16" t="s">
        <v>2234</v>
      </c>
      <c r="C421" s="17">
        <v>3.1506102602381E13</v>
      </c>
      <c r="D421" s="18">
        <v>97.0</v>
      </c>
      <c r="E421" s="16" t="s">
        <v>2126</v>
      </c>
      <c r="F421" s="16" t="s">
        <v>2070</v>
      </c>
      <c r="G421" s="16" t="s">
        <v>1875</v>
      </c>
      <c r="H421" s="20">
        <v>42191.0</v>
      </c>
      <c r="I421" s="16"/>
      <c r="J421" s="18">
        <v>1.0</v>
      </c>
      <c r="K421" s="16" t="s">
        <v>2235</v>
      </c>
      <c r="L421" s="21" t="s">
        <v>138</v>
      </c>
      <c r="M421" s="23"/>
      <c r="N421" s="19"/>
      <c r="O421" s="19"/>
      <c r="P421" s="19"/>
      <c r="Q421" s="19"/>
      <c r="R421" s="19"/>
      <c r="S421" s="19"/>
      <c r="T421" s="19"/>
      <c r="U421" s="19"/>
      <c r="V421" s="16" t="s">
        <v>2128</v>
      </c>
      <c r="W421" s="16" t="s">
        <v>46</v>
      </c>
      <c r="X421" s="19"/>
      <c r="Y421" s="21" t="s">
        <v>48</v>
      </c>
      <c r="Z421" s="23"/>
      <c r="AA421" s="19"/>
      <c r="AB421" s="19"/>
      <c r="AC421" s="21" t="s">
        <v>52</v>
      </c>
      <c r="AD421" s="23"/>
      <c r="AE421" s="21" t="s">
        <v>54</v>
      </c>
      <c r="AF421" s="23"/>
      <c r="AG421" s="19"/>
      <c r="AH421" s="21" t="s">
        <v>123</v>
      </c>
      <c r="AI421" s="23"/>
      <c r="AJ421" s="16" t="s">
        <v>168</v>
      </c>
      <c r="AK421" s="16" t="s">
        <v>153</v>
      </c>
      <c r="AL421" s="16" t="s">
        <v>126</v>
      </c>
      <c r="AM421" s="16" t="s">
        <v>126</v>
      </c>
      <c r="AN421" s="16" t="s">
        <v>126</v>
      </c>
      <c r="AO421" s="16" t="s">
        <v>126</v>
      </c>
      <c r="AP421" s="16" t="s">
        <v>126</v>
      </c>
      <c r="AQ421" s="16" t="s">
        <v>126</v>
      </c>
      <c r="AR421" s="16" t="s">
        <v>126</v>
      </c>
      <c r="AS421" s="21" t="s">
        <v>65</v>
      </c>
      <c r="AT421" s="23"/>
      <c r="AU421" s="16" t="s">
        <v>67</v>
      </c>
      <c r="AV421" s="16" t="s">
        <v>68</v>
      </c>
      <c r="AW421" s="16" t="s">
        <v>69</v>
      </c>
      <c r="AX421" s="16" t="s">
        <v>70</v>
      </c>
      <c r="AY421" s="21" t="s">
        <v>71</v>
      </c>
      <c r="AZ421" s="22"/>
      <c r="BA421" s="23"/>
      <c r="BB421" s="19"/>
      <c r="BC421" s="19"/>
      <c r="BD421" s="19"/>
      <c r="BE421" s="19"/>
      <c r="BF421" s="19"/>
      <c r="BG421" s="16" t="s">
        <v>78</v>
      </c>
      <c r="BH421" s="16" t="s">
        <v>79</v>
      </c>
      <c r="BI421" s="21" t="s">
        <v>52</v>
      </c>
      <c r="BJ421" s="23"/>
      <c r="BK421" s="16" t="s">
        <v>81</v>
      </c>
      <c r="BL421" s="16" t="s">
        <v>82</v>
      </c>
      <c r="BM421" s="16" t="s">
        <v>83</v>
      </c>
      <c r="BN421" s="16" t="s">
        <v>84</v>
      </c>
      <c r="BO421" s="21" t="s">
        <v>85</v>
      </c>
      <c r="BP421" s="22"/>
      <c r="BQ421" s="22"/>
      <c r="BR421" s="23"/>
      <c r="BS421" s="19"/>
      <c r="BT421" s="19"/>
      <c r="BU421" s="19"/>
      <c r="BV421" s="19"/>
      <c r="BW421" s="19"/>
      <c r="BX421" s="19"/>
      <c r="BY421" s="19"/>
      <c r="BZ421" s="19"/>
      <c r="CA421" s="19"/>
      <c r="CB421" s="21" t="s">
        <v>96</v>
      </c>
      <c r="CC421" s="23"/>
      <c r="CD421" s="19"/>
      <c r="CE421" s="21" t="s">
        <v>99</v>
      </c>
      <c r="CF421" s="23"/>
      <c r="CG421" s="16" t="s">
        <v>128</v>
      </c>
      <c r="CH421" s="21" t="s">
        <v>100</v>
      </c>
      <c r="CI421" s="23"/>
      <c r="CJ421" s="21" t="s">
        <v>102</v>
      </c>
      <c r="CK421" s="23"/>
      <c r="CL421" s="21" t="s">
        <v>104</v>
      </c>
      <c r="CM421" s="23"/>
      <c r="CN421" s="16" t="s">
        <v>128</v>
      </c>
      <c r="CO421" s="19"/>
      <c r="CP421" s="21" t="s">
        <v>106</v>
      </c>
      <c r="CQ421" s="23"/>
      <c r="CR421" s="21" t="s">
        <v>108</v>
      </c>
      <c r="CS421" s="23"/>
      <c r="CT421" s="21" t="s">
        <v>110</v>
      </c>
      <c r="CU421" s="23"/>
      <c r="CV421" s="16" t="s">
        <v>128</v>
      </c>
      <c r="CW421" s="19"/>
      <c r="CX421" s="19"/>
      <c r="CY421" s="19"/>
      <c r="CZ421" s="16" t="s">
        <v>114</v>
      </c>
      <c r="DA421" s="21" t="s">
        <v>115</v>
      </c>
      <c r="DB421" s="23"/>
      <c r="DC421" s="16" t="s">
        <v>129</v>
      </c>
      <c r="DD421" s="16" t="s">
        <v>129</v>
      </c>
      <c r="DE421" s="16" t="s">
        <v>129</v>
      </c>
      <c r="DF421" s="16" t="s">
        <v>129</v>
      </c>
      <c r="DG421" s="16" t="s">
        <v>2129</v>
      </c>
      <c r="DH421" s="21" t="s">
        <v>2236</v>
      </c>
      <c r="DI421" s="23"/>
      <c r="DJ421" s="21" t="s">
        <v>2237</v>
      </c>
      <c r="DK421" s="23"/>
      <c r="DL421" s="19"/>
      <c r="DM421" s="21" t="s">
        <v>2131</v>
      </c>
      <c r="DN421" s="23"/>
      <c r="DO421" s="19"/>
    </row>
    <row r="422" ht="15.75" customHeight="1">
      <c r="A422" s="15">
        <v>420.0</v>
      </c>
      <c r="B422" s="16" t="s">
        <v>2238</v>
      </c>
      <c r="C422" s="17">
        <v>3.1403012606619E13</v>
      </c>
      <c r="D422" s="18">
        <v>7.0</v>
      </c>
      <c r="E422" s="16" t="s">
        <v>1894</v>
      </c>
      <c r="F422" s="16" t="s">
        <v>2070</v>
      </c>
      <c r="G422" s="16" t="s">
        <v>1875</v>
      </c>
      <c r="H422" s="20">
        <v>41699.0</v>
      </c>
      <c r="I422" s="18">
        <v>1.0</v>
      </c>
      <c r="J422" s="19"/>
      <c r="K422" s="16" t="s">
        <v>2239</v>
      </c>
      <c r="L422" s="21" t="s">
        <v>138</v>
      </c>
      <c r="M422" s="23"/>
      <c r="N422" s="19"/>
      <c r="O422" s="19"/>
      <c r="P422" s="19"/>
      <c r="Q422" s="19"/>
      <c r="R422" s="19"/>
      <c r="S422" s="19"/>
      <c r="T422" s="19"/>
      <c r="U422" s="19"/>
      <c r="V422" s="16" t="s">
        <v>2240</v>
      </c>
      <c r="W422" s="19"/>
      <c r="X422" s="19"/>
      <c r="Y422" s="16" t="s">
        <v>48</v>
      </c>
      <c r="Z422" s="16" t="s">
        <v>49</v>
      </c>
      <c r="AA422" s="19"/>
      <c r="AB422" s="19"/>
      <c r="AC422" s="19"/>
      <c r="AD422" s="19"/>
      <c r="AE422" s="19"/>
      <c r="AF422" s="19"/>
      <c r="AG422" s="19"/>
      <c r="AH422" s="21" t="s">
        <v>123</v>
      </c>
      <c r="AI422" s="23"/>
      <c r="AJ422" s="16" t="s">
        <v>168</v>
      </c>
      <c r="AK422" s="16" t="s">
        <v>153</v>
      </c>
      <c r="AL422" s="16" t="s">
        <v>181</v>
      </c>
      <c r="AM422" s="16" t="s">
        <v>181</v>
      </c>
      <c r="AN422" s="16" t="s">
        <v>181</v>
      </c>
      <c r="AO422" s="16" t="s">
        <v>181</v>
      </c>
      <c r="AP422" s="16" t="s">
        <v>181</v>
      </c>
      <c r="AQ422" s="16" t="s">
        <v>181</v>
      </c>
      <c r="AR422" s="16" t="s">
        <v>181</v>
      </c>
      <c r="AS422" s="19"/>
      <c r="AT422" s="21" t="s">
        <v>66</v>
      </c>
      <c r="AU422" s="23"/>
      <c r="AV422" s="21" t="s">
        <v>68</v>
      </c>
      <c r="AW422" s="22"/>
      <c r="AX422" s="23"/>
      <c r="AY422" s="19"/>
      <c r="AZ422" s="19"/>
      <c r="BA422" s="19"/>
      <c r="BB422" s="21" t="s">
        <v>74</v>
      </c>
      <c r="BC422" s="23"/>
      <c r="BD422" s="16" t="s">
        <v>76</v>
      </c>
      <c r="BE422" s="21" t="s">
        <v>77</v>
      </c>
      <c r="BF422" s="23"/>
      <c r="BG422" s="16" t="s">
        <v>78</v>
      </c>
      <c r="BH422" s="16" t="s">
        <v>79</v>
      </c>
      <c r="BI422" s="16" t="s">
        <v>52</v>
      </c>
      <c r="BJ422" s="16" t="s">
        <v>80</v>
      </c>
      <c r="BK422" s="16" t="s">
        <v>81</v>
      </c>
      <c r="BL422" s="21" t="s">
        <v>82</v>
      </c>
      <c r="BM422" s="23"/>
      <c r="BN422" s="19"/>
      <c r="BO422" s="21" t="s">
        <v>85</v>
      </c>
      <c r="BP422" s="22"/>
      <c r="BQ422" s="22"/>
      <c r="BR422" s="23"/>
      <c r="BS422" s="19"/>
      <c r="BT422" s="19"/>
      <c r="BU422" s="16" t="s">
        <v>90</v>
      </c>
      <c r="BV422" s="16" t="s">
        <v>91</v>
      </c>
      <c r="BW422" s="21" t="s">
        <v>92</v>
      </c>
      <c r="BX422" s="22"/>
      <c r="BY422" s="23"/>
      <c r="BZ422" s="19"/>
      <c r="CA422" s="19"/>
      <c r="CB422" s="16" t="s">
        <v>96</v>
      </c>
      <c r="CC422" s="21" t="s">
        <v>97</v>
      </c>
      <c r="CD422" s="23"/>
      <c r="CE422" s="19"/>
      <c r="CF422" s="19"/>
      <c r="CG422" s="16" t="s">
        <v>128</v>
      </c>
      <c r="CH422" s="19"/>
      <c r="CI422" s="19"/>
      <c r="CJ422" s="21" t="s">
        <v>102</v>
      </c>
      <c r="CK422" s="23"/>
      <c r="CL422" s="21" t="s">
        <v>104</v>
      </c>
      <c r="CM422" s="23"/>
      <c r="CN422" s="16" t="s">
        <v>128</v>
      </c>
      <c r="CO422" s="16" t="s">
        <v>105</v>
      </c>
      <c r="CP422" s="21" t="s">
        <v>106</v>
      </c>
      <c r="CQ422" s="22"/>
      <c r="CR422" s="22"/>
      <c r="CS422" s="23"/>
      <c r="CT422" s="19"/>
      <c r="CU422" s="19"/>
      <c r="CV422" s="16" t="s">
        <v>128</v>
      </c>
      <c r="CW422" s="19"/>
      <c r="CX422" s="21" t="s">
        <v>112</v>
      </c>
      <c r="CY422" s="22"/>
      <c r="CZ422" s="23"/>
      <c r="DA422" s="19"/>
      <c r="DB422" s="19"/>
      <c r="DC422" s="16" t="s">
        <v>129</v>
      </c>
      <c r="DD422" s="16" t="s">
        <v>129</v>
      </c>
      <c r="DE422" s="16" t="s">
        <v>129</v>
      </c>
      <c r="DF422" s="16" t="s">
        <v>129</v>
      </c>
      <c r="DG422" s="16" t="s">
        <v>2241</v>
      </c>
      <c r="DH422" s="16" t="s">
        <v>2242</v>
      </c>
      <c r="DI422" s="16" t="s">
        <v>2243</v>
      </c>
      <c r="DJ422" s="16" t="s">
        <v>2244</v>
      </c>
      <c r="DK422" s="16" t="s">
        <v>2245</v>
      </c>
      <c r="DL422" s="16" t="s">
        <v>2246</v>
      </c>
      <c r="DM422" s="16" t="s">
        <v>2132</v>
      </c>
      <c r="DN422" s="21" t="s">
        <v>2247</v>
      </c>
      <c r="DO422" s="23"/>
    </row>
    <row r="423" ht="15.75" customHeight="1">
      <c r="A423" s="15">
        <v>421.0</v>
      </c>
      <c r="B423" s="16" t="s">
        <v>2248</v>
      </c>
      <c r="C423" s="17">
        <v>3.1503012618417E13</v>
      </c>
      <c r="D423" s="19"/>
      <c r="E423" s="16" t="s">
        <v>2141</v>
      </c>
      <c r="F423" s="16" t="s">
        <v>2047</v>
      </c>
      <c r="G423" s="16" t="s">
        <v>1875</v>
      </c>
      <c r="H423" s="20">
        <v>42064.0</v>
      </c>
      <c r="I423" s="18">
        <v>1.0</v>
      </c>
      <c r="J423" s="19"/>
      <c r="K423" s="16" t="s">
        <v>2249</v>
      </c>
      <c r="L423" s="21" t="s">
        <v>138</v>
      </c>
      <c r="M423" s="23"/>
      <c r="N423" s="19"/>
      <c r="O423" s="19"/>
      <c r="P423" s="19"/>
      <c r="Q423" s="19"/>
      <c r="R423" s="19"/>
      <c r="S423" s="19"/>
      <c r="T423" s="19"/>
      <c r="U423" s="21" t="s">
        <v>44</v>
      </c>
      <c r="V423" s="22"/>
      <c r="W423" s="23"/>
      <c r="X423" s="16" t="s">
        <v>47</v>
      </c>
      <c r="Y423" s="21" t="s">
        <v>48</v>
      </c>
      <c r="Z423" s="23"/>
      <c r="AA423" s="19"/>
      <c r="AB423" s="19"/>
      <c r="AC423" s="19"/>
      <c r="AD423" s="19"/>
      <c r="AE423" s="19"/>
      <c r="AF423" s="19"/>
      <c r="AG423" s="19"/>
      <c r="AH423" s="21" t="s">
        <v>123</v>
      </c>
      <c r="AI423" s="23"/>
      <c r="AJ423" s="16" t="s">
        <v>124</v>
      </c>
      <c r="AK423" s="16" t="s">
        <v>153</v>
      </c>
      <c r="AL423" s="16" t="s">
        <v>181</v>
      </c>
      <c r="AM423" s="16" t="s">
        <v>126</v>
      </c>
      <c r="AN423" s="16" t="s">
        <v>181</v>
      </c>
      <c r="AO423" s="16" t="s">
        <v>181</v>
      </c>
      <c r="AP423" s="16" t="s">
        <v>126</v>
      </c>
      <c r="AQ423" s="16" t="s">
        <v>181</v>
      </c>
      <c r="AR423" s="16" t="s">
        <v>181</v>
      </c>
      <c r="AS423" s="21" t="s">
        <v>65</v>
      </c>
      <c r="AT423" s="23"/>
      <c r="AU423" s="16" t="s">
        <v>67</v>
      </c>
      <c r="AV423" s="16" t="s">
        <v>68</v>
      </c>
      <c r="AW423" s="16" t="s">
        <v>69</v>
      </c>
      <c r="AX423" s="16" t="s">
        <v>70</v>
      </c>
      <c r="AY423" s="21" t="s">
        <v>71</v>
      </c>
      <c r="AZ423" s="22"/>
      <c r="BA423" s="23"/>
      <c r="BB423" s="19"/>
      <c r="BC423" s="19"/>
      <c r="BD423" s="19"/>
      <c r="BE423" s="19"/>
      <c r="BF423" s="19"/>
      <c r="BG423" s="16" t="s">
        <v>78</v>
      </c>
      <c r="BH423" s="16" t="s">
        <v>79</v>
      </c>
      <c r="BI423" s="21" t="s">
        <v>52</v>
      </c>
      <c r="BJ423" s="23"/>
      <c r="BK423" s="19"/>
      <c r="BL423" s="19"/>
      <c r="BM423" s="19"/>
      <c r="BN423" s="16" t="s">
        <v>84</v>
      </c>
      <c r="BO423" s="21" t="s">
        <v>85</v>
      </c>
      <c r="BP423" s="22"/>
      <c r="BQ423" s="22"/>
      <c r="BR423" s="23"/>
      <c r="BS423" s="19"/>
      <c r="BT423" s="19"/>
      <c r="BU423" s="19"/>
      <c r="BV423" s="19"/>
      <c r="BW423" s="19"/>
      <c r="BX423" s="19"/>
      <c r="BY423" s="19"/>
      <c r="BZ423" s="19"/>
      <c r="CA423" s="19"/>
      <c r="CB423" s="21" t="s">
        <v>96</v>
      </c>
      <c r="CC423" s="23"/>
      <c r="CD423" s="19"/>
      <c r="CE423" s="19"/>
      <c r="CF423" s="19"/>
      <c r="CG423" s="16" t="s">
        <v>128</v>
      </c>
      <c r="CH423" s="21" t="s">
        <v>100</v>
      </c>
      <c r="CI423" s="23"/>
      <c r="CJ423" s="16" t="s">
        <v>102</v>
      </c>
      <c r="CK423" s="16" t="s">
        <v>103</v>
      </c>
      <c r="CL423" s="21" t="s">
        <v>104</v>
      </c>
      <c r="CM423" s="23"/>
      <c r="CN423" s="16" t="s">
        <v>128</v>
      </c>
      <c r="CO423" s="16" t="s">
        <v>105</v>
      </c>
      <c r="CP423" s="16" t="s">
        <v>106</v>
      </c>
      <c r="CQ423" s="16" t="s">
        <v>107</v>
      </c>
      <c r="CR423" s="16" t="s">
        <v>108</v>
      </c>
      <c r="CS423" s="16" t="s">
        <v>109</v>
      </c>
      <c r="CT423" s="21" t="s">
        <v>110</v>
      </c>
      <c r="CU423" s="23"/>
      <c r="CV423" s="16" t="s">
        <v>128</v>
      </c>
      <c r="CW423" s="16" t="s">
        <v>111</v>
      </c>
      <c r="CX423" s="21" t="s">
        <v>112</v>
      </c>
      <c r="CY423" s="23"/>
      <c r="CZ423" s="16" t="s">
        <v>114</v>
      </c>
      <c r="DA423" s="21" t="s">
        <v>115</v>
      </c>
      <c r="DB423" s="23"/>
      <c r="DC423" s="16" t="s">
        <v>129</v>
      </c>
      <c r="DD423" s="16" t="s">
        <v>129</v>
      </c>
      <c r="DE423" s="16" t="s">
        <v>129</v>
      </c>
      <c r="DF423" s="16" t="s">
        <v>129</v>
      </c>
      <c r="DG423" s="16" t="s">
        <v>2250</v>
      </c>
      <c r="DH423" s="16" t="s">
        <v>769</v>
      </c>
      <c r="DI423" s="16" t="s">
        <v>2251</v>
      </c>
      <c r="DJ423" s="16" t="s">
        <v>2145</v>
      </c>
      <c r="DK423" s="16" t="s">
        <v>2122</v>
      </c>
      <c r="DL423" s="16" t="s">
        <v>2252</v>
      </c>
      <c r="DM423" s="16" t="s">
        <v>2219</v>
      </c>
      <c r="DN423" s="16" t="s">
        <v>1996</v>
      </c>
      <c r="DO423" s="16" t="s">
        <v>2253</v>
      </c>
    </row>
    <row r="424" ht="15.75" customHeight="1">
      <c r="A424" s="15">
        <v>422.0</v>
      </c>
      <c r="B424" s="16" t="s">
        <v>2254</v>
      </c>
      <c r="C424" s="17">
        <v>3.1801052600724E13</v>
      </c>
      <c r="D424" s="18">
        <v>103.0</v>
      </c>
      <c r="E424" s="16" t="s">
        <v>2255</v>
      </c>
      <c r="F424" s="16" t="s">
        <v>2070</v>
      </c>
      <c r="G424" s="16" t="s">
        <v>1875</v>
      </c>
      <c r="H424" s="20">
        <v>43105.0</v>
      </c>
      <c r="I424" s="16"/>
      <c r="J424" s="18">
        <v>1.0</v>
      </c>
      <c r="K424" s="16" t="s">
        <v>2256</v>
      </c>
      <c r="L424" s="16" t="s">
        <v>138</v>
      </c>
      <c r="M424" s="21" t="s">
        <v>36</v>
      </c>
      <c r="N424" s="22"/>
      <c r="O424" s="22"/>
      <c r="P424" s="23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</row>
    <row r="425" ht="15.75" customHeight="1">
      <c r="A425" s="15">
        <v>423.0</v>
      </c>
      <c r="B425" s="16" t="s">
        <v>2257</v>
      </c>
      <c r="C425" s="17">
        <v>3.2006292601395E13</v>
      </c>
      <c r="D425" s="18">
        <v>181.0</v>
      </c>
      <c r="E425" s="16" t="s">
        <v>2070</v>
      </c>
      <c r="F425" s="16" t="s">
        <v>2070</v>
      </c>
      <c r="G425" s="16" t="s">
        <v>1875</v>
      </c>
      <c r="H425" s="20">
        <v>44002.0</v>
      </c>
      <c r="I425" s="18">
        <v>1.0</v>
      </c>
      <c r="J425" s="19"/>
      <c r="K425" s="16" t="s">
        <v>2258</v>
      </c>
      <c r="L425" s="21" t="s">
        <v>138</v>
      </c>
      <c r="M425" s="23"/>
      <c r="N425" s="19"/>
      <c r="O425" s="21" t="s">
        <v>38</v>
      </c>
      <c r="P425" s="22"/>
      <c r="Q425" s="23"/>
      <c r="R425" s="19"/>
      <c r="S425" s="19"/>
      <c r="T425" s="19"/>
      <c r="U425" s="19"/>
      <c r="V425" s="19"/>
      <c r="W425" s="16" t="s">
        <v>46</v>
      </c>
      <c r="X425" s="21" t="s">
        <v>47</v>
      </c>
      <c r="Y425" s="23"/>
      <c r="Z425" s="19"/>
      <c r="AA425" s="19"/>
      <c r="AB425" s="19"/>
      <c r="AC425" s="19"/>
      <c r="AD425" s="19"/>
      <c r="AE425" s="19"/>
      <c r="AF425" s="19"/>
      <c r="AG425" s="19"/>
      <c r="AH425" s="21" t="s">
        <v>123</v>
      </c>
      <c r="AI425" s="23"/>
      <c r="AJ425" s="16" t="s">
        <v>243</v>
      </c>
      <c r="AK425" s="16" t="s">
        <v>153</v>
      </c>
      <c r="AL425" s="16" t="s">
        <v>143</v>
      </c>
      <c r="AM425" s="16" t="s">
        <v>143</v>
      </c>
      <c r="AN425" s="16" t="s">
        <v>126</v>
      </c>
      <c r="AO425" s="16" t="s">
        <v>126</v>
      </c>
      <c r="AP425" s="16" t="s">
        <v>126</v>
      </c>
      <c r="AQ425" s="16" t="s">
        <v>126</v>
      </c>
      <c r="AR425" s="16" t="s">
        <v>126</v>
      </c>
      <c r="AS425" s="16" t="s">
        <v>65</v>
      </c>
      <c r="AT425" s="21" t="s">
        <v>66</v>
      </c>
      <c r="AU425" s="22"/>
      <c r="AV425" s="23"/>
      <c r="AW425" s="21" t="s">
        <v>69</v>
      </c>
      <c r="AX425" s="22"/>
      <c r="AY425" s="23"/>
      <c r="AZ425" s="19"/>
      <c r="BA425" s="19"/>
      <c r="BB425" s="19"/>
      <c r="BC425" s="19"/>
      <c r="BD425" s="19"/>
      <c r="BE425" s="19"/>
      <c r="BF425" s="19"/>
      <c r="BG425" s="21" t="s">
        <v>78</v>
      </c>
      <c r="BH425" s="23"/>
      <c r="BI425" s="21" t="s">
        <v>52</v>
      </c>
      <c r="BJ425" s="23"/>
      <c r="BK425" s="16" t="s">
        <v>81</v>
      </c>
      <c r="BL425" s="19"/>
      <c r="BM425" s="19"/>
      <c r="BN425" s="19"/>
      <c r="BO425" s="19"/>
      <c r="BP425" s="16" t="s">
        <v>2259</v>
      </c>
      <c r="BQ425" s="19"/>
      <c r="BR425" s="19"/>
      <c r="BS425" s="19"/>
      <c r="BT425" s="19"/>
      <c r="BU425" s="19"/>
      <c r="BV425" s="19"/>
      <c r="BW425" s="19"/>
      <c r="BX425" s="19"/>
      <c r="BY425" s="21" t="s">
        <v>93</v>
      </c>
      <c r="BZ425" s="22"/>
      <c r="CA425" s="23"/>
      <c r="CB425" s="21" t="s">
        <v>96</v>
      </c>
      <c r="CC425" s="23"/>
      <c r="CD425" s="19"/>
      <c r="CE425" s="21" t="s">
        <v>99</v>
      </c>
      <c r="CF425" s="23"/>
      <c r="CG425" s="16" t="s">
        <v>128</v>
      </c>
      <c r="CH425" s="16" t="s">
        <v>100</v>
      </c>
      <c r="CI425" s="16" t="s">
        <v>101</v>
      </c>
      <c r="CJ425" s="21" t="s">
        <v>102</v>
      </c>
      <c r="CK425" s="23"/>
      <c r="CL425" s="21" t="s">
        <v>104</v>
      </c>
      <c r="CM425" s="23"/>
      <c r="CN425" s="16" t="s">
        <v>128</v>
      </c>
      <c r="CO425" s="21" t="s">
        <v>105</v>
      </c>
      <c r="CP425" s="23"/>
      <c r="CQ425" s="21" t="s">
        <v>107</v>
      </c>
      <c r="CR425" s="22"/>
      <c r="CS425" s="23"/>
      <c r="CT425" s="21" t="s">
        <v>110</v>
      </c>
      <c r="CU425" s="23"/>
      <c r="CV425" s="16" t="s">
        <v>128</v>
      </c>
      <c r="CW425" s="19"/>
      <c r="CX425" s="21" t="s">
        <v>112</v>
      </c>
      <c r="CY425" s="22"/>
      <c r="CZ425" s="23"/>
      <c r="DA425" s="21" t="s">
        <v>115</v>
      </c>
      <c r="DB425" s="23"/>
      <c r="DC425" s="16" t="s">
        <v>129</v>
      </c>
      <c r="DD425" s="16" t="s">
        <v>129</v>
      </c>
      <c r="DE425" s="16" t="s">
        <v>129</v>
      </c>
      <c r="DF425" s="16" t="s">
        <v>129</v>
      </c>
      <c r="DG425" s="16" t="s">
        <v>2260</v>
      </c>
      <c r="DH425" s="21" t="s">
        <v>2130</v>
      </c>
      <c r="DI425" s="23"/>
      <c r="DJ425" s="19"/>
      <c r="DK425" s="19"/>
      <c r="DL425" s="19"/>
      <c r="DM425" s="21" t="s">
        <v>2261</v>
      </c>
      <c r="DN425" s="23"/>
      <c r="DO425" s="19"/>
    </row>
    <row r="426" ht="15.75" customHeight="1">
      <c r="A426" s="15">
        <v>424.0</v>
      </c>
      <c r="B426" s="16" t="s">
        <v>2262</v>
      </c>
      <c r="C426" s="17">
        <v>3.0306062800581E13</v>
      </c>
      <c r="D426" s="18">
        <v>67.0</v>
      </c>
      <c r="E426" s="16" t="s">
        <v>2263</v>
      </c>
      <c r="F426" s="16" t="s">
        <v>2264</v>
      </c>
      <c r="G426" s="16" t="s">
        <v>1875</v>
      </c>
      <c r="H426" s="20">
        <v>45601.0</v>
      </c>
      <c r="I426" s="18">
        <v>1.0</v>
      </c>
      <c r="J426" s="19"/>
      <c r="K426" s="19"/>
      <c r="L426" s="21" t="s">
        <v>138</v>
      </c>
      <c r="M426" s="23"/>
      <c r="N426" s="19"/>
      <c r="O426" s="21" t="s">
        <v>38</v>
      </c>
      <c r="P426" s="22"/>
      <c r="Q426" s="23"/>
      <c r="R426" s="19"/>
      <c r="S426" s="19"/>
      <c r="T426" s="19"/>
      <c r="U426" s="19"/>
      <c r="V426" s="19"/>
      <c r="W426" s="16" t="s">
        <v>46</v>
      </c>
      <c r="X426" s="19"/>
      <c r="Y426" s="21" t="s">
        <v>48</v>
      </c>
      <c r="Z426" s="23"/>
      <c r="AA426" s="19"/>
      <c r="AB426" s="19"/>
      <c r="AC426" s="19"/>
      <c r="AD426" s="19"/>
      <c r="AE426" s="19"/>
      <c r="AF426" s="19"/>
      <c r="AG426" s="19"/>
      <c r="AH426" s="21" t="s">
        <v>123</v>
      </c>
      <c r="AI426" s="23"/>
      <c r="AJ426" s="16" t="s">
        <v>168</v>
      </c>
      <c r="AK426" s="16" t="s">
        <v>142</v>
      </c>
      <c r="AL426" s="16" t="s">
        <v>181</v>
      </c>
      <c r="AM426" s="16" t="s">
        <v>126</v>
      </c>
      <c r="AN426" s="16" t="s">
        <v>143</v>
      </c>
      <c r="AO426" s="16" t="s">
        <v>126</v>
      </c>
      <c r="AP426" s="16" t="s">
        <v>126</v>
      </c>
      <c r="AQ426" s="16" t="s">
        <v>126</v>
      </c>
      <c r="AR426" s="16" t="s">
        <v>126</v>
      </c>
      <c r="AS426" s="21" t="s">
        <v>65</v>
      </c>
      <c r="AT426" s="22"/>
      <c r="AU426" s="23"/>
      <c r="AV426" s="19"/>
      <c r="AW426" s="19"/>
      <c r="AX426" s="19"/>
      <c r="AY426" s="19"/>
      <c r="AZ426" s="19"/>
      <c r="BA426" s="21" t="s">
        <v>73</v>
      </c>
      <c r="BB426" s="23"/>
      <c r="BC426" s="19"/>
      <c r="BD426" s="19"/>
      <c r="BE426" s="19"/>
      <c r="BF426" s="19"/>
      <c r="BG426" s="16" t="s">
        <v>78</v>
      </c>
      <c r="BH426" s="21" t="s">
        <v>79</v>
      </c>
      <c r="BI426" s="23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21" t="s">
        <v>89</v>
      </c>
      <c r="BU426" s="22"/>
      <c r="BV426" s="23"/>
      <c r="BW426" s="19"/>
      <c r="BX426" s="19"/>
      <c r="BY426" s="19"/>
      <c r="BZ426" s="19"/>
      <c r="CA426" s="19"/>
      <c r="CB426" s="19"/>
      <c r="CC426" s="21" t="s">
        <v>97</v>
      </c>
      <c r="CD426" s="23"/>
      <c r="CE426" s="19"/>
      <c r="CF426" s="19"/>
      <c r="CG426" s="16" t="s">
        <v>128</v>
      </c>
      <c r="CH426" s="16" t="s">
        <v>100</v>
      </c>
      <c r="CI426" s="21" t="s">
        <v>101</v>
      </c>
      <c r="CJ426" s="23"/>
      <c r="CK426" s="21" t="s">
        <v>103</v>
      </c>
      <c r="CL426" s="23"/>
      <c r="CM426" s="19"/>
      <c r="CN426" s="16" t="s">
        <v>128</v>
      </c>
      <c r="CO426" s="19"/>
      <c r="CP426" s="21" t="s">
        <v>106</v>
      </c>
      <c r="CQ426" s="22"/>
      <c r="CR426" s="22"/>
      <c r="CS426" s="23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</sheetData>
  <mergeCells count="5274">
    <mergeCell ref="CL8:CM8"/>
    <mergeCell ref="CP8:CR8"/>
    <mergeCell ref="CR9:CS9"/>
    <mergeCell ref="CT9:CU9"/>
    <mergeCell ref="CY9:CZ9"/>
    <mergeCell ref="DA9:DD9"/>
    <mergeCell ref="DH9:DI9"/>
    <mergeCell ref="DM9:DN9"/>
    <mergeCell ref="BA8:BB8"/>
    <mergeCell ref="BB10:BC10"/>
    <mergeCell ref="BE10:BH10"/>
    <mergeCell ref="BE11:BH11"/>
    <mergeCell ref="BC12:BD12"/>
    <mergeCell ref="BE12:BH12"/>
    <mergeCell ref="BE8:BH8"/>
    <mergeCell ref="BS8:BT8"/>
    <mergeCell ref="BW8:BY8"/>
    <mergeCell ref="CB8:CC8"/>
    <mergeCell ref="CE8:CF8"/>
    <mergeCell ref="CH8:CI8"/>
    <mergeCell ref="BS9:BT9"/>
    <mergeCell ref="CV10:CW10"/>
    <mergeCell ref="DA10:DD10"/>
    <mergeCell ref="DG10:DI10"/>
    <mergeCell ref="DM10:DO10"/>
    <mergeCell ref="CT13:CU13"/>
    <mergeCell ref="CW13:CY13"/>
    <mergeCell ref="DA13:DB13"/>
    <mergeCell ref="DJ13:DL13"/>
    <mergeCell ref="CV14:CW14"/>
    <mergeCell ref="CV15:CW15"/>
    <mergeCell ref="CT16:CU16"/>
    <mergeCell ref="CX16:CY16"/>
    <mergeCell ref="DA16:DB16"/>
    <mergeCell ref="DH16:DI16"/>
    <mergeCell ref="DM16:DO16"/>
    <mergeCell ref="BP15:BQ15"/>
    <mergeCell ref="BO16:BR16"/>
    <mergeCell ref="CJ16:CK16"/>
    <mergeCell ref="CL16:CM16"/>
    <mergeCell ref="BX10:BY10"/>
    <mergeCell ref="BW11:BY11"/>
    <mergeCell ref="BS12:BT12"/>
    <mergeCell ref="BW12:BY12"/>
    <mergeCell ref="CB12:CC12"/>
    <mergeCell ref="BO13:BR13"/>
    <mergeCell ref="BX14:BY14"/>
    <mergeCell ref="M6:P6"/>
    <mergeCell ref="M7:P7"/>
    <mergeCell ref="T7:U7"/>
    <mergeCell ref="L8:M8"/>
    <mergeCell ref="AB8:AC8"/>
    <mergeCell ref="AH8:AI8"/>
    <mergeCell ref="AH9:AI9"/>
    <mergeCell ref="AW13:AY13"/>
    <mergeCell ref="AZ13:BC13"/>
    <mergeCell ref="BG13:BH13"/>
    <mergeCell ref="BB14:BC14"/>
    <mergeCell ref="BD14:BG14"/>
    <mergeCell ref="AF12:AG12"/>
    <mergeCell ref="AH12:AI12"/>
    <mergeCell ref="X13:Y13"/>
    <mergeCell ref="AF13:AG13"/>
    <mergeCell ref="AH13:AI13"/>
    <mergeCell ref="AS13:AT13"/>
    <mergeCell ref="AU13:AV13"/>
    <mergeCell ref="AB9:AC9"/>
    <mergeCell ref="AF9:AG9"/>
    <mergeCell ref="AB10:AC10"/>
    <mergeCell ref="AB11:AC11"/>
    <mergeCell ref="AF11:AG11"/>
    <mergeCell ref="AH11:AI11"/>
    <mergeCell ref="AC12:AD12"/>
    <mergeCell ref="AH15:AI15"/>
    <mergeCell ref="AH16:AI16"/>
    <mergeCell ref="AW16:AY16"/>
    <mergeCell ref="BG16:BH16"/>
    <mergeCell ref="BI16:BJ16"/>
    <mergeCell ref="AC14:AD14"/>
    <mergeCell ref="AH14:AI14"/>
    <mergeCell ref="Y15:Z15"/>
    <mergeCell ref="AC15:AD15"/>
    <mergeCell ref="AS15:AT15"/>
    <mergeCell ref="AX15:AZ15"/>
    <mergeCell ref="X16:Y16"/>
    <mergeCell ref="CJ31:CK31"/>
    <mergeCell ref="CL31:CM31"/>
    <mergeCell ref="CH27:CI27"/>
    <mergeCell ref="CH28:CI28"/>
    <mergeCell ref="CB29:CC29"/>
    <mergeCell ref="CH29:CI29"/>
    <mergeCell ref="CH30:CI30"/>
    <mergeCell ref="CJ30:CL30"/>
    <mergeCell ref="CB31:CC31"/>
    <mergeCell ref="CT26:CU26"/>
    <mergeCell ref="CX26:CY26"/>
    <mergeCell ref="DA26:DB26"/>
    <mergeCell ref="AS26:AU26"/>
    <mergeCell ref="AY26:BA26"/>
    <mergeCell ref="BG26:BH26"/>
    <mergeCell ref="CB26:CC26"/>
    <mergeCell ref="CH26:CI26"/>
    <mergeCell ref="CL26:CM26"/>
    <mergeCell ref="CO26:CQ26"/>
    <mergeCell ref="CT27:CU27"/>
    <mergeCell ref="DA27:DB27"/>
    <mergeCell ref="DA28:DB28"/>
    <mergeCell ref="DA29:DB29"/>
    <mergeCell ref="DA30:DB30"/>
    <mergeCell ref="DA31:DB31"/>
    <mergeCell ref="DH31:DK31"/>
    <mergeCell ref="DM31:DN31"/>
    <mergeCell ref="CR27:CS27"/>
    <mergeCell ref="CT28:CU28"/>
    <mergeCell ref="CV28:CW28"/>
    <mergeCell ref="CS29:CT29"/>
    <mergeCell ref="CV29:CW29"/>
    <mergeCell ref="CO31:CQ31"/>
    <mergeCell ref="CT31:CU31"/>
    <mergeCell ref="AS27:AT27"/>
    <mergeCell ref="AU27:AW27"/>
    <mergeCell ref="BG27:BH27"/>
    <mergeCell ref="CO27:CP27"/>
    <mergeCell ref="AZ28:BA28"/>
    <mergeCell ref="BO28:BR28"/>
    <mergeCell ref="CL28:CM28"/>
    <mergeCell ref="BL27:BM27"/>
    <mergeCell ref="BJ28:BK28"/>
    <mergeCell ref="BT29:BV29"/>
    <mergeCell ref="AV30:AW30"/>
    <mergeCell ref="AY30:BA30"/>
    <mergeCell ref="BG30:BH30"/>
    <mergeCell ref="BM30:BO30"/>
    <mergeCell ref="AS30:AT30"/>
    <mergeCell ref="AS31:AU31"/>
    <mergeCell ref="AW31:AY31"/>
    <mergeCell ref="BG31:BH31"/>
    <mergeCell ref="BO32:BR32"/>
    <mergeCell ref="BW32:BY32"/>
    <mergeCell ref="CB32:CC32"/>
    <mergeCell ref="CR37:CS37"/>
    <mergeCell ref="CX37:CY37"/>
    <mergeCell ref="CZ37:DB37"/>
    <mergeCell ref="DG37:DH37"/>
    <mergeCell ref="DM37:DO37"/>
    <mergeCell ref="DG38:DH38"/>
    <mergeCell ref="DJ38:DL38"/>
    <mergeCell ref="AU37:AW37"/>
    <mergeCell ref="AX37:AZ37"/>
    <mergeCell ref="BG37:BH37"/>
    <mergeCell ref="BY37:CA37"/>
    <mergeCell ref="CH37:CI37"/>
    <mergeCell ref="CK37:CL37"/>
    <mergeCell ref="BQ38:BS38"/>
    <mergeCell ref="CT33:CU33"/>
    <mergeCell ref="DA33:DB33"/>
    <mergeCell ref="DG33:DH33"/>
    <mergeCell ref="AS33:AU33"/>
    <mergeCell ref="AX33:AZ33"/>
    <mergeCell ref="BG33:BH33"/>
    <mergeCell ref="BW33:BY33"/>
    <mergeCell ref="CJ33:CK33"/>
    <mergeCell ref="CL33:CM33"/>
    <mergeCell ref="CP33:CQ33"/>
    <mergeCell ref="CI34:CK34"/>
    <mergeCell ref="CL34:CM34"/>
    <mergeCell ref="CT34:CU34"/>
    <mergeCell ref="CY34:CZ34"/>
    <mergeCell ref="DA34:DB34"/>
    <mergeCell ref="DH34:DI34"/>
    <mergeCell ref="DJ34:DK34"/>
    <mergeCell ref="DN34:DO34"/>
    <mergeCell ref="CP35:CQ35"/>
    <mergeCell ref="CT35:CU35"/>
    <mergeCell ref="CY35:CZ35"/>
    <mergeCell ref="DA35:DB35"/>
    <mergeCell ref="DK35:DL35"/>
    <mergeCell ref="DN35:DO35"/>
    <mergeCell ref="BU35:BV35"/>
    <mergeCell ref="BW35:BY35"/>
    <mergeCell ref="CA35:CC35"/>
    <mergeCell ref="CE35:CF35"/>
    <mergeCell ref="CH35:CI35"/>
    <mergeCell ref="CJ35:CK35"/>
    <mergeCell ref="CL35:CM35"/>
    <mergeCell ref="AS34:AT34"/>
    <mergeCell ref="AV34:AW34"/>
    <mergeCell ref="AY34:BA34"/>
    <mergeCell ref="BG34:BH34"/>
    <mergeCell ref="BL34:BM34"/>
    <mergeCell ref="BO34:BR34"/>
    <mergeCell ref="BX34:BZ34"/>
    <mergeCell ref="CL39:CM39"/>
    <mergeCell ref="CT39:CU39"/>
    <mergeCell ref="CX39:CY39"/>
    <mergeCell ref="DA39:DB39"/>
    <mergeCell ref="DM39:DN39"/>
    <mergeCell ref="AS37:AT37"/>
    <mergeCell ref="AS39:AT39"/>
    <mergeCell ref="AU39:AV39"/>
    <mergeCell ref="AZ39:BA39"/>
    <mergeCell ref="BH39:BI39"/>
    <mergeCell ref="BO39:BR39"/>
    <mergeCell ref="CJ39:CK39"/>
    <mergeCell ref="CP48:CR48"/>
    <mergeCell ref="CS48:CT48"/>
    <mergeCell ref="AS48:AT48"/>
    <mergeCell ref="AV48:AW48"/>
    <mergeCell ref="BG48:BH48"/>
    <mergeCell ref="BI48:BJ48"/>
    <mergeCell ref="BO48:BR48"/>
    <mergeCell ref="CI48:CJ48"/>
    <mergeCell ref="CK48:CL48"/>
    <mergeCell ref="BG46:BH46"/>
    <mergeCell ref="BM46:BN46"/>
    <mergeCell ref="BG47:BH47"/>
    <mergeCell ref="BL47:BM47"/>
    <mergeCell ref="BO47:BR47"/>
    <mergeCell ref="CC47:CD47"/>
    <mergeCell ref="CR45:CS45"/>
    <mergeCell ref="CL46:CM46"/>
    <mergeCell ref="CP46:CQ46"/>
    <mergeCell ref="CL47:CM47"/>
    <mergeCell ref="CO47:CQ47"/>
    <mergeCell ref="CS47:CT47"/>
    <mergeCell ref="CS46:CT46"/>
    <mergeCell ref="CX46:CY46"/>
    <mergeCell ref="CW48:CY48"/>
    <mergeCell ref="CZ48:DB48"/>
    <mergeCell ref="CZ46:DB46"/>
    <mergeCell ref="DH46:DI46"/>
    <mergeCell ref="DA47:DB47"/>
    <mergeCell ref="DH47:DL47"/>
    <mergeCell ref="DG48:DI48"/>
    <mergeCell ref="BU45:BV45"/>
    <mergeCell ref="BW45:BY45"/>
    <mergeCell ref="CT45:CU45"/>
    <mergeCell ref="CY45:DA45"/>
    <mergeCell ref="DM45:DO45"/>
    <mergeCell ref="AS46:AT46"/>
    <mergeCell ref="BO46:BR46"/>
    <mergeCell ref="DM46:DO46"/>
    <mergeCell ref="AH47:AI47"/>
    <mergeCell ref="AH48:AI48"/>
    <mergeCell ref="AV46:AW46"/>
    <mergeCell ref="AX46:AZ46"/>
    <mergeCell ref="X47:Y47"/>
    <mergeCell ref="AS47:AU47"/>
    <mergeCell ref="AY47:BA47"/>
    <mergeCell ref="X48:Y48"/>
    <mergeCell ref="AC48:AD48"/>
    <mergeCell ref="AX48:AZ48"/>
    <mergeCell ref="AB115:AC115"/>
    <mergeCell ref="AB117:AC117"/>
    <mergeCell ref="V111:W111"/>
    <mergeCell ref="X112:Y112"/>
    <mergeCell ref="AB113:AC113"/>
    <mergeCell ref="X114:Y114"/>
    <mergeCell ref="V115:W115"/>
    <mergeCell ref="V116:W116"/>
    <mergeCell ref="V117:W117"/>
    <mergeCell ref="AC62:AD62"/>
    <mergeCell ref="X63:Y63"/>
    <mergeCell ref="AC63:AD63"/>
    <mergeCell ref="X64:Y64"/>
    <mergeCell ref="AC64:AD64"/>
    <mergeCell ref="X65:Y65"/>
    <mergeCell ref="X66:Y66"/>
    <mergeCell ref="X67:Y67"/>
    <mergeCell ref="X70:Y70"/>
    <mergeCell ref="X72:Y72"/>
    <mergeCell ref="X73:Y73"/>
    <mergeCell ref="X74:Y74"/>
    <mergeCell ref="X75:Y75"/>
    <mergeCell ref="Y76:Z76"/>
    <mergeCell ref="Y78:Z78"/>
    <mergeCell ref="AB82:AC82"/>
    <mergeCell ref="AC83:AD83"/>
    <mergeCell ref="Y85:Z85"/>
    <mergeCell ref="Y86:Z86"/>
    <mergeCell ref="Y87:Z87"/>
    <mergeCell ref="V88:W88"/>
    <mergeCell ref="Y88:Z88"/>
    <mergeCell ref="X89:Y89"/>
    <mergeCell ref="Y90:Z90"/>
    <mergeCell ref="Y91:Z91"/>
    <mergeCell ref="X92:Y92"/>
    <mergeCell ref="V93:W93"/>
    <mergeCell ref="Y93:Z93"/>
    <mergeCell ref="Y94:Z94"/>
    <mergeCell ref="Y95:Z95"/>
    <mergeCell ref="V96:W96"/>
    <mergeCell ref="X96:Y96"/>
    <mergeCell ref="X97:Y97"/>
    <mergeCell ref="V98:W98"/>
    <mergeCell ref="X99:Y99"/>
    <mergeCell ref="V100:W100"/>
    <mergeCell ref="X100:Y100"/>
    <mergeCell ref="X101:Y101"/>
    <mergeCell ref="V102:W102"/>
    <mergeCell ref="X102:Y102"/>
    <mergeCell ref="V103:W103"/>
    <mergeCell ref="V104:W104"/>
    <mergeCell ref="X118:Y118"/>
    <mergeCell ref="Y120:Z120"/>
    <mergeCell ref="CK248:CL248"/>
    <mergeCell ref="CI249:CK249"/>
    <mergeCell ref="CL249:CM249"/>
    <mergeCell ref="CO249:CQ249"/>
    <mergeCell ref="CR249:CS249"/>
    <mergeCell ref="CT249:CU249"/>
    <mergeCell ref="CP243:CQ243"/>
    <mergeCell ref="CP244:CQ244"/>
    <mergeCell ref="CO245:CQ245"/>
    <mergeCell ref="CJ246:CL246"/>
    <mergeCell ref="CP246:CQ246"/>
    <mergeCell ref="CH247:CI247"/>
    <mergeCell ref="CO247:CQ247"/>
    <mergeCell ref="CT241:CU241"/>
    <mergeCell ref="CS242:CT242"/>
    <mergeCell ref="CX242:CZ242"/>
    <mergeCell ref="DH242:DI242"/>
    <mergeCell ref="DM242:DN242"/>
    <mergeCell ref="CI241:CK241"/>
    <mergeCell ref="CL241:CM241"/>
    <mergeCell ref="CO241:CP241"/>
    <mergeCell ref="CQ241:CR241"/>
    <mergeCell ref="CX241:CZ241"/>
    <mergeCell ref="DA241:DB241"/>
    <mergeCell ref="CJ242:CL242"/>
    <mergeCell ref="DK243:DL243"/>
    <mergeCell ref="DN243:DO243"/>
    <mergeCell ref="DM244:DO244"/>
    <mergeCell ref="DM246:DN246"/>
    <mergeCell ref="DM247:DN247"/>
    <mergeCell ref="DJ248:DK248"/>
    <mergeCell ref="DM249:DN249"/>
    <mergeCell ref="CY244:CZ244"/>
    <mergeCell ref="DA244:DB244"/>
    <mergeCell ref="CZ246:DB246"/>
    <mergeCell ref="DG246:DI246"/>
    <mergeCell ref="DA247:DB247"/>
    <mergeCell ref="DG247:DH247"/>
    <mergeCell ref="CJ243:CK243"/>
    <mergeCell ref="CL243:CM243"/>
    <mergeCell ref="CR243:CS243"/>
    <mergeCell ref="CV243:CW243"/>
    <mergeCell ref="CZ243:DB243"/>
    <mergeCell ref="DH243:DI243"/>
    <mergeCell ref="CJ244:CL244"/>
    <mergeCell ref="DH244:DI244"/>
    <mergeCell ref="CW248:CY248"/>
    <mergeCell ref="CX249:CZ249"/>
    <mergeCell ref="DA249:DB249"/>
    <mergeCell ref="DH249:DI249"/>
    <mergeCell ref="CR244:CS244"/>
    <mergeCell ref="CT244:CU244"/>
    <mergeCell ref="CR245:CS245"/>
    <mergeCell ref="CV245:CW245"/>
    <mergeCell ref="CR246:CS246"/>
    <mergeCell ref="CW246:CY246"/>
    <mergeCell ref="CS248:CT248"/>
    <mergeCell ref="CI254:CJ254"/>
    <mergeCell ref="CB255:CC255"/>
    <mergeCell ref="CC257:CD257"/>
    <mergeCell ref="CL257:CM257"/>
    <mergeCell ref="CT257:CU257"/>
    <mergeCell ref="CB258:CC258"/>
    <mergeCell ref="CJ258:CK258"/>
    <mergeCell ref="CS258:CT258"/>
    <mergeCell ref="CO257:CQ257"/>
    <mergeCell ref="CP258:CQ258"/>
    <mergeCell ref="CJ259:CK259"/>
    <mergeCell ref="CL259:CM259"/>
    <mergeCell ref="CO259:CQ259"/>
    <mergeCell ref="CT259:CU259"/>
    <mergeCell ref="CX259:CZ259"/>
    <mergeCell ref="CL256:CM256"/>
    <mergeCell ref="CS256:CT256"/>
    <mergeCell ref="DA256:DB256"/>
    <mergeCell ref="DG256:DH256"/>
    <mergeCell ref="CZ257:DC257"/>
    <mergeCell ref="DH257:DI257"/>
    <mergeCell ref="DM257:DN257"/>
    <mergeCell ref="AS254:AU254"/>
    <mergeCell ref="AV254:AX254"/>
    <mergeCell ref="BG254:BH254"/>
    <mergeCell ref="CK254:CL254"/>
    <mergeCell ref="AS255:AU255"/>
    <mergeCell ref="AX255:AZ255"/>
    <mergeCell ref="AS256:AU256"/>
    <mergeCell ref="BG255:BH255"/>
    <mergeCell ref="BG256:BH256"/>
    <mergeCell ref="BB257:BD257"/>
    <mergeCell ref="BE257:BH257"/>
    <mergeCell ref="AW258:AX258"/>
    <mergeCell ref="BA258:BB258"/>
    <mergeCell ref="BG258:BH258"/>
    <mergeCell ref="DJ259:DL259"/>
    <mergeCell ref="DM259:DN259"/>
    <mergeCell ref="BI259:BJ259"/>
    <mergeCell ref="BG260:BH260"/>
    <mergeCell ref="BA261:BB261"/>
    <mergeCell ref="BE261:BH261"/>
    <mergeCell ref="AS258:AU258"/>
    <mergeCell ref="AS259:AT259"/>
    <mergeCell ref="AU259:AV259"/>
    <mergeCell ref="AY259:BA259"/>
    <mergeCell ref="BO259:BR259"/>
    <mergeCell ref="AS260:AT260"/>
    <mergeCell ref="AY260:BA260"/>
    <mergeCell ref="BO260:BR260"/>
    <mergeCell ref="DH261:DI261"/>
    <mergeCell ref="DM261:DN261"/>
    <mergeCell ref="V304:W304"/>
    <mergeCell ref="V306:W306"/>
    <mergeCell ref="AB298:AC298"/>
    <mergeCell ref="AB299:AC299"/>
    <mergeCell ref="AB300:AC300"/>
    <mergeCell ref="X301:Y301"/>
    <mergeCell ref="V302:W302"/>
    <mergeCell ref="AB303:AC303"/>
    <mergeCell ref="AB305:AC305"/>
    <mergeCell ref="AB306:AC306"/>
    <mergeCell ref="L308:M308"/>
    <mergeCell ref="L310:M310"/>
    <mergeCell ref="L311:M311"/>
    <mergeCell ref="L305:M305"/>
    <mergeCell ref="L306:M306"/>
    <mergeCell ref="L307:M307"/>
    <mergeCell ref="X307:Y307"/>
    <mergeCell ref="X308:Y308"/>
    <mergeCell ref="M309:P309"/>
    <mergeCell ref="Y310:Z310"/>
    <mergeCell ref="L273:M273"/>
    <mergeCell ref="L274:M274"/>
    <mergeCell ref="L275:M275"/>
    <mergeCell ref="L276:M276"/>
    <mergeCell ref="L277:M277"/>
    <mergeCell ref="M278:P278"/>
    <mergeCell ref="L279:M279"/>
    <mergeCell ref="L280:M280"/>
    <mergeCell ref="L281:M281"/>
    <mergeCell ref="L282:M282"/>
    <mergeCell ref="X282:Y282"/>
    <mergeCell ref="L283:M283"/>
    <mergeCell ref="X283:Y283"/>
    <mergeCell ref="V284:W284"/>
    <mergeCell ref="Y285:Z285"/>
    <mergeCell ref="X286:Y286"/>
    <mergeCell ref="X287:Y287"/>
    <mergeCell ref="V288:X288"/>
    <mergeCell ref="Y288:Z288"/>
    <mergeCell ref="X289:Y289"/>
    <mergeCell ref="X290:Y290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M295:P295"/>
    <mergeCell ref="L296:M296"/>
    <mergeCell ref="L297:M297"/>
    <mergeCell ref="T311:U311"/>
    <mergeCell ref="V311:W311"/>
    <mergeCell ref="V315:W315"/>
    <mergeCell ref="L312:M312"/>
    <mergeCell ref="L313:M313"/>
    <mergeCell ref="L314:M314"/>
    <mergeCell ref="L315:M315"/>
    <mergeCell ref="L298:M298"/>
    <mergeCell ref="L299:M299"/>
    <mergeCell ref="L300:M300"/>
    <mergeCell ref="L301:M301"/>
    <mergeCell ref="L302:M302"/>
    <mergeCell ref="L303:M303"/>
    <mergeCell ref="L304:M304"/>
    <mergeCell ref="Y204:Z204"/>
    <mergeCell ref="Y206:Z206"/>
    <mergeCell ref="X207:Y207"/>
    <mergeCell ref="V208:Y208"/>
    <mergeCell ref="X200:Y200"/>
    <mergeCell ref="T202:U202"/>
    <mergeCell ref="Y203:Z203"/>
    <mergeCell ref="AH203:AI203"/>
    <mergeCell ref="AH205:AI205"/>
    <mergeCell ref="AH206:AI206"/>
    <mergeCell ref="AH207:AI207"/>
    <mergeCell ref="V216:Y216"/>
    <mergeCell ref="X217:Y217"/>
    <mergeCell ref="X210:Y210"/>
    <mergeCell ref="X213:Y213"/>
    <mergeCell ref="AH213:AI213"/>
    <mergeCell ref="Y214:Z214"/>
    <mergeCell ref="X215:Y215"/>
    <mergeCell ref="AH215:AI215"/>
    <mergeCell ref="AC216:AD216"/>
    <mergeCell ref="AH217:AI217"/>
    <mergeCell ref="L186:M186"/>
    <mergeCell ref="L187:M187"/>
    <mergeCell ref="L188:M188"/>
    <mergeCell ref="L189:M189"/>
    <mergeCell ref="L190:M190"/>
    <mergeCell ref="L191:M191"/>
    <mergeCell ref="L192:M192"/>
    <mergeCell ref="L194:M194"/>
    <mergeCell ref="L195:M195"/>
    <mergeCell ref="X195:Y195"/>
    <mergeCell ref="Y196:Z196"/>
    <mergeCell ref="AH196:AI196"/>
    <mergeCell ref="AB197:AC197"/>
    <mergeCell ref="AH197:AI197"/>
    <mergeCell ref="Y197:Z197"/>
    <mergeCell ref="V198:W198"/>
    <mergeCell ref="X198:Y198"/>
    <mergeCell ref="AH198:AI198"/>
    <mergeCell ref="X199:Y199"/>
    <mergeCell ref="AH199:AI199"/>
    <mergeCell ref="AH200:AI200"/>
    <mergeCell ref="T204:U204"/>
    <mergeCell ref="T207:U207"/>
    <mergeCell ref="L196:M196"/>
    <mergeCell ref="L198:M198"/>
    <mergeCell ref="L199:M199"/>
    <mergeCell ref="M200:P200"/>
    <mergeCell ref="L201:M201"/>
    <mergeCell ref="L203:M203"/>
    <mergeCell ref="L205:M205"/>
    <mergeCell ref="L214:M214"/>
    <mergeCell ref="L215:M215"/>
    <mergeCell ref="L216:M216"/>
    <mergeCell ref="L217:M217"/>
    <mergeCell ref="L218:M218"/>
    <mergeCell ref="V218:Y218"/>
    <mergeCell ref="AC218:AD218"/>
    <mergeCell ref="AH224:AI224"/>
    <mergeCell ref="AH225:AI225"/>
    <mergeCell ref="X219:Y219"/>
    <mergeCell ref="T220:U220"/>
    <mergeCell ref="X221:Y221"/>
    <mergeCell ref="AH221:AI221"/>
    <mergeCell ref="R222:V222"/>
    <mergeCell ref="AC223:AD223"/>
    <mergeCell ref="AH223:AI223"/>
    <mergeCell ref="AC227:AD227"/>
    <mergeCell ref="AC229:AD229"/>
    <mergeCell ref="AC231:AD231"/>
    <mergeCell ref="V223:W223"/>
    <mergeCell ref="X224:Y224"/>
    <mergeCell ref="X225:Y225"/>
    <mergeCell ref="V226:W226"/>
    <mergeCell ref="AC226:AD226"/>
    <mergeCell ref="X228:Y228"/>
    <mergeCell ref="V229:W229"/>
    <mergeCell ref="V230:W230"/>
    <mergeCell ref="Y230:Z230"/>
    <mergeCell ref="V231:W231"/>
    <mergeCell ref="U232:W232"/>
    <mergeCell ref="Y232:Z232"/>
    <mergeCell ref="Y233:Z233"/>
    <mergeCell ref="Y234:Z234"/>
    <mergeCell ref="V234:W234"/>
    <mergeCell ref="V235:X235"/>
    <mergeCell ref="Y235:Z235"/>
    <mergeCell ref="X236:Y236"/>
    <mergeCell ref="V238:W238"/>
    <mergeCell ref="Y238:Z238"/>
    <mergeCell ref="P239:S239"/>
    <mergeCell ref="AH244:AI244"/>
    <mergeCell ref="AH246:AI246"/>
    <mergeCell ref="AH226:AI226"/>
    <mergeCell ref="AH228:AI228"/>
    <mergeCell ref="AH229:AI229"/>
    <mergeCell ref="AH230:AI230"/>
    <mergeCell ref="AH231:AI231"/>
    <mergeCell ref="AH232:AI232"/>
    <mergeCell ref="AH234:AI234"/>
    <mergeCell ref="V291:W291"/>
    <mergeCell ref="X291:Y291"/>
    <mergeCell ref="X293:Y293"/>
    <mergeCell ref="X294:Y294"/>
    <mergeCell ref="Y295:Z295"/>
    <mergeCell ref="AB296:AC296"/>
    <mergeCell ref="AB297:AC297"/>
    <mergeCell ref="X323:Y323"/>
    <mergeCell ref="Y324:Z324"/>
    <mergeCell ref="X325:Y325"/>
    <mergeCell ref="V296:W296"/>
    <mergeCell ref="V298:W298"/>
    <mergeCell ref="Y319:Z319"/>
    <mergeCell ref="V320:W320"/>
    <mergeCell ref="X320:Y320"/>
    <mergeCell ref="V321:Y321"/>
    <mergeCell ref="AB321:AC321"/>
    <mergeCell ref="AH300:AI300"/>
    <mergeCell ref="AH301:AI301"/>
    <mergeCell ref="AH302:AI302"/>
    <mergeCell ref="AH303:AI303"/>
    <mergeCell ref="AH304:AI304"/>
    <mergeCell ref="AH305:AI305"/>
    <mergeCell ref="AH306:AI306"/>
    <mergeCell ref="AH315:AI315"/>
    <mergeCell ref="AH316:AI316"/>
    <mergeCell ref="AH317:AI317"/>
    <mergeCell ref="AH318:AI318"/>
    <mergeCell ref="AH320:AI320"/>
    <mergeCell ref="AH322:AI322"/>
    <mergeCell ref="AH323:AI323"/>
    <mergeCell ref="AH325:AI325"/>
    <mergeCell ref="AH307:AI307"/>
    <mergeCell ref="AH308:AI308"/>
    <mergeCell ref="AH309:AI309"/>
    <mergeCell ref="AH310:AI310"/>
    <mergeCell ref="AH312:AI312"/>
    <mergeCell ref="AH313:AI313"/>
    <mergeCell ref="AH314:AI314"/>
    <mergeCell ref="AH235:AI235"/>
    <mergeCell ref="AH236:AI236"/>
    <mergeCell ref="AH237:AI237"/>
    <mergeCell ref="AH238:AI238"/>
    <mergeCell ref="AH239:AI239"/>
    <mergeCell ref="AH240:AI240"/>
    <mergeCell ref="AH241:AI241"/>
    <mergeCell ref="AH242:AI242"/>
    <mergeCell ref="AH243:AI243"/>
    <mergeCell ref="AH247:AI247"/>
    <mergeCell ref="AH248:AI248"/>
    <mergeCell ref="AH249:AI249"/>
    <mergeCell ref="AH250:AI250"/>
    <mergeCell ref="AH251:AI251"/>
    <mergeCell ref="AH253:AI253"/>
    <mergeCell ref="AH254:AI254"/>
    <mergeCell ref="AH255:AI255"/>
    <mergeCell ref="AH256:AI256"/>
    <mergeCell ref="AH257:AI257"/>
    <mergeCell ref="AH259:AI259"/>
    <mergeCell ref="AH260:AI260"/>
    <mergeCell ref="AH261:AI261"/>
    <mergeCell ref="AH264:AI264"/>
    <mergeCell ref="AH266:AI266"/>
    <mergeCell ref="AH267:AI267"/>
    <mergeCell ref="AH269:AI269"/>
    <mergeCell ref="AH270:AI270"/>
    <mergeCell ref="AH271:AI271"/>
    <mergeCell ref="AH273:AI273"/>
    <mergeCell ref="AH274:AI274"/>
    <mergeCell ref="AH275:AI275"/>
    <mergeCell ref="AH277:AI277"/>
    <mergeCell ref="AG278:AH278"/>
    <mergeCell ref="AH279:AI279"/>
    <mergeCell ref="AH280:AI280"/>
    <mergeCell ref="AH281:AI281"/>
    <mergeCell ref="AH282:AI282"/>
    <mergeCell ref="AH283:AI283"/>
    <mergeCell ref="AH285:AI285"/>
    <mergeCell ref="AH286:AI286"/>
    <mergeCell ref="AH287:AI287"/>
    <mergeCell ref="AH290:AI290"/>
    <mergeCell ref="AH291:AI291"/>
    <mergeCell ref="AH293:AI293"/>
    <mergeCell ref="AH294:AI294"/>
    <mergeCell ref="AH295:AI295"/>
    <mergeCell ref="AH296:AI296"/>
    <mergeCell ref="AH298:AI298"/>
    <mergeCell ref="AH299:AI299"/>
    <mergeCell ref="AH45:AI45"/>
    <mergeCell ref="AH46:AI46"/>
    <mergeCell ref="AF40:AG40"/>
    <mergeCell ref="AH40:AI40"/>
    <mergeCell ref="AH42:AI42"/>
    <mergeCell ref="AH43:AI43"/>
    <mergeCell ref="AF44:AG44"/>
    <mergeCell ref="AH44:AI44"/>
    <mergeCell ref="AC45:AD45"/>
    <mergeCell ref="AH17:AI17"/>
    <mergeCell ref="AF18:AG18"/>
    <mergeCell ref="AH18:AI18"/>
    <mergeCell ref="Y19:Z19"/>
    <mergeCell ref="AC19:AD19"/>
    <mergeCell ref="AF19:AG19"/>
    <mergeCell ref="AH20:AI20"/>
    <mergeCell ref="X20:Y20"/>
    <mergeCell ref="Y21:Z21"/>
    <mergeCell ref="X26:Y26"/>
    <mergeCell ref="X27:Y27"/>
    <mergeCell ref="V28:W28"/>
    <mergeCell ref="AB28:AC28"/>
    <mergeCell ref="AC29:AD29"/>
    <mergeCell ref="AH21:AI21"/>
    <mergeCell ref="AH26:AI26"/>
    <mergeCell ref="AH27:AI27"/>
    <mergeCell ref="AH28:AI28"/>
    <mergeCell ref="AH29:AI29"/>
    <mergeCell ref="AH30:AI30"/>
    <mergeCell ref="AH31:AI31"/>
    <mergeCell ref="AB32:AC32"/>
    <mergeCell ref="AB35:AC35"/>
    <mergeCell ref="AB37:AC37"/>
    <mergeCell ref="AB40:AC40"/>
    <mergeCell ref="V29:W29"/>
    <mergeCell ref="X30:Y30"/>
    <mergeCell ref="X31:Y31"/>
    <mergeCell ref="U32:W32"/>
    <mergeCell ref="X32:Y32"/>
    <mergeCell ref="X33:Y33"/>
    <mergeCell ref="X34:Y34"/>
    <mergeCell ref="Y44:Z44"/>
    <mergeCell ref="Y46:Z46"/>
    <mergeCell ref="X36:Y36"/>
    <mergeCell ref="Q37:U37"/>
    <mergeCell ref="X39:Y39"/>
    <mergeCell ref="X40:Y40"/>
    <mergeCell ref="X42:Y42"/>
    <mergeCell ref="X43:Y43"/>
    <mergeCell ref="V44:W44"/>
    <mergeCell ref="V149:X149"/>
    <mergeCell ref="AB149:AC149"/>
    <mergeCell ref="X151:Y151"/>
    <mergeCell ref="V152:W152"/>
    <mergeCell ref="Y152:Z152"/>
    <mergeCell ref="Y153:Z153"/>
    <mergeCell ref="X154:Y154"/>
    <mergeCell ref="Y155:Z155"/>
    <mergeCell ref="V142:Y142"/>
    <mergeCell ref="Y143:Z143"/>
    <mergeCell ref="X144:Y144"/>
    <mergeCell ref="Y145:Z145"/>
    <mergeCell ref="Y146:Z146"/>
    <mergeCell ref="Y147:Z147"/>
    <mergeCell ref="Y148:Z148"/>
    <mergeCell ref="AC109:AD109"/>
    <mergeCell ref="AB110:AC110"/>
    <mergeCell ref="V105:W105"/>
    <mergeCell ref="X105:Y105"/>
    <mergeCell ref="V106:W106"/>
    <mergeCell ref="AB106:AC106"/>
    <mergeCell ref="X107:Y107"/>
    <mergeCell ref="Y108:Z108"/>
    <mergeCell ref="V109:W109"/>
    <mergeCell ref="V121:W121"/>
    <mergeCell ref="X123:Y123"/>
    <mergeCell ref="X124:Y124"/>
    <mergeCell ref="X125:Y125"/>
    <mergeCell ref="Y126:Z126"/>
    <mergeCell ref="Y127:Z127"/>
    <mergeCell ref="U129:V129"/>
    <mergeCell ref="Y128:Z128"/>
    <mergeCell ref="Y129:Z129"/>
    <mergeCell ref="X130:Y130"/>
    <mergeCell ref="Y131:Z131"/>
    <mergeCell ref="AH131:AI131"/>
    <mergeCell ref="Y132:Z132"/>
    <mergeCell ref="AH132:AI132"/>
    <mergeCell ref="AC132:AD132"/>
    <mergeCell ref="AB133:AC133"/>
    <mergeCell ref="AH133:AI133"/>
    <mergeCell ref="AH134:AI134"/>
    <mergeCell ref="Y135:Z135"/>
    <mergeCell ref="AH135:AI135"/>
    <mergeCell ref="AH136:AI136"/>
    <mergeCell ref="Y136:Z136"/>
    <mergeCell ref="AB137:AC137"/>
    <mergeCell ref="AB138:AC138"/>
    <mergeCell ref="Y139:Z139"/>
    <mergeCell ref="AH139:AI139"/>
    <mergeCell ref="AH140:AI140"/>
    <mergeCell ref="AB142:AC142"/>
    <mergeCell ref="Y157:Z157"/>
    <mergeCell ref="Y158:Z158"/>
    <mergeCell ref="V159:W159"/>
    <mergeCell ref="Y159:Z159"/>
    <mergeCell ref="X165:Y165"/>
    <mergeCell ref="V166:X166"/>
    <mergeCell ref="AC166:AD166"/>
    <mergeCell ref="Y167:Z167"/>
    <mergeCell ref="X168:Y168"/>
    <mergeCell ref="X169:Y169"/>
    <mergeCell ref="X170:Y170"/>
    <mergeCell ref="X172:Y172"/>
    <mergeCell ref="V173:X173"/>
    <mergeCell ref="Y173:Z173"/>
    <mergeCell ref="V175:W175"/>
    <mergeCell ref="X175:Y175"/>
    <mergeCell ref="Y176:Z176"/>
    <mergeCell ref="AC177:AD177"/>
    <mergeCell ref="AH158:AI158"/>
    <mergeCell ref="AH159:AI159"/>
    <mergeCell ref="V160:W160"/>
    <mergeCell ref="X160:Y160"/>
    <mergeCell ref="AH160:AI160"/>
    <mergeCell ref="Y161:Z161"/>
    <mergeCell ref="AH161:AI161"/>
    <mergeCell ref="AH145:AI145"/>
    <mergeCell ref="AH148:AI148"/>
    <mergeCell ref="AH151:AI151"/>
    <mergeCell ref="AH152:AI152"/>
    <mergeCell ref="AH153:AI153"/>
    <mergeCell ref="AH156:AI156"/>
    <mergeCell ref="AH157:AI157"/>
    <mergeCell ref="V161:W161"/>
    <mergeCell ref="V162:X162"/>
    <mergeCell ref="T163:U163"/>
    <mergeCell ref="V163:W163"/>
    <mergeCell ref="X163:Y163"/>
    <mergeCell ref="V164:W164"/>
    <mergeCell ref="Y164:Z164"/>
    <mergeCell ref="AF166:AG166"/>
    <mergeCell ref="AF171:AG171"/>
    <mergeCell ref="AH170:AI170"/>
    <mergeCell ref="AH171:AI171"/>
    <mergeCell ref="AH172:AI172"/>
    <mergeCell ref="AH174:AI174"/>
    <mergeCell ref="AH175:AI175"/>
    <mergeCell ref="AH176:AI176"/>
    <mergeCell ref="AH178:AI178"/>
    <mergeCell ref="AH163:AI163"/>
    <mergeCell ref="AH164:AI164"/>
    <mergeCell ref="AH165:AI165"/>
    <mergeCell ref="AH166:AI166"/>
    <mergeCell ref="AH167:AI167"/>
    <mergeCell ref="AH168:AI168"/>
    <mergeCell ref="AH169:AI169"/>
    <mergeCell ref="V177:X177"/>
    <mergeCell ref="T178:U178"/>
    <mergeCell ref="Y178:Z178"/>
    <mergeCell ref="AH188:AI188"/>
    <mergeCell ref="AH189:AI189"/>
    <mergeCell ref="AF186:AG186"/>
    <mergeCell ref="AH186:AI186"/>
    <mergeCell ref="Y187:Z187"/>
    <mergeCell ref="AC188:AD188"/>
    <mergeCell ref="AF188:AG188"/>
    <mergeCell ref="V189:X189"/>
    <mergeCell ref="Y189:Z189"/>
    <mergeCell ref="L175:M175"/>
    <mergeCell ref="L176:M176"/>
    <mergeCell ref="L177:M177"/>
    <mergeCell ref="L179:M179"/>
    <mergeCell ref="X179:Y179"/>
    <mergeCell ref="AH179:AI179"/>
    <mergeCell ref="X180:Y180"/>
    <mergeCell ref="L180:M180"/>
    <mergeCell ref="L181:M181"/>
    <mergeCell ref="X181:Y181"/>
    <mergeCell ref="AF181:AG181"/>
    <mergeCell ref="AH181:AI181"/>
    <mergeCell ref="V182:X182"/>
    <mergeCell ref="AB182:AC182"/>
    <mergeCell ref="L182:M182"/>
    <mergeCell ref="L183:M183"/>
    <mergeCell ref="X183:Y183"/>
    <mergeCell ref="AH183:AI183"/>
    <mergeCell ref="V184:X184"/>
    <mergeCell ref="AB184:AC184"/>
    <mergeCell ref="L184:M184"/>
    <mergeCell ref="L185:M185"/>
    <mergeCell ref="X185:Y185"/>
    <mergeCell ref="AC185:AD185"/>
    <mergeCell ref="AH185:AI185"/>
    <mergeCell ref="V186:W186"/>
    <mergeCell ref="X186:Y186"/>
    <mergeCell ref="L168:M168"/>
    <mergeCell ref="L169:M169"/>
    <mergeCell ref="L170:M170"/>
    <mergeCell ref="L171:M171"/>
    <mergeCell ref="L172:M172"/>
    <mergeCell ref="L173:M173"/>
    <mergeCell ref="L174:M174"/>
    <mergeCell ref="V190:W190"/>
    <mergeCell ref="X190:Y190"/>
    <mergeCell ref="AC191:AD191"/>
    <mergeCell ref="AH191:AI191"/>
    <mergeCell ref="Y192:Z192"/>
    <mergeCell ref="AH192:AI192"/>
    <mergeCell ref="L193:M193"/>
    <mergeCell ref="N193:R193"/>
    <mergeCell ref="X194:Y194"/>
    <mergeCell ref="AH194:AI194"/>
    <mergeCell ref="V49:W49"/>
    <mergeCell ref="Y49:Z49"/>
    <mergeCell ref="AC49:AD49"/>
    <mergeCell ref="AH49:AI49"/>
    <mergeCell ref="X50:Y50"/>
    <mergeCell ref="AH50:AI50"/>
    <mergeCell ref="AG52:AH52"/>
    <mergeCell ref="X55:Y55"/>
    <mergeCell ref="X56:Y56"/>
    <mergeCell ref="V57:W57"/>
    <mergeCell ref="AC55:AD55"/>
    <mergeCell ref="AC57:AD57"/>
    <mergeCell ref="AF57:AG57"/>
    <mergeCell ref="AH57:AI57"/>
    <mergeCell ref="AB50:AC50"/>
    <mergeCell ref="AC51:AD51"/>
    <mergeCell ref="AB54:AC54"/>
    <mergeCell ref="U55:V55"/>
    <mergeCell ref="AH55:AI55"/>
    <mergeCell ref="U56:V56"/>
    <mergeCell ref="AH56:AI56"/>
    <mergeCell ref="X61:Y61"/>
    <mergeCell ref="V62:W62"/>
    <mergeCell ref="Y62:Z62"/>
    <mergeCell ref="X51:Y51"/>
    <mergeCell ref="X53:Y53"/>
    <mergeCell ref="U54:V54"/>
    <mergeCell ref="X54:Y54"/>
    <mergeCell ref="X58:Y58"/>
    <mergeCell ref="X59:Y59"/>
    <mergeCell ref="X60:Y60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3:M33"/>
    <mergeCell ref="L34:M34"/>
    <mergeCell ref="L35:M35"/>
    <mergeCell ref="L36:M36"/>
    <mergeCell ref="L39:M39"/>
    <mergeCell ref="L40:M40"/>
    <mergeCell ref="L41:M41"/>
    <mergeCell ref="L50:M50"/>
    <mergeCell ref="L51:M51"/>
    <mergeCell ref="L52:M52"/>
    <mergeCell ref="M53:P53"/>
    <mergeCell ref="L43:M43"/>
    <mergeCell ref="L44:M44"/>
    <mergeCell ref="L45:M45"/>
    <mergeCell ref="L46:M46"/>
    <mergeCell ref="L47:M47"/>
    <mergeCell ref="L48:M48"/>
    <mergeCell ref="L49:M49"/>
    <mergeCell ref="L66:M66"/>
    <mergeCell ref="L67:M67"/>
    <mergeCell ref="L68:M68"/>
    <mergeCell ref="T68:U68"/>
    <mergeCell ref="U77:Y77"/>
    <mergeCell ref="AC77:AD77"/>
    <mergeCell ref="P79:S79"/>
    <mergeCell ref="AB79:AC79"/>
    <mergeCell ref="N84:R84"/>
    <mergeCell ref="T84:U84"/>
    <mergeCell ref="Y84:Z84"/>
    <mergeCell ref="AH53:AI53"/>
    <mergeCell ref="AH54:AI54"/>
    <mergeCell ref="AF59:AG59"/>
    <mergeCell ref="AH59:AI59"/>
    <mergeCell ref="AH60:AI60"/>
    <mergeCell ref="AC61:AD61"/>
    <mergeCell ref="AH62:AI62"/>
    <mergeCell ref="AH63:AI63"/>
    <mergeCell ref="AH64:AI64"/>
    <mergeCell ref="AH65:AI65"/>
    <mergeCell ref="AH66:AI66"/>
    <mergeCell ref="AH67:AI67"/>
    <mergeCell ref="AF69:AG69"/>
    <mergeCell ref="AH69:AI69"/>
    <mergeCell ref="AH70:AI70"/>
    <mergeCell ref="AC71:AD71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L58:M58"/>
    <mergeCell ref="L59:M59"/>
    <mergeCell ref="L60:M60"/>
    <mergeCell ref="L61:M61"/>
    <mergeCell ref="L63:M63"/>
    <mergeCell ref="L64:M64"/>
    <mergeCell ref="L65:M65"/>
    <mergeCell ref="L69:M69"/>
    <mergeCell ref="L70:M70"/>
    <mergeCell ref="L71:M71"/>
    <mergeCell ref="L72:M72"/>
    <mergeCell ref="L73:M73"/>
    <mergeCell ref="K74:L74"/>
    <mergeCell ref="L75:M75"/>
    <mergeCell ref="L76:M76"/>
    <mergeCell ref="L78:M78"/>
    <mergeCell ref="L81:M81"/>
    <mergeCell ref="L82:M82"/>
    <mergeCell ref="L83:M83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M101:P101"/>
    <mergeCell ref="L100:M100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31:M131"/>
    <mergeCell ref="L132:M132"/>
    <mergeCell ref="L133:M133"/>
    <mergeCell ref="M134:P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M144:P144"/>
    <mergeCell ref="M145:P145"/>
    <mergeCell ref="L146:M146"/>
    <mergeCell ref="M147:P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4:M164"/>
    <mergeCell ref="L165:M165"/>
    <mergeCell ref="L166:M166"/>
    <mergeCell ref="L167:M167"/>
    <mergeCell ref="Y211:Z211"/>
    <mergeCell ref="AC211:AD211"/>
    <mergeCell ref="AC205:AD205"/>
    <mergeCell ref="AC208:AD208"/>
    <mergeCell ref="X209:Y209"/>
    <mergeCell ref="AH209:AI209"/>
    <mergeCell ref="AH210:AI210"/>
    <mergeCell ref="V211:X211"/>
    <mergeCell ref="AH212:AI212"/>
    <mergeCell ref="L206:M206"/>
    <mergeCell ref="L208:M208"/>
    <mergeCell ref="L209:M209"/>
    <mergeCell ref="L210:M210"/>
    <mergeCell ref="L211:M211"/>
    <mergeCell ref="L212:M212"/>
    <mergeCell ref="L213:M213"/>
    <mergeCell ref="L219:M219"/>
    <mergeCell ref="L222:M222"/>
    <mergeCell ref="L224:M224"/>
    <mergeCell ref="L226:M226"/>
    <mergeCell ref="L227:M227"/>
    <mergeCell ref="L228:M228"/>
    <mergeCell ref="L229:M229"/>
    <mergeCell ref="L230:M230"/>
    <mergeCell ref="L231:M231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4:M244"/>
    <mergeCell ref="L245:M245"/>
    <mergeCell ref="L246:M246"/>
    <mergeCell ref="L248:M248"/>
    <mergeCell ref="L249:M249"/>
    <mergeCell ref="L250:M250"/>
    <mergeCell ref="L252:M252"/>
    <mergeCell ref="L253:M253"/>
    <mergeCell ref="L254:M254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5:M265"/>
    <mergeCell ref="L266:M266"/>
    <mergeCell ref="L268:M268"/>
    <mergeCell ref="L269:M269"/>
    <mergeCell ref="L270:M270"/>
    <mergeCell ref="L271:M271"/>
    <mergeCell ref="L272:M272"/>
    <mergeCell ref="L354:M354"/>
    <mergeCell ref="L355:M355"/>
    <mergeCell ref="M356:P356"/>
    <mergeCell ref="L357:M357"/>
    <mergeCell ref="O357:Q357"/>
    <mergeCell ref="M358:P358"/>
    <mergeCell ref="M360:P360"/>
    <mergeCell ref="L359:M359"/>
    <mergeCell ref="L361:M361"/>
    <mergeCell ref="L362:M362"/>
    <mergeCell ref="L363:M363"/>
    <mergeCell ref="M364:P364"/>
    <mergeCell ref="M365:P365"/>
    <mergeCell ref="M366:P366"/>
    <mergeCell ref="L374:M374"/>
    <mergeCell ref="L376:M376"/>
    <mergeCell ref="N377:R377"/>
    <mergeCell ref="N378:R378"/>
    <mergeCell ref="N379:R379"/>
    <mergeCell ref="L380:M380"/>
    <mergeCell ref="M381:P381"/>
    <mergeCell ref="M382:P382"/>
    <mergeCell ref="L383:M383"/>
    <mergeCell ref="M384:P384"/>
    <mergeCell ref="M385:P385"/>
    <mergeCell ref="L387:M387"/>
    <mergeCell ref="M388:P388"/>
    <mergeCell ref="M389:P389"/>
    <mergeCell ref="M390:P390"/>
    <mergeCell ref="L391:M391"/>
    <mergeCell ref="M392:P392"/>
    <mergeCell ref="L393:M393"/>
    <mergeCell ref="M394:P394"/>
    <mergeCell ref="M395:P395"/>
    <mergeCell ref="L396:M396"/>
    <mergeCell ref="L397:M397"/>
    <mergeCell ref="M398:P398"/>
    <mergeCell ref="M399:P399"/>
    <mergeCell ref="L400:M400"/>
    <mergeCell ref="M401:P401"/>
    <mergeCell ref="L402:M402"/>
    <mergeCell ref="L403:M403"/>
    <mergeCell ref="M404:P404"/>
    <mergeCell ref="M405:P405"/>
    <mergeCell ref="M406:P406"/>
    <mergeCell ref="M407:P407"/>
    <mergeCell ref="L408:M408"/>
    <mergeCell ref="L409:M409"/>
    <mergeCell ref="M411:P411"/>
    <mergeCell ref="L412:M412"/>
    <mergeCell ref="L413:M413"/>
    <mergeCell ref="M414:P414"/>
    <mergeCell ref="L415:M415"/>
    <mergeCell ref="L416:M416"/>
    <mergeCell ref="L417:M417"/>
    <mergeCell ref="M418:P418"/>
    <mergeCell ref="L425:M425"/>
    <mergeCell ref="L426:M426"/>
    <mergeCell ref="L419:M419"/>
    <mergeCell ref="L420:M420"/>
    <mergeCell ref="L421:M421"/>
    <mergeCell ref="L422:M422"/>
    <mergeCell ref="L423:M423"/>
    <mergeCell ref="M424:P424"/>
    <mergeCell ref="O425:Q425"/>
    <mergeCell ref="O426:Q426"/>
    <mergeCell ref="L317:M317"/>
    <mergeCell ref="L318:M318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M332:P332"/>
    <mergeCell ref="L331:M331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53:M353"/>
    <mergeCell ref="O353:Q353"/>
    <mergeCell ref="L346:M346"/>
    <mergeCell ref="L347:M347"/>
    <mergeCell ref="L348:M348"/>
    <mergeCell ref="L349:M349"/>
    <mergeCell ref="L350:M350"/>
    <mergeCell ref="L351:M351"/>
    <mergeCell ref="L352:M352"/>
    <mergeCell ref="M367:P367"/>
    <mergeCell ref="L368:M368"/>
    <mergeCell ref="L369:M369"/>
    <mergeCell ref="L370:M370"/>
    <mergeCell ref="M372:P372"/>
    <mergeCell ref="M373:P373"/>
    <mergeCell ref="M375:P375"/>
    <mergeCell ref="Y410:Z410"/>
    <mergeCell ref="AC410:AD410"/>
    <mergeCell ref="Y411:Z411"/>
    <mergeCell ref="AC411:AD411"/>
    <mergeCell ref="Y412:Z412"/>
    <mergeCell ref="Y413:Z413"/>
    <mergeCell ref="Y414:Z414"/>
    <mergeCell ref="Y415:Z415"/>
    <mergeCell ref="AC415:AD415"/>
    <mergeCell ref="AB416:AC416"/>
    <mergeCell ref="X417:Y417"/>
    <mergeCell ref="Y418:Z418"/>
    <mergeCell ref="AC418:AD418"/>
    <mergeCell ref="Y419:Z419"/>
    <mergeCell ref="Y389:Z389"/>
    <mergeCell ref="AE389:AF389"/>
    <mergeCell ref="X390:Y390"/>
    <mergeCell ref="AC390:AD390"/>
    <mergeCell ref="AF390:AG390"/>
    <mergeCell ref="Y391:Z391"/>
    <mergeCell ref="AC392:AD392"/>
    <mergeCell ref="Y392:Z392"/>
    <mergeCell ref="Y393:Z393"/>
    <mergeCell ref="AC393:AD393"/>
    <mergeCell ref="Y394:Z394"/>
    <mergeCell ref="Y395:Z395"/>
    <mergeCell ref="Y396:Z396"/>
    <mergeCell ref="Y397:Z397"/>
    <mergeCell ref="Y398:Z398"/>
    <mergeCell ref="Y399:Z399"/>
    <mergeCell ref="X400:Y400"/>
    <mergeCell ref="AC400:AD400"/>
    <mergeCell ref="Y401:Z401"/>
    <mergeCell ref="AB401:AC401"/>
    <mergeCell ref="R402:T402"/>
    <mergeCell ref="AC402:AD402"/>
    <mergeCell ref="U402:V402"/>
    <mergeCell ref="X402:Y402"/>
    <mergeCell ref="X403:Y403"/>
    <mergeCell ref="AC403:AD403"/>
    <mergeCell ref="AE403:AF403"/>
    <mergeCell ref="Y404:Z404"/>
    <mergeCell ref="AC404:AD404"/>
    <mergeCell ref="Y405:Z405"/>
    <mergeCell ref="Y406:Z406"/>
    <mergeCell ref="Y407:Z407"/>
    <mergeCell ref="U408:Y408"/>
    <mergeCell ref="AC408:AD408"/>
    <mergeCell ref="Y409:Z409"/>
    <mergeCell ref="Q410:U410"/>
    <mergeCell ref="T413:U413"/>
    <mergeCell ref="Q415:U415"/>
    <mergeCell ref="R416:V416"/>
    <mergeCell ref="V417:W417"/>
    <mergeCell ref="Q419:U419"/>
    <mergeCell ref="Y420:Z420"/>
    <mergeCell ref="Y421:Z421"/>
    <mergeCell ref="AC421:AD421"/>
    <mergeCell ref="AE421:AF421"/>
    <mergeCell ref="V246:W246"/>
    <mergeCell ref="T247:U247"/>
    <mergeCell ref="V248:W248"/>
    <mergeCell ref="V250:W250"/>
    <mergeCell ref="T251:U251"/>
    <mergeCell ref="V239:W239"/>
    <mergeCell ref="X239:Y239"/>
    <mergeCell ref="X240:Y240"/>
    <mergeCell ref="X241:Y241"/>
    <mergeCell ref="Y244:Z244"/>
    <mergeCell ref="X245:Y245"/>
    <mergeCell ref="Y246:Z246"/>
    <mergeCell ref="Y247:Z247"/>
    <mergeCell ref="Y248:Z248"/>
    <mergeCell ref="X249:Y249"/>
    <mergeCell ref="AC249:AD249"/>
    <mergeCell ref="Y250:Z250"/>
    <mergeCell ref="Y251:Z251"/>
    <mergeCell ref="X252:Y252"/>
    <mergeCell ref="X253:Y253"/>
    <mergeCell ref="X254:Y254"/>
    <mergeCell ref="V255:W255"/>
    <mergeCell ref="X255:Y255"/>
    <mergeCell ref="V256:W256"/>
    <mergeCell ref="X256:Y256"/>
    <mergeCell ref="AC257:AD257"/>
    <mergeCell ref="X258:Y258"/>
    <mergeCell ref="X259:Y259"/>
    <mergeCell ref="AC259:AD259"/>
    <mergeCell ref="X260:Y260"/>
    <mergeCell ref="X261:Y261"/>
    <mergeCell ref="AC261:AD261"/>
    <mergeCell ref="Y262:Z262"/>
    <mergeCell ref="AC263:AD263"/>
    <mergeCell ref="V262:X262"/>
    <mergeCell ref="V263:X263"/>
    <mergeCell ref="Y263:Z263"/>
    <mergeCell ref="X264:Y264"/>
    <mergeCell ref="Y265:Z265"/>
    <mergeCell ref="Y266:Z266"/>
    <mergeCell ref="X268:Y268"/>
    <mergeCell ref="Y269:Z269"/>
    <mergeCell ref="X270:Y270"/>
    <mergeCell ref="AC271:AD271"/>
    <mergeCell ref="V272:W272"/>
    <mergeCell ref="X272:Y272"/>
    <mergeCell ref="X274:Y274"/>
    <mergeCell ref="AC274:AD274"/>
    <mergeCell ref="AC341:AD341"/>
    <mergeCell ref="AC343:AD343"/>
    <mergeCell ref="X339:Y339"/>
    <mergeCell ref="V340:X340"/>
    <mergeCell ref="AC340:AD340"/>
    <mergeCell ref="Y341:Z341"/>
    <mergeCell ref="V342:W342"/>
    <mergeCell ref="Y342:Z342"/>
    <mergeCell ref="Y344:Z344"/>
    <mergeCell ref="X275:Y275"/>
    <mergeCell ref="V276:X276"/>
    <mergeCell ref="Y276:Z276"/>
    <mergeCell ref="V277:W277"/>
    <mergeCell ref="X277:Y277"/>
    <mergeCell ref="X278:Y278"/>
    <mergeCell ref="AB280:AC280"/>
    <mergeCell ref="X279:Y279"/>
    <mergeCell ref="X281:Y281"/>
    <mergeCell ref="V326:Y326"/>
    <mergeCell ref="AB326:AC326"/>
    <mergeCell ref="AH327:AI327"/>
    <mergeCell ref="V328:W328"/>
    <mergeCell ref="AH329:AI329"/>
    <mergeCell ref="X328:Y328"/>
    <mergeCell ref="X330:Y330"/>
    <mergeCell ref="V331:W331"/>
    <mergeCell ref="X331:Y331"/>
    <mergeCell ref="V333:Y333"/>
    <mergeCell ref="AB333:AC333"/>
    <mergeCell ref="AB334:AC334"/>
    <mergeCell ref="V334:W334"/>
    <mergeCell ref="V335:W335"/>
    <mergeCell ref="Y336:Z336"/>
    <mergeCell ref="T337:U337"/>
    <mergeCell ref="AB337:AC337"/>
    <mergeCell ref="V338:W338"/>
    <mergeCell ref="AB338:AC338"/>
    <mergeCell ref="AH330:AI330"/>
    <mergeCell ref="AH332:AI332"/>
    <mergeCell ref="AH334:AI334"/>
    <mergeCell ref="AH335:AI335"/>
    <mergeCell ref="AH337:AI337"/>
    <mergeCell ref="AH338:AI338"/>
    <mergeCell ref="AH341:AI341"/>
    <mergeCell ref="V343:W343"/>
    <mergeCell ref="V346:X346"/>
    <mergeCell ref="Y346:Z346"/>
    <mergeCell ref="X348:Y348"/>
    <mergeCell ref="V349:W349"/>
    <mergeCell ref="X349:Y349"/>
    <mergeCell ref="X350:Y350"/>
    <mergeCell ref="AH355:AI355"/>
    <mergeCell ref="AH356:AI356"/>
    <mergeCell ref="AB380:AC380"/>
    <mergeCell ref="AF380:AG380"/>
    <mergeCell ref="V380:W380"/>
    <mergeCell ref="X382:Y382"/>
    <mergeCell ref="AB382:AC382"/>
    <mergeCell ref="AF382:AG382"/>
    <mergeCell ref="X383:Y383"/>
    <mergeCell ref="Y384:Z384"/>
    <mergeCell ref="AF384:AG384"/>
    <mergeCell ref="V352:W352"/>
    <mergeCell ref="AB352:AC352"/>
    <mergeCell ref="Y354:Z354"/>
    <mergeCell ref="V355:W355"/>
    <mergeCell ref="X355:Y355"/>
    <mergeCell ref="R356:V356"/>
    <mergeCell ref="AB356:AC356"/>
    <mergeCell ref="U357:W357"/>
    <mergeCell ref="X357:Y357"/>
    <mergeCell ref="AB359:AC359"/>
    <mergeCell ref="AF359:AG359"/>
    <mergeCell ref="T360:U360"/>
    <mergeCell ref="X361:Y361"/>
    <mergeCell ref="X363:Y363"/>
    <mergeCell ref="T364:U364"/>
    <mergeCell ref="AB364:AC364"/>
    <mergeCell ref="AB365:AC365"/>
    <mergeCell ref="Y366:Z366"/>
    <mergeCell ref="AB367:AC367"/>
    <mergeCell ref="Y368:Z368"/>
    <mergeCell ref="Y369:Z369"/>
    <mergeCell ref="U369:X369"/>
    <mergeCell ref="R370:T370"/>
    <mergeCell ref="U370:V370"/>
    <mergeCell ref="X370:Y370"/>
    <mergeCell ref="AF370:AG370"/>
    <mergeCell ref="U371:X371"/>
    <mergeCell ref="Y371:Z371"/>
    <mergeCell ref="Y372:Z372"/>
    <mergeCell ref="AC372:AD372"/>
    <mergeCell ref="AF372:AG372"/>
    <mergeCell ref="X374:Y374"/>
    <mergeCell ref="Q375:U375"/>
    <mergeCell ref="AC375:AD375"/>
    <mergeCell ref="Q376:U376"/>
    <mergeCell ref="X375:Y375"/>
    <mergeCell ref="X376:Y376"/>
    <mergeCell ref="AB377:AC377"/>
    <mergeCell ref="AB378:AC378"/>
    <mergeCell ref="T379:U379"/>
    <mergeCell ref="AC379:AD379"/>
    <mergeCell ref="R381:V381"/>
    <mergeCell ref="Y385:Z385"/>
    <mergeCell ref="AC385:AD385"/>
    <mergeCell ref="Y386:Z386"/>
    <mergeCell ref="T387:U387"/>
    <mergeCell ref="X387:Y387"/>
    <mergeCell ref="AF387:AG387"/>
    <mergeCell ref="AC388:AD388"/>
    <mergeCell ref="AH403:AI403"/>
    <mergeCell ref="AH404:AI404"/>
    <mergeCell ref="AH405:AI405"/>
    <mergeCell ref="AH406:AI406"/>
    <mergeCell ref="AH407:AI407"/>
    <mergeCell ref="AH408:AI408"/>
    <mergeCell ref="AH409:AI409"/>
    <mergeCell ref="Y423:Z423"/>
    <mergeCell ref="X425:Y425"/>
    <mergeCell ref="Y426:Z426"/>
    <mergeCell ref="AH417:AI417"/>
    <mergeCell ref="AH418:AI418"/>
    <mergeCell ref="AH419:AI419"/>
    <mergeCell ref="AH421:AI421"/>
    <mergeCell ref="AH422:AI422"/>
    <mergeCell ref="U423:W423"/>
    <mergeCell ref="AH423:AI423"/>
    <mergeCell ref="AH425:AI425"/>
    <mergeCell ref="AH426:AI426"/>
    <mergeCell ref="AH410:AI410"/>
    <mergeCell ref="AH411:AI411"/>
    <mergeCell ref="AH412:AI412"/>
    <mergeCell ref="AH413:AI413"/>
    <mergeCell ref="AH414:AI414"/>
    <mergeCell ref="AH415:AI415"/>
    <mergeCell ref="AH416:AI416"/>
    <mergeCell ref="AH343:AI343"/>
    <mergeCell ref="AH345:AI345"/>
    <mergeCell ref="AH347:AI347"/>
    <mergeCell ref="AH348:AI348"/>
    <mergeCell ref="AH350:AI350"/>
    <mergeCell ref="AH351:AI351"/>
    <mergeCell ref="AH352:AI352"/>
    <mergeCell ref="AH353:AI353"/>
    <mergeCell ref="AH354:AI354"/>
    <mergeCell ref="AH357:AI357"/>
    <mergeCell ref="AH358:AI358"/>
    <mergeCell ref="AH359:AI359"/>
    <mergeCell ref="AH360:AI360"/>
    <mergeCell ref="AH361:AI361"/>
    <mergeCell ref="AH362:AI362"/>
    <mergeCell ref="AH363:AI363"/>
    <mergeCell ref="AH364:AI364"/>
    <mergeCell ref="AH365:AI365"/>
    <mergeCell ref="AH366:AI366"/>
    <mergeCell ref="AH367:AI367"/>
    <mergeCell ref="AH368:AI368"/>
    <mergeCell ref="AH369:AI369"/>
    <mergeCell ref="AH370:AI370"/>
    <mergeCell ref="AH371:AI371"/>
    <mergeCell ref="AH372:AI372"/>
    <mergeCell ref="AH373:AI373"/>
    <mergeCell ref="AH375:AI375"/>
    <mergeCell ref="AH376:AI376"/>
    <mergeCell ref="AH379:AI379"/>
    <mergeCell ref="AH380:AI380"/>
    <mergeCell ref="AH382:AI382"/>
    <mergeCell ref="AH385:AI385"/>
    <mergeCell ref="AH386:AI386"/>
    <mergeCell ref="AH387:AI387"/>
    <mergeCell ref="AH388:AI388"/>
    <mergeCell ref="AH389:AI389"/>
    <mergeCell ref="AH390:AI390"/>
    <mergeCell ref="AH391:AI391"/>
    <mergeCell ref="AH392:AI392"/>
    <mergeCell ref="AH393:AI393"/>
    <mergeCell ref="AH394:AI394"/>
    <mergeCell ref="AH395:AI395"/>
    <mergeCell ref="AH396:AI396"/>
    <mergeCell ref="AH397:AI397"/>
    <mergeCell ref="AH398:AI398"/>
    <mergeCell ref="AH399:AI399"/>
    <mergeCell ref="AH400:AI400"/>
    <mergeCell ref="AH401:AI401"/>
    <mergeCell ref="AH402:AI402"/>
    <mergeCell ref="DN285:DO285"/>
    <mergeCell ref="DM286:DN286"/>
    <mergeCell ref="DN289:DO289"/>
    <mergeCell ref="DM290:DN290"/>
    <mergeCell ref="DM298:DN298"/>
    <mergeCell ref="DM299:DO299"/>
    <mergeCell ref="DN302:DO302"/>
    <mergeCell ref="CJ285:CK285"/>
    <mergeCell ref="CQ285:CS285"/>
    <mergeCell ref="CX285:CZ285"/>
    <mergeCell ref="CL286:CM286"/>
    <mergeCell ref="CZ287:DB287"/>
    <mergeCell ref="CB288:CC288"/>
    <mergeCell ref="CX288:CY288"/>
    <mergeCell ref="CL295:CM295"/>
    <mergeCell ref="CL296:CM296"/>
    <mergeCell ref="CO295:CQ295"/>
    <mergeCell ref="CO296:CQ296"/>
    <mergeCell ref="CS296:CT296"/>
    <mergeCell ref="CZ296:DC296"/>
    <mergeCell ref="DH296:DI296"/>
    <mergeCell ref="DN296:DO296"/>
    <mergeCell ref="DA297:DD297"/>
    <mergeCell ref="DG297:DH297"/>
    <mergeCell ref="CE295:CF295"/>
    <mergeCell ref="CE298:CF298"/>
    <mergeCell ref="BS292:BT292"/>
    <mergeCell ref="BQ295:BS295"/>
    <mergeCell ref="CH295:CI295"/>
    <mergeCell ref="BP296:BQ296"/>
    <mergeCell ref="BR296:BS296"/>
    <mergeCell ref="CD296:CE296"/>
    <mergeCell ref="BQ298:BS298"/>
    <mergeCell ref="DG299:DH299"/>
    <mergeCell ref="DK300:DL300"/>
    <mergeCell ref="DH286:DI286"/>
    <mergeCell ref="DH287:DI287"/>
    <mergeCell ref="DH289:DI289"/>
    <mergeCell ref="DJ289:DK289"/>
    <mergeCell ref="DH291:DI291"/>
    <mergeCell ref="DH293:DI293"/>
    <mergeCell ref="DH298:DI298"/>
    <mergeCell ref="CL304:CM304"/>
    <mergeCell ref="CL305:CM305"/>
    <mergeCell ref="CL306:CM306"/>
    <mergeCell ref="CL307:CM307"/>
    <mergeCell ref="CO307:CQ307"/>
    <mergeCell ref="CO309:CQ309"/>
    <mergeCell ref="CL310:CM310"/>
    <mergeCell ref="CL317:CM317"/>
    <mergeCell ref="CK318:CL318"/>
    <mergeCell ref="CL320:CM320"/>
    <mergeCell ref="CL322:CM322"/>
    <mergeCell ref="CL323:CM323"/>
    <mergeCell ref="CL325:CM325"/>
    <mergeCell ref="CS318:CT318"/>
    <mergeCell ref="CQ320:CS320"/>
    <mergeCell ref="CS322:CT322"/>
    <mergeCell ref="CS325:CT325"/>
    <mergeCell ref="CO327:CQ327"/>
    <mergeCell ref="CL312:CM312"/>
    <mergeCell ref="CO312:CQ312"/>
    <mergeCell ref="CL314:CM314"/>
    <mergeCell ref="CL315:CM315"/>
    <mergeCell ref="CL316:CM316"/>
    <mergeCell ref="CO316:CQ316"/>
    <mergeCell ref="CS317:CT317"/>
    <mergeCell ref="DG308:DH308"/>
    <mergeCell ref="DH309:DI309"/>
    <mergeCell ref="DJ309:DK309"/>
    <mergeCell ref="DM309:DO309"/>
    <mergeCell ref="DM310:DN310"/>
    <mergeCell ref="DH312:DI312"/>
    <mergeCell ref="DN312:DO312"/>
    <mergeCell ref="DG313:DH313"/>
    <mergeCell ref="DJ313:DK313"/>
    <mergeCell ref="DJ314:DK314"/>
    <mergeCell ref="DG315:DH315"/>
    <mergeCell ref="DM315:DN315"/>
    <mergeCell ref="DJ316:DK316"/>
    <mergeCell ref="DM316:DO316"/>
    <mergeCell ref="CH291:CI291"/>
    <mergeCell ref="CH293:CI293"/>
    <mergeCell ref="CL294:CM294"/>
    <mergeCell ref="CH299:CI299"/>
    <mergeCell ref="CH300:CI300"/>
    <mergeCell ref="CL301:CM301"/>
    <mergeCell ref="CH287:CI287"/>
    <mergeCell ref="CH289:CI289"/>
    <mergeCell ref="CL290:CM290"/>
    <mergeCell ref="CJ291:CL291"/>
    <mergeCell ref="BY292:CA292"/>
    <mergeCell ref="CC293:CD293"/>
    <mergeCell ref="CJ293:CL293"/>
    <mergeCell ref="CL302:CM302"/>
    <mergeCell ref="CS302:CT302"/>
    <mergeCell ref="BY297:CA297"/>
    <mergeCell ref="CL297:CM297"/>
    <mergeCell ref="CO297:CQ297"/>
    <mergeCell ref="CR299:CS299"/>
    <mergeCell ref="CR300:CS300"/>
    <mergeCell ref="CO301:CQ301"/>
    <mergeCell ref="BY302:CA302"/>
    <mergeCell ref="BZ303:CB303"/>
    <mergeCell ref="CH303:CI303"/>
    <mergeCell ref="CO303:CQ303"/>
    <mergeCell ref="BW304:BY304"/>
    <mergeCell ref="CA304:CC304"/>
    <mergeCell ref="CQ304:CS304"/>
    <mergeCell ref="CR305:CS305"/>
    <mergeCell ref="CS308:CT308"/>
    <mergeCell ref="CS310:CT310"/>
    <mergeCell ref="CL313:CM313"/>
    <mergeCell ref="CO313:CQ313"/>
    <mergeCell ref="CS314:CT314"/>
    <mergeCell ref="CS315:CT315"/>
    <mergeCell ref="BU305:BV305"/>
    <mergeCell ref="BS306:BT306"/>
    <mergeCell ref="CB306:CC306"/>
    <mergeCell ref="CE307:CF307"/>
    <mergeCell ref="BZ310:CB310"/>
    <mergeCell ref="BP312:BQ312"/>
    <mergeCell ref="CA313:CC313"/>
    <mergeCell ref="DA313:DB313"/>
    <mergeCell ref="DA314:DB314"/>
    <mergeCell ref="DA315:DB315"/>
    <mergeCell ref="DA316:DB316"/>
    <mergeCell ref="CW317:CY317"/>
    <mergeCell ref="DA318:DB318"/>
    <mergeCell ref="CV319:CW319"/>
    <mergeCell ref="CY319:CZ319"/>
    <mergeCell ref="DA319:DB319"/>
    <mergeCell ref="CX320:CZ320"/>
    <mergeCell ref="CV321:CW321"/>
    <mergeCell ref="CZ321:DA321"/>
    <mergeCell ref="DA322:DB322"/>
    <mergeCell ref="DA325:DB325"/>
    <mergeCell ref="BU335:BV335"/>
    <mergeCell ref="BW335:BY335"/>
    <mergeCell ref="BS334:BT334"/>
    <mergeCell ref="BU334:BV334"/>
    <mergeCell ref="BW334:BY334"/>
    <mergeCell ref="CB334:CC334"/>
    <mergeCell ref="CE334:CF334"/>
    <mergeCell ref="CL334:CM334"/>
    <mergeCell ref="BS335:BT335"/>
    <mergeCell ref="DM362:DO362"/>
    <mergeCell ref="DM363:DN363"/>
    <mergeCell ref="DJ360:DK360"/>
    <mergeCell ref="DM360:DN360"/>
    <mergeCell ref="DH361:DI361"/>
    <mergeCell ref="DM361:DO361"/>
    <mergeCell ref="DH362:DI362"/>
    <mergeCell ref="DJ362:DL362"/>
    <mergeCell ref="DG363:DI363"/>
    <mergeCell ref="CJ329:CL329"/>
    <mergeCell ref="CS329:CT329"/>
    <mergeCell ref="BP330:BQ330"/>
    <mergeCell ref="CH330:CI330"/>
    <mergeCell ref="CS330:CT330"/>
    <mergeCell ref="CJ331:CK331"/>
    <mergeCell ref="CR331:CS331"/>
    <mergeCell ref="CA331:CC331"/>
    <mergeCell ref="BY332:CA332"/>
    <mergeCell ref="CI332:CK332"/>
    <mergeCell ref="CO332:CQ332"/>
    <mergeCell ref="CW332:CY332"/>
    <mergeCell ref="BS333:BT333"/>
    <mergeCell ref="CC333:CD333"/>
    <mergeCell ref="CO336:CQ336"/>
    <mergeCell ref="CR336:CS336"/>
    <mergeCell ref="CX336:CZ336"/>
    <mergeCell ref="CC335:CD335"/>
    <mergeCell ref="CE335:CF335"/>
    <mergeCell ref="CL335:CM335"/>
    <mergeCell ref="BU336:BV336"/>
    <mergeCell ref="BY336:BZ336"/>
    <mergeCell ref="CA336:CC336"/>
    <mergeCell ref="CH336:CI336"/>
    <mergeCell ref="BT337:BV337"/>
    <mergeCell ref="BW337:BY337"/>
    <mergeCell ref="CB337:CC337"/>
    <mergeCell ref="CJ337:CK337"/>
    <mergeCell ref="CL337:CM337"/>
    <mergeCell ref="CP337:CS337"/>
    <mergeCell ref="CZ337:DB337"/>
    <mergeCell ref="BW338:BY338"/>
    <mergeCell ref="CC338:CD338"/>
    <mergeCell ref="CL338:CM338"/>
    <mergeCell ref="CP338:CQ338"/>
    <mergeCell ref="CR338:CS338"/>
    <mergeCell ref="CT338:CU338"/>
    <mergeCell ref="DA338:DB338"/>
    <mergeCell ref="BS319:BT319"/>
    <mergeCell ref="CA319:CC319"/>
    <mergeCell ref="CJ319:CK319"/>
    <mergeCell ref="CP319:CS319"/>
    <mergeCell ref="CH321:CI321"/>
    <mergeCell ref="CJ321:CK321"/>
    <mergeCell ref="CP321:CS321"/>
    <mergeCell ref="CV324:CW324"/>
    <mergeCell ref="CV326:CW326"/>
    <mergeCell ref="CV328:CW328"/>
    <mergeCell ref="CV331:CW331"/>
    <mergeCell ref="CA321:CC321"/>
    <mergeCell ref="CA324:CC324"/>
    <mergeCell ref="CJ324:CK324"/>
    <mergeCell ref="CO324:CQ324"/>
    <mergeCell ref="CR324:CS324"/>
    <mergeCell ref="BS326:BT326"/>
    <mergeCell ref="CO326:CQ326"/>
    <mergeCell ref="CA326:CC326"/>
    <mergeCell ref="CH326:CI326"/>
    <mergeCell ref="CA328:CC328"/>
    <mergeCell ref="CH328:CI328"/>
    <mergeCell ref="CJ328:CK328"/>
    <mergeCell ref="CO328:CQ328"/>
    <mergeCell ref="BW329:BY329"/>
    <mergeCell ref="CP333:CQ333"/>
    <mergeCell ref="CR333:CS333"/>
    <mergeCell ref="CR334:CS334"/>
    <mergeCell ref="CQ335:CS335"/>
    <mergeCell ref="CV333:CW333"/>
    <mergeCell ref="CZ333:DA333"/>
    <mergeCell ref="DA334:DB334"/>
    <mergeCell ref="DA335:DB335"/>
    <mergeCell ref="CB340:CC340"/>
    <mergeCell ref="CD340:CE340"/>
    <mergeCell ref="CX340:CY340"/>
    <mergeCell ref="CE344:CF344"/>
    <mergeCell ref="CJ344:CK344"/>
    <mergeCell ref="CP344:CQ344"/>
    <mergeCell ref="CR344:CS344"/>
    <mergeCell ref="CJ345:CK345"/>
    <mergeCell ref="CL345:CM345"/>
    <mergeCell ref="CQ345:CS345"/>
    <mergeCell ref="BS346:BT346"/>
    <mergeCell ref="CA346:CC346"/>
    <mergeCell ref="CE346:CF346"/>
    <mergeCell ref="CI346:CK346"/>
    <mergeCell ref="CO346:CQ346"/>
    <mergeCell ref="CH347:CI347"/>
    <mergeCell ref="CL347:CM347"/>
    <mergeCell ref="CO350:CQ350"/>
    <mergeCell ref="CZ350:DB350"/>
    <mergeCell ref="CL351:CM351"/>
    <mergeCell ref="CQ351:CS351"/>
    <mergeCell ref="CX351:CZ351"/>
    <mergeCell ref="BS349:BT349"/>
    <mergeCell ref="BY349:CA349"/>
    <mergeCell ref="CH349:CI349"/>
    <mergeCell ref="CJ349:CK349"/>
    <mergeCell ref="CO349:CQ349"/>
    <mergeCell ref="CR349:CS349"/>
    <mergeCell ref="CH350:CI350"/>
    <mergeCell ref="CX374:CY374"/>
    <mergeCell ref="DA374:DB374"/>
    <mergeCell ref="DH374:DI374"/>
    <mergeCell ref="CX369:CZ369"/>
    <mergeCell ref="DA369:DB369"/>
    <mergeCell ref="DA370:DB370"/>
    <mergeCell ref="CW371:CY371"/>
    <mergeCell ref="CX372:CY372"/>
    <mergeCell ref="DA372:DB372"/>
    <mergeCell ref="CZ373:DB373"/>
    <mergeCell ref="BG374:BH374"/>
    <mergeCell ref="BG375:BH375"/>
    <mergeCell ref="BI375:BJ375"/>
    <mergeCell ref="BE372:BF372"/>
    <mergeCell ref="BG372:BH372"/>
    <mergeCell ref="BI372:BJ372"/>
    <mergeCell ref="BE373:BF373"/>
    <mergeCell ref="BG373:BH373"/>
    <mergeCell ref="BI373:BJ373"/>
    <mergeCell ref="BJ374:BK374"/>
    <mergeCell ref="AZ348:BA348"/>
    <mergeCell ref="AY352:BA352"/>
    <mergeCell ref="BF353:BG353"/>
    <mergeCell ref="BB354:BC354"/>
    <mergeCell ref="BH354:BI354"/>
    <mergeCell ref="AY355:BA355"/>
    <mergeCell ref="BE356:BH356"/>
    <mergeCell ref="BB356:BC356"/>
    <mergeCell ref="BA357:BB357"/>
    <mergeCell ref="BC357:BD357"/>
    <mergeCell ref="BG357:BH357"/>
    <mergeCell ref="BB358:BD358"/>
    <mergeCell ref="BI358:BJ358"/>
    <mergeCell ref="AX359:AZ359"/>
    <mergeCell ref="BI359:BJ359"/>
    <mergeCell ref="BB359:BC359"/>
    <mergeCell ref="BD359:BG359"/>
    <mergeCell ref="BB360:BD360"/>
    <mergeCell ref="BE360:BH360"/>
    <mergeCell ref="AX361:AZ361"/>
    <mergeCell ref="BE361:BF361"/>
    <mergeCell ref="BG361:BH361"/>
    <mergeCell ref="AX362:AZ362"/>
    <mergeCell ref="BB362:BC362"/>
    <mergeCell ref="BD362:BG362"/>
    <mergeCell ref="BH362:BI362"/>
    <mergeCell ref="BE363:BF363"/>
    <mergeCell ref="BG363:BH363"/>
    <mergeCell ref="BC366:BD366"/>
    <mergeCell ref="BI365:BJ365"/>
    <mergeCell ref="BI366:BJ366"/>
    <mergeCell ref="BG367:BH367"/>
    <mergeCell ref="BC368:BD368"/>
    <mergeCell ref="BI368:BJ368"/>
    <mergeCell ref="BL369:BM369"/>
    <mergeCell ref="BN369:BP369"/>
    <mergeCell ref="AY370:BA370"/>
    <mergeCell ref="AY372:BA372"/>
    <mergeCell ref="AW373:AY373"/>
    <mergeCell ref="BB373:BC373"/>
    <mergeCell ref="AZ374:BD374"/>
    <mergeCell ref="BA375:BB375"/>
    <mergeCell ref="BD369:BG369"/>
    <mergeCell ref="BD370:BF370"/>
    <mergeCell ref="BG370:BH370"/>
    <mergeCell ref="BJ370:BK370"/>
    <mergeCell ref="BM370:BO370"/>
    <mergeCell ref="BE371:BH371"/>
    <mergeCell ref="BL371:BM371"/>
    <mergeCell ref="BH292:BI292"/>
    <mergeCell ref="BG293:BH293"/>
    <mergeCell ref="BI285:BJ285"/>
    <mergeCell ref="BG286:BH286"/>
    <mergeCell ref="BG287:BH287"/>
    <mergeCell ref="BH288:BI288"/>
    <mergeCell ref="BG289:BH289"/>
    <mergeCell ref="BG290:BH290"/>
    <mergeCell ref="BG291:BH291"/>
    <mergeCell ref="AS272:AT272"/>
    <mergeCell ref="AS275:AT275"/>
    <mergeCell ref="AS276:AT276"/>
    <mergeCell ref="AS278:AU278"/>
    <mergeCell ref="AS279:AU279"/>
    <mergeCell ref="AS281:AT281"/>
    <mergeCell ref="AU281:AW281"/>
    <mergeCell ref="AS282:AU282"/>
    <mergeCell ref="AS283:AT283"/>
    <mergeCell ref="AU283:AV283"/>
    <mergeCell ref="AS285:AU285"/>
    <mergeCell ref="AS286:AU286"/>
    <mergeCell ref="AS288:AT288"/>
    <mergeCell ref="AS289:AU289"/>
    <mergeCell ref="AS290:AU290"/>
    <mergeCell ref="AS291:AU291"/>
    <mergeCell ref="AS292:AU292"/>
    <mergeCell ref="AY294:BA294"/>
    <mergeCell ref="BG294:BH294"/>
    <mergeCell ref="AU295:AW295"/>
    <mergeCell ref="BH295:BI295"/>
    <mergeCell ref="BE295:BG295"/>
    <mergeCell ref="BE296:BH296"/>
    <mergeCell ref="BC297:BD297"/>
    <mergeCell ref="BF298:BG298"/>
    <mergeCell ref="BC299:BD299"/>
    <mergeCell ref="BC300:BD300"/>
    <mergeCell ref="BG301:BH301"/>
    <mergeCell ref="AS265:AU265"/>
    <mergeCell ref="AS266:AT266"/>
    <mergeCell ref="AY266:BA266"/>
    <mergeCell ref="AS267:AT267"/>
    <mergeCell ref="AU267:AW267"/>
    <mergeCell ref="AS268:AT268"/>
    <mergeCell ref="AU268:AV268"/>
    <mergeCell ref="AS270:AU270"/>
    <mergeCell ref="AU272:AV272"/>
    <mergeCell ref="BB272:BD272"/>
    <mergeCell ref="BH272:BI272"/>
    <mergeCell ref="BE273:BH273"/>
    <mergeCell ref="AZ274:BA274"/>
    <mergeCell ref="BE274:BH274"/>
    <mergeCell ref="AY275:AZ275"/>
    <mergeCell ref="BA275:BB275"/>
    <mergeCell ref="BG275:BH275"/>
    <mergeCell ref="BB276:BC276"/>
    <mergeCell ref="BH276:BI276"/>
    <mergeCell ref="BG278:BH278"/>
    <mergeCell ref="BH279:BI279"/>
    <mergeCell ref="BB279:BD279"/>
    <mergeCell ref="BA280:BB280"/>
    <mergeCell ref="BG281:BH281"/>
    <mergeCell ref="BG282:BH282"/>
    <mergeCell ref="BB283:BD283"/>
    <mergeCell ref="BG283:BH283"/>
    <mergeCell ref="AZ285:BC285"/>
    <mergeCell ref="AX319:AY319"/>
    <mergeCell ref="AW321:AY321"/>
    <mergeCell ref="AY322:BA322"/>
    <mergeCell ref="AX324:AY324"/>
    <mergeCell ref="BB324:BD324"/>
    <mergeCell ref="AZ313:BB313"/>
    <mergeCell ref="AZ314:BA314"/>
    <mergeCell ref="AV315:AX315"/>
    <mergeCell ref="AZ316:BA316"/>
    <mergeCell ref="AV317:AX317"/>
    <mergeCell ref="AZ318:BA318"/>
    <mergeCell ref="BB319:BD319"/>
    <mergeCell ref="BH324:BI324"/>
    <mergeCell ref="BG325:BH325"/>
    <mergeCell ref="BH313:BI313"/>
    <mergeCell ref="BH314:BI314"/>
    <mergeCell ref="BH315:BI315"/>
    <mergeCell ref="BH316:BI316"/>
    <mergeCell ref="BH319:BI319"/>
    <mergeCell ref="BG320:BH320"/>
    <mergeCell ref="BG323:BH323"/>
    <mergeCell ref="BB339:BC339"/>
    <mergeCell ref="BA340:BB340"/>
    <mergeCell ref="AY341:BA341"/>
    <mergeCell ref="BI341:BJ341"/>
    <mergeCell ref="BL341:BM341"/>
    <mergeCell ref="BN341:BP341"/>
    <mergeCell ref="BG342:BH342"/>
    <mergeCell ref="BB342:BC342"/>
    <mergeCell ref="BB343:BC343"/>
    <mergeCell ref="BE343:BH343"/>
    <mergeCell ref="BA344:BB344"/>
    <mergeCell ref="BG344:BH344"/>
    <mergeCell ref="BG345:BH345"/>
    <mergeCell ref="BN345:BP345"/>
    <mergeCell ref="BG302:BH302"/>
    <mergeCell ref="BF303:BG303"/>
    <mergeCell ref="AY304:BA304"/>
    <mergeCell ref="BE305:BH305"/>
    <mergeCell ref="BI305:BJ305"/>
    <mergeCell ref="BE306:BH306"/>
    <mergeCell ref="BG307:BH307"/>
    <mergeCell ref="BG308:BH308"/>
    <mergeCell ref="BG309:BH309"/>
    <mergeCell ref="BF310:BG310"/>
    <mergeCell ref="BL318:BM318"/>
    <mergeCell ref="BN319:BO319"/>
    <mergeCell ref="BN321:BO321"/>
    <mergeCell ref="BJ322:BK322"/>
    <mergeCell ref="BH330:BI330"/>
    <mergeCell ref="BH331:BI331"/>
    <mergeCell ref="BG332:BH332"/>
    <mergeCell ref="BE334:BH334"/>
    <mergeCell ref="BE335:BH335"/>
    <mergeCell ref="BG336:BH336"/>
    <mergeCell ref="BN336:BO336"/>
    <mergeCell ref="BI321:BJ321"/>
    <mergeCell ref="BI326:BJ326"/>
    <mergeCell ref="BH327:BI327"/>
    <mergeCell ref="BB328:BD328"/>
    <mergeCell ref="BG328:BH328"/>
    <mergeCell ref="BE329:BH329"/>
    <mergeCell ref="BL329:BM329"/>
    <mergeCell ref="AY329:BA329"/>
    <mergeCell ref="AZ330:BA330"/>
    <mergeCell ref="BB331:BC331"/>
    <mergeCell ref="AZ333:BA333"/>
    <mergeCell ref="BB333:BD333"/>
    <mergeCell ref="BB334:BD334"/>
    <mergeCell ref="BB335:BD335"/>
    <mergeCell ref="AY337:AZ337"/>
    <mergeCell ref="BA337:BB337"/>
    <mergeCell ref="BI337:BJ337"/>
    <mergeCell ref="BM337:BO337"/>
    <mergeCell ref="BB338:BD338"/>
    <mergeCell ref="BE338:BH338"/>
    <mergeCell ref="BH339:BI339"/>
    <mergeCell ref="BB346:BD346"/>
    <mergeCell ref="AX347:AZ347"/>
    <mergeCell ref="BG348:BH348"/>
    <mergeCell ref="BB349:BC349"/>
    <mergeCell ref="BH349:BI349"/>
    <mergeCell ref="BN349:BO349"/>
    <mergeCell ref="BG350:BH350"/>
    <mergeCell ref="AS301:AU301"/>
    <mergeCell ref="AS302:AU302"/>
    <mergeCell ref="AS304:AU304"/>
    <mergeCell ref="AS307:AU307"/>
    <mergeCell ref="AS308:AU308"/>
    <mergeCell ref="AS309:AU309"/>
    <mergeCell ref="AS312:AU312"/>
    <mergeCell ref="AS320:AU320"/>
    <mergeCell ref="AS323:AU323"/>
    <mergeCell ref="AS324:AU324"/>
    <mergeCell ref="AS325:AU325"/>
    <mergeCell ref="AS326:AU326"/>
    <mergeCell ref="AS328:AU328"/>
    <mergeCell ref="AS331:AU331"/>
    <mergeCell ref="AS332:AU332"/>
    <mergeCell ref="AS336:AU336"/>
    <mergeCell ref="AV336:AW336"/>
    <mergeCell ref="AT337:AV337"/>
    <mergeCell ref="AS339:AU339"/>
    <mergeCell ref="AW339:AX339"/>
    <mergeCell ref="AS342:AU342"/>
    <mergeCell ref="AS344:AU344"/>
    <mergeCell ref="AV344:AW344"/>
    <mergeCell ref="AS345:AU345"/>
    <mergeCell ref="AV346:AW346"/>
    <mergeCell ref="AS347:AU347"/>
    <mergeCell ref="AS348:AU348"/>
    <mergeCell ref="AS349:AU349"/>
    <mergeCell ref="AS350:AU350"/>
    <mergeCell ref="AS351:AU351"/>
    <mergeCell ref="AT352:AV352"/>
    <mergeCell ref="AV353:AX353"/>
    <mergeCell ref="AS354:AU354"/>
    <mergeCell ref="AS355:AU355"/>
    <mergeCell ref="AW355:AX355"/>
    <mergeCell ref="AS357:AU357"/>
    <mergeCell ref="AT358:AV358"/>
    <mergeCell ref="AS359:AU359"/>
    <mergeCell ref="AV360:AX360"/>
    <mergeCell ref="AS361:AU361"/>
    <mergeCell ref="AV362:AW362"/>
    <mergeCell ref="AS363:AU363"/>
    <mergeCell ref="AT364:AV364"/>
    <mergeCell ref="AS365:AU365"/>
    <mergeCell ref="AU366:AW366"/>
    <mergeCell ref="AS367:AU367"/>
    <mergeCell ref="AV368:AX368"/>
    <mergeCell ref="AV369:AX369"/>
    <mergeCell ref="AU371:AW371"/>
    <mergeCell ref="AV372:AX372"/>
    <mergeCell ref="CO238:CQ238"/>
    <mergeCell ref="CR238:CS238"/>
    <mergeCell ref="CI239:CK239"/>
    <mergeCell ref="CO239:CQ239"/>
    <mergeCell ref="CH240:CI240"/>
    <mergeCell ref="CJ240:CL240"/>
    <mergeCell ref="CO240:CQ240"/>
    <mergeCell ref="DA250:DB250"/>
    <mergeCell ref="CZ251:DB251"/>
    <mergeCell ref="DG251:DH251"/>
    <mergeCell ref="DM251:DN251"/>
    <mergeCell ref="CT238:CU238"/>
    <mergeCell ref="CX238:CY238"/>
    <mergeCell ref="CW239:CY239"/>
    <mergeCell ref="CZ239:DB239"/>
    <mergeCell ref="CX240:CZ240"/>
    <mergeCell ref="CX250:CZ250"/>
    <mergeCell ref="CQ251:CS251"/>
    <mergeCell ref="CW254:CY254"/>
    <mergeCell ref="CZ254:DB254"/>
    <mergeCell ref="CT255:CU255"/>
    <mergeCell ref="CX255:CY255"/>
    <mergeCell ref="DA255:DD255"/>
    <mergeCell ref="DM255:DO255"/>
    <mergeCell ref="CV252:CW252"/>
    <mergeCell ref="CZ252:DA252"/>
    <mergeCell ref="CX253:CY253"/>
    <mergeCell ref="CZ253:DC253"/>
    <mergeCell ref="DH253:DI253"/>
    <mergeCell ref="DM253:DO253"/>
    <mergeCell ref="CP254:CS254"/>
    <mergeCell ref="DG254:DH254"/>
    <mergeCell ref="CC231:CD231"/>
    <mergeCell ref="CB233:CC233"/>
    <mergeCell ref="CC239:CD239"/>
    <mergeCell ref="CC245:CD245"/>
    <mergeCell ref="CB246:CC246"/>
    <mergeCell ref="CB252:CC252"/>
    <mergeCell ref="BO226:BR226"/>
    <mergeCell ref="BO228:BR228"/>
    <mergeCell ref="BX229:CB229"/>
    <mergeCell ref="CC229:CD229"/>
    <mergeCell ref="BL230:BM230"/>
    <mergeCell ref="BN232:BP232"/>
    <mergeCell ref="BS233:BT233"/>
    <mergeCell ref="BL234:BM234"/>
    <mergeCell ref="BZ234:CB234"/>
    <mergeCell ref="BM235:BO235"/>
    <mergeCell ref="BS235:BT235"/>
    <mergeCell ref="CB235:CC235"/>
    <mergeCell ref="BQ237:BR237"/>
    <mergeCell ref="BS237:BT237"/>
    <mergeCell ref="BO238:BR238"/>
    <mergeCell ref="BN239:BP239"/>
    <mergeCell ref="BJ241:BK241"/>
    <mergeCell ref="BM241:BO241"/>
    <mergeCell ref="BY241:CA241"/>
    <mergeCell ref="CD241:CE241"/>
    <mergeCell ref="BO244:BR244"/>
    <mergeCell ref="CO250:CQ250"/>
    <mergeCell ref="CO251:CP251"/>
    <mergeCell ref="BL246:BM246"/>
    <mergeCell ref="BO246:BR246"/>
    <mergeCell ref="BL248:BM248"/>
    <mergeCell ref="BO250:BR250"/>
    <mergeCell ref="CI250:CJ250"/>
    <mergeCell ref="CL250:CM250"/>
    <mergeCell ref="CJ251:CL251"/>
    <mergeCell ref="CJ255:CK255"/>
    <mergeCell ref="CL255:CM255"/>
    <mergeCell ref="CP255:CQ255"/>
    <mergeCell ref="BA144:BB144"/>
    <mergeCell ref="BG144:BH144"/>
    <mergeCell ref="AS141:AU141"/>
    <mergeCell ref="AW141:AX141"/>
    <mergeCell ref="BB141:BD141"/>
    <mergeCell ref="AS143:AU143"/>
    <mergeCell ref="BB143:BC143"/>
    <mergeCell ref="AS144:AU144"/>
    <mergeCell ref="AX144:AY144"/>
    <mergeCell ref="BA146:BB146"/>
    <mergeCell ref="BA149:BB149"/>
    <mergeCell ref="AS145:AU145"/>
    <mergeCell ref="BA145:BB145"/>
    <mergeCell ref="AS146:AU146"/>
    <mergeCell ref="AS147:AU147"/>
    <mergeCell ref="BB147:BC147"/>
    <mergeCell ref="AV148:AX148"/>
    <mergeCell ref="AS149:AU149"/>
    <mergeCell ref="AS150:AT150"/>
    <mergeCell ref="BA150:BB150"/>
    <mergeCell ref="AS151:AU151"/>
    <mergeCell ref="AY151:BA151"/>
    <mergeCell ref="BG151:BH151"/>
    <mergeCell ref="AW152:AY152"/>
    <mergeCell ref="BG152:BH152"/>
    <mergeCell ref="AS153:AU153"/>
    <mergeCell ref="AV153:AW153"/>
    <mergeCell ref="AX153:AZ153"/>
    <mergeCell ref="AS154:AT154"/>
    <mergeCell ref="BB154:BD154"/>
    <mergeCell ref="BG154:BH154"/>
    <mergeCell ref="AW155:AY155"/>
    <mergeCell ref="BG156:BH156"/>
    <mergeCell ref="BF170:BI170"/>
    <mergeCell ref="BG171:BH171"/>
    <mergeCell ref="AS165:AU165"/>
    <mergeCell ref="AS167:AT167"/>
    <mergeCell ref="AS169:AU169"/>
    <mergeCell ref="BG169:BH169"/>
    <mergeCell ref="BA170:BB170"/>
    <mergeCell ref="AS171:AU171"/>
    <mergeCell ref="BH172:BI172"/>
    <mergeCell ref="AY171:BA171"/>
    <mergeCell ref="AZ172:BA172"/>
    <mergeCell ref="BA173:BB173"/>
    <mergeCell ref="BC173:BD173"/>
    <mergeCell ref="AZ174:BA174"/>
    <mergeCell ref="BG174:BH174"/>
    <mergeCell ref="BG175:BH175"/>
    <mergeCell ref="AS172:AU172"/>
    <mergeCell ref="AS173:AT173"/>
    <mergeCell ref="AS174:AU174"/>
    <mergeCell ref="AS175:AU175"/>
    <mergeCell ref="AS176:AU176"/>
    <mergeCell ref="AS177:AU177"/>
    <mergeCell ref="AS178:AU178"/>
    <mergeCell ref="AX176:AY176"/>
    <mergeCell ref="AZ176:BA176"/>
    <mergeCell ref="BG176:BH176"/>
    <mergeCell ref="BB177:BD177"/>
    <mergeCell ref="BH178:BI178"/>
    <mergeCell ref="AZ179:BA179"/>
    <mergeCell ref="BB180:BC180"/>
    <mergeCell ref="AS179:AU179"/>
    <mergeCell ref="AS180:AU180"/>
    <mergeCell ref="AS181:AU181"/>
    <mergeCell ref="AV181:AX181"/>
    <mergeCell ref="AS182:AU182"/>
    <mergeCell ref="AS183:AT183"/>
    <mergeCell ref="AU183:AW183"/>
    <mergeCell ref="AS184:AU184"/>
    <mergeCell ref="AS185:AT185"/>
    <mergeCell ref="AU185:AV185"/>
    <mergeCell ref="AW185:AY185"/>
    <mergeCell ref="AS186:AU186"/>
    <mergeCell ref="AS187:AU187"/>
    <mergeCell ref="BA187:BB187"/>
    <mergeCell ref="BE188:BH188"/>
    <mergeCell ref="BG189:BH189"/>
    <mergeCell ref="BG190:BH190"/>
    <mergeCell ref="BE191:BH191"/>
    <mergeCell ref="BH192:BI192"/>
    <mergeCell ref="BG194:BH194"/>
    <mergeCell ref="BH196:BI196"/>
    <mergeCell ref="CT226:CU226"/>
    <mergeCell ref="CV227:CW227"/>
    <mergeCell ref="CB226:CC226"/>
    <mergeCell ref="CL226:CM226"/>
    <mergeCell ref="DA226:DB226"/>
    <mergeCell ref="BX227:CA227"/>
    <mergeCell ref="CC227:CD227"/>
    <mergeCell ref="CL227:CM227"/>
    <mergeCell ref="DA227:DB227"/>
    <mergeCell ref="CB219:CC219"/>
    <mergeCell ref="CJ219:CK219"/>
    <mergeCell ref="CV219:CW219"/>
    <mergeCell ref="CB221:CC221"/>
    <mergeCell ref="CI221:CK221"/>
    <mergeCell ref="CR221:CS221"/>
    <mergeCell ref="CX221:CZ221"/>
    <mergeCell ref="BM221:BO221"/>
    <mergeCell ref="CE223:CF223"/>
    <mergeCell ref="CH223:CI223"/>
    <mergeCell ref="CP223:CS223"/>
    <mergeCell ref="CT223:CU223"/>
    <mergeCell ref="DA223:DB223"/>
    <mergeCell ref="DM223:DO223"/>
    <mergeCell ref="CO224:CQ224"/>
    <mergeCell ref="CO225:CQ225"/>
    <mergeCell ref="CO226:CQ226"/>
    <mergeCell ref="CO228:CP228"/>
    <mergeCell ref="CQ228:CS228"/>
    <mergeCell ref="CX228:CZ228"/>
    <mergeCell ref="DA228:DB228"/>
    <mergeCell ref="DH224:DI224"/>
    <mergeCell ref="DH225:DI225"/>
    <mergeCell ref="DM225:DO225"/>
    <mergeCell ref="DJ226:DL226"/>
    <mergeCell ref="DM226:DO226"/>
    <mergeCell ref="DG227:DI227"/>
    <mergeCell ref="BQ223:BS223"/>
    <mergeCell ref="BO224:BR224"/>
    <mergeCell ref="CL224:CM224"/>
    <mergeCell ref="CY224:DA224"/>
    <mergeCell ref="BO225:BR225"/>
    <mergeCell ref="CL225:CM225"/>
    <mergeCell ref="DA225:DB225"/>
    <mergeCell ref="CT232:CU232"/>
    <mergeCell ref="CX232:CY232"/>
    <mergeCell ref="CZ232:DB232"/>
    <mergeCell ref="DH232:DI232"/>
    <mergeCell ref="DN232:DO232"/>
    <mergeCell ref="CS230:CT230"/>
    <mergeCell ref="CW230:CY230"/>
    <mergeCell ref="DA230:DB230"/>
    <mergeCell ref="DH230:DI230"/>
    <mergeCell ref="DN230:DO230"/>
    <mergeCell ref="CV231:CW231"/>
    <mergeCell ref="DH231:DI231"/>
    <mergeCell ref="CH226:CI226"/>
    <mergeCell ref="CH227:CI227"/>
    <mergeCell ref="CH228:CI228"/>
    <mergeCell ref="CL228:CM228"/>
    <mergeCell ref="CL229:CM229"/>
    <mergeCell ref="CI230:CK230"/>
    <mergeCell ref="CO230:CQ230"/>
    <mergeCell ref="CK231:CL231"/>
    <mergeCell ref="CL232:CM232"/>
    <mergeCell ref="CO233:CQ233"/>
    <mergeCell ref="CL234:CM234"/>
    <mergeCell ref="CO234:CQ234"/>
    <mergeCell ref="DA234:DB234"/>
    <mergeCell ref="DG234:DI234"/>
    <mergeCell ref="CV235:CW235"/>
    <mergeCell ref="CV236:CW236"/>
    <mergeCell ref="DA236:DB236"/>
    <mergeCell ref="CI233:CK233"/>
    <mergeCell ref="CH235:CI235"/>
    <mergeCell ref="CO235:CQ235"/>
    <mergeCell ref="CR235:CS235"/>
    <mergeCell ref="CX235:CY235"/>
    <mergeCell ref="CI236:CK236"/>
    <mergeCell ref="CO236:CQ236"/>
    <mergeCell ref="DH237:DI237"/>
    <mergeCell ref="DG238:DI238"/>
    <mergeCell ref="DH239:DI239"/>
    <mergeCell ref="DN240:DO240"/>
    <mergeCell ref="CH237:CI237"/>
    <mergeCell ref="CL237:CM237"/>
    <mergeCell ref="CP237:CS237"/>
    <mergeCell ref="DM237:DN237"/>
    <mergeCell ref="CH238:CI238"/>
    <mergeCell ref="CK238:CL238"/>
    <mergeCell ref="DA238:DB238"/>
    <mergeCell ref="DJ241:DK241"/>
    <mergeCell ref="DM241:DN241"/>
    <mergeCell ref="BL250:BM250"/>
    <mergeCell ref="BG251:BH251"/>
    <mergeCell ref="BN251:BP251"/>
    <mergeCell ref="AU252:AV252"/>
    <mergeCell ref="BB252:BD252"/>
    <mergeCell ref="BG252:BH252"/>
    <mergeCell ref="BT252:BV252"/>
    <mergeCell ref="AS252:AT252"/>
    <mergeCell ref="AS253:AT253"/>
    <mergeCell ref="AU253:AW253"/>
    <mergeCell ref="BG253:BH253"/>
    <mergeCell ref="BY253:CA253"/>
    <mergeCell ref="CH253:CI253"/>
    <mergeCell ref="CK253:CL253"/>
    <mergeCell ref="DA264:DB264"/>
    <mergeCell ref="DJ264:DL264"/>
    <mergeCell ref="DN264:DO264"/>
    <mergeCell ref="CX264:CY264"/>
    <mergeCell ref="CZ265:DB265"/>
    <mergeCell ref="DH265:DI265"/>
    <mergeCell ref="DN265:DO265"/>
    <mergeCell ref="CL266:CM266"/>
    <mergeCell ref="CP266:CQ266"/>
    <mergeCell ref="CR266:CS266"/>
    <mergeCell ref="CB262:CC262"/>
    <mergeCell ref="CC263:CD263"/>
    <mergeCell ref="CB264:CC264"/>
    <mergeCell ref="CH264:CI264"/>
    <mergeCell ref="CJ264:CL264"/>
    <mergeCell ref="CJ265:CK265"/>
    <mergeCell ref="CL265:CM265"/>
    <mergeCell ref="CO262:CQ262"/>
    <mergeCell ref="CR262:CS262"/>
    <mergeCell ref="CR263:CS263"/>
    <mergeCell ref="CV263:CW263"/>
    <mergeCell ref="CP264:CQ264"/>
    <mergeCell ref="CT264:CU264"/>
    <mergeCell ref="CR265:CS265"/>
    <mergeCell ref="DH266:DI266"/>
    <mergeCell ref="DH267:DI267"/>
    <mergeCell ref="DM267:DN267"/>
    <mergeCell ref="CT266:CU266"/>
    <mergeCell ref="CW266:CY266"/>
    <mergeCell ref="CZ266:DB266"/>
    <mergeCell ref="CE267:CF267"/>
    <mergeCell ref="CK267:CL267"/>
    <mergeCell ref="CO267:CQ267"/>
    <mergeCell ref="CZ267:DB267"/>
    <mergeCell ref="CT269:CU269"/>
    <mergeCell ref="CW269:CY269"/>
    <mergeCell ref="BT268:BV268"/>
    <mergeCell ref="CB268:CC268"/>
    <mergeCell ref="CJ268:CK268"/>
    <mergeCell ref="CV268:CW268"/>
    <mergeCell ref="CX268:CZ268"/>
    <mergeCell ref="CB269:CC269"/>
    <mergeCell ref="CL269:CM269"/>
    <mergeCell ref="CX260:CZ260"/>
    <mergeCell ref="DA261:DC261"/>
    <mergeCell ref="CZ269:DB269"/>
    <mergeCell ref="CO270:CQ270"/>
    <mergeCell ref="CW270:CY270"/>
    <mergeCell ref="DG270:DH270"/>
    <mergeCell ref="CL260:CM260"/>
    <mergeCell ref="CP260:CS260"/>
    <mergeCell ref="CT260:CU260"/>
    <mergeCell ref="DH260:DI260"/>
    <mergeCell ref="CH261:CI261"/>
    <mergeCell ref="CL261:CM261"/>
    <mergeCell ref="CO261:CQ261"/>
    <mergeCell ref="AS262:AU262"/>
    <mergeCell ref="AX262:AY262"/>
    <mergeCell ref="BL262:BM262"/>
    <mergeCell ref="BU262:BV262"/>
    <mergeCell ref="CJ262:CK262"/>
    <mergeCell ref="AS263:AU263"/>
    <mergeCell ref="BS263:BT263"/>
    <mergeCell ref="CJ263:CK263"/>
    <mergeCell ref="BG264:BH264"/>
    <mergeCell ref="BG265:BH265"/>
    <mergeCell ref="BI266:BJ266"/>
    <mergeCell ref="BG267:BH267"/>
    <mergeCell ref="BG268:BH268"/>
    <mergeCell ref="BI268:BJ268"/>
    <mergeCell ref="BG269:BH269"/>
    <mergeCell ref="BG270:BH270"/>
    <mergeCell ref="BB262:BD262"/>
    <mergeCell ref="BB263:BD263"/>
    <mergeCell ref="AS264:AU264"/>
    <mergeCell ref="AY264:BA264"/>
    <mergeCell ref="BO264:BR264"/>
    <mergeCell ref="AY265:BA265"/>
    <mergeCell ref="BI265:BJ265"/>
    <mergeCell ref="CT271:CU271"/>
    <mergeCell ref="CY271:CZ271"/>
    <mergeCell ref="DA271:DD271"/>
    <mergeCell ref="DG271:DH271"/>
    <mergeCell ref="DM271:DN271"/>
    <mergeCell ref="CO272:CQ272"/>
    <mergeCell ref="CR272:CS272"/>
    <mergeCell ref="BB268:BD268"/>
    <mergeCell ref="AZ269:BE269"/>
    <mergeCell ref="BB271:BD271"/>
    <mergeCell ref="BS271:BT271"/>
    <mergeCell ref="CL271:CM271"/>
    <mergeCell ref="CO271:CQ271"/>
    <mergeCell ref="BS272:BT272"/>
    <mergeCell ref="CB271:CC271"/>
    <mergeCell ref="CC272:CD272"/>
    <mergeCell ref="CB273:CC273"/>
    <mergeCell ref="CP273:CS273"/>
    <mergeCell ref="CY273:DA273"/>
    <mergeCell ref="DH273:DI273"/>
    <mergeCell ref="DM273:DN273"/>
    <mergeCell ref="DH274:DI274"/>
    <mergeCell ref="DM274:DO274"/>
    <mergeCell ref="BS273:BT273"/>
    <mergeCell ref="BU274:BV274"/>
    <mergeCell ref="BX274:BY274"/>
    <mergeCell ref="CC274:CD274"/>
    <mergeCell ref="CL274:CM274"/>
    <mergeCell ref="CT274:CU274"/>
    <mergeCell ref="DA274:DC274"/>
    <mergeCell ref="CW275:CY275"/>
    <mergeCell ref="CW276:CY276"/>
    <mergeCell ref="CL275:CM275"/>
    <mergeCell ref="CP275:CQ275"/>
    <mergeCell ref="CR275:CS275"/>
    <mergeCell ref="CT275:CU275"/>
    <mergeCell ref="CC276:CD276"/>
    <mergeCell ref="CO276:CQ276"/>
    <mergeCell ref="CR276:CS276"/>
    <mergeCell ref="CJ278:CK278"/>
    <mergeCell ref="CL278:CM278"/>
    <mergeCell ref="DM278:DO278"/>
    <mergeCell ref="CZ277:DB277"/>
    <mergeCell ref="CZ278:DB278"/>
    <mergeCell ref="DA280:DD280"/>
    <mergeCell ref="DH280:DI280"/>
    <mergeCell ref="DJ280:DL280"/>
    <mergeCell ref="DN280:DO280"/>
    <mergeCell ref="CI277:CK277"/>
    <mergeCell ref="CO277:CQ277"/>
    <mergeCell ref="DG277:DI277"/>
    <mergeCell ref="CE278:CF278"/>
    <mergeCell ref="CH278:CI278"/>
    <mergeCell ref="CO278:CQ278"/>
    <mergeCell ref="DG278:DH278"/>
    <mergeCell ref="CC277:CD277"/>
    <mergeCell ref="CB279:CC279"/>
    <mergeCell ref="CJ279:CK279"/>
    <mergeCell ref="CO279:CQ279"/>
    <mergeCell ref="CR279:CS279"/>
    <mergeCell ref="CV279:CW279"/>
    <mergeCell ref="CX279:CY279"/>
    <mergeCell ref="DG281:DH281"/>
    <mergeCell ref="DM281:DN281"/>
    <mergeCell ref="DM282:DN282"/>
    <mergeCell ref="BW280:BY280"/>
    <mergeCell ref="BT283:BV283"/>
    <mergeCell ref="CB283:CC283"/>
    <mergeCell ref="BN285:BP285"/>
    <mergeCell ref="BO280:BR280"/>
    <mergeCell ref="CJ280:CL280"/>
    <mergeCell ref="CJ281:CL281"/>
    <mergeCell ref="CO281:CQ281"/>
    <mergeCell ref="CZ281:DB281"/>
    <mergeCell ref="CL282:CM282"/>
    <mergeCell ref="DA282:DB282"/>
    <mergeCell ref="CT281:CU281"/>
    <mergeCell ref="CS282:CT282"/>
    <mergeCell ref="CJ283:CK283"/>
    <mergeCell ref="CO283:CQ283"/>
    <mergeCell ref="CR283:CS283"/>
    <mergeCell ref="CV283:CW283"/>
    <mergeCell ref="CZ283:DA283"/>
    <mergeCell ref="CS286:CT286"/>
    <mergeCell ref="CR288:CS288"/>
    <mergeCell ref="CR292:CS292"/>
    <mergeCell ref="CV292:CW292"/>
    <mergeCell ref="CT295:CW295"/>
    <mergeCell ref="CO285:CP285"/>
    <mergeCell ref="CO287:CQ287"/>
    <mergeCell ref="CO289:CQ289"/>
    <mergeCell ref="CO290:CQ290"/>
    <mergeCell ref="CP292:CQ292"/>
    <mergeCell ref="CP293:CS293"/>
    <mergeCell ref="CO294:CQ294"/>
    <mergeCell ref="BU338:BV338"/>
    <mergeCell ref="BS339:BT339"/>
    <mergeCell ref="CA339:CC339"/>
    <mergeCell ref="CI339:CK339"/>
    <mergeCell ref="CR339:CS339"/>
    <mergeCell ref="CI340:CK340"/>
    <mergeCell ref="CR340:CS340"/>
    <mergeCell ref="CX341:CY341"/>
    <mergeCell ref="CX342:CY342"/>
    <mergeCell ref="DA343:DB343"/>
    <mergeCell ref="CX344:CY344"/>
    <mergeCell ref="DA344:DB344"/>
    <mergeCell ref="DA345:DB345"/>
    <mergeCell ref="CP339:CQ339"/>
    <mergeCell ref="CP340:CQ340"/>
    <mergeCell ref="CL341:CM341"/>
    <mergeCell ref="CS341:CT341"/>
    <mergeCell ref="DA341:DB341"/>
    <mergeCell ref="CO342:CQ342"/>
    <mergeCell ref="CR342:CS342"/>
    <mergeCell ref="CJ342:CK342"/>
    <mergeCell ref="CJ343:CK343"/>
    <mergeCell ref="CL343:CM343"/>
    <mergeCell ref="CP343:CQ343"/>
    <mergeCell ref="CS343:CT343"/>
    <mergeCell ref="BQ340:BS340"/>
    <mergeCell ref="BW341:BY341"/>
    <mergeCell ref="CB341:CC341"/>
    <mergeCell ref="CH342:CI342"/>
    <mergeCell ref="BU343:BV343"/>
    <mergeCell ref="BW343:BY343"/>
    <mergeCell ref="CE343:CF343"/>
    <mergeCell ref="CS347:CT347"/>
    <mergeCell ref="CX347:CY347"/>
    <mergeCell ref="CZ347:DB347"/>
    <mergeCell ref="CS348:CT348"/>
    <mergeCell ref="CW348:CY348"/>
    <mergeCell ref="CS352:CT352"/>
    <mergeCell ref="DA352:DB352"/>
    <mergeCell ref="CX354:CY354"/>
    <mergeCell ref="CX355:CZ355"/>
    <mergeCell ref="CZ357:DB357"/>
    <mergeCell ref="CY359:CZ359"/>
    <mergeCell ref="DA359:DB359"/>
    <mergeCell ref="BQ356:BS356"/>
    <mergeCell ref="BU356:BV356"/>
    <mergeCell ref="BW356:BY356"/>
    <mergeCell ref="CL356:CM356"/>
    <mergeCell ref="CP356:CQ356"/>
    <mergeCell ref="CR356:CS356"/>
    <mergeCell ref="CV356:CW356"/>
    <mergeCell ref="DA356:DB356"/>
    <mergeCell ref="BS352:BT352"/>
    <mergeCell ref="BU352:BV352"/>
    <mergeCell ref="BX352:BY352"/>
    <mergeCell ref="CH352:CI352"/>
    <mergeCell ref="CJ352:CK352"/>
    <mergeCell ref="BZ353:CB353"/>
    <mergeCell ref="BS354:BT354"/>
    <mergeCell ref="CP357:CS357"/>
    <mergeCell ref="CP358:CS358"/>
    <mergeCell ref="CR359:CS359"/>
    <mergeCell ref="CP352:CQ352"/>
    <mergeCell ref="CQ353:CS353"/>
    <mergeCell ref="CW353:CY353"/>
    <mergeCell ref="CS354:CT354"/>
    <mergeCell ref="CO355:CP355"/>
    <mergeCell ref="CR355:CS355"/>
    <mergeCell ref="CT355:CU355"/>
    <mergeCell ref="CK358:CL358"/>
    <mergeCell ref="CJ359:CK359"/>
    <mergeCell ref="CL359:CM359"/>
    <mergeCell ref="CC352:CD352"/>
    <mergeCell ref="CC354:CD354"/>
    <mergeCell ref="CF355:CH355"/>
    <mergeCell ref="CE356:CF356"/>
    <mergeCell ref="CH356:CI356"/>
    <mergeCell ref="CL357:CM357"/>
    <mergeCell ref="BS358:BT358"/>
    <mergeCell ref="DA285:DB285"/>
    <mergeCell ref="DA286:DB286"/>
    <mergeCell ref="CZ289:DB289"/>
    <mergeCell ref="DA290:DB290"/>
    <mergeCell ref="CX291:CZ291"/>
    <mergeCell ref="CX293:CZ293"/>
    <mergeCell ref="DA294:DB294"/>
    <mergeCell ref="DA303:DB303"/>
    <mergeCell ref="CW304:CY304"/>
    <mergeCell ref="DM304:DN304"/>
    <mergeCell ref="DN305:DO305"/>
    <mergeCell ref="CY298:DA298"/>
    <mergeCell ref="DA299:DD299"/>
    <mergeCell ref="DA300:DB300"/>
    <mergeCell ref="DA301:DB301"/>
    <mergeCell ref="DH302:DI302"/>
    <mergeCell ref="DG303:DH303"/>
    <mergeCell ref="DH304:DI304"/>
    <mergeCell ref="DH305:DI305"/>
    <mergeCell ref="CY306:DA306"/>
    <mergeCell ref="DG306:DH306"/>
    <mergeCell ref="DN306:DO306"/>
    <mergeCell ref="DH307:DI307"/>
    <mergeCell ref="DJ307:DK307"/>
    <mergeCell ref="DM308:DN308"/>
    <mergeCell ref="DA302:DB302"/>
    <mergeCell ref="DA305:DB305"/>
    <mergeCell ref="DA307:DB307"/>
    <mergeCell ref="DA308:DB308"/>
    <mergeCell ref="DA309:DB309"/>
    <mergeCell ref="CZ310:DB310"/>
    <mergeCell ref="DA312:DB312"/>
    <mergeCell ref="CZ327:DA327"/>
    <mergeCell ref="CZ328:DA328"/>
    <mergeCell ref="CX329:CZ329"/>
    <mergeCell ref="CZ330:DA330"/>
    <mergeCell ref="DH335:DI335"/>
    <mergeCell ref="DJ335:DL335"/>
    <mergeCell ref="DM335:DN335"/>
    <mergeCell ref="DK372:DL372"/>
    <mergeCell ref="DM372:DO372"/>
    <mergeCell ref="DK373:DL373"/>
    <mergeCell ref="DN373:DO373"/>
    <mergeCell ref="DG369:DH369"/>
    <mergeCell ref="DG370:DH370"/>
    <mergeCell ref="DJ370:DK370"/>
    <mergeCell ref="DM370:DN370"/>
    <mergeCell ref="DJ371:DK371"/>
    <mergeCell ref="DM371:DN371"/>
    <mergeCell ref="DH372:DI372"/>
    <mergeCell ref="DA377:DD377"/>
    <mergeCell ref="DA378:DD378"/>
    <mergeCell ref="DA379:DD379"/>
    <mergeCell ref="CZ380:DC380"/>
    <mergeCell ref="DG375:DI375"/>
    <mergeCell ref="DJ375:DK375"/>
    <mergeCell ref="DM375:DN375"/>
    <mergeCell ref="DG376:DI376"/>
    <mergeCell ref="DJ376:DK376"/>
    <mergeCell ref="DM376:DN376"/>
    <mergeCell ref="DG377:DH377"/>
    <mergeCell ref="DG384:DH384"/>
    <mergeCell ref="DG386:DI386"/>
    <mergeCell ref="DG387:DH387"/>
    <mergeCell ref="DG392:DH392"/>
    <mergeCell ref="DG378:DI378"/>
    <mergeCell ref="DG379:DI379"/>
    <mergeCell ref="DG380:DI380"/>
    <mergeCell ref="DG382:DI382"/>
    <mergeCell ref="DJ384:DK384"/>
    <mergeCell ref="DM384:DN384"/>
    <mergeCell ref="DK385:DL385"/>
    <mergeCell ref="DJ392:DK392"/>
    <mergeCell ref="DM392:DN392"/>
    <mergeCell ref="DK393:DL393"/>
    <mergeCell ref="DJ386:DL386"/>
    <mergeCell ref="DM386:DN386"/>
    <mergeCell ref="DJ387:DK387"/>
    <mergeCell ref="DK388:DL388"/>
    <mergeCell ref="DJ389:DL389"/>
    <mergeCell ref="DJ390:DL390"/>
    <mergeCell ref="DN390:DO390"/>
    <mergeCell ref="DM317:DN317"/>
    <mergeCell ref="DM318:DN318"/>
    <mergeCell ref="DM320:DN320"/>
    <mergeCell ref="DM322:DN322"/>
    <mergeCell ref="DM325:DO325"/>
    <mergeCell ref="DH327:DI327"/>
    <mergeCell ref="DJ327:DK327"/>
    <mergeCell ref="DM327:DN327"/>
    <mergeCell ref="DM329:DN329"/>
    <mergeCell ref="DJ330:DK330"/>
    <mergeCell ref="DM330:DN330"/>
    <mergeCell ref="DH334:DI334"/>
    <mergeCell ref="DJ334:DL334"/>
    <mergeCell ref="DN334:DO334"/>
    <mergeCell ref="DM337:DN337"/>
    <mergeCell ref="DJ338:DL338"/>
    <mergeCell ref="DN338:DO338"/>
    <mergeCell ref="DJ341:DL341"/>
    <mergeCell ref="DN341:DO341"/>
    <mergeCell ref="DK343:DL343"/>
    <mergeCell ref="DN343:DO343"/>
    <mergeCell ref="DK352:DL352"/>
    <mergeCell ref="DN352:DO352"/>
    <mergeCell ref="DN353:DO353"/>
    <mergeCell ref="DH345:DI345"/>
    <mergeCell ref="DM345:DN345"/>
    <mergeCell ref="DH347:DI347"/>
    <mergeCell ref="DM347:DN347"/>
    <mergeCell ref="DH351:DI351"/>
    <mergeCell ref="DM351:DN351"/>
    <mergeCell ref="DH352:DI352"/>
    <mergeCell ref="DH355:DI355"/>
    <mergeCell ref="DM355:DN355"/>
    <mergeCell ref="DK356:DL356"/>
    <mergeCell ref="DM356:DN356"/>
    <mergeCell ref="DN357:DO357"/>
    <mergeCell ref="DG359:DI359"/>
    <mergeCell ref="DJ359:DL359"/>
    <mergeCell ref="DG364:DI364"/>
    <mergeCell ref="DA365:DD365"/>
    <mergeCell ref="DG365:DI365"/>
    <mergeCell ref="DG367:DH367"/>
    <mergeCell ref="DM367:DO367"/>
    <mergeCell ref="DJ369:DK369"/>
    <mergeCell ref="DM369:DN369"/>
    <mergeCell ref="BD393:BG393"/>
    <mergeCell ref="BG394:BH394"/>
    <mergeCell ref="BE395:BF395"/>
    <mergeCell ref="BG395:BH395"/>
    <mergeCell ref="BI395:BJ395"/>
    <mergeCell ref="BE396:BH396"/>
    <mergeCell ref="BI397:BJ397"/>
    <mergeCell ref="BD398:BF398"/>
    <mergeCell ref="BG398:BH398"/>
    <mergeCell ref="BI398:BJ398"/>
    <mergeCell ref="BG399:BH399"/>
    <mergeCell ref="BI399:BJ399"/>
    <mergeCell ref="BM399:BO399"/>
    <mergeCell ref="BI400:BJ400"/>
    <mergeCell ref="BE399:BF399"/>
    <mergeCell ref="BE401:BF401"/>
    <mergeCell ref="BG401:BH401"/>
    <mergeCell ref="BI401:BJ401"/>
    <mergeCell ref="BI402:BJ402"/>
    <mergeCell ref="BN402:BP402"/>
    <mergeCell ref="BE403:BH403"/>
    <mergeCell ref="BG404:BH404"/>
    <mergeCell ref="BD405:BF405"/>
    <mergeCell ref="BG405:BH405"/>
    <mergeCell ref="BI405:BJ405"/>
    <mergeCell ref="BL405:BM405"/>
    <mergeCell ref="BG406:BH406"/>
    <mergeCell ref="BI406:BJ406"/>
    <mergeCell ref="BH412:BI412"/>
    <mergeCell ref="BE413:BH413"/>
    <mergeCell ref="BI415:BJ415"/>
    <mergeCell ref="BE406:BF406"/>
    <mergeCell ref="BE407:BF407"/>
    <mergeCell ref="BG407:BH407"/>
    <mergeCell ref="BH409:BI409"/>
    <mergeCell ref="BG410:BH410"/>
    <mergeCell ref="BI410:BJ410"/>
    <mergeCell ref="BG411:BH411"/>
    <mergeCell ref="AS370:AU370"/>
    <mergeCell ref="AS372:AT372"/>
    <mergeCell ref="AS373:AU373"/>
    <mergeCell ref="AS375:AU375"/>
    <mergeCell ref="AS376:AU376"/>
    <mergeCell ref="BE376:BF376"/>
    <mergeCell ref="BH376:BI376"/>
    <mergeCell ref="AY376:BA376"/>
    <mergeCell ref="BA377:BB377"/>
    <mergeCell ref="BE377:BH377"/>
    <mergeCell ref="BA378:BB378"/>
    <mergeCell ref="BB379:BD379"/>
    <mergeCell ref="BE380:BH380"/>
    <mergeCell ref="AT382:AV382"/>
    <mergeCell ref="BM383:BN383"/>
    <mergeCell ref="BM384:BN384"/>
    <mergeCell ref="AY382:BA382"/>
    <mergeCell ref="BG382:BH382"/>
    <mergeCell ref="AS383:AU383"/>
    <mergeCell ref="AX383:AY383"/>
    <mergeCell ref="BH383:BI383"/>
    <mergeCell ref="AV384:AX384"/>
    <mergeCell ref="BE384:BH384"/>
    <mergeCell ref="AV385:AX385"/>
    <mergeCell ref="AZ385:BC385"/>
    <mergeCell ref="BE385:BH385"/>
    <mergeCell ref="BI385:BJ385"/>
    <mergeCell ref="BL385:BM385"/>
    <mergeCell ref="BE386:BF386"/>
    <mergeCell ref="BG386:BH386"/>
    <mergeCell ref="BE387:BF387"/>
    <mergeCell ref="BG387:BH387"/>
    <mergeCell ref="BB388:BC388"/>
    <mergeCell ref="BE388:BH388"/>
    <mergeCell ref="BE389:BH389"/>
    <mergeCell ref="BI389:BJ389"/>
    <mergeCell ref="BL389:BM389"/>
    <mergeCell ref="BE390:BH390"/>
    <mergeCell ref="BI390:BJ390"/>
    <mergeCell ref="BM390:BN390"/>
    <mergeCell ref="BO390:BP390"/>
    <mergeCell ref="BH391:BI391"/>
    <mergeCell ref="BL391:BM391"/>
    <mergeCell ref="BE392:BH392"/>
    <mergeCell ref="BB414:BD414"/>
    <mergeCell ref="BB416:BD416"/>
    <mergeCell ref="AV412:AX412"/>
    <mergeCell ref="BA412:BB412"/>
    <mergeCell ref="AV413:AX413"/>
    <mergeCell ref="AY413:BA413"/>
    <mergeCell ref="AV414:AX414"/>
    <mergeCell ref="AS415:AT415"/>
    <mergeCell ref="AV415:AX415"/>
    <mergeCell ref="AS417:AU417"/>
    <mergeCell ref="BA417:BB417"/>
    <mergeCell ref="BG417:BH417"/>
    <mergeCell ref="AV418:AW418"/>
    <mergeCell ref="AY418:BA418"/>
    <mergeCell ref="BI418:BJ418"/>
    <mergeCell ref="BL418:BM418"/>
    <mergeCell ref="BI420:BJ420"/>
    <mergeCell ref="BI421:BJ421"/>
    <mergeCell ref="BG425:BH425"/>
    <mergeCell ref="BI425:BJ425"/>
    <mergeCell ref="BH426:BI426"/>
    <mergeCell ref="AS419:AU419"/>
    <mergeCell ref="AX419:AZ419"/>
    <mergeCell ref="BI419:BJ419"/>
    <mergeCell ref="AV420:AW420"/>
    <mergeCell ref="AY420:BA420"/>
    <mergeCell ref="AS421:AT421"/>
    <mergeCell ref="AY421:BA421"/>
    <mergeCell ref="AS423:AT423"/>
    <mergeCell ref="AT425:AV425"/>
    <mergeCell ref="AW425:AY425"/>
    <mergeCell ref="AS426:AU426"/>
    <mergeCell ref="BA426:BB426"/>
    <mergeCell ref="AT422:AU422"/>
    <mergeCell ref="AV422:AX422"/>
    <mergeCell ref="BB422:BC422"/>
    <mergeCell ref="BE422:BF422"/>
    <mergeCell ref="BL422:BM422"/>
    <mergeCell ref="AY423:BA423"/>
    <mergeCell ref="BI423:BJ423"/>
    <mergeCell ref="AS386:AU386"/>
    <mergeCell ref="AS387:AU387"/>
    <mergeCell ref="AS388:AU388"/>
    <mergeCell ref="AW388:AY388"/>
    <mergeCell ref="AV389:AW389"/>
    <mergeCell ref="AX389:AZ389"/>
    <mergeCell ref="AS390:AU390"/>
    <mergeCell ref="AW390:AY390"/>
    <mergeCell ref="AX391:AZ391"/>
    <mergeCell ref="AV392:AX392"/>
    <mergeCell ref="AS394:AU394"/>
    <mergeCell ref="AV394:AX394"/>
    <mergeCell ref="BA394:BB394"/>
    <mergeCell ref="AV395:AX395"/>
    <mergeCell ref="AS395:AU395"/>
    <mergeCell ref="AS397:AU397"/>
    <mergeCell ref="AW397:AX397"/>
    <mergeCell ref="AY397:BA397"/>
    <mergeCell ref="AT398:AV398"/>
    <mergeCell ref="AT399:AV399"/>
    <mergeCell ref="AW400:AY400"/>
    <mergeCell ref="AS400:AU400"/>
    <mergeCell ref="AS401:AU401"/>
    <mergeCell ref="AV401:AX401"/>
    <mergeCell ref="AW402:AY402"/>
    <mergeCell ref="AS403:AU403"/>
    <mergeCell ref="AX403:AZ403"/>
    <mergeCell ref="BB403:BC403"/>
    <mergeCell ref="AS404:AU404"/>
    <mergeCell ref="AV404:AW404"/>
    <mergeCell ref="AX404:AZ404"/>
    <mergeCell ref="BA404:BB404"/>
    <mergeCell ref="AS405:AT405"/>
    <mergeCell ref="AX405:AZ405"/>
    <mergeCell ref="AS406:AU406"/>
    <mergeCell ref="AW406:AX406"/>
    <mergeCell ref="AY406:BA406"/>
    <mergeCell ref="AW407:AX407"/>
    <mergeCell ref="AY407:BA407"/>
    <mergeCell ref="BA408:BB408"/>
    <mergeCell ref="BC408:BD408"/>
    <mergeCell ref="BA409:BB409"/>
    <mergeCell ref="AV409:AX409"/>
    <mergeCell ref="AV410:AX410"/>
    <mergeCell ref="AY410:BA410"/>
    <mergeCell ref="AT411:AV411"/>
    <mergeCell ref="AW411:AX411"/>
    <mergeCell ref="AY411:AZ411"/>
    <mergeCell ref="BB411:BD411"/>
    <mergeCell ref="CP398:CS398"/>
    <mergeCell ref="CP399:CS399"/>
    <mergeCell ref="CR400:CS400"/>
    <mergeCell ref="CP401:CS401"/>
    <mergeCell ref="CT402:CU402"/>
    <mergeCell ref="CR403:CS403"/>
    <mergeCell ref="CT403:CU403"/>
    <mergeCell ref="CP407:CS407"/>
    <mergeCell ref="CO408:CQ408"/>
    <mergeCell ref="CT408:CU408"/>
    <mergeCell ref="DG408:DH408"/>
    <mergeCell ref="DM408:DN408"/>
    <mergeCell ref="CT406:CU406"/>
    <mergeCell ref="CT409:CU409"/>
    <mergeCell ref="CR410:CS410"/>
    <mergeCell ref="CT410:CU410"/>
    <mergeCell ref="CP411:CS411"/>
    <mergeCell ref="CS404:CT404"/>
    <mergeCell ref="CT405:CU405"/>
    <mergeCell ref="CW405:CY405"/>
    <mergeCell ref="CZ405:DB405"/>
    <mergeCell ref="CY406:DA406"/>
    <mergeCell ref="DA407:DB407"/>
    <mergeCell ref="DA408:DB408"/>
    <mergeCell ref="DM415:DN415"/>
    <mergeCell ref="DG416:DJ416"/>
    <mergeCell ref="DM416:DN416"/>
    <mergeCell ref="DK418:DL418"/>
    <mergeCell ref="DH419:DI419"/>
    <mergeCell ref="DN419:DO419"/>
    <mergeCell ref="CX409:CZ409"/>
    <mergeCell ref="CY410:CZ410"/>
    <mergeCell ref="DA410:DB410"/>
    <mergeCell ref="DM410:DN410"/>
    <mergeCell ref="CZ411:DB411"/>
    <mergeCell ref="CX412:CZ412"/>
    <mergeCell ref="DN413:DO413"/>
    <mergeCell ref="CL393:CM393"/>
    <mergeCell ref="CL394:CM394"/>
    <mergeCell ref="CL395:CM395"/>
    <mergeCell ref="CL398:CM398"/>
    <mergeCell ref="CL399:CM399"/>
    <mergeCell ref="CL401:CM401"/>
    <mergeCell ref="CJ402:CK402"/>
    <mergeCell ref="CL402:CM402"/>
    <mergeCell ref="CP394:CS394"/>
    <mergeCell ref="CY394:DA394"/>
    <mergeCell ref="CP395:CS395"/>
    <mergeCell ref="CY395:DA395"/>
    <mergeCell ref="BS393:BT393"/>
    <mergeCell ref="BW393:BY393"/>
    <mergeCell ref="CH393:CI393"/>
    <mergeCell ref="CP393:CQ393"/>
    <mergeCell ref="CR393:CS393"/>
    <mergeCell ref="BT394:BV394"/>
    <mergeCell ref="CD394:CE394"/>
    <mergeCell ref="CB400:CC400"/>
    <mergeCell ref="CH400:CI400"/>
    <mergeCell ref="CJ400:CK400"/>
    <mergeCell ref="CL400:CM400"/>
    <mergeCell ref="BW401:BY401"/>
    <mergeCell ref="CB401:CC401"/>
    <mergeCell ref="DA403:DB403"/>
    <mergeCell ref="DA404:DB404"/>
    <mergeCell ref="DH405:DI405"/>
    <mergeCell ref="DK405:DL405"/>
    <mergeCell ref="DN405:DO405"/>
    <mergeCell ref="CX402:CY402"/>
    <mergeCell ref="DA402:DB402"/>
    <mergeCell ref="DH402:DI402"/>
    <mergeCell ref="DK402:DL402"/>
    <mergeCell ref="DN402:DO402"/>
    <mergeCell ref="DH403:DI403"/>
    <mergeCell ref="DN403:DO403"/>
    <mergeCell ref="CC393:CD393"/>
    <mergeCell ref="CB394:CC394"/>
    <mergeCell ref="BW395:BY395"/>
    <mergeCell ref="CB395:CC395"/>
    <mergeCell ref="BU396:BV396"/>
    <mergeCell ref="BW396:BX396"/>
    <mergeCell ref="BO397:BR397"/>
    <mergeCell ref="BY396:CA396"/>
    <mergeCell ref="BY397:CA397"/>
    <mergeCell ref="BW398:BY398"/>
    <mergeCell ref="CC398:CD398"/>
    <mergeCell ref="BT399:BV399"/>
    <mergeCell ref="CC399:CD399"/>
    <mergeCell ref="BO400:BR400"/>
    <mergeCell ref="CA402:CB402"/>
    <mergeCell ref="CC402:CD402"/>
    <mergeCell ref="BU403:BV403"/>
    <mergeCell ref="CC403:CD403"/>
    <mergeCell ref="CE403:CF403"/>
    <mergeCell ref="CH403:CI403"/>
    <mergeCell ref="CL403:CM403"/>
    <mergeCell ref="BW403:BY403"/>
    <mergeCell ref="BW404:BY404"/>
    <mergeCell ref="CB404:CC404"/>
    <mergeCell ref="BO405:BR405"/>
    <mergeCell ref="CB405:CC405"/>
    <mergeCell ref="BW406:BY406"/>
    <mergeCell ref="CB406:CC406"/>
    <mergeCell ref="BO407:BR407"/>
    <mergeCell ref="BT407:BV407"/>
    <mergeCell ref="CA407:CC407"/>
    <mergeCell ref="BR408:BS408"/>
    <mergeCell ref="CB408:CC408"/>
    <mergeCell ref="CE408:CF408"/>
    <mergeCell ref="CH408:CI408"/>
    <mergeCell ref="CH411:CI411"/>
    <mergeCell ref="CJ411:CK411"/>
    <mergeCell ref="CL411:CM411"/>
    <mergeCell ref="CL404:CM404"/>
    <mergeCell ref="CK405:CL405"/>
    <mergeCell ref="CH406:CI406"/>
    <mergeCell ref="CJ407:CL407"/>
    <mergeCell ref="CL408:CM408"/>
    <mergeCell ref="CH409:CI409"/>
    <mergeCell ref="CL410:CM410"/>
    <mergeCell ref="BU416:BV416"/>
    <mergeCell ref="CB416:CC416"/>
    <mergeCell ref="CE416:CF416"/>
    <mergeCell ref="CO416:CQ416"/>
    <mergeCell ref="CT416:CU416"/>
    <mergeCell ref="BU417:BV417"/>
    <mergeCell ref="BY417:CA417"/>
    <mergeCell ref="CT417:CU417"/>
    <mergeCell ref="CH416:CI416"/>
    <mergeCell ref="CJ417:CL417"/>
    <mergeCell ref="CB418:CC418"/>
    <mergeCell ref="CH418:CI418"/>
    <mergeCell ref="CT418:CU418"/>
    <mergeCell ref="CE419:CF419"/>
    <mergeCell ref="CH419:CI419"/>
    <mergeCell ref="CB421:CC421"/>
    <mergeCell ref="CE421:CF421"/>
    <mergeCell ref="CL421:CM421"/>
    <mergeCell ref="CP421:CQ421"/>
    <mergeCell ref="CR421:CS421"/>
    <mergeCell ref="CT421:CU421"/>
    <mergeCell ref="DH421:DI421"/>
    <mergeCell ref="DJ421:DK421"/>
    <mergeCell ref="DM421:DN421"/>
    <mergeCell ref="DN422:DO422"/>
    <mergeCell ref="CP419:CQ419"/>
    <mergeCell ref="CS419:CT419"/>
    <mergeCell ref="BO420:BR420"/>
    <mergeCell ref="CH420:CI420"/>
    <mergeCell ref="CL420:CM420"/>
    <mergeCell ref="CT420:CU420"/>
    <mergeCell ref="BO421:BR421"/>
    <mergeCell ref="CX422:CZ422"/>
    <mergeCell ref="CX423:CY423"/>
    <mergeCell ref="DA423:DB423"/>
    <mergeCell ref="DH425:DI425"/>
    <mergeCell ref="DM425:DN425"/>
    <mergeCell ref="CX418:CY418"/>
    <mergeCell ref="DA418:DB418"/>
    <mergeCell ref="CX419:CZ419"/>
    <mergeCell ref="DA419:DB419"/>
    <mergeCell ref="CX420:CY420"/>
    <mergeCell ref="DA420:DB420"/>
    <mergeCell ref="DA421:DB421"/>
    <mergeCell ref="CH421:CI421"/>
    <mergeCell ref="CJ421:CK421"/>
    <mergeCell ref="BW422:BY422"/>
    <mergeCell ref="CC422:CD422"/>
    <mergeCell ref="CJ422:CK422"/>
    <mergeCell ref="CL422:CM422"/>
    <mergeCell ref="CP422:CS422"/>
    <mergeCell ref="CO425:CP425"/>
    <mergeCell ref="CQ425:CS425"/>
    <mergeCell ref="CP426:CS426"/>
    <mergeCell ref="BY425:CA425"/>
    <mergeCell ref="BT426:BV426"/>
    <mergeCell ref="CC426:CD426"/>
    <mergeCell ref="CI426:CJ426"/>
    <mergeCell ref="CK426:CL426"/>
    <mergeCell ref="BO422:BR422"/>
    <mergeCell ref="BO423:BR423"/>
    <mergeCell ref="CB423:CC423"/>
    <mergeCell ref="CH423:CI423"/>
    <mergeCell ref="CL423:CM423"/>
    <mergeCell ref="CT423:CU423"/>
    <mergeCell ref="CT425:CU425"/>
    <mergeCell ref="BU409:BV409"/>
    <mergeCell ref="BY409:CA409"/>
    <mergeCell ref="CB410:CC410"/>
    <mergeCell ref="CE410:CF410"/>
    <mergeCell ref="BO411:BR411"/>
    <mergeCell ref="BT411:BV411"/>
    <mergeCell ref="CB411:CC411"/>
    <mergeCell ref="BW411:BY411"/>
    <mergeCell ref="BY412:CA412"/>
    <mergeCell ref="CK412:CL412"/>
    <mergeCell ref="CO412:CQ412"/>
    <mergeCell ref="BY413:CA413"/>
    <mergeCell ref="CT413:CU413"/>
    <mergeCell ref="CB414:CC414"/>
    <mergeCell ref="CO414:CQ414"/>
    <mergeCell ref="CK413:CL413"/>
    <mergeCell ref="CK414:CL414"/>
    <mergeCell ref="CE415:CF415"/>
    <mergeCell ref="CH415:CI415"/>
    <mergeCell ref="CL415:CM415"/>
    <mergeCell ref="CP415:CR415"/>
    <mergeCell ref="CT415:CU415"/>
    <mergeCell ref="CX413:CZ413"/>
    <mergeCell ref="DA413:DB413"/>
    <mergeCell ref="CX414:CZ414"/>
    <mergeCell ref="CW415:CY415"/>
    <mergeCell ref="DA415:DB415"/>
    <mergeCell ref="DA416:DB416"/>
    <mergeCell ref="CX417:CZ417"/>
    <mergeCell ref="CL418:CM418"/>
    <mergeCell ref="CL419:CM419"/>
    <mergeCell ref="CB425:CC425"/>
    <mergeCell ref="CE425:CF425"/>
    <mergeCell ref="CJ425:CK425"/>
    <mergeCell ref="CL425:CM425"/>
    <mergeCell ref="CX425:CZ425"/>
    <mergeCell ref="DA425:DB425"/>
    <mergeCell ref="BU360:BV360"/>
    <mergeCell ref="BW360:BY360"/>
    <mergeCell ref="CJ360:CL360"/>
    <mergeCell ref="CR360:CS360"/>
    <mergeCell ref="CY360:DA360"/>
    <mergeCell ref="CR361:CS361"/>
    <mergeCell ref="CR362:CS362"/>
    <mergeCell ref="CR363:CS363"/>
    <mergeCell ref="CT364:CU364"/>
    <mergeCell ref="CV364:CW364"/>
    <mergeCell ref="BO361:BR361"/>
    <mergeCell ref="BU361:BV361"/>
    <mergeCell ref="BW361:BY361"/>
    <mergeCell ref="CI361:CK361"/>
    <mergeCell ref="CL361:CM361"/>
    <mergeCell ref="CY361:DA361"/>
    <mergeCell ref="CI362:CK362"/>
    <mergeCell ref="BY357:CA357"/>
    <mergeCell ref="BZ358:CB358"/>
    <mergeCell ref="BO359:BR359"/>
    <mergeCell ref="BS359:BT359"/>
    <mergeCell ref="BW359:BY359"/>
    <mergeCell ref="BO360:BR360"/>
    <mergeCell ref="BS360:BT360"/>
    <mergeCell ref="CP365:CQ365"/>
    <mergeCell ref="CO366:CQ366"/>
    <mergeCell ref="CT367:CU367"/>
    <mergeCell ref="CV367:CW367"/>
    <mergeCell ref="CB366:CC366"/>
    <mergeCell ref="CB367:CC367"/>
    <mergeCell ref="CY362:CZ362"/>
    <mergeCell ref="DA362:DB362"/>
    <mergeCell ref="DA363:DB363"/>
    <mergeCell ref="CX365:CZ365"/>
    <mergeCell ref="CX366:CZ366"/>
    <mergeCell ref="CY367:DA367"/>
    <mergeCell ref="CX368:CZ368"/>
    <mergeCell ref="BU362:BV362"/>
    <mergeCell ref="BZ363:CB363"/>
    <mergeCell ref="CJ363:CL363"/>
    <mergeCell ref="CO363:CQ363"/>
    <mergeCell ref="CE364:CF364"/>
    <mergeCell ref="CL364:CM364"/>
    <mergeCell ref="CO364:CQ364"/>
    <mergeCell ref="CB364:CC364"/>
    <mergeCell ref="CB365:CC365"/>
    <mergeCell ref="CI365:CK365"/>
    <mergeCell ref="CL365:CM365"/>
    <mergeCell ref="CR365:CS365"/>
    <mergeCell ref="CH366:CI366"/>
    <mergeCell ref="BO367:BR367"/>
    <mergeCell ref="CE367:CF367"/>
    <mergeCell ref="CI367:CK367"/>
    <mergeCell ref="CB368:CC368"/>
    <mergeCell ref="CH368:CI368"/>
    <mergeCell ref="CE369:CF369"/>
    <mergeCell ref="CL369:CM369"/>
    <mergeCell ref="BU370:BV370"/>
    <mergeCell ref="CI370:CK370"/>
    <mergeCell ref="CB370:CC370"/>
    <mergeCell ref="CD370:CE370"/>
    <mergeCell ref="CE371:CF371"/>
    <mergeCell ref="CK371:CL371"/>
    <mergeCell ref="BW372:BY372"/>
    <mergeCell ref="CD372:CE372"/>
    <mergeCell ref="CL372:CM372"/>
    <mergeCell ref="CT373:CU373"/>
    <mergeCell ref="CT374:CU374"/>
    <mergeCell ref="CT375:CU375"/>
    <mergeCell ref="CL367:CM367"/>
    <mergeCell ref="CP367:CS367"/>
    <mergeCell ref="CO368:CQ368"/>
    <mergeCell ref="CT369:CU369"/>
    <mergeCell ref="CT370:CU370"/>
    <mergeCell ref="CR371:CS371"/>
    <mergeCell ref="CT372:CU372"/>
    <mergeCell ref="BO372:BR372"/>
    <mergeCell ref="BO373:BQ373"/>
    <mergeCell ref="BU373:BV373"/>
    <mergeCell ref="BW373:BY373"/>
    <mergeCell ref="CB373:CC373"/>
    <mergeCell ref="CJ373:CK373"/>
    <mergeCell ref="CL373:CM373"/>
    <mergeCell ref="CT376:CU376"/>
    <mergeCell ref="CW376:CY376"/>
    <mergeCell ref="CT377:CU377"/>
    <mergeCell ref="CV379:CW379"/>
    <mergeCell ref="CS380:CT380"/>
    <mergeCell ref="CX382:CY382"/>
    <mergeCell ref="DA382:DC382"/>
    <mergeCell ref="BW375:BY375"/>
    <mergeCell ref="CC375:CD375"/>
    <mergeCell ref="CX375:CY375"/>
    <mergeCell ref="DA375:DB375"/>
    <mergeCell ref="CE376:CF376"/>
    <mergeCell ref="CH376:CI376"/>
    <mergeCell ref="DA376:DB376"/>
    <mergeCell ref="CI378:CK378"/>
    <mergeCell ref="CI379:CK379"/>
    <mergeCell ref="CJ380:CK380"/>
    <mergeCell ref="CL380:CM380"/>
    <mergeCell ref="CI382:CK382"/>
    <mergeCell ref="CP382:CS382"/>
    <mergeCell ref="CL375:CM375"/>
    <mergeCell ref="CL376:CM376"/>
    <mergeCell ref="CI377:CK377"/>
    <mergeCell ref="CL377:CM377"/>
    <mergeCell ref="CO377:CQ377"/>
    <mergeCell ref="CP378:CQ378"/>
    <mergeCell ref="CR378:CS378"/>
    <mergeCell ref="CP379:CS379"/>
    <mergeCell ref="CA379:CC379"/>
    <mergeCell ref="CB380:CC380"/>
    <mergeCell ref="BW376:BY376"/>
    <mergeCell ref="BS377:BT377"/>
    <mergeCell ref="CB377:CC377"/>
    <mergeCell ref="BS378:BT378"/>
    <mergeCell ref="BZ378:CB378"/>
    <mergeCell ref="BS379:BT379"/>
    <mergeCell ref="BS380:BT380"/>
    <mergeCell ref="CT384:CU384"/>
    <mergeCell ref="CW384:CY384"/>
    <mergeCell ref="DA384:DB384"/>
    <mergeCell ref="CJ383:CK383"/>
    <mergeCell ref="CK384:CL384"/>
    <mergeCell ref="CL385:CM385"/>
    <mergeCell ref="CO385:CP385"/>
    <mergeCell ref="CS385:CT385"/>
    <mergeCell ref="CX385:CZ385"/>
    <mergeCell ref="DA385:DB385"/>
    <mergeCell ref="BT383:BV383"/>
    <mergeCell ref="CB383:CC383"/>
    <mergeCell ref="CP383:CQ383"/>
    <mergeCell ref="CV383:CW383"/>
    <mergeCell ref="BO384:BR384"/>
    <mergeCell ref="BS384:BT384"/>
    <mergeCell ref="CB384:CC384"/>
    <mergeCell ref="CR386:CS386"/>
    <mergeCell ref="CT386:CU386"/>
    <mergeCell ref="CZ386:DB386"/>
    <mergeCell ref="CC386:CD386"/>
    <mergeCell ref="CB387:CC387"/>
    <mergeCell ref="CC388:CD388"/>
    <mergeCell ref="CL387:CM387"/>
    <mergeCell ref="CR387:CS387"/>
    <mergeCell ref="CX387:CY387"/>
    <mergeCell ref="CZ387:DB387"/>
    <mergeCell ref="BO385:BR385"/>
    <mergeCell ref="BW385:BY385"/>
    <mergeCell ref="CB385:CC385"/>
    <mergeCell ref="BU386:BV386"/>
    <mergeCell ref="CL386:CM386"/>
    <mergeCell ref="CO386:CQ386"/>
    <mergeCell ref="BT387:BV387"/>
    <mergeCell ref="CS388:CT388"/>
    <mergeCell ref="CX388:CY388"/>
    <mergeCell ref="DA388:DB388"/>
    <mergeCell ref="CL389:CM389"/>
    <mergeCell ref="CT389:CU389"/>
    <mergeCell ref="CX389:CY389"/>
    <mergeCell ref="DA389:DB389"/>
    <mergeCell ref="BP388:BR388"/>
    <mergeCell ref="BS388:BT388"/>
    <mergeCell ref="BU388:BV388"/>
    <mergeCell ref="CJ388:CK388"/>
    <mergeCell ref="CL388:CM388"/>
    <mergeCell ref="CO388:CP388"/>
    <mergeCell ref="BO389:BR389"/>
    <mergeCell ref="CD391:CE391"/>
    <mergeCell ref="CH391:CI391"/>
    <mergeCell ref="CL391:CM391"/>
    <mergeCell ref="CR391:CS391"/>
    <mergeCell ref="CT391:CU391"/>
    <mergeCell ref="CX391:CZ391"/>
    <mergeCell ref="DA391:DB391"/>
    <mergeCell ref="CB389:CC389"/>
    <mergeCell ref="CE389:CF389"/>
    <mergeCell ref="CJ390:CK390"/>
    <mergeCell ref="CL390:CM390"/>
    <mergeCell ref="CT390:CU390"/>
    <mergeCell ref="CY390:CZ390"/>
    <mergeCell ref="DA390:DB390"/>
    <mergeCell ref="BO392:BR392"/>
    <mergeCell ref="CB392:CC392"/>
    <mergeCell ref="CK392:CL392"/>
    <mergeCell ref="CP392:CQ392"/>
    <mergeCell ref="CT392:CU392"/>
    <mergeCell ref="CX392:CY392"/>
    <mergeCell ref="DA392:DB392"/>
    <mergeCell ref="BW388:BY388"/>
    <mergeCell ref="BX389:BZ389"/>
    <mergeCell ref="BQ390:BR390"/>
    <mergeCell ref="BS390:BT390"/>
    <mergeCell ref="BU390:BV390"/>
    <mergeCell ref="BW390:BX390"/>
    <mergeCell ref="BY390:CA390"/>
    <mergeCell ref="CT393:CU393"/>
    <mergeCell ref="CX393:CY393"/>
    <mergeCell ref="DA393:DB393"/>
    <mergeCell ref="CD396:CE396"/>
    <mergeCell ref="CH396:CI396"/>
    <mergeCell ref="CJ396:CK396"/>
    <mergeCell ref="CL396:CM396"/>
    <mergeCell ref="CO396:CQ396"/>
    <mergeCell ref="CR396:CS396"/>
    <mergeCell ref="CT396:CU396"/>
    <mergeCell ref="CB397:CC397"/>
    <mergeCell ref="CD397:CE397"/>
    <mergeCell ref="CH397:CI397"/>
    <mergeCell ref="CJ397:CK397"/>
    <mergeCell ref="CL397:CM397"/>
    <mergeCell ref="CP397:CQ397"/>
    <mergeCell ref="CR397:CS397"/>
    <mergeCell ref="DA400:DB400"/>
    <mergeCell ref="DA401:DB401"/>
    <mergeCell ref="CX396:CY396"/>
    <mergeCell ref="DA396:DB396"/>
    <mergeCell ref="CX397:CY397"/>
    <mergeCell ref="DA397:DB397"/>
    <mergeCell ref="CY398:DA398"/>
    <mergeCell ref="CY399:DA399"/>
    <mergeCell ref="CX400:CY400"/>
    <mergeCell ref="DG3:DH3"/>
    <mergeCell ref="DJ3:DK3"/>
    <mergeCell ref="DM3:DN3"/>
    <mergeCell ref="BD3:BG3"/>
    <mergeCell ref="BO3:BR3"/>
    <mergeCell ref="BS3:BT3"/>
    <mergeCell ref="BW3:BY3"/>
    <mergeCell ref="CJ3:CL3"/>
    <mergeCell ref="CT3:CU3"/>
    <mergeCell ref="CY3:DA3"/>
    <mergeCell ref="CX4:CZ4"/>
    <mergeCell ref="DA4:DB4"/>
    <mergeCell ref="DH4:DI4"/>
    <mergeCell ref="DM4:DO4"/>
    <mergeCell ref="AT4:AV4"/>
    <mergeCell ref="AW4:AY4"/>
    <mergeCell ref="BO4:BR4"/>
    <mergeCell ref="CI4:CK4"/>
    <mergeCell ref="CL4:CM4"/>
    <mergeCell ref="CO4:CQ4"/>
    <mergeCell ref="CS4:CT4"/>
    <mergeCell ref="I1:J1"/>
    <mergeCell ref="M3:P3"/>
    <mergeCell ref="AH3:AI3"/>
    <mergeCell ref="AT3:AV3"/>
    <mergeCell ref="AX3:AZ3"/>
    <mergeCell ref="BB3:BC3"/>
    <mergeCell ref="L4:M4"/>
    <mergeCell ref="CP5:CS5"/>
    <mergeCell ref="CV5:CW5"/>
    <mergeCell ref="DA5:DD5"/>
    <mergeCell ref="DG5:DI5"/>
    <mergeCell ref="DM5:DO5"/>
    <mergeCell ref="BB5:BC5"/>
    <mergeCell ref="BE5:BH5"/>
    <mergeCell ref="BS5:BT5"/>
    <mergeCell ref="BU5:BV5"/>
    <mergeCell ref="BW5:BY5"/>
    <mergeCell ref="CJ5:CK5"/>
    <mergeCell ref="CL5:CM5"/>
    <mergeCell ref="CP6:CR6"/>
    <mergeCell ref="CS6:CT6"/>
    <mergeCell ref="CV6:CW6"/>
    <mergeCell ref="DA6:DD6"/>
    <mergeCell ref="DG6:DH6"/>
    <mergeCell ref="AC6:AD6"/>
    <mergeCell ref="AF6:AG6"/>
    <mergeCell ref="BB6:BD6"/>
    <mergeCell ref="BS6:BT6"/>
    <mergeCell ref="CB6:CC6"/>
    <mergeCell ref="CH6:CI6"/>
    <mergeCell ref="CL6:CM6"/>
    <mergeCell ref="U3:V3"/>
    <mergeCell ref="X4:Y4"/>
    <mergeCell ref="T5:U5"/>
    <mergeCell ref="AB5:AC5"/>
    <mergeCell ref="AH5:AI5"/>
    <mergeCell ref="T6:U6"/>
    <mergeCell ref="AH6:AI6"/>
    <mergeCell ref="DG7:DI7"/>
    <mergeCell ref="DM7:DO7"/>
    <mergeCell ref="DG8:DI8"/>
    <mergeCell ref="DM8:DO8"/>
    <mergeCell ref="AB7:AC7"/>
    <mergeCell ref="AF7:AG7"/>
    <mergeCell ref="AH7:AI7"/>
    <mergeCell ref="AS7:AU7"/>
    <mergeCell ref="AW7:AY7"/>
    <mergeCell ref="BP7:BT7"/>
    <mergeCell ref="CB7:CC7"/>
    <mergeCell ref="CV7:CW7"/>
    <mergeCell ref="CV8:CW8"/>
    <mergeCell ref="CI7:CK7"/>
    <mergeCell ref="CL7:CM7"/>
    <mergeCell ref="CP7:CR7"/>
    <mergeCell ref="CS7:CT7"/>
    <mergeCell ref="CX7:CZ7"/>
    <mergeCell ref="DA7:DB7"/>
    <mergeCell ref="CS8:CT8"/>
    <mergeCell ref="DA8:DD8"/>
    <mergeCell ref="CO10:CQ10"/>
    <mergeCell ref="CO11:CQ11"/>
    <mergeCell ref="CB10:CC10"/>
    <mergeCell ref="CE10:CF10"/>
    <mergeCell ref="CL10:CM10"/>
    <mergeCell ref="CS10:CT10"/>
    <mergeCell ref="BS11:BT11"/>
    <mergeCell ref="CE11:CF11"/>
    <mergeCell ref="CL11:CM11"/>
    <mergeCell ref="DM11:DO11"/>
    <mergeCell ref="DM12:DO12"/>
    <mergeCell ref="CS11:CT11"/>
    <mergeCell ref="CV11:CW11"/>
    <mergeCell ref="DA11:DD11"/>
    <mergeCell ref="DG11:DI11"/>
    <mergeCell ref="CP12:CS12"/>
    <mergeCell ref="DA12:DD12"/>
    <mergeCell ref="DG12:DI12"/>
    <mergeCell ref="CX15:CZ15"/>
    <mergeCell ref="DA15:DB15"/>
    <mergeCell ref="CY14:CZ14"/>
    <mergeCell ref="DA14:DD14"/>
    <mergeCell ref="DG14:DI14"/>
    <mergeCell ref="DM14:DO14"/>
    <mergeCell ref="CJ15:CL15"/>
    <mergeCell ref="CO15:CQ15"/>
    <mergeCell ref="CS15:CT15"/>
    <mergeCell ref="DH15:DI15"/>
    <mergeCell ref="CE12:CF12"/>
    <mergeCell ref="CE14:CF14"/>
    <mergeCell ref="CH10:CI10"/>
    <mergeCell ref="CH11:CI11"/>
    <mergeCell ref="CH12:CI12"/>
    <mergeCell ref="CL13:CM13"/>
    <mergeCell ref="CH14:CI14"/>
    <mergeCell ref="CP14:CQ14"/>
    <mergeCell ref="CS14:CT14"/>
    <mergeCell ref="CP17:CQ17"/>
    <mergeCell ref="CS17:CT17"/>
    <mergeCell ref="CV17:CW17"/>
    <mergeCell ref="CX17:CZ17"/>
    <mergeCell ref="DA17:DB17"/>
    <mergeCell ref="DH17:DI17"/>
    <mergeCell ref="DM17:DO17"/>
    <mergeCell ref="DG18:DI18"/>
    <mergeCell ref="DN18:DO18"/>
    <mergeCell ref="CK17:CL17"/>
    <mergeCell ref="CJ18:CK18"/>
    <mergeCell ref="CL18:CM18"/>
    <mergeCell ref="CO18:CP18"/>
    <mergeCell ref="CT18:CU18"/>
    <mergeCell ref="CX18:CZ18"/>
    <mergeCell ref="DA18:DB18"/>
    <mergeCell ref="CX19:CZ19"/>
    <mergeCell ref="DA19:DB19"/>
    <mergeCell ref="DH19:DI19"/>
    <mergeCell ref="DJ19:DL19"/>
    <mergeCell ref="DM19:DO19"/>
    <mergeCell ref="CT20:CU20"/>
    <mergeCell ref="DA20:DB20"/>
    <mergeCell ref="DI20:DK20"/>
    <mergeCell ref="DN20:DO20"/>
    <mergeCell ref="CH22:CI22"/>
    <mergeCell ref="CH24:CI24"/>
    <mergeCell ref="CK20:CL20"/>
    <mergeCell ref="CI21:CK21"/>
    <mergeCell ref="CC22:CD22"/>
    <mergeCell ref="CL22:CM22"/>
    <mergeCell ref="CI23:CK23"/>
    <mergeCell ref="CL23:CM23"/>
    <mergeCell ref="CB24:CC24"/>
    <mergeCell ref="CP21:CR21"/>
    <mergeCell ref="CS21:CT21"/>
    <mergeCell ref="CX21:CZ21"/>
    <mergeCell ref="DH21:DI21"/>
    <mergeCell ref="DJ21:DL21"/>
    <mergeCell ref="DM21:DO21"/>
    <mergeCell ref="DH22:DI22"/>
    <mergeCell ref="DN23:DO23"/>
    <mergeCell ref="BZ19:CA19"/>
    <mergeCell ref="CB19:CC19"/>
    <mergeCell ref="CI19:CJ19"/>
    <mergeCell ref="CK19:CL19"/>
    <mergeCell ref="CS19:CT19"/>
    <mergeCell ref="CV19:CW19"/>
    <mergeCell ref="BZ21:CB21"/>
    <mergeCell ref="CV21:CW21"/>
    <mergeCell ref="CX22:CZ22"/>
    <mergeCell ref="CX23:CZ23"/>
    <mergeCell ref="CT23:CU23"/>
    <mergeCell ref="CT24:CU24"/>
    <mergeCell ref="CX24:CY24"/>
    <mergeCell ref="DA24:DB24"/>
    <mergeCell ref="CY25:DA25"/>
    <mergeCell ref="DH25:DI25"/>
    <mergeCell ref="DJ25:DL25"/>
    <mergeCell ref="DN26:DO26"/>
    <mergeCell ref="DN27:DO27"/>
    <mergeCell ref="DM28:DN28"/>
    <mergeCell ref="CP19:CR19"/>
    <mergeCell ref="CP20:CQ20"/>
    <mergeCell ref="CP22:CQ22"/>
    <mergeCell ref="CR22:CS22"/>
    <mergeCell ref="CT22:CU22"/>
    <mergeCell ref="DA22:DB22"/>
    <mergeCell ref="CP24:CQ24"/>
    <mergeCell ref="CL24:CM24"/>
    <mergeCell ref="CJ25:CL25"/>
    <mergeCell ref="CP25:CR25"/>
    <mergeCell ref="CS25:CT25"/>
    <mergeCell ref="CV25:CW25"/>
    <mergeCell ref="AH22:AI22"/>
    <mergeCell ref="AH23:AI23"/>
    <mergeCell ref="AY22:BA22"/>
    <mergeCell ref="AY23:BA23"/>
    <mergeCell ref="AS21:AU21"/>
    <mergeCell ref="AX21:AZ21"/>
    <mergeCell ref="AC22:AD22"/>
    <mergeCell ref="AS22:AU22"/>
    <mergeCell ref="AV22:AW22"/>
    <mergeCell ref="Y23:Z23"/>
    <mergeCell ref="AV23:AW23"/>
    <mergeCell ref="BI17:BJ17"/>
    <mergeCell ref="BO17:BR17"/>
    <mergeCell ref="L16:M16"/>
    <mergeCell ref="L17:M17"/>
    <mergeCell ref="Y17:Z17"/>
    <mergeCell ref="AC17:AD17"/>
    <mergeCell ref="AS17:AU17"/>
    <mergeCell ref="AX17:AZ17"/>
    <mergeCell ref="X18:Y18"/>
    <mergeCell ref="L9:M9"/>
    <mergeCell ref="L10:M10"/>
    <mergeCell ref="L11:M11"/>
    <mergeCell ref="L12:M12"/>
    <mergeCell ref="L13:M13"/>
    <mergeCell ref="L14:M14"/>
    <mergeCell ref="L15:M15"/>
    <mergeCell ref="BO18:BR18"/>
    <mergeCell ref="BO19:BR19"/>
    <mergeCell ref="BO20:BR20"/>
    <mergeCell ref="BO21:BR21"/>
    <mergeCell ref="BO23:BR23"/>
    <mergeCell ref="BO24:BR24"/>
    <mergeCell ref="BO26:BR26"/>
    <mergeCell ref="AS18:AT18"/>
    <mergeCell ref="AV18:AX18"/>
    <mergeCell ref="AS19:AU19"/>
    <mergeCell ref="AV19:AW19"/>
    <mergeCell ref="AX19:AZ19"/>
    <mergeCell ref="BL19:BM19"/>
    <mergeCell ref="AW20:AY20"/>
    <mergeCell ref="AS25:AT25"/>
    <mergeCell ref="AV25:AX25"/>
    <mergeCell ref="BH25:BI25"/>
    <mergeCell ref="BM25:BN25"/>
    <mergeCell ref="BO25:BR25"/>
    <mergeCell ref="BU25:BV25"/>
    <mergeCell ref="BW25:BY25"/>
    <mergeCell ref="X24:Y24"/>
    <mergeCell ref="AH24:AI24"/>
    <mergeCell ref="AS24:AU24"/>
    <mergeCell ref="AY24:BA24"/>
    <mergeCell ref="X25:Y25"/>
    <mergeCell ref="AC25:AD25"/>
    <mergeCell ref="AH25:AI25"/>
    <mergeCell ref="DJ32:DK32"/>
    <mergeCell ref="DM32:DO32"/>
    <mergeCell ref="CH32:CI32"/>
    <mergeCell ref="CL32:CM32"/>
    <mergeCell ref="CO32:CQ32"/>
    <mergeCell ref="CT32:CU32"/>
    <mergeCell ref="CV32:CW32"/>
    <mergeCell ref="DA32:DB32"/>
    <mergeCell ref="DH32:DI32"/>
    <mergeCell ref="CI36:CJ36"/>
    <mergeCell ref="CL36:CM36"/>
    <mergeCell ref="CP36:CQ36"/>
    <mergeCell ref="CT36:CU36"/>
    <mergeCell ref="CX36:CY36"/>
    <mergeCell ref="DA36:DB36"/>
    <mergeCell ref="DJ36:DK36"/>
    <mergeCell ref="AS36:AU36"/>
    <mergeCell ref="AW36:AX36"/>
    <mergeCell ref="AY36:BA36"/>
    <mergeCell ref="BG36:BH36"/>
    <mergeCell ref="BO36:BR36"/>
    <mergeCell ref="BX36:BY36"/>
    <mergeCell ref="CE36:CF36"/>
    <mergeCell ref="CS49:CT49"/>
    <mergeCell ref="CT50:CU50"/>
    <mergeCell ref="CP52:CS52"/>
    <mergeCell ref="CR53:CS53"/>
    <mergeCell ref="CP54:CQ54"/>
    <mergeCell ref="CR54:CS54"/>
    <mergeCell ref="DM49:DO49"/>
    <mergeCell ref="DM50:DO50"/>
    <mergeCell ref="CI49:CJ49"/>
    <mergeCell ref="CL49:CM49"/>
    <mergeCell ref="CP49:CR49"/>
    <mergeCell ref="CX49:CZ49"/>
    <mergeCell ref="DG49:DI49"/>
    <mergeCell ref="CL50:CM50"/>
    <mergeCell ref="DH50:DI50"/>
    <mergeCell ref="CX50:CY50"/>
    <mergeCell ref="CX51:CZ51"/>
    <mergeCell ref="CY52:CZ52"/>
    <mergeCell ref="DA52:DD52"/>
    <mergeCell ref="CY53:CZ53"/>
    <mergeCell ref="DA53:DB53"/>
    <mergeCell ref="CX54:CY54"/>
    <mergeCell ref="DA54:DB54"/>
    <mergeCell ref="DH51:DI51"/>
    <mergeCell ref="DJ51:DL51"/>
    <mergeCell ref="DG52:DI52"/>
    <mergeCell ref="DH53:DI53"/>
    <mergeCell ref="DH54:DI54"/>
    <mergeCell ref="BT52:BV52"/>
    <mergeCell ref="BW52:BY52"/>
    <mergeCell ref="BU53:BV53"/>
    <mergeCell ref="CB53:CC53"/>
    <mergeCell ref="CI53:CK53"/>
    <mergeCell ref="CJ54:CK54"/>
    <mergeCell ref="CL54:CM54"/>
    <mergeCell ref="CZ50:DB50"/>
    <mergeCell ref="BU51:BV51"/>
    <mergeCell ref="BW51:BY51"/>
    <mergeCell ref="CC51:CD51"/>
    <mergeCell ref="CJ51:CL51"/>
    <mergeCell ref="CP51:CR51"/>
    <mergeCell ref="CS51:CT51"/>
    <mergeCell ref="CL40:CM40"/>
    <mergeCell ref="CH42:CI42"/>
    <mergeCell ref="CJ42:CL42"/>
    <mergeCell ref="CT42:CU42"/>
    <mergeCell ref="CY42:CZ42"/>
    <mergeCell ref="DA42:DB42"/>
    <mergeCell ref="DH42:DI42"/>
    <mergeCell ref="DK42:DL42"/>
    <mergeCell ref="AH38:AI38"/>
    <mergeCell ref="AH39:AI39"/>
    <mergeCell ref="AU40:AW40"/>
    <mergeCell ref="CB40:CC40"/>
    <mergeCell ref="CT40:CU40"/>
    <mergeCell ref="CX40:CZ40"/>
    <mergeCell ref="DM40:DN40"/>
    <mergeCell ref="AH33:AI33"/>
    <mergeCell ref="AH34:AI34"/>
    <mergeCell ref="AH35:AI35"/>
    <mergeCell ref="AF36:AG36"/>
    <mergeCell ref="AH36:AI36"/>
    <mergeCell ref="AH37:AI37"/>
    <mergeCell ref="AF38:AG38"/>
    <mergeCell ref="DH43:DI43"/>
    <mergeCell ref="DJ43:DK43"/>
    <mergeCell ref="DM43:DO43"/>
    <mergeCell ref="AS43:AU43"/>
    <mergeCell ref="AY43:BA43"/>
    <mergeCell ref="BG43:BH43"/>
    <mergeCell ref="CI43:CK43"/>
    <mergeCell ref="CL43:CM43"/>
    <mergeCell ref="CT43:CU43"/>
    <mergeCell ref="CZ43:DB43"/>
    <mergeCell ref="DA44:DB44"/>
    <mergeCell ref="DH44:DI44"/>
    <mergeCell ref="DM44:DO44"/>
    <mergeCell ref="BW44:BX44"/>
    <mergeCell ref="BZ44:CB44"/>
    <mergeCell ref="CH44:CI44"/>
    <mergeCell ref="CL44:CM44"/>
    <mergeCell ref="CP44:CS44"/>
    <mergeCell ref="CT44:CU44"/>
    <mergeCell ref="CX44:CY44"/>
    <mergeCell ref="AY54:BA54"/>
    <mergeCell ref="AY55:BA55"/>
    <mergeCell ref="BO54:BR54"/>
    <mergeCell ref="BO55:BR55"/>
    <mergeCell ref="CL55:CM55"/>
    <mergeCell ref="CP55:CR55"/>
    <mergeCell ref="CS55:CT55"/>
    <mergeCell ref="CW55:CY55"/>
    <mergeCell ref="DA55:DB55"/>
    <mergeCell ref="DG55:DI55"/>
    <mergeCell ref="AS54:AT54"/>
    <mergeCell ref="AV54:AW54"/>
    <mergeCell ref="BG54:BH54"/>
    <mergeCell ref="BI54:BJ54"/>
    <mergeCell ref="BL54:BM54"/>
    <mergeCell ref="AS55:AT55"/>
    <mergeCell ref="BL55:BM55"/>
    <mergeCell ref="BW80:BY80"/>
    <mergeCell ref="BW82:BY82"/>
    <mergeCell ref="CB82:CC82"/>
    <mergeCell ref="CE82:CF82"/>
    <mergeCell ref="CH82:CI82"/>
    <mergeCell ref="CB76:CC76"/>
    <mergeCell ref="CB77:CC77"/>
    <mergeCell ref="CB78:CC78"/>
    <mergeCell ref="BS79:BT79"/>
    <mergeCell ref="BW79:BY79"/>
    <mergeCell ref="CB79:CC79"/>
    <mergeCell ref="CB80:CC80"/>
    <mergeCell ref="BW64:BY64"/>
    <mergeCell ref="CB65:CC65"/>
    <mergeCell ref="BW69:BY69"/>
    <mergeCell ref="CE69:CF69"/>
    <mergeCell ref="CH69:CI69"/>
    <mergeCell ref="BW70:BY70"/>
    <mergeCell ref="CH70:CI70"/>
    <mergeCell ref="CB69:CC69"/>
    <mergeCell ref="CB70:CC70"/>
    <mergeCell ref="BW72:BY72"/>
    <mergeCell ref="CB72:CC72"/>
    <mergeCell ref="CE72:CF72"/>
    <mergeCell ref="CL72:CM72"/>
    <mergeCell ref="CO72:CQ72"/>
    <mergeCell ref="CE73:CF73"/>
    <mergeCell ref="CI73:CK73"/>
    <mergeCell ref="CL73:CM73"/>
    <mergeCell ref="CO73:CQ73"/>
    <mergeCell ref="CB74:CC74"/>
    <mergeCell ref="CL74:CM74"/>
    <mergeCell ref="CO74:CQ74"/>
    <mergeCell ref="CH76:CI76"/>
    <mergeCell ref="CH78:CI78"/>
    <mergeCell ref="CL79:CM79"/>
    <mergeCell ref="CI80:CK80"/>
    <mergeCell ref="CE81:CF81"/>
    <mergeCell ref="CL81:CM81"/>
    <mergeCell ref="CL82:CM82"/>
    <mergeCell ref="CB75:CC75"/>
    <mergeCell ref="CE75:CF75"/>
    <mergeCell ref="CH75:CI75"/>
    <mergeCell ref="CL75:CM75"/>
    <mergeCell ref="CL76:CM76"/>
    <mergeCell ref="BW77:BY77"/>
    <mergeCell ref="CL77:CM77"/>
    <mergeCell ref="CO80:CQ80"/>
    <mergeCell ref="CO81:CQ81"/>
    <mergeCell ref="CR81:CS81"/>
    <mergeCell ref="CO82:CQ82"/>
    <mergeCell ref="CO75:CQ75"/>
    <mergeCell ref="CO76:CQ76"/>
    <mergeCell ref="CT77:CU77"/>
    <mergeCell ref="CO78:CQ78"/>
    <mergeCell ref="CQ79:CR79"/>
    <mergeCell ref="CT79:CU79"/>
    <mergeCell ref="CT80:CU80"/>
    <mergeCell ref="BL23:BM23"/>
    <mergeCell ref="BL24:BM24"/>
    <mergeCell ref="BG18:BH18"/>
    <mergeCell ref="BG20:BH20"/>
    <mergeCell ref="BG22:BH22"/>
    <mergeCell ref="BI22:BJ22"/>
    <mergeCell ref="BG23:BH23"/>
    <mergeCell ref="BI23:BJ23"/>
    <mergeCell ref="BI24:BJ24"/>
    <mergeCell ref="BE29:BH29"/>
    <mergeCell ref="BB32:BC32"/>
    <mergeCell ref="BE32:BF32"/>
    <mergeCell ref="BG32:BH32"/>
    <mergeCell ref="BJ32:BK32"/>
    <mergeCell ref="BB35:BC35"/>
    <mergeCell ref="BE35:BH35"/>
    <mergeCell ref="BF38:BG38"/>
    <mergeCell ref="BM38:BO38"/>
    <mergeCell ref="BG40:BH40"/>
    <mergeCell ref="BM40:BO40"/>
    <mergeCell ref="BG42:BH42"/>
    <mergeCell ref="BA44:BB44"/>
    <mergeCell ref="BB45:BC45"/>
    <mergeCell ref="BL49:BM49"/>
    <mergeCell ref="BL50:BM50"/>
    <mergeCell ref="BG51:BH51"/>
    <mergeCell ref="BI51:BJ51"/>
    <mergeCell ref="BO51:BP51"/>
    <mergeCell ref="BQ51:BS51"/>
    <mergeCell ref="BQ52:BR52"/>
    <mergeCell ref="BD53:BF53"/>
    <mergeCell ref="BG53:BH53"/>
    <mergeCell ref="BO53:BR53"/>
    <mergeCell ref="BS53:BT53"/>
    <mergeCell ref="BG55:BH55"/>
    <mergeCell ref="BI55:BJ55"/>
    <mergeCell ref="BE44:BH44"/>
    <mergeCell ref="BE45:BH45"/>
    <mergeCell ref="BQ45:BR45"/>
    <mergeCell ref="AS49:AT49"/>
    <mergeCell ref="AV49:AW49"/>
    <mergeCell ref="AS50:AT50"/>
    <mergeCell ref="BG50:BH50"/>
    <mergeCell ref="BO50:BR50"/>
    <mergeCell ref="AX49:AZ49"/>
    <mergeCell ref="AY50:BA50"/>
    <mergeCell ref="AS51:AU51"/>
    <mergeCell ref="AX51:AZ51"/>
    <mergeCell ref="BB52:BC52"/>
    <mergeCell ref="BE52:BH52"/>
    <mergeCell ref="AS53:AU53"/>
    <mergeCell ref="CS56:CT56"/>
    <mergeCell ref="CX56:CY56"/>
    <mergeCell ref="DA56:DB56"/>
    <mergeCell ref="DM56:DO56"/>
    <mergeCell ref="AS56:AU56"/>
    <mergeCell ref="AW56:AY56"/>
    <mergeCell ref="BG56:BH56"/>
    <mergeCell ref="BI56:BJ56"/>
    <mergeCell ref="BO56:BR56"/>
    <mergeCell ref="CJ56:CK56"/>
    <mergeCell ref="CL56:CM56"/>
    <mergeCell ref="CL57:CM57"/>
    <mergeCell ref="CT57:CU57"/>
    <mergeCell ref="CZ57:DB57"/>
    <mergeCell ref="DI57:DK57"/>
    <mergeCell ref="DM57:DO57"/>
    <mergeCell ref="AW57:AY57"/>
    <mergeCell ref="AZ57:BC57"/>
    <mergeCell ref="BH57:BI57"/>
    <mergeCell ref="BL57:BM57"/>
    <mergeCell ref="BO57:BR57"/>
    <mergeCell ref="BW57:BY57"/>
    <mergeCell ref="CC57:CD57"/>
    <mergeCell ref="CS58:CT58"/>
    <mergeCell ref="CX58:CY58"/>
    <mergeCell ref="CZ58:DB58"/>
    <mergeCell ref="DN58:DO58"/>
    <mergeCell ref="CL59:CM59"/>
    <mergeCell ref="CT59:CU59"/>
    <mergeCell ref="CX59:CY59"/>
    <mergeCell ref="DA59:DD59"/>
    <mergeCell ref="DH59:DI59"/>
    <mergeCell ref="AT58:AV58"/>
    <mergeCell ref="AW58:AY58"/>
    <mergeCell ref="BP58:BS58"/>
    <mergeCell ref="CL58:CM58"/>
    <mergeCell ref="CP58:CR58"/>
    <mergeCell ref="AS59:AU59"/>
    <mergeCell ref="BG59:BH59"/>
    <mergeCell ref="DH60:DI60"/>
    <mergeCell ref="DN60:DO60"/>
    <mergeCell ref="DJ61:DL61"/>
    <mergeCell ref="DN61:DO61"/>
    <mergeCell ref="DN62:DO62"/>
    <mergeCell ref="AZ58:BB58"/>
    <mergeCell ref="AY59:BA59"/>
    <mergeCell ref="AY60:BA60"/>
    <mergeCell ref="BH60:BI60"/>
    <mergeCell ref="BN60:BP60"/>
    <mergeCell ref="BU60:BV60"/>
    <mergeCell ref="BW60:BY60"/>
    <mergeCell ref="CI61:CK61"/>
    <mergeCell ref="CL61:CM61"/>
    <mergeCell ref="CV61:CW61"/>
    <mergeCell ref="CX61:CZ61"/>
    <mergeCell ref="CH62:CI62"/>
    <mergeCell ref="CK62:CL62"/>
    <mergeCell ref="CT62:CU62"/>
    <mergeCell ref="CV62:CW62"/>
    <mergeCell ref="CJ58:CK58"/>
    <mergeCell ref="CI59:CK59"/>
    <mergeCell ref="CJ60:CK60"/>
    <mergeCell ref="CL60:CM60"/>
    <mergeCell ref="CS60:CT60"/>
    <mergeCell ref="CV60:CW60"/>
    <mergeCell ref="CZ60:DB60"/>
    <mergeCell ref="BO61:BR61"/>
    <mergeCell ref="BO62:BR62"/>
    <mergeCell ref="BI61:BJ61"/>
    <mergeCell ref="BH62:BI62"/>
    <mergeCell ref="CL63:CM63"/>
    <mergeCell ref="CO63:CQ63"/>
    <mergeCell ref="CS63:CT63"/>
    <mergeCell ref="AS63:AU63"/>
    <mergeCell ref="AW63:AY63"/>
    <mergeCell ref="AZ63:BB63"/>
    <mergeCell ref="BG63:BH63"/>
    <mergeCell ref="BI63:BJ63"/>
    <mergeCell ref="BP63:BR63"/>
    <mergeCell ref="CH63:CI63"/>
    <mergeCell ref="AS60:AU60"/>
    <mergeCell ref="AT61:AV61"/>
    <mergeCell ref="AW61:AY61"/>
    <mergeCell ref="AZ61:BB61"/>
    <mergeCell ref="BG61:BH61"/>
    <mergeCell ref="AX62:AZ62"/>
    <mergeCell ref="BL62:BM62"/>
    <mergeCell ref="CL64:CM64"/>
    <mergeCell ref="CT64:CU64"/>
    <mergeCell ref="DA64:DB64"/>
    <mergeCell ref="DJ64:DL64"/>
    <mergeCell ref="DM64:DO64"/>
    <mergeCell ref="BH64:BI64"/>
    <mergeCell ref="BG65:BH65"/>
    <mergeCell ref="CI65:CK65"/>
    <mergeCell ref="CO65:CQ65"/>
    <mergeCell ref="CW65:CY65"/>
    <mergeCell ref="DJ65:DK65"/>
    <mergeCell ref="DM65:DN65"/>
    <mergeCell ref="DJ74:DL74"/>
    <mergeCell ref="DJ75:DL75"/>
    <mergeCell ref="DJ82:DK82"/>
    <mergeCell ref="DM84:DN84"/>
    <mergeCell ref="DM85:DN85"/>
    <mergeCell ref="DM86:DN86"/>
    <mergeCell ref="DA72:DB72"/>
    <mergeCell ref="DA73:DB73"/>
    <mergeCell ref="DK73:DL73"/>
    <mergeCell ref="DN73:DO73"/>
    <mergeCell ref="DA74:DB74"/>
    <mergeCell ref="DG75:DH75"/>
    <mergeCell ref="DM75:DN75"/>
    <mergeCell ref="DA75:DB75"/>
    <mergeCell ref="DA76:DB76"/>
    <mergeCell ref="DA77:DB77"/>
    <mergeCell ref="DA78:DB78"/>
    <mergeCell ref="DG78:DH78"/>
    <mergeCell ref="CY79:DA79"/>
    <mergeCell ref="DG80:DH80"/>
    <mergeCell ref="DG81:DH81"/>
    <mergeCell ref="CV84:CW84"/>
    <mergeCell ref="CV85:CW85"/>
    <mergeCell ref="CX85:CZ85"/>
    <mergeCell ref="CV86:CW86"/>
    <mergeCell ref="DA80:DB80"/>
    <mergeCell ref="DA81:DB81"/>
    <mergeCell ref="CV82:CW82"/>
    <mergeCell ref="DA82:DB82"/>
    <mergeCell ref="CO83:CQ83"/>
    <mergeCell ref="DA83:DB83"/>
    <mergeCell ref="CX84:CZ84"/>
    <mergeCell ref="CJ64:CK64"/>
    <mergeCell ref="CI66:CK66"/>
    <mergeCell ref="CO66:CQ66"/>
    <mergeCell ref="CZ66:DB66"/>
    <mergeCell ref="DJ66:DK66"/>
    <mergeCell ref="DM66:DN66"/>
    <mergeCell ref="AT64:AV64"/>
    <mergeCell ref="AZ64:BC64"/>
    <mergeCell ref="BE64:BF64"/>
    <mergeCell ref="BO64:BR64"/>
    <mergeCell ref="AS65:AU65"/>
    <mergeCell ref="AW66:AY66"/>
    <mergeCell ref="CB66:CC66"/>
    <mergeCell ref="CL67:CM67"/>
    <mergeCell ref="CO67:CP67"/>
    <mergeCell ref="CT67:CU67"/>
    <mergeCell ref="CX67:CY67"/>
    <mergeCell ref="DA67:DB67"/>
    <mergeCell ref="DM67:DN67"/>
    <mergeCell ref="AS67:AU67"/>
    <mergeCell ref="AZ67:BB67"/>
    <mergeCell ref="BO67:BR67"/>
    <mergeCell ref="BW67:BX67"/>
    <mergeCell ref="BY67:CA67"/>
    <mergeCell ref="CH67:CI67"/>
    <mergeCell ref="CJ67:CK67"/>
    <mergeCell ref="CL69:CM69"/>
    <mergeCell ref="CL70:CM70"/>
    <mergeCell ref="CO70:CQ70"/>
    <mergeCell ref="CL71:CM71"/>
    <mergeCell ref="CO71:CQ71"/>
    <mergeCell ref="BH70:BI70"/>
    <mergeCell ref="BI71:BJ71"/>
    <mergeCell ref="BW71:BY71"/>
    <mergeCell ref="CE71:CF71"/>
    <mergeCell ref="CP69:CS69"/>
    <mergeCell ref="CT69:CU69"/>
    <mergeCell ref="DA69:DB69"/>
    <mergeCell ref="DA70:DB70"/>
    <mergeCell ref="DJ70:DK70"/>
    <mergeCell ref="DA71:DB71"/>
    <mergeCell ref="DJ72:DK72"/>
    <mergeCell ref="BY85:CA85"/>
    <mergeCell ref="BZ86:CB86"/>
    <mergeCell ref="BW83:BY83"/>
    <mergeCell ref="CB83:CC83"/>
    <mergeCell ref="CH83:CI83"/>
    <mergeCell ref="BZ84:CA84"/>
    <mergeCell ref="CB84:CC84"/>
    <mergeCell ref="CE84:CF84"/>
    <mergeCell ref="CJ85:CL85"/>
    <mergeCell ref="CJ86:CL86"/>
    <mergeCell ref="BG95:BH95"/>
    <mergeCell ref="BG96:BH96"/>
    <mergeCell ref="BG97:BH97"/>
    <mergeCell ref="BI99:BJ99"/>
    <mergeCell ref="BL99:BM99"/>
    <mergeCell ref="BN99:BP99"/>
    <mergeCell ref="BI100:BJ100"/>
    <mergeCell ref="CT103:CU103"/>
    <mergeCell ref="CS104:CT104"/>
    <mergeCell ref="CL105:CM105"/>
    <mergeCell ref="CS105:CT105"/>
    <mergeCell ref="DA105:DB105"/>
    <mergeCell ref="CP106:CS106"/>
    <mergeCell ref="DA106:DB106"/>
    <mergeCell ref="CB103:CC103"/>
    <mergeCell ref="CH103:CI103"/>
    <mergeCell ref="CL103:CM103"/>
    <mergeCell ref="CO103:CQ103"/>
    <mergeCell ref="CZ103:DB103"/>
    <mergeCell ref="DG103:DH103"/>
    <mergeCell ref="CL104:CM104"/>
    <mergeCell ref="DA104:DB104"/>
    <mergeCell ref="BG100:BH100"/>
    <mergeCell ref="BG101:BH101"/>
    <mergeCell ref="BO101:BR101"/>
    <mergeCell ref="BG102:BH102"/>
    <mergeCell ref="BE103:BH103"/>
    <mergeCell ref="BR103:BS103"/>
    <mergeCell ref="BU103:BV103"/>
    <mergeCell ref="DJ106:DL106"/>
    <mergeCell ref="DM106:DO106"/>
    <mergeCell ref="DN107:DO107"/>
    <mergeCell ref="DJ103:DL103"/>
    <mergeCell ref="DM103:DN103"/>
    <mergeCell ref="DN104:DO104"/>
    <mergeCell ref="DH105:DI105"/>
    <mergeCell ref="DJ105:DK105"/>
    <mergeCell ref="DM105:DN105"/>
    <mergeCell ref="DG106:DH106"/>
    <mergeCell ref="CI107:CK107"/>
    <mergeCell ref="CL107:CM107"/>
    <mergeCell ref="CP107:CQ107"/>
    <mergeCell ref="CR107:CS107"/>
    <mergeCell ref="CT107:CU107"/>
    <mergeCell ref="DA107:DB107"/>
    <mergeCell ref="BG105:BH105"/>
    <mergeCell ref="BE106:BH106"/>
    <mergeCell ref="BU106:BV106"/>
    <mergeCell ref="CB106:CC106"/>
    <mergeCell ref="CH106:CI106"/>
    <mergeCell ref="BG107:BH107"/>
    <mergeCell ref="CB107:CC107"/>
    <mergeCell ref="DA108:DC108"/>
    <mergeCell ref="DH108:DI108"/>
    <mergeCell ref="DM108:DN108"/>
    <mergeCell ref="BG108:BH108"/>
    <mergeCell ref="BO108:BR108"/>
    <mergeCell ref="CA108:CC108"/>
    <mergeCell ref="CH108:CI108"/>
    <mergeCell ref="CL108:CM108"/>
    <mergeCell ref="CQ108:CS108"/>
    <mergeCell ref="CT108:CU108"/>
    <mergeCell ref="CY109:DA109"/>
    <mergeCell ref="DM109:DN109"/>
    <mergeCell ref="DA110:DB110"/>
    <mergeCell ref="DJ110:DK110"/>
    <mergeCell ref="DA111:DB111"/>
    <mergeCell ref="DN111:DO111"/>
    <mergeCell ref="BJ110:BK110"/>
    <mergeCell ref="BO111:BR111"/>
    <mergeCell ref="BG112:BH112"/>
    <mergeCell ref="BG113:BH113"/>
    <mergeCell ref="BO113:BR113"/>
    <mergeCell ref="BF109:BH109"/>
    <mergeCell ref="BI109:BJ109"/>
    <mergeCell ref="BS109:BT109"/>
    <mergeCell ref="BW109:BY109"/>
    <mergeCell ref="CI109:CK109"/>
    <mergeCell ref="CP109:CS109"/>
    <mergeCell ref="CR110:CS110"/>
    <mergeCell ref="CR112:CS112"/>
    <mergeCell ref="CT112:CU112"/>
    <mergeCell ref="DA112:DB112"/>
    <mergeCell ref="DN112:DO112"/>
    <mergeCell ref="CQ113:CS113"/>
    <mergeCell ref="CX113:CZ113"/>
    <mergeCell ref="DH113:DI113"/>
    <mergeCell ref="DM113:DN113"/>
    <mergeCell ref="AU72:AW72"/>
    <mergeCell ref="AS73:AT73"/>
    <mergeCell ref="AU73:AW73"/>
    <mergeCell ref="AU74:AW74"/>
    <mergeCell ref="AV75:AX75"/>
    <mergeCell ref="AV76:AX76"/>
    <mergeCell ref="AV78:AW78"/>
    <mergeCell ref="AS80:AU80"/>
    <mergeCell ref="AS84:AU84"/>
    <mergeCell ref="AS85:AU85"/>
    <mergeCell ref="AS86:AU86"/>
    <mergeCell ref="AS89:AU89"/>
    <mergeCell ref="AS90:AT90"/>
    <mergeCell ref="AS92:AU92"/>
    <mergeCell ref="AS93:AT93"/>
    <mergeCell ref="AT94:AU94"/>
    <mergeCell ref="AS95:AU95"/>
    <mergeCell ref="AS96:AU96"/>
    <mergeCell ref="AS97:AU97"/>
    <mergeCell ref="AS98:AU98"/>
    <mergeCell ref="AU99:AV99"/>
    <mergeCell ref="AS108:AU108"/>
    <mergeCell ref="AV108:AX108"/>
    <mergeCell ref="AT110:AV110"/>
    <mergeCell ref="AS112:AU112"/>
    <mergeCell ref="AT113:AV113"/>
    <mergeCell ref="AS100:AU100"/>
    <mergeCell ref="AV100:AX100"/>
    <mergeCell ref="AS101:AU101"/>
    <mergeCell ref="AS102:AU102"/>
    <mergeCell ref="AS104:AU104"/>
    <mergeCell ref="AS105:AU105"/>
    <mergeCell ref="AS107:AU107"/>
    <mergeCell ref="CJ91:CK91"/>
    <mergeCell ref="CL91:CM91"/>
    <mergeCell ref="CP91:CS91"/>
    <mergeCell ref="CT91:CU91"/>
    <mergeCell ref="CX91:CZ91"/>
    <mergeCell ref="DA91:DB91"/>
    <mergeCell ref="DN91:DO91"/>
    <mergeCell ref="CJ92:CL92"/>
    <mergeCell ref="CO92:CQ92"/>
    <mergeCell ref="CT92:CU92"/>
    <mergeCell ref="CX92:CZ92"/>
    <mergeCell ref="DA92:DC92"/>
    <mergeCell ref="DH92:DI92"/>
    <mergeCell ref="DN92:DO92"/>
    <mergeCell ref="AZ83:BA83"/>
    <mergeCell ref="AY87:BA87"/>
    <mergeCell ref="AY88:BA88"/>
    <mergeCell ref="AY89:BA89"/>
    <mergeCell ref="AX90:AZ90"/>
    <mergeCell ref="AY91:BA91"/>
    <mergeCell ref="AY93:BA93"/>
    <mergeCell ref="AX107:AZ107"/>
    <mergeCell ref="AY111:BA111"/>
    <mergeCell ref="AY112:BA112"/>
    <mergeCell ref="AY113:BA113"/>
    <mergeCell ref="AX94:AZ94"/>
    <mergeCell ref="AX95:AZ95"/>
    <mergeCell ref="AY97:BA97"/>
    <mergeCell ref="AW99:AY99"/>
    <mergeCell ref="AY101:BA101"/>
    <mergeCell ref="AZ102:BA102"/>
    <mergeCell ref="BB106:BC106"/>
    <mergeCell ref="CP94:CQ94"/>
    <mergeCell ref="CR94:CS94"/>
    <mergeCell ref="DN94:DO94"/>
    <mergeCell ref="CC93:CD93"/>
    <mergeCell ref="CE93:CF93"/>
    <mergeCell ref="CL93:CM93"/>
    <mergeCell ref="CY93:CZ93"/>
    <mergeCell ref="DA93:DB93"/>
    <mergeCell ref="CL94:CM94"/>
    <mergeCell ref="DA94:DB94"/>
    <mergeCell ref="DA89:DB89"/>
    <mergeCell ref="DI89:DJ89"/>
    <mergeCell ref="DN89:DO89"/>
    <mergeCell ref="CT87:CU87"/>
    <mergeCell ref="CX87:CZ87"/>
    <mergeCell ref="DA87:DB87"/>
    <mergeCell ref="CT88:CU88"/>
    <mergeCell ref="CX88:CZ88"/>
    <mergeCell ref="DA88:DB88"/>
    <mergeCell ref="CX89:CY89"/>
    <mergeCell ref="DA90:DB90"/>
    <mergeCell ref="BO88:BR88"/>
    <mergeCell ref="BO90:BR90"/>
    <mergeCell ref="BO93:BR93"/>
    <mergeCell ref="BG84:BH84"/>
    <mergeCell ref="BH85:BI85"/>
    <mergeCell ref="BG86:BH86"/>
    <mergeCell ref="BI87:BJ87"/>
    <mergeCell ref="BL87:BM87"/>
    <mergeCell ref="CL87:CM87"/>
    <mergeCell ref="CL88:CM88"/>
    <mergeCell ref="CT89:CU89"/>
    <mergeCell ref="CT90:CU90"/>
    <mergeCell ref="CT93:CU93"/>
    <mergeCell ref="CC87:CD87"/>
    <mergeCell ref="CC88:CD88"/>
    <mergeCell ref="CJ89:CK89"/>
    <mergeCell ref="CL89:CM89"/>
    <mergeCell ref="CP89:CS89"/>
    <mergeCell ref="CC90:CD90"/>
    <mergeCell ref="CL90:CM90"/>
    <mergeCell ref="DA97:DB97"/>
    <mergeCell ref="DH97:DI97"/>
    <mergeCell ref="BJ65:BK65"/>
    <mergeCell ref="BG66:BH66"/>
    <mergeCell ref="BG67:BH67"/>
    <mergeCell ref="BE69:BH69"/>
    <mergeCell ref="AV70:AX70"/>
    <mergeCell ref="BB71:BD71"/>
    <mergeCell ref="BH72:BI72"/>
    <mergeCell ref="BE75:BF75"/>
    <mergeCell ref="BC76:BD76"/>
    <mergeCell ref="BL76:BM76"/>
    <mergeCell ref="BA77:BB77"/>
    <mergeCell ref="BE74:BG74"/>
    <mergeCell ref="BE78:BG78"/>
    <mergeCell ref="BE70:BF70"/>
    <mergeCell ref="BE72:BF72"/>
    <mergeCell ref="BE73:BF73"/>
    <mergeCell ref="BG73:BH73"/>
    <mergeCell ref="BH74:BI74"/>
    <mergeCell ref="BH75:BI75"/>
    <mergeCell ref="BH76:BI76"/>
    <mergeCell ref="AX78:AZ78"/>
    <mergeCell ref="BA79:BB79"/>
    <mergeCell ref="AX80:AZ80"/>
    <mergeCell ref="AZ81:BA81"/>
    <mergeCell ref="BB81:BD81"/>
    <mergeCell ref="AZ82:BA82"/>
    <mergeCell ref="BB82:BD82"/>
    <mergeCell ref="BH78:BI78"/>
    <mergeCell ref="BE79:BH79"/>
    <mergeCell ref="BE80:BG80"/>
    <mergeCell ref="BH80:BI80"/>
    <mergeCell ref="BI82:BJ82"/>
    <mergeCell ref="BE83:BG83"/>
    <mergeCell ref="BH83:BI83"/>
    <mergeCell ref="BG89:BH89"/>
    <mergeCell ref="BH90:BI90"/>
    <mergeCell ref="BL90:BM90"/>
    <mergeCell ref="BG92:BH92"/>
    <mergeCell ref="BH93:BI93"/>
    <mergeCell ref="BL93:BM93"/>
    <mergeCell ref="BG94:BH94"/>
    <mergeCell ref="CP112:CQ112"/>
    <mergeCell ref="CO113:CP113"/>
    <mergeCell ref="CL109:CM109"/>
    <mergeCell ref="CL110:CM110"/>
    <mergeCell ref="CL111:CM111"/>
    <mergeCell ref="CT111:CU111"/>
    <mergeCell ref="CH112:CI112"/>
    <mergeCell ref="CL112:CM112"/>
    <mergeCell ref="CI113:CK113"/>
    <mergeCell ref="DM95:DO95"/>
    <mergeCell ref="DN97:DO97"/>
    <mergeCell ref="DN98:DO98"/>
    <mergeCell ref="DN101:DO101"/>
    <mergeCell ref="DM102:DN102"/>
    <mergeCell ref="CI94:CK94"/>
    <mergeCell ref="CJ95:CK95"/>
    <mergeCell ref="CL95:CM95"/>
    <mergeCell ref="CT95:CU95"/>
    <mergeCell ref="DA95:DB95"/>
    <mergeCell ref="CH96:CI96"/>
    <mergeCell ref="DA96:DB96"/>
    <mergeCell ref="CP97:CS97"/>
    <mergeCell ref="CR98:CS98"/>
    <mergeCell ref="CX98:CZ98"/>
    <mergeCell ref="CK99:CL99"/>
    <mergeCell ref="CO99:CQ99"/>
    <mergeCell ref="CS99:CT99"/>
    <mergeCell ref="CZ99:DB99"/>
    <mergeCell ref="DG99:DH99"/>
    <mergeCell ref="DJ99:DK99"/>
    <mergeCell ref="DM99:DN99"/>
    <mergeCell ref="CB100:CC100"/>
    <mergeCell ref="CI100:CK100"/>
    <mergeCell ref="CR100:CS100"/>
    <mergeCell ref="CW100:CY100"/>
    <mergeCell ref="DJ100:DK100"/>
    <mergeCell ref="DM100:DO100"/>
    <mergeCell ref="CX101:CZ101"/>
    <mergeCell ref="DA101:DD101"/>
    <mergeCell ref="DA102:DB102"/>
    <mergeCell ref="DH102:DI102"/>
    <mergeCell ref="DJ102:DK102"/>
    <mergeCell ref="CH101:CI101"/>
    <mergeCell ref="CH102:CI102"/>
    <mergeCell ref="CE114:CF114"/>
    <mergeCell ref="CH115:CI115"/>
    <mergeCell ref="CL116:CM116"/>
    <mergeCell ref="CL117:CM117"/>
    <mergeCell ref="CE119:CF119"/>
    <mergeCell ref="CH119:CI119"/>
    <mergeCell ref="CO119:CQ119"/>
    <mergeCell ref="CS116:CT116"/>
    <mergeCell ref="CS117:CT117"/>
    <mergeCell ref="CA118:CC118"/>
    <mergeCell ref="CH118:CI118"/>
    <mergeCell ref="CL118:CM118"/>
    <mergeCell ref="CO118:CQ118"/>
    <mergeCell ref="CT118:CU118"/>
    <mergeCell ref="DG119:DH119"/>
    <mergeCell ref="DJ119:DK119"/>
    <mergeCell ref="CI120:CK120"/>
    <mergeCell ref="CP120:CS120"/>
    <mergeCell ref="DA120:DB120"/>
    <mergeCell ref="DH120:DI120"/>
    <mergeCell ref="DM120:DO120"/>
    <mergeCell ref="CL120:CM120"/>
    <mergeCell ref="CL121:CM121"/>
    <mergeCell ref="CQ121:CS121"/>
    <mergeCell ref="DJ121:DL121"/>
    <mergeCell ref="DN121:DO121"/>
    <mergeCell ref="CH122:CI122"/>
    <mergeCell ref="CO122:CQ122"/>
    <mergeCell ref="DM122:DO122"/>
    <mergeCell ref="DN124:DO124"/>
    <mergeCell ref="DN125:DO125"/>
    <mergeCell ref="DM126:DN126"/>
    <mergeCell ref="DM127:DO127"/>
    <mergeCell ref="DG128:DH128"/>
    <mergeCell ref="DJ128:DL128"/>
    <mergeCell ref="DM128:DN128"/>
    <mergeCell ref="DG129:DI129"/>
    <mergeCell ref="DJ129:DL129"/>
    <mergeCell ref="DM129:DO129"/>
    <mergeCell ref="DJ131:DK131"/>
    <mergeCell ref="DN131:DO131"/>
    <mergeCell ref="DJ132:DL132"/>
    <mergeCell ref="DN132:DO132"/>
    <mergeCell ref="DK135:DL135"/>
    <mergeCell ref="DH139:DJ139"/>
    <mergeCell ref="DM139:DO139"/>
    <mergeCell ref="DM148:DN148"/>
    <mergeCell ref="DH151:DI151"/>
    <mergeCell ref="DJ151:DL151"/>
    <mergeCell ref="DM151:DO151"/>
    <mergeCell ref="DK159:DL159"/>
    <mergeCell ref="DM159:DN159"/>
    <mergeCell ref="DH161:DI161"/>
    <mergeCell ref="DH153:DI153"/>
    <mergeCell ref="DM153:DN153"/>
    <mergeCell ref="DM155:DN155"/>
    <mergeCell ref="DH157:DI157"/>
    <mergeCell ref="DM157:DO157"/>
    <mergeCell ref="DH158:DI158"/>
    <mergeCell ref="DG159:DI159"/>
    <mergeCell ref="CP95:CS95"/>
    <mergeCell ref="CR96:CS96"/>
    <mergeCell ref="CA97:CC97"/>
    <mergeCell ref="CJ97:CK97"/>
    <mergeCell ref="CL97:CM97"/>
    <mergeCell ref="CL98:CM98"/>
    <mergeCell ref="CB99:CC99"/>
    <mergeCell ref="CH97:CI97"/>
    <mergeCell ref="CH99:CI99"/>
    <mergeCell ref="CL101:CM101"/>
    <mergeCell ref="CO101:CQ101"/>
    <mergeCell ref="CR101:CS101"/>
    <mergeCell ref="CT101:CU101"/>
    <mergeCell ref="CR102:CS102"/>
    <mergeCell ref="CB102:CC102"/>
    <mergeCell ref="BI114:BJ114"/>
    <mergeCell ref="BL114:BM114"/>
    <mergeCell ref="BO114:BR114"/>
    <mergeCell ref="CC114:CD114"/>
    <mergeCell ref="CL114:CM114"/>
    <mergeCell ref="BW115:BY115"/>
    <mergeCell ref="CT114:CU114"/>
    <mergeCell ref="CY114:CZ114"/>
    <mergeCell ref="DA114:DB114"/>
    <mergeCell ref="CS115:CT115"/>
    <mergeCell ref="DH115:DI115"/>
    <mergeCell ref="DJ115:DK115"/>
    <mergeCell ref="DN116:DO116"/>
    <mergeCell ref="DA115:DB115"/>
    <mergeCell ref="DA116:DB116"/>
    <mergeCell ref="DA117:DB117"/>
    <mergeCell ref="DA118:DB118"/>
    <mergeCell ref="DG118:DH118"/>
    <mergeCell ref="DM118:DO118"/>
    <mergeCell ref="DA119:DB119"/>
    <mergeCell ref="DA121:DB121"/>
    <mergeCell ref="DA122:DB122"/>
    <mergeCell ref="CR123:CS123"/>
    <mergeCell ref="DA123:DB123"/>
    <mergeCell ref="DI123:DJ123"/>
    <mergeCell ref="DN123:DO123"/>
    <mergeCell ref="CH123:CI123"/>
    <mergeCell ref="CH124:CI124"/>
    <mergeCell ref="CP124:CR124"/>
    <mergeCell ref="CT124:CU124"/>
    <mergeCell ref="DA124:DB124"/>
    <mergeCell ref="DH124:DI124"/>
    <mergeCell ref="DI125:DJ125"/>
    <mergeCell ref="BU128:BV128"/>
    <mergeCell ref="BW129:BY129"/>
    <mergeCell ref="BG125:BH125"/>
    <mergeCell ref="BO125:BR125"/>
    <mergeCell ref="BH126:BI126"/>
    <mergeCell ref="BH127:BI127"/>
    <mergeCell ref="BE128:BH128"/>
    <mergeCell ref="BB129:BD129"/>
    <mergeCell ref="BG129:BH129"/>
    <mergeCell ref="CC138:CD138"/>
    <mergeCell ref="BO139:BR139"/>
    <mergeCell ref="CJ139:CK139"/>
    <mergeCell ref="CL139:CM139"/>
    <mergeCell ref="BO140:BR140"/>
    <mergeCell ref="BZ140:CB140"/>
    <mergeCell ref="CC140:CD140"/>
    <mergeCell ref="CJ140:CL140"/>
    <mergeCell ref="CH138:CI138"/>
    <mergeCell ref="CH140:CI140"/>
    <mergeCell ref="CC141:CD141"/>
    <mergeCell ref="CI141:CJ141"/>
    <mergeCell ref="CC142:CD142"/>
    <mergeCell ref="BS143:BT143"/>
    <mergeCell ref="CC143:CD143"/>
    <mergeCell ref="BG118:BH118"/>
    <mergeCell ref="BO120:BR120"/>
    <mergeCell ref="BJ121:BK121"/>
    <mergeCell ref="BH123:BI123"/>
    <mergeCell ref="CA123:CC123"/>
    <mergeCell ref="CL123:CM123"/>
    <mergeCell ref="BG124:BH124"/>
    <mergeCell ref="CW125:CY125"/>
    <mergeCell ref="DA125:DB125"/>
    <mergeCell ref="CV127:CW127"/>
    <mergeCell ref="DA127:DB127"/>
    <mergeCell ref="CV128:CW128"/>
    <mergeCell ref="CZ128:DB128"/>
    <mergeCell ref="CV129:CW129"/>
    <mergeCell ref="CJ124:CK124"/>
    <mergeCell ref="CL124:CM124"/>
    <mergeCell ref="CH125:CI125"/>
    <mergeCell ref="CL125:CM125"/>
    <mergeCell ref="CP125:CQ125"/>
    <mergeCell ref="CR125:CS125"/>
    <mergeCell ref="CT125:CU125"/>
    <mergeCell ref="CB128:CC128"/>
    <mergeCell ref="CB130:CC130"/>
    <mergeCell ref="CD131:CE131"/>
    <mergeCell ref="CB133:CC133"/>
    <mergeCell ref="CE126:CF126"/>
    <mergeCell ref="CA127:CC127"/>
    <mergeCell ref="CJ127:CK127"/>
    <mergeCell ref="CL127:CM127"/>
    <mergeCell ref="CL128:CM128"/>
    <mergeCell ref="CE129:CF129"/>
    <mergeCell ref="CH129:CI129"/>
    <mergeCell ref="BU132:BV132"/>
    <mergeCell ref="BY132:CA132"/>
    <mergeCell ref="CI132:CK132"/>
    <mergeCell ref="CL132:CM132"/>
    <mergeCell ref="CO132:CQ132"/>
    <mergeCell ref="DA132:DB132"/>
    <mergeCell ref="CR130:CS130"/>
    <mergeCell ref="CR134:CS134"/>
    <mergeCell ref="CL135:CM135"/>
    <mergeCell ref="CO135:CP135"/>
    <mergeCell ref="CT135:CU135"/>
    <mergeCell ref="CX135:CY135"/>
    <mergeCell ref="DA135:DB135"/>
    <mergeCell ref="CH130:CI130"/>
    <mergeCell ref="CO130:CQ130"/>
    <mergeCell ref="CL131:CM131"/>
    <mergeCell ref="CO131:CP131"/>
    <mergeCell ref="CT131:CU131"/>
    <mergeCell ref="CX131:CY131"/>
    <mergeCell ref="DA131:DB131"/>
    <mergeCell ref="CV146:CW146"/>
    <mergeCell ref="CY146:CZ146"/>
    <mergeCell ref="CX139:CZ139"/>
    <mergeCell ref="CX141:CZ141"/>
    <mergeCell ref="CV142:CW142"/>
    <mergeCell ref="CV143:CW143"/>
    <mergeCell ref="CV144:CW144"/>
    <mergeCell ref="CY144:CZ144"/>
    <mergeCell ref="CW145:CY145"/>
    <mergeCell ref="CO136:CQ136"/>
    <mergeCell ref="CO137:CQ137"/>
    <mergeCell ref="CP139:CQ139"/>
    <mergeCell ref="CR139:CS139"/>
    <mergeCell ref="CO140:CQ140"/>
    <mergeCell ref="CO141:CQ141"/>
    <mergeCell ref="CR142:CS142"/>
    <mergeCell ref="CP142:CQ142"/>
    <mergeCell ref="CP143:CQ143"/>
    <mergeCell ref="CR143:CS143"/>
    <mergeCell ref="CP144:CQ144"/>
    <mergeCell ref="CP145:CQ145"/>
    <mergeCell ref="CP146:CQ146"/>
    <mergeCell ref="CR146:CS146"/>
    <mergeCell ref="BG132:BH132"/>
    <mergeCell ref="BJ134:BK134"/>
    <mergeCell ref="BI135:BJ135"/>
    <mergeCell ref="BL135:BM135"/>
    <mergeCell ref="BO135:BR135"/>
    <mergeCell ref="BO136:BR136"/>
    <mergeCell ref="BG130:BH130"/>
    <mergeCell ref="BE131:BF131"/>
    <mergeCell ref="BH131:BI131"/>
    <mergeCell ref="BO131:BR131"/>
    <mergeCell ref="BW131:BY131"/>
    <mergeCell ref="BO132:BR132"/>
    <mergeCell ref="BP133:BR133"/>
    <mergeCell ref="CB134:CC134"/>
    <mergeCell ref="BW135:BY135"/>
    <mergeCell ref="CD135:CE135"/>
    <mergeCell ref="BY136:CA136"/>
    <mergeCell ref="CI136:CJ136"/>
    <mergeCell ref="CL136:CM136"/>
    <mergeCell ref="CC137:CD137"/>
    <mergeCell ref="CR136:CS136"/>
    <mergeCell ref="CT136:CU136"/>
    <mergeCell ref="CW136:CY136"/>
    <mergeCell ref="DA136:DB136"/>
    <mergeCell ref="CV137:CW137"/>
    <mergeCell ref="DA139:DC139"/>
    <mergeCell ref="CT140:CW140"/>
    <mergeCell ref="CC146:CD146"/>
    <mergeCell ref="CB147:CC147"/>
    <mergeCell ref="CB149:CC149"/>
    <mergeCell ref="CJ142:CK142"/>
    <mergeCell ref="CI143:CK143"/>
    <mergeCell ref="CB144:CC144"/>
    <mergeCell ref="CI144:CJ144"/>
    <mergeCell ref="CB145:CC145"/>
    <mergeCell ref="CJ145:CK145"/>
    <mergeCell ref="CH146:CI146"/>
    <mergeCell ref="CR148:CS148"/>
    <mergeCell ref="CR149:CS149"/>
    <mergeCell ref="CO147:CQ147"/>
    <mergeCell ref="CR147:CS147"/>
    <mergeCell ref="CW147:CX147"/>
    <mergeCell ref="CP148:CQ148"/>
    <mergeCell ref="CP150:CQ150"/>
    <mergeCell ref="CH147:CI147"/>
    <mergeCell ref="CI148:CK148"/>
    <mergeCell ref="CL148:CM148"/>
    <mergeCell ref="CW148:CY148"/>
    <mergeCell ref="DA148:DB148"/>
    <mergeCell ref="CJ149:CK149"/>
    <mergeCell ref="CB150:CC150"/>
    <mergeCell ref="CS150:CT150"/>
    <mergeCell ref="CV150:CW150"/>
    <mergeCell ref="CJ151:CK151"/>
    <mergeCell ref="CL151:CM151"/>
    <mergeCell ref="CO151:CQ151"/>
    <mergeCell ref="CR151:CS151"/>
    <mergeCell ref="CT151:CU151"/>
    <mergeCell ref="CR152:CS152"/>
    <mergeCell ref="CT152:CU152"/>
    <mergeCell ref="CV154:CW154"/>
    <mergeCell ref="DA151:DB151"/>
    <mergeCell ref="DA152:DB152"/>
    <mergeCell ref="DA153:DB153"/>
    <mergeCell ref="CY154:DA154"/>
    <mergeCell ref="CB153:CC153"/>
    <mergeCell ref="BX154:CA154"/>
    <mergeCell ref="CO158:CQ158"/>
    <mergeCell ref="CS158:CT158"/>
    <mergeCell ref="CI156:CK156"/>
    <mergeCell ref="CL156:CM156"/>
    <mergeCell ref="CH157:CI157"/>
    <mergeCell ref="CL157:CM157"/>
    <mergeCell ref="CE158:CF158"/>
    <mergeCell ref="CH158:CI158"/>
    <mergeCell ref="CL158:CM158"/>
    <mergeCell ref="CO160:CQ160"/>
    <mergeCell ref="CO161:CQ161"/>
    <mergeCell ref="CT161:CU161"/>
    <mergeCell ref="CZ161:DB161"/>
    <mergeCell ref="CR159:CS159"/>
    <mergeCell ref="CT159:CU159"/>
    <mergeCell ref="CI160:CK160"/>
    <mergeCell ref="CL160:CM160"/>
    <mergeCell ref="CR160:CS160"/>
    <mergeCell ref="CT160:CU160"/>
    <mergeCell ref="CI161:CK161"/>
    <mergeCell ref="CB187:CC187"/>
    <mergeCell ref="BW188:BY188"/>
    <mergeCell ref="CL188:CM188"/>
    <mergeCell ref="CO188:CQ188"/>
    <mergeCell ref="CT188:CU188"/>
    <mergeCell ref="DA188:DD188"/>
    <mergeCell ref="CB189:CC189"/>
    <mergeCell ref="CZ189:DB189"/>
    <mergeCell ref="CS189:CT189"/>
    <mergeCell ref="CV189:CW189"/>
    <mergeCell ref="CO190:CP190"/>
    <mergeCell ref="CV190:CW190"/>
    <mergeCell ref="CO191:CP191"/>
    <mergeCell ref="CQ191:CS191"/>
    <mergeCell ref="DA191:DD191"/>
    <mergeCell ref="BN176:BP176"/>
    <mergeCell ref="BN177:BO177"/>
    <mergeCell ref="BO179:BR179"/>
    <mergeCell ref="BO181:BR181"/>
    <mergeCell ref="BI182:BJ182"/>
    <mergeCell ref="BO183:BR183"/>
    <mergeCell ref="BS184:BT184"/>
    <mergeCell ref="DA185:DD185"/>
    <mergeCell ref="DM185:DO185"/>
    <mergeCell ref="DJ186:DK186"/>
    <mergeCell ref="DN186:DO186"/>
    <mergeCell ref="CS185:CT185"/>
    <mergeCell ref="CT186:CU186"/>
    <mergeCell ref="CX186:CZ186"/>
    <mergeCell ref="DA186:DB186"/>
    <mergeCell ref="CV187:CW187"/>
    <mergeCell ref="CZ187:DA187"/>
    <mergeCell ref="BI184:BJ184"/>
    <mergeCell ref="BI185:BJ185"/>
    <mergeCell ref="CA185:CC185"/>
    <mergeCell ref="CH185:CI185"/>
    <mergeCell ref="CL185:CM185"/>
    <mergeCell ref="CO185:CQ185"/>
    <mergeCell ref="CL186:CM186"/>
    <mergeCell ref="DH188:DI188"/>
    <mergeCell ref="DN188:DO188"/>
    <mergeCell ref="DG191:DI191"/>
    <mergeCell ref="DM191:DN191"/>
    <mergeCell ref="CX192:CY192"/>
    <mergeCell ref="DA192:DB192"/>
    <mergeCell ref="CB191:CC191"/>
    <mergeCell ref="BO192:BR192"/>
    <mergeCell ref="BW192:BX192"/>
    <mergeCell ref="BY192:CA192"/>
    <mergeCell ref="CD192:CE192"/>
    <mergeCell ref="CO192:CP192"/>
    <mergeCell ref="CT192:CU192"/>
    <mergeCell ref="CW159:CY159"/>
    <mergeCell ref="DA159:DB159"/>
    <mergeCell ref="CO156:CQ156"/>
    <mergeCell ref="CT156:CU156"/>
    <mergeCell ref="DA156:DB156"/>
    <mergeCell ref="CT157:CU157"/>
    <mergeCell ref="DA157:DC157"/>
    <mergeCell ref="CZ158:DB158"/>
    <mergeCell ref="CJ159:CL159"/>
    <mergeCell ref="CX151:CZ151"/>
    <mergeCell ref="BO152:BR152"/>
    <mergeCell ref="CA152:CC152"/>
    <mergeCell ref="CI152:CJ152"/>
    <mergeCell ref="CL152:CM152"/>
    <mergeCell ref="CO152:CQ152"/>
    <mergeCell ref="CX152:CY152"/>
    <mergeCell ref="BL153:BM153"/>
    <mergeCell ref="BN153:BP153"/>
    <mergeCell ref="CI153:CK153"/>
    <mergeCell ref="CL153:CM153"/>
    <mergeCell ref="CP153:CR153"/>
    <mergeCell ref="CS153:CT153"/>
    <mergeCell ref="CW153:CY153"/>
    <mergeCell ref="CS155:CT155"/>
    <mergeCell ref="CW155:CX155"/>
    <mergeCell ref="CY155:DA155"/>
    <mergeCell ref="CB155:CC155"/>
    <mergeCell ref="BZ156:CB156"/>
    <mergeCell ref="CC159:CD159"/>
    <mergeCell ref="BY160:CA160"/>
    <mergeCell ref="CE161:CF161"/>
    <mergeCell ref="BH155:BI155"/>
    <mergeCell ref="BL155:BM155"/>
    <mergeCell ref="BO155:BR155"/>
    <mergeCell ref="CI155:CK155"/>
    <mergeCell ref="CL155:CM155"/>
    <mergeCell ref="CO155:CQ155"/>
    <mergeCell ref="BJ156:BK156"/>
    <mergeCell ref="CX160:CY160"/>
    <mergeCell ref="DA160:DB160"/>
    <mergeCell ref="BI157:BJ157"/>
    <mergeCell ref="BO157:BR157"/>
    <mergeCell ref="BI158:BJ158"/>
    <mergeCell ref="BO158:BR158"/>
    <mergeCell ref="BL159:BM159"/>
    <mergeCell ref="BO160:BR160"/>
    <mergeCell ref="BM161:BO161"/>
    <mergeCell ref="CJ163:CK163"/>
    <mergeCell ref="CL163:CM163"/>
    <mergeCell ref="CO163:CP163"/>
    <mergeCell ref="CT163:CU163"/>
    <mergeCell ref="CX163:CY163"/>
    <mergeCell ref="DA163:DB163"/>
    <mergeCell ref="DJ163:DK163"/>
    <mergeCell ref="CC164:CD164"/>
    <mergeCell ref="CJ164:CL164"/>
    <mergeCell ref="CO164:CQ164"/>
    <mergeCell ref="CT164:CU164"/>
    <mergeCell ref="CW164:CY164"/>
    <mergeCell ref="DH164:DI164"/>
    <mergeCell ref="DK164:DL164"/>
    <mergeCell ref="DM164:DN164"/>
    <mergeCell ref="DA165:DB165"/>
    <mergeCell ref="DI165:DJ165"/>
    <mergeCell ref="DM165:DN165"/>
    <mergeCell ref="CT165:CU165"/>
    <mergeCell ref="CT166:CU166"/>
    <mergeCell ref="CY166:CZ166"/>
    <mergeCell ref="DA166:DB166"/>
    <mergeCell ref="CX167:CY167"/>
    <mergeCell ref="CZ167:DB167"/>
    <mergeCell ref="BU164:BV164"/>
    <mergeCell ref="BW164:BY164"/>
    <mergeCell ref="CA165:CC165"/>
    <mergeCell ref="CJ165:CK165"/>
    <mergeCell ref="CL165:CM165"/>
    <mergeCell ref="CX165:CZ165"/>
    <mergeCell ref="CL166:CM166"/>
    <mergeCell ref="BQ166:BS166"/>
    <mergeCell ref="BM167:BO167"/>
    <mergeCell ref="CE167:CF167"/>
    <mergeCell ref="CI167:CJ167"/>
    <mergeCell ref="CL167:CM167"/>
    <mergeCell ref="CP167:CR167"/>
    <mergeCell ref="CS167:CT167"/>
    <mergeCell ref="BI163:BJ163"/>
    <mergeCell ref="BU163:BV163"/>
    <mergeCell ref="BW163:BX163"/>
    <mergeCell ref="BY163:CA163"/>
    <mergeCell ref="CC163:CD163"/>
    <mergeCell ref="CE163:CF163"/>
    <mergeCell ref="BL164:BM164"/>
    <mergeCell ref="DG168:DH168"/>
    <mergeCell ref="DM168:DO168"/>
    <mergeCell ref="BY166:CA166"/>
    <mergeCell ref="CB168:CC168"/>
    <mergeCell ref="CJ168:CK168"/>
    <mergeCell ref="CL168:CM168"/>
    <mergeCell ref="CP168:CQ168"/>
    <mergeCell ref="CS168:CT168"/>
    <mergeCell ref="DA168:DB168"/>
    <mergeCell ref="DG169:DI169"/>
    <mergeCell ref="DK169:DL169"/>
    <mergeCell ref="DN169:DO169"/>
    <mergeCell ref="CC169:CD169"/>
    <mergeCell ref="CH169:CI169"/>
    <mergeCell ref="CL169:CM169"/>
    <mergeCell ref="CO169:CQ169"/>
    <mergeCell ref="CT169:CU169"/>
    <mergeCell ref="CX169:CZ169"/>
    <mergeCell ref="DA169:DD169"/>
    <mergeCell ref="BO163:BR163"/>
    <mergeCell ref="BO164:BR164"/>
    <mergeCell ref="BI165:BJ165"/>
    <mergeCell ref="BO165:BR165"/>
    <mergeCell ref="BU166:BV166"/>
    <mergeCell ref="BW166:BX166"/>
    <mergeCell ref="BM168:BO168"/>
    <mergeCell ref="CW170:CY170"/>
    <mergeCell ref="DA170:DB170"/>
    <mergeCell ref="DH170:DI170"/>
    <mergeCell ref="DJ170:DL170"/>
    <mergeCell ref="DN170:DO170"/>
    <mergeCell ref="CZ174:DB174"/>
    <mergeCell ref="DH174:DI174"/>
    <mergeCell ref="CH175:CI175"/>
    <mergeCell ref="CJ175:CK175"/>
    <mergeCell ref="CL175:CM175"/>
    <mergeCell ref="CR175:CS175"/>
    <mergeCell ref="CW175:CY175"/>
    <mergeCell ref="DA175:DB175"/>
    <mergeCell ref="DH175:DJ175"/>
    <mergeCell ref="DM175:DO175"/>
    <mergeCell ref="CP173:CQ173"/>
    <mergeCell ref="CR173:CS173"/>
    <mergeCell ref="CV173:CW173"/>
    <mergeCell ref="CZ173:DA173"/>
    <mergeCell ref="CO174:CQ174"/>
    <mergeCell ref="CT174:CU174"/>
    <mergeCell ref="CX174:CY174"/>
    <mergeCell ref="CJ170:CL170"/>
    <mergeCell ref="CI171:CK171"/>
    <mergeCell ref="CI174:CK174"/>
    <mergeCell ref="CO171:CQ171"/>
    <mergeCell ref="CS171:CT171"/>
    <mergeCell ref="DA171:DB171"/>
    <mergeCell ref="DH171:DI171"/>
    <mergeCell ref="DN171:DO171"/>
    <mergeCell ref="CO170:CP170"/>
    <mergeCell ref="CJ172:CL172"/>
    <mergeCell ref="CO172:CQ172"/>
    <mergeCell ref="CS172:CT172"/>
    <mergeCell ref="CW172:CY172"/>
    <mergeCell ref="DA172:DB172"/>
    <mergeCell ref="DG172:DH172"/>
    <mergeCell ref="DM172:DO172"/>
    <mergeCell ref="CC170:CD170"/>
    <mergeCell ref="CB173:CC173"/>
    <mergeCell ref="BO174:BR174"/>
    <mergeCell ref="BS174:BT174"/>
    <mergeCell ref="DN174:DO174"/>
    <mergeCell ref="BU170:BV170"/>
    <mergeCell ref="BW170:BY170"/>
    <mergeCell ref="CR170:CS170"/>
    <mergeCell ref="CT170:CU170"/>
    <mergeCell ref="BO171:BR171"/>
    <mergeCell ref="BO172:BR172"/>
    <mergeCell ref="BN173:BO173"/>
    <mergeCell ref="CJ192:CK192"/>
    <mergeCell ref="CL192:CM192"/>
    <mergeCell ref="CH188:CI188"/>
    <mergeCell ref="CI189:CK189"/>
    <mergeCell ref="CB190:CC190"/>
    <mergeCell ref="CI190:CK190"/>
    <mergeCell ref="CE191:CF191"/>
    <mergeCell ref="CH191:CI191"/>
    <mergeCell ref="CL191:CM191"/>
    <mergeCell ref="CH194:CI194"/>
    <mergeCell ref="CH195:CI195"/>
    <mergeCell ref="BL196:BM196"/>
    <mergeCell ref="CK196:CL196"/>
    <mergeCell ref="CO196:CQ196"/>
    <mergeCell ref="BI197:BJ197"/>
    <mergeCell ref="CD197:CE197"/>
    <mergeCell ref="BO197:BR197"/>
    <mergeCell ref="BW197:BY197"/>
    <mergeCell ref="BZ198:CB198"/>
    <mergeCell ref="BO199:BR199"/>
    <mergeCell ref="BI200:BJ200"/>
    <mergeCell ref="BZ200:CB200"/>
    <mergeCell ref="CE200:CF200"/>
    <mergeCell ref="CC203:CD203"/>
    <mergeCell ref="CI203:CK203"/>
    <mergeCell ref="CO203:CQ203"/>
    <mergeCell ref="CS203:CT203"/>
    <mergeCell ref="CW203:CY203"/>
    <mergeCell ref="CZ203:DB203"/>
    <mergeCell ref="DH203:DI203"/>
    <mergeCell ref="CO204:CP204"/>
    <mergeCell ref="CT204:CU204"/>
    <mergeCell ref="CX204:CY204"/>
    <mergeCell ref="DA204:DB204"/>
    <mergeCell ref="CI205:CK205"/>
    <mergeCell ref="CO205:CQ205"/>
    <mergeCell ref="CX205:CZ205"/>
    <mergeCell ref="DH205:DI205"/>
    <mergeCell ref="DM205:DO205"/>
    <mergeCell ref="DH206:DI206"/>
    <mergeCell ref="DM206:DN206"/>
    <mergeCell ref="DA207:DB207"/>
    <mergeCell ref="CJ206:CL206"/>
    <mergeCell ref="CL207:CM207"/>
    <mergeCell ref="BO203:BR203"/>
    <mergeCell ref="BI204:BJ204"/>
    <mergeCell ref="BL204:BM204"/>
    <mergeCell ref="BO204:BR204"/>
    <mergeCell ref="CD204:CE204"/>
    <mergeCell ref="CL204:CM204"/>
    <mergeCell ref="BR205:BS205"/>
    <mergeCell ref="CR208:CS208"/>
    <mergeCell ref="CV208:CW208"/>
    <mergeCell ref="CZ208:DA208"/>
    <mergeCell ref="CT209:CU209"/>
    <mergeCell ref="CX209:CZ209"/>
    <mergeCell ref="DG209:DH209"/>
    <mergeCell ref="DM209:DN209"/>
    <mergeCell ref="BW204:BY204"/>
    <mergeCell ref="BX205:BY205"/>
    <mergeCell ref="CC206:CD206"/>
    <mergeCell ref="CO206:CQ206"/>
    <mergeCell ref="CX206:CZ206"/>
    <mergeCell ref="BZ207:CB207"/>
    <mergeCell ref="CA208:CC208"/>
    <mergeCell ref="CW210:CY210"/>
    <mergeCell ref="CZ210:DB210"/>
    <mergeCell ref="DH210:DI210"/>
    <mergeCell ref="CO210:CQ210"/>
    <mergeCell ref="CP211:CQ211"/>
    <mergeCell ref="CV211:CW211"/>
    <mergeCell ref="CZ211:DA211"/>
    <mergeCell ref="CZ212:DB212"/>
    <mergeCell ref="DG212:DH212"/>
    <mergeCell ref="DM212:DN212"/>
    <mergeCell ref="CW217:CY217"/>
    <mergeCell ref="DH217:DI217"/>
    <mergeCell ref="DN217:DO217"/>
    <mergeCell ref="CV216:CW216"/>
    <mergeCell ref="CV218:CW218"/>
    <mergeCell ref="CZ218:DA218"/>
    <mergeCell ref="CH176:CI176"/>
    <mergeCell ref="CO176:CQ176"/>
    <mergeCell ref="DA176:DB176"/>
    <mergeCell ref="DG176:DH176"/>
    <mergeCell ref="DN176:DO176"/>
    <mergeCell ref="BI177:BJ177"/>
    <mergeCell ref="CD177:CE177"/>
    <mergeCell ref="CH179:CI179"/>
    <mergeCell ref="CH181:CI181"/>
    <mergeCell ref="CJ181:CL181"/>
    <mergeCell ref="CH182:CI182"/>
    <mergeCell ref="CH183:CI183"/>
    <mergeCell ref="CK183:CL183"/>
    <mergeCell ref="CH184:CI184"/>
    <mergeCell ref="DH179:DI179"/>
    <mergeCell ref="DH181:DI181"/>
    <mergeCell ref="DG183:DH183"/>
    <mergeCell ref="DN183:DO183"/>
    <mergeCell ref="CB180:CC180"/>
    <mergeCell ref="CB182:CC182"/>
    <mergeCell ref="CB184:CC184"/>
    <mergeCell ref="CW180:CY180"/>
    <mergeCell ref="CV182:CW182"/>
    <mergeCell ref="CW183:CY183"/>
    <mergeCell ref="CZ183:DB183"/>
    <mergeCell ref="CW184:CX184"/>
    <mergeCell ref="CZ184:DA184"/>
    <mergeCell ref="CP182:CQ182"/>
    <mergeCell ref="CO183:CQ183"/>
    <mergeCell ref="CR183:CS183"/>
    <mergeCell ref="CP184:CQ184"/>
    <mergeCell ref="CJ176:CL176"/>
    <mergeCell ref="CI177:CK177"/>
    <mergeCell ref="CL178:CM178"/>
    <mergeCell ref="CR178:CS178"/>
    <mergeCell ref="CC179:CD179"/>
    <mergeCell ref="CJ179:CL179"/>
    <mergeCell ref="CP181:CS181"/>
    <mergeCell ref="DH199:DI199"/>
    <mergeCell ref="DN199:DO199"/>
    <mergeCell ref="CO197:CQ197"/>
    <mergeCell ref="CR197:CS197"/>
    <mergeCell ref="CX197:CZ197"/>
    <mergeCell ref="DH197:DI197"/>
    <mergeCell ref="DM197:DO197"/>
    <mergeCell ref="CZ198:DB198"/>
    <mergeCell ref="CY199:DA199"/>
    <mergeCell ref="CV177:CW177"/>
    <mergeCell ref="CZ177:DA177"/>
    <mergeCell ref="CW178:CY178"/>
    <mergeCell ref="DA178:DB178"/>
    <mergeCell ref="DH178:DI178"/>
    <mergeCell ref="DM178:DN178"/>
    <mergeCell ref="CO178:CQ178"/>
    <mergeCell ref="CO179:CQ179"/>
    <mergeCell ref="CX179:CY179"/>
    <mergeCell ref="CZ179:DB179"/>
    <mergeCell ref="DM179:DN179"/>
    <mergeCell ref="CZ181:DB181"/>
    <mergeCell ref="DN181:DO181"/>
    <mergeCell ref="CS194:CT194"/>
    <mergeCell ref="CV195:CW195"/>
    <mergeCell ref="CS196:CT196"/>
    <mergeCell ref="CW196:CY196"/>
    <mergeCell ref="DA196:DB196"/>
    <mergeCell ref="DG196:DI196"/>
    <mergeCell ref="DM196:DO196"/>
    <mergeCell ref="CB194:CC194"/>
    <mergeCell ref="CJ194:CL194"/>
    <mergeCell ref="CO194:CQ194"/>
    <mergeCell ref="CZ194:DB194"/>
    <mergeCell ref="DM194:DN194"/>
    <mergeCell ref="CB195:CC195"/>
    <mergeCell ref="CJ195:CK195"/>
    <mergeCell ref="CS199:CT199"/>
    <mergeCell ref="CV200:CW200"/>
    <mergeCell ref="DJ200:DK200"/>
    <mergeCell ref="DN200:DO200"/>
    <mergeCell ref="CV201:CW201"/>
    <mergeCell ref="CZ201:DA201"/>
    <mergeCell ref="CI196:CJ196"/>
    <mergeCell ref="CI197:CK197"/>
    <mergeCell ref="CL198:CM198"/>
    <mergeCell ref="CR198:CS198"/>
    <mergeCell ref="CJ199:CL199"/>
    <mergeCell ref="CJ200:CK200"/>
    <mergeCell ref="CL200:CM200"/>
    <mergeCell ref="BO200:BR200"/>
    <mergeCell ref="BM201:BN201"/>
    <mergeCell ref="BS201:BT201"/>
    <mergeCell ref="CB201:CC201"/>
    <mergeCell ref="CS210:CT210"/>
    <mergeCell ref="CS212:CT212"/>
    <mergeCell ref="CB214:CC214"/>
    <mergeCell ref="CO214:CQ214"/>
    <mergeCell ref="CR214:CS214"/>
    <mergeCell ref="CV214:CW214"/>
    <mergeCell ref="CZ214:DA214"/>
    <mergeCell ref="CO207:CQ207"/>
    <mergeCell ref="CO208:CQ208"/>
    <mergeCell ref="CL209:CM209"/>
    <mergeCell ref="CI210:CK210"/>
    <mergeCell ref="CL210:CM210"/>
    <mergeCell ref="CB211:CC211"/>
    <mergeCell ref="CL212:CM212"/>
    <mergeCell ref="BY213:BZ213"/>
    <mergeCell ref="CA213:CC213"/>
    <mergeCell ref="CL213:CM213"/>
    <mergeCell ref="CO213:CQ213"/>
    <mergeCell ref="CS213:CT213"/>
    <mergeCell ref="CX213:CY213"/>
    <mergeCell ref="CZ213:DB213"/>
    <mergeCell ref="CJ213:CK213"/>
    <mergeCell ref="CL215:CM215"/>
    <mergeCell ref="CO215:CQ215"/>
    <mergeCell ref="CS215:CT215"/>
    <mergeCell ref="CX215:CZ215"/>
    <mergeCell ref="DG215:DH215"/>
    <mergeCell ref="DM215:DN215"/>
    <mergeCell ref="BJ217:BK217"/>
    <mergeCell ref="BI218:BJ218"/>
    <mergeCell ref="BS218:BT218"/>
    <mergeCell ref="BO206:BR206"/>
    <mergeCell ref="BJ208:BK208"/>
    <mergeCell ref="BM210:BO210"/>
    <mergeCell ref="BI211:BJ211"/>
    <mergeCell ref="BJ215:BK215"/>
    <mergeCell ref="BI216:BJ216"/>
    <mergeCell ref="BS216:BT216"/>
    <mergeCell ref="CH216:CI216"/>
    <mergeCell ref="CH218:CI218"/>
    <mergeCell ref="CH215:CI215"/>
    <mergeCell ref="CB216:CC216"/>
    <mergeCell ref="CP216:CQ216"/>
    <mergeCell ref="CJ217:CL217"/>
    <mergeCell ref="CT217:CU217"/>
    <mergeCell ref="CC218:CD218"/>
    <mergeCell ref="CJ218:CK218"/>
    <mergeCell ref="AS242:AU242"/>
    <mergeCell ref="AT243:AV243"/>
    <mergeCell ref="AW243:AY243"/>
    <mergeCell ref="AS244:AT244"/>
    <mergeCell ref="AY244:BA244"/>
    <mergeCell ref="AS245:AT245"/>
    <mergeCell ref="AS246:AU246"/>
    <mergeCell ref="AS247:AU247"/>
    <mergeCell ref="AV248:AX248"/>
    <mergeCell ref="AS249:AU249"/>
    <mergeCell ref="AX249:AZ249"/>
    <mergeCell ref="AS250:AU250"/>
    <mergeCell ref="AV250:AW250"/>
    <mergeCell ref="AY250:BA250"/>
    <mergeCell ref="AU225:AV225"/>
    <mergeCell ref="AX225:AZ225"/>
    <mergeCell ref="AY226:BA226"/>
    <mergeCell ref="AY228:BA228"/>
    <mergeCell ref="AS218:AU218"/>
    <mergeCell ref="AT219:AV219"/>
    <mergeCell ref="AS221:AU221"/>
    <mergeCell ref="AW221:AY221"/>
    <mergeCell ref="AS224:AU224"/>
    <mergeCell ref="AX224:AY224"/>
    <mergeCell ref="AS225:AT225"/>
    <mergeCell ref="AU235:AW235"/>
    <mergeCell ref="AW236:AY236"/>
    <mergeCell ref="AY238:BA238"/>
    <mergeCell ref="AW239:AY239"/>
    <mergeCell ref="AS228:AU228"/>
    <mergeCell ref="AS230:AU230"/>
    <mergeCell ref="AV230:AX230"/>
    <mergeCell ref="AS231:AU231"/>
    <mergeCell ref="AV232:AW232"/>
    <mergeCell ref="AX232:AZ232"/>
    <mergeCell ref="AU234:AW234"/>
    <mergeCell ref="AS233:AT233"/>
    <mergeCell ref="AS235:AT235"/>
    <mergeCell ref="AS236:AU236"/>
    <mergeCell ref="AS238:AU238"/>
    <mergeCell ref="AS239:AU239"/>
    <mergeCell ref="AS240:AU240"/>
    <mergeCell ref="AS241:AU241"/>
    <mergeCell ref="AW246:AX246"/>
    <mergeCell ref="AY246:BA246"/>
    <mergeCell ref="AS251:AU251"/>
    <mergeCell ref="AV251:AX251"/>
    <mergeCell ref="AH105:AI105"/>
    <mergeCell ref="AH106:AI106"/>
    <mergeCell ref="AH108:AI108"/>
    <mergeCell ref="AH109:AI109"/>
    <mergeCell ref="AH110:AI110"/>
    <mergeCell ref="AH111:AI111"/>
    <mergeCell ref="AH112:AI112"/>
    <mergeCell ref="AH113:AI113"/>
    <mergeCell ref="AH114:AI114"/>
    <mergeCell ref="AS114:AT114"/>
    <mergeCell ref="AX114:AZ114"/>
    <mergeCell ref="BA115:BB115"/>
    <mergeCell ref="AZ116:BA116"/>
    <mergeCell ref="AS118:AU118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15:AI115"/>
    <mergeCell ref="AH116:AI116"/>
    <mergeCell ref="AH117:AI117"/>
    <mergeCell ref="AH118:AI118"/>
    <mergeCell ref="AH119:AI119"/>
    <mergeCell ref="AH120:AI120"/>
    <mergeCell ref="AH121:AI121"/>
    <mergeCell ref="AY123:BA123"/>
    <mergeCell ref="AY124:BA124"/>
    <mergeCell ref="AS120:AU120"/>
    <mergeCell ref="AY120:BA120"/>
    <mergeCell ref="AZ121:BB121"/>
    <mergeCell ref="AZ122:BA122"/>
    <mergeCell ref="AS123:AU123"/>
    <mergeCell ref="AW123:AX123"/>
    <mergeCell ref="AS124:AU124"/>
    <mergeCell ref="AS130:AT130"/>
    <mergeCell ref="AW130:AY130"/>
    <mergeCell ref="BB130:BC130"/>
    <mergeCell ref="AW128:AY128"/>
    <mergeCell ref="AW129:AY129"/>
    <mergeCell ref="AS125:AU125"/>
    <mergeCell ref="AV125:AW125"/>
    <mergeCell ref="AX125:AZ125"/>
    <mergeCell ref="AV126:AX126"/>
    <mergeCell ref="AV127:AX127"/>
    <mergeCell ref="AS128:AU128"/>
    <mergeCell ref="AS129:AU129"/>
    <mergeCell ref="AS131:AT131"/>
    <mergeCell ref="AY131:AZ131"/>
    <mergeCell ref="BB131:BC131"/>
    <mergeCell ref="AS132:AU132"/>
    <mergeCell ref="AX132:AZ132"/>
    <mergeCell ref="AZ133:BA133"/>
    <mergeCell ref="BB133:BD133"/>
    <mergeCell ref="BE135:BF135"/>
    <mergeCell ref="BG136:BH136"/>
    <mergeCell ref="BB135:BC135"/>
    <mergeCell ref="BB137:BC137"/>
    <mergeCell ref="BB142:BC142"/>
    <mergeCell ref="AT134:AV134"/>
    <mergeCell ref="AW134:AY134"/>
    <mergeCell ref="BB134:BC134"/>
    <mergeCell ref="AS135:AT135"/>
    <mergeCell ref="AY135:AZ135"/>
    <mergeCell ref="AW136:AY136"/>
    <mergeCell ref="AS137:AU137"/>
    <mergeCell ref="AS138:AU138"/>
    <mergeCell ref="BA138:BB138"/>
    <mergeCell ref="AS139:AU139"/>
    <mergeCell ref="AX139:AZ139"/>
    <mergeCell ref="BG139:BH139"/>
    <mergeCell ref="AV140:AX140"/>
    <mergeCell ref="AZ140:BA140"/>
    <mergeCell ref="AS155:AU155"/>
    <mergeCell ref="AS156:AU156"/>
    <mergeCell ref="AV157:AX157"/>
    <mergeCell ref="AY157:BA157"/>
    <mergeCell ref="AS158:AU158"/>
    <mergeCell ref="AX158:AZ158"/>
    <mergeCell ref="BG158:BH158"/>
    <mergeCell ref="AV158:AW158"/>
    <mergeCell ref="AV159:AX159"/>
    <mergeCell ref="AS160:AU160"/>
    <mergeCell ref="BG160:BH160"/>
    <mergeCell ref="AT163:AV163"/>
    <mergeCell ref="BB163:BC163"/>
    <mergeCell ref="BE163:BF163"/>
    <mergeCell ref="BE166:BH166"/>
    <mergeCell ref="BG167:BH167"/>
    <mergeCell ref="AZ168:BB168"/>
    <mergeCell ref="BG168:BH168"/>
    <mergeCell ref="AW163:AX163"/>
    <mergeCell ref="AV164:AX164"/>
    <mergeCell ref="AY164:BA164"/>
    <mergeCell ref="AY165:BA165"/>
    <mergeCell ref="BG165:BH165"/>
    <mergeCell ref="BA166:BB166"/>
    <mergeCell ref="AX167:AZ167"/>
    <mergeCell ref="BB184:BC184"/>
    <mergeCell ref="BB188:BD188"/>
    <mergeCell ref="BG179:BH179"/>
    <mergeCell ref="BG180:BH180"/>
    <mergeCell ref="BG181:BH181"/>
    <mergeCell ref="BB182:BD182"/>
    <mergeCell ref="BG183:BH183"/>
    <mergeCell ref="BH186:BI186"/>
    <mergeCell ref="BH187:BI187"/>
    <mergeCell ref="BG195:BH195"/>
    <mergeCell ref="BG198:BH198"/>
    <mergeCell ref="BH199:BI199"/>
    <mergeCell ref="BG203:BH203"/>
    <mergeCell ref="BE204:BF204"/>
    <mergeCell ref="BF205:BG205"/>
    <mergeCell ref="BB208:BD208"/>
    <mergeCell ref="BG207:BH207"/>
    <mergeCell ref="BH208:BI208"/>
    <mergeCell ref="BG209:BH209"/>
    <mergeCell ref="BG210:BH210"/>
    <mergeCell ref="BG213:BH213"/>
    <mergeCell ref="BG215:BH215"/>
    <mergeCell ref="BG217:BH217"/>
    <mergeCell ref="BG221:BH221"/>
    <mergeCell ref="BB214:BC214"/>
    <mergeCell ref="BB219:BD219"/>
    <mergeCell ref="BE219:BH219"/>
    <mergeCell ref="BI219:BJ219"/>
    <mergeCell ref="BE223:BH223"/>
    <mergeCell ref="AZ224:BE224"/>
    <mergeCell ref="BG224:BH224"/>
    <mergeCell ref="BH225:BI225"/>
    <mergeCell ref="BI226:BJ226"/>
    <mergeCell ref="BE227:BH227"/>
    <mergeCell ref="BG228:BH228"/>
    <mergeCell ref="BB229:BD229"/>
    <mergeCell ref="BG230:BH230"/>
    <mergeCell ref="AZ231:BE231"/>
    <mergeCell ref="BG231:BH231"/>
    <mergeCell ref="BI231:BJ231"/>
    <mergeCell ref="BG232:BH232"/>
    <mergeCell ref="BG233:BH233"/>
    <mergeCell ref="BB235:BC235"/>
    <mergeCell ref="BG235:BH235"/>
    <mergeCell ref="BH236:BI236"/>
    <mergeCell ref="BA237:BB237"/>
    <mergeCell ref="BE237:BH237"/>
    <mergeCell ref="BG238:BH238"/>
    <mergeCell ref="BG239:BH239"/>
    <mergeCell ref="BG240:BH240"/>
    <mergeCell ref="AZ241:BC241"/>
    <mergeCell ref="BG241:BH241"/>
    <mergeCell ref="BG247:BH247"/>
    <mergeCell ref="BH249:BI249"/>
    <mergeCell ref="BG242:BH242"/>
    <mergeCell ref="BG243:BH243"/>
    <mergeCell ref="BH244:BI244"/>
    <mergeCell ref="BB245:BC245"/>
    <mergeCell ref="BG245:BH245"/>
    <mergeCell ref="BI245:BJ245"/>
    <mergeCell ref="BG246:BH246"/>
    <mergeCell ref="AS189:AU189"/>
    <mergeCell ref="AS190:AU190"/>
    <mergeCell ref="AW190:AY190"/>
    <mergeCell ref="BA191:BB191"/>
    <mergeCell ref="AT192:AV192"/>
    <mergeCell ref="AY192:BA192"/>
    <mergeCell ref="AS194:AU194"/>
    <mergeCell ref="AV194:AX194"/>
    <mergeCell ref="AW195:AY195"/>
    <mergeCell ref="BA195:BB195"/>
    <mergeCell ref="AU196:AW196"/>
    <mergeCell ref="AX196:AZ196"/>
    <mergeCell ref="AV197:AW197"/>
    <mergeCell ref="AY197:BA197"/>
    <mergeCell ref="AV203:AW203"/>
    <mergeCell ref="AX203:AZ203"/>
    <mergeCell ref="AS196:AT196"/>
    <mergeCell ref="AS198:AU198"/>
    <mergeCell ref="AS199:AU199"/>
    <mergeCell ref="AS200:AU200"/>
    <mergeCell ref="AW201:AX201"/>
    <mergeCell ref="BB201:BC201"/>
    <mergeCell ref="AS203:AU203"/>
    <mergeCell ref="BB204:BC204"/>
    <mergeCell ref="BA205:BB205"/>
    <mergeCell ref="AS206:AU206"/>
    <mergeCell ref="AV206:AX206"/>
    <mergeCell ref="AS207:AU207"/>
    <mergeCell ref="AS208:AU208"/>
    <mergeCell ref="AS209:AU209"/>
    <mergeCell ref="AS210:AT210"/>
    <mergeCell ref="AU210:AW210"/>
    <mergeCell ref="AX210:AZ210"/>
    <mergeCell ref="AS211:AT211"/>
    <mergeCell ref="BB211:BC211"/>
    <mergeCell ref="AS212:AU212"/>
    <mergeCell ref="AX212:AZ212"/>
    <mergeCell ref="AT215:AV215"/>
    <mergeCell ref="AW215:AY215"/>
    <mergeCell ref="AS216:AU216"/>
    <mergeCell ref="BB216:BC216"/>
    <mergeCell ref="AT217:AV217"/>
    <mergeCell ref="AW217:AY217"/>
    <mergeCell ref="BB218:BC2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27" t="s">
        <v>14</v>
      </c>
      <c r="C2" s="28"/>
      <c r="D2" s="28"/>
      <c r="E2" s="28"/>
      <c r="F2" s="28"/>
      <c r="G2" s="28"/>
      <c r="H2" s="29"/>
    </row>
    <row r="3">
      <c r="B3" s="30"/>
      <c r="C3" s="31"/>
      <c r="D3" s="31"/>
      <c r="E3" s="31"/>
      <c r="F3" s="31"/>
      <c r="G3" s="31"/>
      <c r="H3" s="32"/>
    </row>
    <row r="4">
      <c r="A4" s="33" t="s">
        <v>2265</v>
      </c>
      <c r="B4" s="34" t="s">
        <v>1865</v>
      </c>
      <c r="C4" s="34" t="s">
        <v>920</v>
      </c>
      <c r="D4" s="34" t="s">
        <v>362</v>
      </c>
      <c r="E4" s="34" t="s">
        <v>244</v>
      </c>
      <c r="F4" s="34" t="s">
        <v>125</v>
      </c>
      <c r="G4" s="34" t="s">
        <v>142</v>
      </c>
      <c r="H4" s="34" t="s">
        <v>153</v>
      </c>
    </row>
    <row r="5">
      <c r="A5" s="33" t="s">
        <v>2266</v>
      </c>
      <c r="B5" s="35"/>
      <c r="C5" s="35"/>
      <c r="D5" s="36">
        <v>1.0</v>
      </c>
      <c r="E5" s="36">
        <v>4.0</v>
      </c>
      <c r="F5" s="36">
        <v>8.0</v>
      </c>
      <c r="G5" s="36">
        <v>6.0</v>
      </c>
      <c r="H5" s="36">
        <v>42.0</v>
      </c>
    </row>
    <row r="6">
      <c r="A6" s="33" t="s">
        <v>606</v>
      </c>
      <c r="B6" s="36">
        <v>1.0</v>
      </c>
      <c r="C6" s="36">
        <v>2.0</v>
      </c>
      <c r="D6" s="36">
        <v>1.0</v>
      </c>
      <c r="E6" s="36">
        <v>7.0</v>
      </c>
      <c r="F6" s="36">
        <v>20.0</v>
      </c>
      <c r="G6" s="36">
        <v>57.0</v>
      </c>
      <c r="H6" s="36">
        <v>193.0</v>
      </c>
    </row>
    <row r="7">
      <c r="A7" s="33" t="s">
        <v>1875</v>
      </c>
      <c r="B7" s="35"/>
      <c r="C7" s="35"/>
      <c r="D7" s="35"/>
      <c r="E7" s="36">
        <v>2.0</v>
      </c>
      <c r="F7" s="36">
        <v>8.0</v>
      </c>
      <c r="G7" s="36">
        <v>18.0</v>
      </c>
      <c r="H7" s="36">
        <v>38.0</v>
      </c>
    </row>
    <row r="8">
      <c r="A8" s="33" t="s">
        <v>2267</v>
      </c>
      <c r="B8" s="37">
        <f t="shared" ref="B8:H8" si="1">SUM(B5:B7)</f>
        <v>1</v>
      </c>
      <c r="C8" s="37">
        <f t="shared" si="1"/>
        <v>2</v>
      </c>
      <c r="D8" s="37">
        <f t="shared" si="1"/>
        <v>2</v>
      </c>
      <c r="E8" s="37">
        <f t="shared" si="1"/>
        <v>13</v>
      </c>
      <c r="F8" s="37">
        <f t="shared" si="1"/>
        <v>36</v>
      </c>
      <c r="G8" s="37">
        <f t="shared" si="1"/>
        <v>81</v>
      </c>
      <c r="H8" s="37">
        <f t="shared" si="1"/>
        <v>273</v>
      </c>
    </row>
    <row r="11">
      <c r="A11" s="34"/>
      <c r="B11" s="38" t="s">
        <v>14</v>
      </c>
    </row>
    <row r="12" ht="24.0" customHeight="1">
      <c r="A12" s="34"/>
      <c r="B12" s="34" t="s">
        <v>1865</v>
      </c>
      <c r="C12" s="34" t="s">
        <v>920</v>
      </c>
      <c r="D12" s="34" t="s">
        <v>362</v>
      </c>
      <c r="E12" s="34" t="s">
        <v>244</v>
      </c>
      <c r="F12" s="34" t="s">
        <v>125</v>
      </c>
      <c r="G12" s="34" t="s">
        <v>142</v>
      </c>
      <c r="H12" s="34" t="s">
        <v>153</v>
      </c>
    </row>
    <row r="13" ht="21.75" customHeight="1">
      <c r="A13" s="34" t="s">
        <v>2268</v>
      </c>
      <c r="B13" s="39">
        <f t="shared" ref="B13:H13" si="2">B8/408</f>
        <v>0.002450980392</v>
      </c>
      <c r="C13" s="39">
        <f t="shared" si="2"/>
        <v>0.004901960784</v>
      </c>
      <c r="D13" s="39">
        <f t="shared" si="2"/>
        <v>0.004901960784</v>
      </c>
      <c r="E13" s="39">
        <f t="shared" si="2"/>
        <v>0.0318627451</v>
      </c>
      <c r="F13" s="39">
        <f t="shared" si="2"/>
        <v>0.08823529412</v>
      </c>
      <c r="G13" s="39">
        <f t="shared" si="2"/>
        <v>0.1985294118</v>
      </c>
      <c r="H13" s="39">
        <f t="shared" si="2"/>
        <v>0.6691176471</v>
      </c>
      <c r="I13" s="40" t="s">
        <v>2269</v>
      </c>
    </row>
  </sheetData>
  <mergeCells count="2">
    <mergeCell ref="B2:H3"/>
    <mergeCell ref="B11:H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5.75"/>
    <col customWidth="1" min="2" max="2" width="10.25"/>
    <col customWidth="1" min="3" max="3" width="12.88"/>
    <col customWidth="1" min="4" max="151" width="8.63"/>
  </cols>
  <sheetData>
    <row r="1" ht="14.25" customHeight="1">
      <c r="A1" s="41"/>
      <c r="B1" s="42" t="s">
        <v>7</v>
      </c>
      <c r="C1" s="29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</row>
    <row r="2" ht="14.25" customHeight="1">
      <c r="A2" s="44"/>
      <c r="B2" s="30"/>
      <c r="C2" s="32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</row>
    <row r="3" ht="14.25" customHeight="1">
      <c r="A3" s="45"/>
      <c r="B3" s="46" t="s">
        <v>34</v>
      </c>
      <c r="C3" s="46" t="s">
        <v>35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</row>
    <row r="4" ht="14.25" customHeight="1">
      <c r="A4" s="47" t="s">
        <v>2270</v>
      </c>
      <c r="B4" s="35">
        <v>31.0</v>
      </c>
      <c r="C4" s="35">
        <v>33.0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</row>
    <row r="5" ht="14.25" customHeight="1">
      <c r="A5" s="48" t="s">
        <v>547</v>
      </c>
      <c r="B5" s="35">
        <v>141.0</v>
      </c>
      <c r="C5" s="35">
        <v>149.0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</row>
    <row r="6" ht="14.25" customHeight="1">
      <c r="A6" s="48" t="s">
        <v>1875</v>
      </c>
      <c r="B6" s="35">
        <v>37.0</v>
      </c>
      <c r="C6" s="35">
        <v>33.0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</row>
    <row r="7" ht="14.25" customHeight="1">
      <c r="A7" s="49" t="s">
        <v>2271</v>
      </c>
      <c r="B7" s="37">
        <f t="shared" ref="B7:C7" si="1">SUM(B4:B6)</f>
        <v>209</v>
      </c>
      <c r="C7" s="37">
        <f t="shared" si="1"/>
        <v>215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</row>
    <row r="8" ht="14.2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50"/>
      <c r="EU8" s="50"/>
    </row>
    <row r="9" ht="14.2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50"/>
      <c r="EU9" s="50"/>
    </row>
    <row r="10" ht="14.25" customHeight="1">
      <c r="A10" s="51" t="s">
        <v>7</v>
      </c>
      <c r="B10" s="22"/>
      <c r="C10" s="2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50"/>
      <c r="EU10" s="50"/>
    </row>
    <row r="11" ht="14.25" customHeight="1">
      <c r="A11" s="35"/>
      <c r="B11" s="52" t="s">
        <v>34</v>
      </c>
      <c r="C11" s="52" t="s">
        <v>35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50"/>
      <c r="EU11" s="50"/>
    </row>
    <row r="12" ht="14.25" customHeight="1">
      <c r="A12" s="48" t="s">
        <v>2272</v>
      </c>
      <c r="B12" s="53">
        <f t="shared" ref="B12:C12" si="2">B7/424*100</f>
        <v>49.29245283</v>
      </c>
      <c r="C12" s="53">
        <f t="shared" si="2"/>
        <v>50.70754717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50"/>
      <c r="EU12" s="50"/>
    </row>
    <row r="13" ht="14.2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50"/>
      <c r="EU13" s="50"/>
    </row>
    <row r="14" ht="14.2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50"/>
      <c r="EU14" s="50"/>
    </row>
    <row r="15" ht="14.2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50"/>
      <c r="EU15" s="50"/>
    </row>
    <row r="16" ht="14.2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50"/>
      <c r="EU16" s="50"/>
    </row>
    <row r="17" ht="14.2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50"/>
      <c r="EU17" s="50"/>
    </row>
    <row r="18" ht="14.2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50"/>
      <c r="EU18" s="50"/>
    </row>
    <row r="19" ht="14.2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50"/>
      <c r="EU19" s="50"/>
    </row>
    <row r="20" ht="14.2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50"/>
      <c r="EU20" s="50"/>
    </row>
    <row r="21" ht="14.2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50"/>
      <c r="EU21" s="50"/>
    </row>
    <row r="22" ht="14.2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50"/>
      <c r="EU22" s="50"/>
    </row>
    <row r="23" ht="14.2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50"/>
      <c r="EU23" s="50"/>
    </row>
    <row r="24" ht="14.2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50"/>
      <c r="EU24" s="50"/>
    </row>
    <row r="25" ht="14.2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50"/>
      <c r="EU25" s="50"/>
    </row>
    <row r="26" ht="14.2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50"/>
      <c r="EU26" s="50"/>
    </row>
    <row r="27" ht="14.2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50"/>
      <c r="EU27" s="50"/>
    </row>
    <row r="28" ht="14.2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50"/>
      <c r="EU28" s="50"/>
    </row>
    <row r="29" ht="14.2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50"/>
      <c r="EU29" s="50"/>
    </row>
    <row r="30" ht="14.2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50"/>
      <c r="EU30" s="50"/>
    </row>
    <row r="31" ht="14.2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50"/>
      <c r="EU31" s="50"/>
    </row>
    <row r="32" ht="14.2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50"/>
      <c r="EU32" s="50"/>
    </row>
    <row r="33" ht="14.2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50"/>
      <c r="EU33" s="50"/>
    </row>
    <row r="34" ht="14.2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50"/>
      <c r="EU34" s="50"/>
    </row>
    <row r="35" ht="14.2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50"/>
      <c r="EU35" s="50"/>
    </row>
    <row r="36" ht="14.2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50"/>
      <c r="EU36" s="50"/>
    </row>
    <row r="37" ht="14.2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50"/>
      <c r="EU37" s="50"/>
    </row>
    <row r="38" ht="14.2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50"/>
      <c r="EU38" s="50"/>
    </row>
    <row r="39" ht="14.2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50"/>
      <c r="EU39" s="50"/>
    </row>
    <row r="40" ht="14.2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50"/>
      <c r="EU40" s="50"/>
    </row>
    <row r="41" ht="14.2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50"/>
      <c r="EU41" s="50"/>
    </row>
    <row r="42" ht="14.2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50"/>
      <c r="EU42" s="50"/>
    </row>
    <row r="43" ht="14.2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50"/>
      <c r="EU43" s="50"/>
    </row>
    <row r="44" ht="14.2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50"/>
      <c r="EU44" s="50"/>
    </row>
    <row r="45" ht="14.2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50"/>
      <c r="EU45" s="50"/>
    </row>
    <row r="46" ht="14.2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50"/>
      <c r="EU46" s="50"/>
    </row>
    <row r="47" ht="14.2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50"/>
      <c r="EU47" s="50"/>
    </row>
    <row r="48" ht="14.2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50"/>
      <c r="EU48" s="50"/>
    </row>
    <row r="49" ht="14.2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50"/>
      <c r="EU49" s="50"/>
    </row>
    <row r="50" ht="14.2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50"/>
      <c r="EU50" s="50"/>
    </row>
    <row r="51" ht="14.2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50"/>
      <c r="EU51" s="50"/>
    </row>
    <row r="52" ht="14.2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50"/>
      <c r="EU52" s="50"/>
    </row>
    <row r="53" ht="14.2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50"/>
      <c r="EU53" s="50"/>
    </row>
    <row r="54" ht="14.2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50"/>
      <c r="EU54" s="50"/>
    </row>
    <row r="55" ht="14.2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50"/>
      <c r="EU55" s="50"/>
    </row>
    <row r="56" ht="14.2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50"/>
      <c r="EU56" s="50"/>
    </row>
    <row r="57" ht="14.2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50"/>
      <c r="EU57" s="50"/>
    </row>
    <row r="58" ht="14.2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50"/>
      <c r="EU58" s="50"/>
    </row>
    <row r="59" ht="14.2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50"/>
      <c r="EU59" s="50"/>
    </row>
    <row r="60" ht="14.2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50"/>
      <c r="EU60" s="50"/>
    </row>
    <row r="61" ht="14.2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50"/>
      <c r="EU61" s="50"/>
    </row>
    <row r="62" ht="14.2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50"/>
      <c r="EU62" s="50"/>
    </row>
    <row r="63" ht="14.2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50"/>
      <c r="EU63" s="50"/>
    </row>
    <row r="64" ht="14.2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50"/>
      <c r="EU64" s="50"/>
    </row>
    <row r="65" ht="14.2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50"/>
      <c r="EU65" s="50"/>
    </row>
    <row r="66" ht="14.2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50"/>
      <c r="EU66" s="50"/>
    </row>
    <row r="67" ht="14.2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50"/>
      <c r="EU67" s="50"/>
    </row>
    <row r="68" ht="14.2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50"/>
      <c r="EU68" s="50"/>
    </row>
    <row r="69" ht="14.2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50"/>
      <c r="EU69" s="50"/>
    </row>
    <row r="70" ht="14.2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50"/>
      <c r="EU70" s="50"/>
    </row>
    <row r="71" ht="14.2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50"/>
      <c r="EU71" s="50"/>
    </row>
    <row r="72" ht="14.2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50"/>
      <c r="EU72" s="50"/>
    </row>
    <row r="73" ht="14.2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50"/>
      <c r="EU73" s="50"/>
    </row>
    <row r="74" ht="14.2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50"/>
      <c r="EU74" s="50"/>
    </row>
    <row r="75" ht="14.2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50"/>
      <c r="EU75" s="50"/>
    </row>
    <row r="76" ht="14.2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50"/>
      <c r="EU76" s="50"/>
    </row>
    <row r="77" ht="14.2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50"/>
      <c r="EU77" s="50"/>
    </row>
    <row r="78" ht="14.2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50"/>
      <c r="EU78" s="50"/>
    </row>
    <row r="79" ht="14.2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50"/>
      <c r="EU79" s="50"/>
    </row>
    <row r="80" ht="14.2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50"/>
      <c r="EU80" s="50"/>
    </row>
    <row r="81" ht="14.2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50"/>
      <c r="EU81" s="50"/>
    </row>
    <row r="82" ht="14.2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50"/>
      <c r="EU82" s="50"/>
    </row>
    <row r="83" ht="14.2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50"/>
      <c r="EU83" s="50"/>
    </row>
    <row r="84" ht="14.2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50"/>
      <c r="EU84" s="50"/>
    </row>
    <row r="85" ht="14.2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50"/>
      <c r="EU85" s="50"/>
    </row>
    <row r="86" ht="14.2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50"/>
      <c r="EU86" s="50"/>
    </row>
    <row r="87" ht="14.2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50"/>
      <c r="EU87" s="50"/>
    </row>
    <row r="88" ht="14.2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50"/>
      <c r="EU88" s="50"/>
    </row>
    <row r="89" ht="14.2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50"/>
      <c r="EU89" s="50"/>
    </row>
    <row r="90" ht="14.2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50"/>
      <c r="EU90" s="50"/>
    </row>
    <row r="91" ht="14.2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50"/>
      <c r="EU91" s="50"/>
    </row>
    <row r="92" ht="14.2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50"/>
      <c r="EU92" s="50"/>
    </row>
    <row r="93" ht="14.2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50"/>
      <c r="EU93" s="50"/>
    </row>
    <row r="94" ht="14.2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50"/>
      <c r="EU94" s="50"/>
    </row>
    <row r="95" ht="14.2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50"/>
      <c r="EU95" s="50"/>
    </row>
    <row r="96" ht="14.2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50"/>
      <c r="EU96" s="50"/>
    </row>
    <row r="97" ht="14.2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50"/>
      <c r="EU97" s="50"/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50"/>
      <c r="EU98" s="50"/>
    </row>
    <row r="99" ht="14.2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50"/>
      <c r="EU99" s="50"/>
    </row>
    <row r="100" ht="14.2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50"/>
      <c r="EU100" s="50"/>
    </row>
    <row r="101" ht="14.2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50"/>
      <c r="EU101" s="50"/>
    </row>
    <row r="102" ht="14.2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50"/>
      <c r="EU102" s="50"/>
    </row>
    <row r="103" ht="14.2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50"/>
      <c r="EU103" s="50"/>
    </row>
    <row r="104" ht="14.2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50"/>
      <c r="EU104" s="50"/>
    </row>
    <row r="105" ht="14.2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50"/>
      <c r="EU105" s="50"/>
    </row>
    <row r="106" ht="14.2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50"/>
      <c r="EU106" s="50"/>
    </row>
    <row r="107" ht="14.2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50"/>
      <c r="EU107" s="50"/>
    </row>
    <row r="108" ht="14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50"/>
      <c r="EU108" s="50"/>
    </row>
    <row r="109" ht="14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50"/>
      <c r="EU109" s="50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50"/>
      <c r="EU110" s="50"/>
    </row>
    <row r="111" ht="14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50"/>
      <c r="EU111" s="50"/>
    </row>
    <row r="112" ht="14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50"/>
      <c r="EU112" s="50"/>
    </row>
    <row r="113" ht="14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50"/>
      <c r="EU113" s="50"/>
    </row>
    <row r="114" ht="14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50"/>
      <c r="EU114" s="50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50"/>
      <c r="EU115" s="50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50"/>
      <c r="EU116" s="50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50"/>
      <c r="EU117" s="50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50"/>
      <c r="EU118" s="50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50"/>
      <c r="EU119" s="50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50"/>
      <c r="EU120" s="50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50"/>
      <c r="EU121" s="50"/>
    </row>
    <row r="122" ht="14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50"/>
      <c r="EU122" s="50"/>
    </row>
    <row r="123" ht="14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50"/>
      <c r="EU123" s="50"/>
    </row>
    <row r="124" ht="14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50"/>
      <c r="EU124" s="50"/>
    </row>
    <row r="125" ht="14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50"/>
      <c r="EU125" s="50"/>
    </row>
    <row r="126" ht="14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50"/>
      <c r="EU126" s="50"/>
    </row>
    <row r="127" ht="14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50"/>
      <c r="EU127" s="50"/>
    </row>
    <row r="128" ht="14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50"/>
      <c r="EU128" s="50"/>
    </row>
    <row r="129" ht="14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50"/>
      <c r="EU129" s="50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50"/>
      <c r="EU130" s="50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50"/>
      <c r="EU131" s="50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50"/>
      <c r="EU132" s="50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50"/>
      <c r="EU133" s="50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50"/>
      <c r="EU134" s="50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50"/>
      <c r="EU135" s="50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50"/>
      <c r="EU136" s="50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50"/>
      <c r="EU137" s="50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50"/>
      <c r="EU138" s="50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50"/>
      <c r="EU139" s="50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50"/>
      <c r="EU140" s="50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50"/>
      <c r="EU141" s="50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50"/>
      <c r="EU142" s="50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50"/>
      <c r="EU143" s="50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50"/>
      <c r="EU144" s="50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50"/>
      <c r="EU145" s="50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50"/>
      <c r="EU146" s="50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50"/>
      <c r="EU147" s="50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50"/>
      <c r="EU148" s="50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50"/>
      <c r="EU149" s="50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50"/>
      <c r="EU150" s="50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50"/>
      <c r="EU151" s="50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50"/>
      <c r="EU152" s="50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50"/>
      <c r="EU153" s="50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50"/>
      <c r="EU154" s="50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50"/>
      <c r="EU155" s="50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50"/>
      <c r="EU156" s="50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50"/>
      <c r="EU157" s="50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50"/>
      <c r="EU158" s="50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50"/>
      <c r="EU159" s="50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50"/>
      <c r="EU160" s="50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50"/>
      <c r="EU161" s="50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50"/>
      <c r="EU162" s="50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50"/>
      <c r="EU163" s="50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50"/>
      <c r="EU164" s="50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50"/>
      <c r="EU165" s="50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50"/>
      <c r="EU166" s="50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50"/>
      <c r="EU167" s="50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50"/>
      <c r="EU168" s="50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50"/>
      <c r="EU169" s="50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50"/>
      <c r="EU170" s="50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50"/>
      <c r="EU171" s="50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50"/>
      <c r="EU172" s="50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50"/>
      <c r="EU173" s="50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50"/>
      <c r="EU174" s="50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50"/>
      <c r="EU175" s="50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50"/>
      <c r="EU176" s="50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50"/>
      <c r="EU177" s="50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50"/>
      <c r="EU178" s="50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50"/>
      <c r="EU179" s="50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50"/>
      <c r="EU180" s="50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50"/>
      <c r="EU181" s="50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50"/>
      <c r="EU182" s="50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50"/>
      <c r="EU183" s="50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/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  <c r="EL184" s="43"/>
      <c r="EM184" s="43"/>
      <c r="EN184" s="43"/>
      <c r="EO184" s="43"/>
      <c r="EP184" s="43"/>
      <c r="EQ184" s="43"/>
      <c r="ER184" s="43"/>
      <c r="ES184" s="43"/>
      <c r="ET184" s="50"/>
      <c r="EU184" s="50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/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  <c r="EL185" s="43"/>
      <c r="EM185" s="43"/>
      <c r="EN185" s="43"/>
      <c r="EO185" s="43"/>
      <c r="EP185" s="43"/>
      <c r="EQ185" s="43"/>
      <c r="ER185" s="43"/>
      <c r="ES185" s="43"/>
      <c r="ET185" s="50"/>
      <c r="EU185" s="50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/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  <c r="EL186" s="43"/>
      <c r="EM186" s="43"/>
      <c r="EN186" s="43"/>
      <c r="EO186" s="43"/>
      <c r="EP186" s="43"/>
      <c r="EQ186" s="43"/>
      <c r="ER186" s="43"/>
      <c r="ES186" s="43"/>
      <c r="ET186" s="50"/>
      <c r="EU186" s="50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  <c r="EL187" s="43"/>
      <c r="EM187" s="43"/>
      <c r="EN187" s="43"/>
      <c r="EO187" s="43"/>
      <c r="EP187" s="43"/>
      <c r="EQ187" s="43"/>
      <c r="ER187" s="43"/>
      <c r="ES187" s="43"/>
      <c r="ET187" s="50"/>
      <c r="EU187" s="50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  <c r="EL188" s="43"/>
      <c r="EM188" s="43"/>
      <c r="EN188" s="43"/>
      <c r="EO188" s="43"/>
      <c r="EP188" s="43"/>
      <c r="EQ188" s="43"/>
      <c r="ER188" s="43"/>
      <c r="ES188" s="43"/>
      <c r="ET188" s="50"/>
      <c r="EU188" s="50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  <c r="EL189" s="43"/>
      <c r="EM189" s="43"/>
      <c r="EN189" s="43"/>
      <c r="EO189" s="43"/>
      <c r="EP189" s="43"/>
      <c r="EQ189" s="43"/>
      <c r="ER189" s="43"/>
      <c r="ES189" s="43"/>
      <c r="ET189" s="50"/>
      <c r="EU189" s="50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  <c r="EL190" s="43"/>
      <c r="EM190" s="43"/>
      <c r="EN190" s="43"/>
      <c r="EO190" s="43"/>
      <c r="EP190" s="43"/>
      <c r="EQ190" s="43"/>
      <c r="ER190" s="43"/>
      <c r="ES190" s="43"/>
      <c r="ET190" s="50"/>
      <c r="EU190" s="50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  <c r="EL191" s="43"/>
      <c r="EM191" s="43"/>
      <c r="EN191" s="43"/>
      <c r="EO191" s="43"/>
      <c r="EP191" s="43"/>
      <c r="EQ191" s="43"/>
      <c r="ER191" s="43"/>
      <c r="ES191" s="43"/>
      <c r="ET191" s="50"/>
      <c r="EU191" s="50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  <c r="EL192" s="43"/>
      <c r="EM192" s="43"/>
      <c r="EN192" s="43"/>
      <c r="EO192" s="43"/>
      <c r="EP192" s="43"/>
      <c r="EQ192" s="43"/>
      <c r="ER192" s="43"/>
      <c r="ES192" s="43"/>
      <c r="ET192" s="50"/>
      <c r="EU192" s="50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  <c r="EL193" s="43"/>
      <c r="EM193" s="43"/>
      <c r="EN193" s="43"/>
      <c r="EO193" s="43"/>
      <c r="EP193" s="43"/>
      <c r="EQ193" s="43"/>
      <c r="ER193" s="43"/>
      <c r="ES193" s="43"/>
      <c r="ET193" s="50"/>
      <c r="EU193" s="50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  <c r="EL194" s="43"/>
      <c r="EM194" s="43"/>
      <c r="EN194" s="43"/>
      <c r="EO194" s="43"/>
      <c r="EP194" s="43"/>
      <c r="EQ194" s="43"/>
      <c r="ER194" s="43"/>
      <c r="ES194" s="43"/>
      <c r="ET194" s="50"/>
      <c r="EU194" s="50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50"/>
      <c r="EU195" s="50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50"/>
      <c r="EU196" s="50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50"/>
      <c r="EU197" s="50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50"/>
      <c r="EU198" s="50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/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50"/>
      <c r="EU199" s="50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/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50"/>
      <c r="EU200" s="50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50"/>
      <c r="EU201" s="50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50"/>
      <c r="EU202" s="50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/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50"/>
      <c r="EU203" s="50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50"/>
      <c r="EU204" s="50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/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50"/>
      <c r="EU205" s="50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/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50"/>
      <c r="EU206" s="50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/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50"/>
      <c r="EU207" s="50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50"/>
      <c r="EU208" s="50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/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50"/>
      <c r="EU209" s="50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50"/>
      <c r="EU210" s="50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/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50"/>
      <c r="EU211" s="50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/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50"/>
      <c r="EU212" s="50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/>
      <c r="EJ213" s="43"/>
      <c r="EK213" s="43"/>
      <c r="EL213" s="43"/>
      <c r="EM213" s="43"/>
      <c r="EN213" s="43"/>
      <c r="EO213" s="43"/>
      <c r="EP213" s="43"/>
      <c r="EQ213" s="43"/>
      <c r="ER213" s="43"/>
      <c r="ES213" s="43"/>
      <c r="ET213" s="50"/>
      <c r="EU213" s="50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/>
      <c r="EJ214" s="43"/>
      <c r="EK214" s="43"/>
      <c r="EL214" s="43"/>
      <c r="EM214" s="43"/>
      <c r="EN214" s="43"/>
      <c r="EO214" s="43"/>
      <c r="EP214" s="43"/>
      <c r="EQ214" s="43"/>
      <c r="ER214" s="43"/>
      <c r="ES214" s="43"/>
      <c r="ET214" s="50"/>
      <c r="EU214" s="50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50"/>
      <c r="EU215" s="50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  <c r="EL216" s="43"/>
      <c r="EM216" s="43"/>
      <c r="EN216" s="43"/>
      <c r="EO216" s="43"/>
      <c r="EP216" s="43"/>
      <c r="EQ216" s="43"/>
      <c r="ER216" s="43"/>
      <c r="ES216" s="43"/>
      <c r="ET216" s="50"/>
      <c r="EU216" s="50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/>
      <c r="EK217" s="43"/>
      <c r="EL217" s="43"/>
      <c r="EM217" s="43"/>
      <c r="EN217" s="43"/>
      <c r="EO217" s="43"/>
      <c r="EP217" s="43"/>
      <c r="EQ217" s="43"/>
      <c r="ER217" s="43"/>
      <c r="ES217" s="43"/>
      <c r="ET217" s="50"/>
      <c r="EU217" s="50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/>
      <c r="EK218" s="43"/>
      <c r="EL218" s="43"/>
      <c r="EM218" s="43"/>
      <c r="EN218" s="43"/>
      <c r="EO218" s="43"/>
      <c r="EP218" s="43"/>
      <c r="EQ218" s="43"/>
      <c r="ER218" s="43"/>
      <c r="ES218" s="43"/>
      <c r="ET218" s="50"/>
      <c r="EU218" s="50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/>
      <c r="EK219" s="43"/>
      <c r="EL219" s="43"/>
      <c r="EM219" s="43"/>
      <c r="EN219" s="43"/>
      <c r="EO219" s="43"/>
      <c r="EP219" s="43"/>
      <c r="EQ219" s="43"/>
      <c r="ER219" s="43"/>
      <c r="ES219" s="43"/>
      <c r="ET219" s="50"/>
      <c r="EU219" s="50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/>
      <c r="EK220" s="43"/>
      <c r="EL220" s="43"/>
      <c r="EM220" s="43"/>
      <c r="EN220" s="43"/>
      <c r="EO220" s="43"/>
      <c r="EP220" s="43"/>
      <c r="EQ220" s="43"/>
      <c r="ER220" s="43"/>
      <c r="ES220" s="43"/>
      <c r="ET220" s="50"/>
      <c r="EU220" s="50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/>
      <c r="EL221" s="43"/>
      <c r="EM221" s="43"/>
      <c r="EN221" s="43"/>
      <c r="EO221" s="43"/>
      <c r="EP221" s="43"/>
      <c r="EQ221" s="43"/>
      <c r="ER221" s="43"/>
      <c r="ES221" s="43"/>
      <c r="ET221" s="50"/>
      <c r="EU221" s="50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/>
      <c r="EL222" s="43"/>
      <c r="EM222" s="43"/>
      <c r="EN222" s="43"/>
      <c r="EO222" s="43"/>
      <c r="EP222" s="43"/>
      <c r="EQ222" s="43"/>
      <c r="ER222" s="43"/>
      <c r="ES222" s="43"/>
      <c r="ET222" s="50"/>
      <c r="EU222" s="50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/>
      <c r="EL223" s="43"/>
      <c r="EM223" s="43"/>
      <c r="EN223" s="43"/>
      <c r="EO223" s="43"/>
      <c r="EP223" s="43"/>
      <c r="EQ223" s="43"/>
      <c r="ER223" s="43"/>
      <c r="ES223" s="43"/>
      <c r="ET223" s="50"/>
      <c r="EU223" s="50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/>
      <c r="EL224" s="43"/>
      <c r="EM224" s="43"/>
      <c r="EN224" s="43"/>
      <c r="EO224" s="43"/>
      <c r="EP224" s="43"/>
      <c r="EQ224" s="43"/>
      <c r="ER224" s="43"/>
      <c r="ES224" s="43"/>
      <c r="ET224" s="50"/>
      <c r="EU224" s="50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/>
      <c r="EM225" s="43"/>
      <c r="EN225" s="43"/>
      <c r="EO225" s="43"/>
      <c r="EP225" s="43"/>
      <c r="EQ225" s="43"/>
      <c r="ER225" s="43"/>
      <c r="ES225" s="43"/>
      <c r="ET225" s="50"/>
      <c r="EU225" s="50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  <c r="EL226" s="43"/>
      <c r="EM226" s="43"/>
      <c r="EN226" s="43"/>
      <c r="EO226" s="43"/>
      <c r="EP226" s="43"/>
      <c r="EQ226" s="43"/>
      <c r="ER226" s="43"/>
      <c r="ES226" s="43"/>
      <c r="ET226" s="50"/>
      <c r="EU226" s="50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  <c r="EL227" s="43"/>
      <c r="EM227" s="43"/>
      <c r="EN227" s="43"/>
      <c r="EO227" s="43"/>
      <c r="EP227" s="43"/>
      <c r="EQ227" s="43"/>
      <c r="ER227" s="43"/>
      <c r="ES227" s="43"/>
      <c r="ET227" s="50"/>
      <c r="EU227" s="50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  <c r="EL228" s="43"/>
      <c r="EM228" s="43"/>
      <c r="EN228" s="43"/>
      <c r="EO228" s="43"/>
      <c r="EP228" s="43"/>
      <c r="EQ228" s="43"/>
      <c r="ER228" s="43"/>
      <c r="ES228" s="43"/>
      <c r="ET228" s="50"/>
      <c r="EU228" s="50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  <c r="EL229" s="43"/>
      <c r="EM229" s="43"/>
      <c r="EN229" s="43"/>
      <c r="EO229" s="43"/>
      <c r="EP229" s="43"/>
      <c r="EQ229" s="43"/>
      <c r="ER229" s="43"/>
      <c r="ES229" s="43"/>
      <c r="ET229" s="50"/>
      <c r="EU229" s="50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  <c r="EL230" s="43"/>
      <c r="EM230" s="43"/>
      <c r="EN230" s="43"/>
      <c r="EO230" s="43"/>
      <c r="EP230" s="43"/>
      <c r="EQ230" s="43"/>
      <c r="ER230" s="43"/>
      <c r="ES230" s="43"/>
      <c r="ET230" s="50"/>
      <c r="EU230" s="50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/>
      <c r="EN231" s="43"/>
      <c r="EO231" s="43"/>
      <c r="EP231" s="43"/>
      <c r="EQ231" s="43"/>
      <c r="ER231" s="43"/>
      <c r="ES231" s="43"/>
      <c r="ET231" s="50"/>
      <c r="EU231" s="50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50"/>
      <c r="EU232" s="50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/>
      <c r="EN233" s="43"/>
      <c r="EO233" s="43"/>
      <c r="EP233" s="43"/>
      <c r="EQ233" s="43"/>
      <c r="ER233" s="43"/>
      <c r="ES233" s="43"/>
      <c r="ET233" s="50"/>
      <c r="EU233" s="50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50"/>
      <c r="EU234" s="50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50"/>
      <c r="EU235" s="50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50"/>
      <c r="EU236" s="50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50"/>
      <c r="EU237" s="50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50"/>
      <c r="EU238" s="50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/>
      <c r="EQ239" s="43"/>
      <c r="ER239" s="43"/>
      <c r="ES239" s="43"/>
      <c r="ET239" s="50"/>
      <c r="EU239" s="50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/>
      <c r="EQ240" s="43"/>
      <c r="ER240" s="43"/>
      <c r="ES240" s="43"/>
      <c r="ET240" s="50"/>
      <c r="EU240" s="50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/>
      <c r="ER241" s="43"/>
      <c r="ES241" s="43"/>
      <c r="ET241" s="50"/>
      <c r="EU241" s="50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/>
      <c r="ER242" s="43"/>
      <c r="ES242" s="43"/>
      <c r="ET242" s="50"/>
      <c r="EU242" s="50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/>
      <c r="ER243" s="43"/>
      <c r="ES243" s="43"/>
      <c r="ET243" s="50"/>
      <c r="EU243" s="50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/>
      <c r="ER244" s="43"/>
      <c r="ES244" s="43"/>
      <c r="ET244" s="50"/>
      <c r="EU244" s="50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/>
      <c r="ER245" s="43"/>
      <c r="ES245" s="43"/>
      <c r="ET245" s="50"/>
      <c r="EU245" s="50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/>
      <c r="ER246" s="43"/>
      <c r="ES246" s="43"/>
      <c r="ET246" s="50"/>
      <c r="EU246" s="50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/>
      <c r="ES247" s="43"/>
      <c r="ET247" s="50"/>
      <c r="EU247" s="50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/>
      <c r="ES248" s="43"/>
      <c r="ET248" s="50"/>
      <c r="EU248" s="50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/>
      <c r="ES249" s="43"/>
      <c r="ET249" s="50"/>
      <c r="EU249" s="50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/>
      <c r="ES250" s="43"/>
      <c r="ET250" s="50"/>
      <c r="EU250" s="50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/>
      <c r="ES251" s="43"/>
      <c r="ET251" s="50"/>
      <c r="EU251" s="50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/>
      <c r="ES252" s="43"/>
      <c r="ET252" s="50"/>
      <c r="EU252" s="50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/>
      <c r="ET253" s="50"/>
      <c r="EU253" s="50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/>
      <c r="ET254" s="50"/>
      <c r="EU254" s="50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/>
      <c r="ET255" s="50"/>
      <c r="EU255" s="50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/>
      <c r="ET256" s="50"/>
      <c r="EU256" s="50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/>
      <c r="ET257" s="50"/>
      <c r="EU257" s="50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/>
      <c r="ET258" s="50"/>
      <c r="EU258" s="50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50"/>
      <c r="EU259" s="50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50"/>
      <c r="EU260" s="50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50"/>
      <c r="EU261" s="50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50"/>
      <c r="EU262" s="50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50"/>
      <c r="EU263" s="50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50"/>
      <c r="EU264" s="50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50"/>
      <c r="EU265" s="50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50"/>
      <c r="EU266" s="50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50"/>
      <c r="EU267" s="50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50"/>
      <c r="EU268" s="50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50"/>
      <c r="EU269" s="50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50"/>
      <c r="EU270" s="50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/>
      <c r="EP271" s="43"/>
      <c r="EQ271" s="43"/>
      <c r="ER271" s="43"/>
      <c r="ES271" s="43"/>
      <c r="ET271" s="50"/>
      <c r="EU271" s="50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/>
      <c r="EP272" s="43"/>
      <c r="EQ272" s="43"/>
      <c r="ER272" s="43"/>
      <c r="ES272" s="43"/>
      <c r="ET272" s="50"/>
      <c r="EU272" s="50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50"/>
      <c r="EU273" s="50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50"/>
      <c r="EU274" s="50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50"/>
      <c r="EU275" s="50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50"/>
      <c r="EU276" s="50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50"/>
      <c r="EU277" s="50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50"/>
      <c r="EU278" s="50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50"/>
      <c r="EU279" s="50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43"/>
      <c r="EB280" s="43"/>
      <c r="EC280" s="43"/>
      <c r="ED280" s="43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50"/>
      <c r="EU280" s="50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43"/>
      <c r="EB281" s="43"/>
      <c r="EC281" s="43"/>
      <c r="ED281" s="43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50"/>
      <c r="EU281" s="50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43"/>
      <c r="EB282" s="43"/>
      <c r="EC282" s="43"/>
      <c r="ED282" s="43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50"/>
      <c r="EU282" s="50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43"/>
      <c r="EB283" s="43"/>
      <c r="EC283" s="43"/>
      <c r="ED283" s="43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50"/>
      <c r="EU283" s="50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43"/>
      <c r="EB284" s="43"/>
      <c r="EC284" s="43"/>
      <c r="ED284" s="43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50"/>
      <c r="EU284" s="50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43"/>
      <c r="EB285" s="43"/>
      <c r="EC285" s="43"/>
      <c r="ED285" s="43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50"/>
      <c r="EU285" s="50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50"/>
      <c r="EU286" s="50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50"/>
      <c r="EU287" s="50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50"/>
      <c r="EU288" s="50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50"/>
      <c r="EU289" s="50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50"/>
      <c r="EU290" s="50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50"/>
      <c r="EU291" s="50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50"/>
      <c r="EU292" s="50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50"/>
      <c r="EU293" s="50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43"/>
      <c r="EB294" s="43"/>
      <c r="EC294" s="43"/>
      <c r="ED294" s="43"/>
      <c r="EE294" s="43"/>
      <c r="EF294" s="43"/>
      <c r="EG294" s="43"/>
      <c r="EH294" s="43"/>
      <c r="EI294" s="43"/>
      <c r="EJ294" s="43"/>
      <c r="EK294" s="43"/>
      <c r="EL294" s="43"/>
      <c r="EM294" s="43"/>
      <c r="EN294" s="43"/>
      <c r="EO294" s="43"/>
      <c r="EP294" s="43"/>
      <c r="EQ294" s="43"/>
      <c r="ER294" s="43"/>
      <c r="ES294" s="43"/>
      <c r="ET294" s="50"/>
      <c r="EU294" s="50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43"/>
      <c r="EB295" s="43"/>
      <c r="EC295" s="43"/>
      <c r="ED295" s="43"/>
      <c r="EE295" s="43"/>
      <c r="EF295" s="43"/>
      <c r="EG295" s="43"/>
      <c r="EH295" s="43"/>
      <c r="EI295" s="43"/>
      <c r="EJ295" s="43"/>
      <c r="EK295" s="43"/>
      <c r="EL295" s="43"/>
      <c r="EM295" s="43"/>
      <c r="EN295" s="43"/>
      <c r="EO295" s="43"/>
      <c r="EP295" s="43"/>
      <c r="EQ295" s="43"/>
      <c r="ER295" s="43"/>
      <c r="ES295" s="43"/>
      <c r="ET295" s="50"/>
      <c r="EU295" s="50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43"/>
      <c r="EB296" s="43"/>
      <c r="EC296" s="43"/>
      <c r="ED296" s="43"/>
      <c r="EE296" s="43"/>
      <c r="EF296" s="43"/>
      <c r="EG296" s="43"/>
      <c r="EH296" s="43"/>
      <c r="EI296" s="43"/>
      <c r="EJ296" s="43"/>
      <c r="EK296" s="43"/>
      <c r="EL296" s="43"/>
      <c r="EM296" s="43"/>
      <c r="EN296" s="43"/>
      <c r="EO296" s="43"/>
      <c r="EP296" s="43"/>
      <c r="EQ296" s="43"/>
      <c r="ER296" s="43"/>
      <c r="ES296" s="43"/>
      <c r="ET296" s="50"/>
      <c r="EU296" s="50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/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43"/>
      <c r="EB297" s="43"/>
      <c r="EC297" s="43"/>
      <c r="ED297" s="43"/>
      <c r="EE297" s="43"/>
      <c r="EF297" s="43"/>
      <c r="EG297" s="43"/>
      <c r="EH297" s="43"/>
      <c r="EI297" s="43"/>
      <c r="EJ297" s="43"/>
      <c r="EK297" s="43"/>
      <c r="EL297" s="43"/>
      <c r="EM297" s="43"/>
      <c r="EN297" s="43"/>
      <c r="EO297" s="43"/>
      <c r="EP297" s="43"/>
      <c r="EQ297" s="43"/>
      <c r="ER297" s="43"/>
      <c r="ES297" s="43"/>
      <c r="ET297" s="50"/>
      <c r="EU297" s="50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/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43"/>
      <c r="EB298" s="43"/>
      <c r="EC298" s="43"/>
      <c r="ED298" s="43"/>
      <c r="EE298" s="43"/>
      <c r="EF298" s="43"/>
      <c r="EG298" s="43"/>
      <c r="EH298" s="43"/>
      <c r="EI298" s="43"/>
      <c r="EJ298" s="43"/>
      <c r="EK298" s="43"/>
      <c r="EL298" s="43"/>
      <c r="EM298" s="43"/>
      <c r="EN298" s="43"/>
      <c r="EO298" s="43"/>
      <c r="EP298" s="43"/>
      <c r="EQ298" s="43"/>
      <c r="ER298" s="43"/>
      <c r="ES298" s="43"/>
      <c r="ET298" s="50"/>
      <c r="EU298" s="50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43"/>
      <c r="EB299" s="43"/>
      <c r="EC299" s="43"/>
      <c r="ED299" s="43"/>
      <c r="EE299" s="43"/>
      <c r="EF299" s="43"/>
      <c r="EG299" s="43"/>
      <c r="EH299" s="43"/>
      <c r="EI299" s="43"/>
      <c r="EJ299" s="43"/>
      <c r="EK299" s="43"/>
      <c r="EL299" s="43"/>
      <c r="EM299" s="43"/>
      <c r="EN299" s="43"/>
      <c r="EO299" s="43"/>
      <c r="EP299" s="43"/>
      <c r="EQ299" s="43"/>
      <c r="ER299" s="43"/>
      <c r="ES299" s="43"/>
      <c r="ET299" s="50"/>
      <c r="EU299" s="50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43"/>
      <c r="EB300" s="43"/>
      <c r="EC300" s="43"/>
      <c r="ED300" s="43"/>
      <c r="EE300" s="43"/>
      <c r="EF300" s="43"/>
      <c r="EG300" s="43"/>
      <c r="EH300" s="43"/>
      <c r="EI300" s="43"/>
      <c r="EJ300" s="43"/>
      <c r="EK300" s="43"/>
      <c r="EL300" s="43"/>
      <c r="EM300" s="43"/>
      <c r="EN300" s="43"/>
      <c r="EO300" s="43"/>
      <c r="EP300" s="43"/>
      <c r="EQ300" s="43"/>
      <c r="ER300" s="43"/>
      <c r="ES300" s="43"/>
      <c r="ET300" s="50"/>
      <c r="EU300" s="50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43"/>
      <c r="EB301" s="43"/>
      <c r="EC301" s="43"/>
      <c r="ED301" s="43"/>
      <c r="EE301" s="43"/>
      <c r="EF301" s="43"/>
      <c r="EG301" s="43"/>
      <c r="EH301" s="43"/>
      <c r="EI301" s="43"/>
      <c r="EJ301" s="43"/>
      <c r="EK301" s="43"/>
      <c r="EL301" s="43"/>
      <c r="EM301" s="43"/>
      <c r="EN301" s="43"/>
      <c r="EO301" s="43"/>
      <c r="EP301" s="43"/>
      <c r="EQ301" s="43"/>
      <c r="ER301" s="43"/>
      <c r="ES301" s="43"/>
      <c r="ET301" s="50"/>
      <c r="EU301" s="50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43"/>
      <c r="EB302" s="43"/>
      <c r="EC302" s="43"/>
      <c r="ED302" s="43"/>
      <c r="EE302" s="43"/>
      <c r="EF302" s="43"/>
      <c r="EG302" s="43"/>
      <c r="EH302" s="43"/>
      <c r="EI302" s="43"/>
      <c r="EJ302" s="43"/>
      <c r="EK302" s="43"/>
      <c r="EL302" s="43"/>
      <c r="EM302" s="43"/>
      <c r="EN302" s="43"/>
      <c r="EO302" s="43"/>
      <c r="EP302" s="43"/>
      <c r="EQ302" s="43"/>
      <c r="ER302" s="43"/>
      <c r="ES302" s="43"/>
      <c r="ET302" s="50"/>
      <c r="EU302" s="50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43"/>
      <c r="EB303" s="43"/>
      <c r="EC303" s="43"/>
      <c r="ED303" s="43"/>
      <c r="EE303" s="43"/>
      <c r="EF303" s="43"/>
      <c r="EG303" s="43"/>
      <c r="EH303" s="43"/>
      <c r="EI303" s="43"/>
      <c r="EJ303" s="43"/>
      <c r="EK303" s="43"/>
      <c r="EL303" s="43"/>
      <c r="EM303" s="43"/>
      <c r="EN303" s="43"/>
      <c r="EO303" s="43"/>
      <c r="EP303" s="43"/>
      <c r="EQ303" s="43"/>
      <c r="ER303" s="43"/>
      <c r="ES303" s="43"/>
      <c r="ET303" s="50"/>
      <c r="EU303" s="50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43"/>
      <c r="EB304" s="43"/>
      <c r="EC304" s="43"/>
      <c r="ED304" s="43"/>
      <c r="EE304" s="43"/>
      <c r="EF304" s="43"/>
      <c r="EG304" s="43"/>
      <c r="EH304" s="43"/>
      <c r="EI304" s="43"/>
      <c r="EJ304" s="43"/>
      <c r="EK304" s="43"/>
      <c r="EL304" s="43"/>
      <c r="EM304" s="43"/>
      <c r="EN304" s="43"/>
      <c r="EO304" s="43"/>
      <c r="EP304" s="43"/>
      <c r="EQ304" s="43"/>
      <c r="ER304" s="43"/>
      <c r="ES304" s="43"/>
      <c r="ET304" s="50"/>
      <c r="EU304" s="50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43"/>
      <c r="EB305" s="43"/>
      <c r="EC305" s="43"/>
      <c r="ED305" s="43"/>
      <c r="EE305" s="43"/>
      <c r="EF305" s="43"/>
      <c r="EG305" s="43"/>
      <c r="EH305" s="43"/>
      <c r="EI305" s="43"/>
      <c r="EJ305" s="43"/>
      <c r="EK305" s="43"/>
      <c r="EL305" s="43"/>
      <c r="EM305" s="43"/>
      <c r="EN305" s="43"/>
      <c r="EO305" s="43"/>
      <c r="EP305" s="43"/>
      <c r="EQ305" s="43"/>
      <c r="ER305" s="43"/>
      <c r="ES305" s="43"/>
      <c r="ET305" s="50"/>
      <c r="EU305" s="50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43"/>
      <c r="EB306" s="43"/>
      <c r="EC306" s="43"/>
      <c r="ED306" s="43"/>
      <c r="EE306" s="43"/>
      <c r="EF306" s="43"/>
      <c r="EG306" s="43"/>
      <c r="EH306" s="43"/>
      <c r="EI306" s="43"/>
      <c r="EJ306" s="43"/>
      <c r="EK306" s="43"/>
      <c r="EL306" s="43"/>
      <c r="EM306" s="43"/>
      <c r="EN306" s="43"/>
      <c r="EO306" s="43"/>
      <c r="EP306" s="43"/>
      <c r="EQ306" s="43"/>
      <c r="ER306" s="43"/>
      <c r="ES306" s="43"/>
      <c r="ET306" s="50"/>
      <c r="EU306" s="50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/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43"/>
      <c r="EB307" s="43"/>
      <c r="EC307" s="43"/>
      <c r="ED307" s="43"/>
      <c r="EE307" s="43"/>
      <c r="EF307" s="43"/>
      <c r="EG307" s="43"/>
      <c r="EH307" s="43"/>
      <c r="EI307" s="43"/>
      <c r="EJ307" s="43"/>
      <c r="EK307" s="43"/>
      <c r="EL307" s="43"/>
      <c r="EM307" s="43"/>
      <c r="EN307" s="43"/>
      <c r="EO307" s="43"/>
      <c r="EP307" s="43"/>
      <c r="EQ307" s="43"/>
      <c r="ER307" s="43"/>
      <c r="ES307" s="43"/>
      <c r="ET307" s="50"/>
      <c r="EU307" s="50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/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43"/>
      <c r="EB308" s="43"/>
      <c r="EC308" s="43"/>
      <c r="ED308" s="43"/>
      <c r="EE308" s="43"/>
      <c r="EF308" s="43"/>
      <c r="EG308" s="43"/>
      <c r="EH308" s="43"/>
      <c r="EI308" s="43"/>
      <c r="EJ308" s="43"/>
      <c r="EK308" s="43"/>
      <c r="EL308" s="43"/>
      <c r="EM308" s="43"/>
      <c r="EN308" s="43"/>
      <c r="EO308" s="43"/>
      <c r="EP308" s="43"/>
      <c r="EQ308" s="43"/>
      <c r="ER308" s="43"/>
      <c r="ES308" s="43"/>
      <c r="ET308" s="50"/>
      <c r="EU308" s="50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/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43"/>
      <c r="EB309" s="43"/>
      <c r="EC309" s="43"/>
      <c r="ED309" s="43"/>
      <c r="EE309" s="43"/>
      <c r="EF309" s="43"/>
      <c r="EG309" s="43"/>
      <c r="EH309" s="43"/>
      <c r="EI309" s="43"/>
      <c r="EJ309" s="43"/>
      <c r="EK309" s="43"/>
      <c r="EL309" s="43"/>
      <c r="EM309" s="43"/>
      <c r="EN309" s="43"/>
      <c r="EO309" s="43"/>
      <c r="EP309" s="43"/>
      <c r="EQ309" s="43"/>
      <c r="ER309" s="43"/>
      <c r="ES309" s="43"/>
      <c r="ET309" s="50"/>
      <c r="EU309" s="50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/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43"/>
      <c r="EB310" s="43"/>
      <c r="EC310" s="43"/>
      <c r="ED310" s="43"/>
      <c r="EE310" s="43"/>
      <c r="EF310" s="43"/>
      <c r="EG310" s="43"/>
      <c r="EH310" s="43"/>
      <c r="EI310" s="43"/>
      <c r="EJ310" s="43"/>
      <c r="EK310" s="43"/>
      <c r="EL310" s="43"/>
      <c r="EM310" s="43"/>
      <c r="EN310" s="43"/>
      <c r="EO310" s="43"/>
      <c r="EP310" s="43"/>
      <c r="EQ310" s="43"/>
      <c r="ER310" s="43"/>
      <c r="ES310" s="43"/>
      <c r="ET310" s="50"/>
      <c r="EU310" s="50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43"/>
      <c r="EB311" s="43"/>
      <c r="EC311" s="43"/>
      <c r="ED311" s="43"/>
      <c r="EE311" s="43"/>
      <c r="EF311" s="43"/>
      <c r="EG311" s="43"/>
      <c r="EH311" s="43"/>
      <c r="EI311" s="43"/>
      <c r="EJ311" s="43"/>
      <c r="EK311" s="43"/>
      <c r="EL311" s="43"/>
      <c r="EM311" s="43"/>
      <c r="EN311" s="43"/>
      <c r="EO311" s="43"/>
      <c r="EP311" s="43"/>
      <c r="EQ311" s="43"/>
      <c r="ER311" s="43"/>
      <c r="ES311" s="43"/>
      <c r="ET311" s="50"/>
      <c r="EU311" s="50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43"/>
      <c r="EB312" s="43"/>
      <c r="EC312" s="43"/>
      <c r="ED312" s="43"/>
      <c r="EE312" s="43"/>
      <c r="EF312" s="43"/>
      <c r="EG312" s="43"/>
      <c r="EH312" s="43"/>
      <c r="EI312" s="43"/>
      <c r="EJ312" s="43"/>
      <c r="EK312" s="43"/>
      <c r="EL312" s="43"/>
      <c r="EM312" s="43"/>
      <c r="EN312" s="43"/>
      <c r="EO312" s="43"/>
      <c r="EP312" s="43"/>
      <c r="EQ312" s="43"/>
      <c r="ER312" s="43"/>
      <c r="ES312" s="43"/>
      <c r="ET312" s="50"/>
      <c r="EU312" s="50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43"/>
      <c r="EB313" s="43"/>
      <c r="EC313" s="43"/>
      <c r="ED313" s="43"/>
      <c r="EE313" s="43"/>
      <c r="EF313" s="43"/>
      <c r="EG313" s="43"/>
      <c r="EH313" s="43"/>
      <c r="EI313" s="43"/>
      <c r="EJ313" s="43"/>
      <c r="EK313" s="43"/>
      <c r="EL313" s="43"/>
      <c r="EM313" s="43"/>
      <c r="EN313" s="43"/>
      <c r="EO313" s="43"/>
      <c r="EP313" s="43"/>
      <c r="EQ313" s="43"/>
      <c r="ER313" s="43"/>
      <c r="ES313" s="43"/>
      <c r="ET313" s="50"/>
      <c r="EU313" s="50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43"/>
      <c r="EB314" s="43"/>
      <c r="EC314" s="43"/>
      <c r="ED314" s="43"/>
      <c r="EE314" s="43"/>
      <c r="EF314" s="43"/>
      <c r="EG314" s="43"/>
      <c r="EH314" s="43"/>
      <c r="EI314" s="43"/>
      <c r="EJ314" s="43"/>
      <c r="EK314" s="43"/>
      <c r="EL314" s="43"/>
      <c r="EM314" s="43"/>
      <c r="EN314" s="43"/>
      <c r="EO314" s="43"/>
      <c r="EP314" s="43"/>
      <c r="EQ314" s="43"/>
      <c r="ER314" s="43"/>
      <c r="ES314" s="43"/>
      <c r="ET314" s="50"/>
      <c r="EU314" s="50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43"/>
      <c r="EB315" s="43"/>
      <c r="EC315" s="43"/>
      <c r="ED315" s="43"/>
      <c r="EE315" s="43"/>
      <c r="EF315" s="43"/>
      <c r="EG315" s="43"/>
      <c r="EH315" s="43"/>
      <c r="EI315" s="43"/>
      <c r="EJ315" s="43"/>
      <c r="EK315" s="43"/>
      <c r="EL315" s="43"/>
      <c r="EM315" s="43"/>
      <c r="EN315" s="43"/>
      <c r="EO315" s="43"/>
      <c r="EP315" s="43"/>
      <c r="EQ315" s="43"/>
      <c r="ER315" s="43"/>
      <c r="ES315" s="43"/>
      <c r="ET315" s="50"/>
      <c r="EU315" s="50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43"/>
      <c r="EB316" s="43"/>
      <c r="EC316" s="43"/>
      <c r="ED316" s="43"/>
      <c r="EE316" s="43"/>
      <c r="EF316" s="43"/>
      <c r="EG316" s="43"/>
      <c r="EH316" s="43"/>
      <c r="EI316" s="43"/>
      <c r="EJ316" s="43"/>
      <c r="EK316" s="43"/>
      <c r="EL316" s="43"/>
      <c r="EM316" s="43"/>
      <c r="EN316" s="43"/>
      <c r="EO316" s="43"/>
      <c r="EP316" s="43"/>
      <c r="EQ316" s="43"/>
      <c r="ER316" s="43"/>
      <c r="ES316" s="43"/>
      <c r="ET316" s="50"/>
      <c r="EU316" s="50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50"/>
      <c r="EU317" s="50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50"/>
      <c r="EU318" s="50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50"/>
      <c r="EU319" s="50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43"/>
      <c r="EB320" s="43"/>
      <c r="EC320" s="43"/>
      <c r="ED320" s="43"/>
      <c r="EE320" s="43"/>
      <c r="EF320" s="43"/>
      <c r="EG320" s="43"/>
      <c r="EH320" s="43"/>
      <c r="EI320" s="43"/>
      <c r="EJ320" s="43"/>
      <c r="EK320" s="43"/>
      <c r="EL320" s="43"/>
      <c r="EM320" s="43"/>
      <c r="EN320" s="43"/>
      <c r="EO320" s="43"/>
      <c r="EP320" s="43"/>
      <c r="EQ320" s="43"/>
      <c r="ER320" s="43"/>
      <c r="ES320" s="43"/>
      <c r="ET320" s="50"/>
      <c r="EU320" s="50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43"/>
      <c r="EB321" s="43"/>
      <c r="EC321" s="43"/>
      <c r="ED321" s="43"/>
      <c r="EE321" s="43"/>
      <c r="EF321" s="43"/>
      <c r="EG321" s="43"/>
      <c r="EH321" s="43"/>
      <c r="EI321" s="43"/>
      <c r="EJ321" s="43"/>
      <c r="EK321" s="43"/>
      <c r="EL321" s="43"/>
      <c r="EM321" s="43"/>
      <c r="EN321" s="43"/>
      <c r="EO321" s="43"/>
      <c r="EP321" s="43"/>
      <c r="EQ321" s="43"/>
      <c r="ER321" s="43"/>
      <c r="ES321" s="43"/>
      <c r="ET321" s="50"/>
      <c r="EU321" s="50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43"/>
      <c r="EB322" s="43"/>
      <c r="EC322" s="43"/>
      <c r="ED322" s="43"/>
      <c r="EE322" s="43"/>
      <c r="EF322" s="43"/>
      <c r="EG322" s="43"/>
      <c r="EH322" s="43"/>
      <c r="EI322" s="43"/>
      <c r="EJ322" s="43"/>
      <c r="EK322" s="43"/>
      <c r="EL322" s="43"/>
      <c r="EM322" s="43"/>
      <c r="EN322" s="43"/>
      <c r="EO322" s="43"/>
      <c r="EP322" s="43"/>
      <c r="EQ322" s="43"/>
      <c r="ER322" s="43"/>
      <c r="ES322" s="43"/>
      <c r="ET322" s="50"/>
      <c r="EU322" s="50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43"/>
      <c r="EB323" s="43"/>
      <c r="EC323" s="43"/>
      <c r="ED323" s="43"/>
      <c r="EE323" s="43"/>
      <c r="EF323" s="43"/>
      <c r="EG323" s="43"/>
      <c r="EH323" s="43"/>
      <c r="EI323" s="43"/>
      <c r="EJ323" s="43"/>
      <c r="EK323" s="43"/>
      <c r="EL323" s="43"/>
      <c r="EM323" s="43"/>
      <c r="EN323" s="43"/>
      <c r="EO323" s="43"/>
      <c r="EP323" s="43"/>
      <c r="EQ323" s="43"/>
      <c r="ER323" s="43"/>
      <c r="ES323" s="43"/>
      <c r="ET323" s="50"/>
      <c r="EU323" s="50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43"/>
      <c r="EB324" s="43"/>
      <c r="EC324" s="43"/>
      <c r="ED324" s="43"/>
      <c r="EE324" s="43"/>
      <c r="EF324" s="43"/>
      <c r="EG324" s="43"/>
      <c r="EH324" s="43"/>
      <c r="EI324" s="43"/>
      <c r="EJ324" s="43"/>
      <c r="EK324" s="43"/>
      <c r="EL324" s="43"/>
      <c r="EM324" s="43"/>
      <c r="EN324" s="43"/>
      <c r="EO324" s="43"/>
      <c r="EP324" s="43"/>
      <c r="EQ324" s="43"/>
      <c r="ER324" s="43"/>
      <c r="ES324" s="43"/>
      <c r="ET324" s="50"/>
      <c r="EU324" s="50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43"/>
      <c r="EO325" s="43"/>
      <c r="EP325" s="43"/>
      <c r="EQ325" s="43"/>
      <c r="ER325" s="43"/>
      <c r="ES325" s="43"/>
      <c r="ET325" s="50"/>
      <c r="EU325" s="50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43"/>
      <c r="EO326" s="43"/>
      <c r="EP326" s="43"/>
      <c r="EQ326" s="43"/>
      <c r="ER326" s="43"/>
      <c r="ES326" s="43"/>
      <c r="ET326" s="50"/>
      <c r="EU326" s="50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43"/>
      <c r="EO327" s="43"/>
      <c r="EP327" s="43"/>
      <c r="EQ327" s="43"/>
      <c r="ER327" s="43"/>
      <c r="ES327" s="43"/>
      <c r="ET327" s="50"/>
      <c r="EU327" s="50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43"/>
      <c r="EO328" s="43"/>
      <c r="EP328" s="43"/>
      <c r="EQ328" s="43"/>
      <c r="ER328" s="43"/>
      <c r="ES328" s="43"/>
      <c r="ET328" s="50"/>
      <c r="EU328" s="50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43"/>
      <c r="EO329" s="43"/>
      <c r="EP329" s="43"/>
      <c r="EQ329" s="43"/>
      <c r="ER329" s="43"/>
      <c r="ES329" s="43"/>
      <c r="ET329" s="50"/>
      <c r="EU329" s="50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43"/>
      <c r="EO330" s="43"/>
      <c r="EP330" s="43"/>
      <c r="EQ330" s="43"/>
      <c r="ER330" s="43"/>
      <c r="ES330" s="43"/>
      <c r="ET330" s="50"/>
      <c r="EU330" s="50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43"/>
      <c r="EO331" s="43"/>
      <c r="EP331" s="43"/>
      <c r="EQ331" s="43"/>
      <c r="ER331" s="43"/>
      <c r="ES331" s="43"/>
      <c r="ET331" s="50"/>
      <c r="EU331" s="50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43"/>
      <c r="EO332" s="43"/>
      <c r="EP332" s="43"/>
      <c r="EQ332" s="43"/>
      <c r="ER332" s="43"/>
      <c r="ES332" s="43"/>
      <c r="ET332" s="50"/>
      <c r="EU332" s="50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43"/>
      <c r="EB333" s="43"/>
      <c r="EC333" s="43"/>
      <c r="ED333" s="43"/>
      <c r="EE333" s="43"/>
      <c r="EF333" s="43"/>
      <c r="EG333" s="43"/>
      <c r="EH333" s="43"/>
      <c r="EI333" s="43"/>
      <c r="EJ333" s="43"/>
      <c r="EK333" s="43"/>
      <c r="EL333" s="43"/>
      <c r="EM333" s="43"/>
      <c r="EN333" s="43"/>
      <c r="EO333" s="43"/>
      <c r="EP333" s="43"/>
      <c r="EQ333" s="43"/>
      <c r="ER333" s="43"/>
      <c r="ES333" s="43"/>
      <c r="ET333" s="50"/>
      <c r="EU333" s="50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43"/>
      <c r="EB334" s="43"/>
      <c r="EC334" s="43"/>
      <c r="ED334" s="43"/>
      <c r="EE334" s="43"/>
      <c r="EF334" s="43"/>
      <c r="EG334" s="43"/>
      <c r="EH334" s="43"/>
      <c r="EI334" s="43"/>
      <c r="EJ334" s="43"/>
      <c r="EK334" s="43"/>
      <c r="EL334" s="43"/>
      <c r="EM334" s="43"/>
      <c r="EN334" s="43"/>
      <c r="EO334" s="43"/>
      <c r="EP334" s="43"/>
      <c r="EQ334" s="43"/>
      <c r="ER334" s="43"/>
      <c r="ES334" s="43"/>
      <c r="ET334" s="50"/>
      <c r="EU334" s="50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43"/>
      <c r="EB335" s="43"/>
      <c r="EC335" s="43"/>
      <c r="ED335" s="43"/>
      <c r="EE335" s="43"/>
      <c r="EF335" s="43"/>
      <c r="EG335" s="43"/>
      <c r="EH335" s="43"/>
      <c r="EI335" s="43"/>
      <c r="EJ335" s="43"/>
      <c r="EK335" s="43"/>
      <c r="EL335" s="43"/>
      <c r="EM335" s="43"/>
      <c r="EN335" s="43"/>
      <c r="EO335" s="43"/>
      <c r="EP335" s="43"/>
      <c r="EQ335" s="43"/>
      <c r="ER335" s="43"/>
      <c r="ES335" s="43"/>
      <c r="ET335" s="50"/>
      <c r="EU335" s="50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43"/>
      <c r="EB336" s="43"/>
      <c r="EC336" s="43"/>
      <c r="ED336" s="43"/>
      <c r="EE336" s="43"/>
      <c r="EF336" s="43"/>
      <c r="EG336" s="43"/>
      <c r="EH336" s="43"/>
      <c r="EI336" s="43"/>
      <c r="EJ336" s="43"/>
      <c r="EK336" s="43"/>
      <c r="EL336" s="43"/>
      <c r="EM336" s="43"/>
      <c r="EN336" s="43"/>
      <c r="EO336" s="43"/>
      <c r="EP336" s="43"/>
      <c r="EQ336" s="43"/>
      <c r="ER336" s="43"/>
      <c r="ES336" s="43"/>
      <c r="ET336" s="50"/>
      <c r="EU336" s="50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43"/>
      <c r="EB337" s="43"/>
      <c r="EC337" s="43"/>
      <c r="ED337" s="43"/>
      <c r="EE337" s="43"/>
      <c r="EF337" s="43"/>
      <c r="EG337" s="43"/>
      <c r="EH337" s="43"/>
      <c r="EI337" s="43"/>
      <c r="EJ337" s="43"/>
      <c r="EK337" s="43"/>
      <c r="EL337" s="43"/>
      <c r="EM337" s="43"/>
      <c r="EN337" s="43"/>
      <c r="EO337" s="43"/>
      <c r="EP337" s="43"/>
      <c r="EQ337" s="43"/>
      <c r="ER337" s="43"/>
      <c r="ES337" s="43"/>
      <c r="ET337" s="50"/>
      <c r="EU337" s="50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43"/>
      <c r="EB338" s="43"/>
      <c r="EC338" s="43"/>
      <c r="ED338" s="43"/>
      <c r="EE338" s="43"/>
      <c r="EF338" s="43"/>
      <c r="EG338" s="43"/>
      <c r="EH338" s="43"/>
      <c r="EI338" s="43"/>
      <c r="EJ338" s="43"/>
      <c r="EK338" s="43"/>
      <c r="EL338" s="43"/>
      <c r="EM338" s="43"/>
      <c r="EN338" s="43"/>
      <c r="EO338" s="43"/>
      <c r="EP338" s="43"/>
      <c r="EQ338" s="43"/>
      <c r="ER338" s="43"/>
      <c r="ES338" s="43"/>
      <c r="ET338" s="50"/>
      <c r="EU338" s="50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43"/>
      <c r="EB339" s="43"/>
      <c r="EC339" s="43"/>
      <c r="ED339" s="43"/>
      <c r="EE339" s="43"/>
      <c r="EF339" s="43"/>
      <c r="EG339" s="43"/>
      <c r="EH339" s="43"/>
      <c r="EI339" s="43"/>
      <c r="EJ339" s="43"/>
      <c r="EK339" s="43"/>
      <c r="EL339" s="43"/>
      <c r="EM339" s="43"/>
      <c r="EN339" s="43"/>
      <c r="EO339" s="43"/>
      <c r="EP339" s="43"/>
      <c r="EQ339" s="43"/>
      <c r="ER339" s="43"/>
      <c r="ES339" s="43"/>
      <c r="ET339" s="50"/>
      <c r="EU339" s="50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50"/>
      <c r="EU340" s="50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50"/>
      <c r="EU341" s="50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/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43"/>
      <c r="EB342" s="43"/>
      <c r="EC342" s="43"/>
      <c r="ED342" s="43"/>
      <c r="EE342" s="43"/>
      <c r="EF342" s="43"/>
      <c r="EG342" s="43"/>
      <c r="EH342" s="43"/>
      <c r="EI342" s="43"/>
      <c r="EJ342" s="43"/>
      <c r="EK342" s="43"/>
      <c r="EL342" s="43"/>
      <c r="EM342" s="43"/>
      <c r="EN342" s="43"/>
      <c r="EO342" s="43"/>
      <c r="EP342" s="43"/>
      <c r="EQ342" s="43"/>
      <c r="ER342" s="43"/>
      <c r="ES342" s="43"/>
      <c r="ET342" s="50"/>
      <c r="EU342" s="50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43"/>
      <c r="EB343" s="43"/>
      <c r="EC343" s="43"/>
      <c r="ED343" s="43"/>
      <c r="EE343" s="43"/>
      <c r="EF343" s="43"/>
      <c r="EG343" s="43"/>
      <c r="EH343" s="43"/>
      <c r="EI343" s="43"/>
      <c r="EJ343" s="43"/>
      <c r="EK343" s="43"/>
      <c r="EL343" s="43"/>
      <c r="EM343" s="43"/>
      <c r="EN343" s="43"/>
      <c r="EO343" s="43"/>
      <c r="EP343" s="43"/>
      <c r="EQ343" s="43"/>
      <c r="ER343" s="43"/>
      <c r="ES343" s="43"/>
      <c r="ET343" s="50"/>
      <c r="EU343" s="50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43"/>
      <c r="EB344" s="43"/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50"/>
      <c r="EU344" s="50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43"/>
      <c r="EB345" s="43"/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50"/>
      <c r="EU345" s="50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43"/>
      <c r="EB346" s="43"/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50"/>
      <c r="EU346" s="50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43"/>
      <c r="EB347" s="43"/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50"/>
      <c r="EU347" s="50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43"/>
      <c r="EB348" s="43"/>
      <c r="EC348" s="43"/>
      <c r="ED348" s="43"/>
      <c r="EE348" s="43"/>
      <c r="EF348" s="43"/>
      <c r="EG348" s="43"/>
      <c r="EH348" s="43"/>
      <c r="EI348" s="43"/>
      <c r="EJ348" s="43"/>
      <c r="EK348" s="43"/>
      <c r="EL348" s="43"/>
      <c r="EM348" s="43"/>
      <c r="EN348" s="43"/>
      <c r="EO348" s="43"/>
      <c r="EP348" s="43"/>
      <c r="EQ348" s="43"/>
      <c r="ER348" s="43"/>
      <c r="ES348" s="43"/>
      <c r="ET348" s="50"/>
      <c r="EU348" s="50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43"/>
      <c r="EB349" s="43"/>
      <c r="EC349" s="43"/>
      <c r="ED349" s="43"/>
      <c r="EE349" s="43"/>
      <c r="EF349" s="43"/>
      <c r="EG349" s="43"/>
      <c r="EH349" s="43"/>
      <c r="EI349" s="43"/>
      <c r="EJ349" s="43"/>
      <c r="EK349" s="43"/>
      <c r="EL349" s="43"/>
      <c r="EM349" s="43"/>
      <c r="EN349" s="43"/>
      <c r="EO349" s="43"/>
      <c r="EP349" s="43"/>
      <c r="EQ349" s="43"/>
      <c r="ER349" s="43"/>
      <c r="ES349" s="43"/>
      <c r="ET349" s="50"/>
      <c r="EU349" s="50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43"/>
      <c r="CZ350" s="43"/>
      <c r="DA350" s="43"/>
      <c r="DB350" s="43"/>
      <c r="DC350" s="43"/>
      <c r="DD350" s="43"/>
      <c r="DE350" s="43"/>
      <c r="DF350" s="43"/>
      <c r="DG350" s="43"/>
      <c r="DH350" s="43"/>
      <c r="DI350" s="43"/>
      <c r="DJ350" s="43"/>
      <c r="DK350" s="43"/>
      <c r="DL350" s="43"/>
      <c r="DM350" s="43"/>
      <c r="DN350" s="43"/>
      <c r="DO350" s="43"/>
      <c r="DP350" s="43"/>
      <c r="DQ350" s="43"/>
      <c r="DR350" s="43"/>
      <c r="DS350" s="43"/>
      <c r="DT350" s="43"/>
      <c r="DU350" s="43"/>
      <c r="DV350" s="43"/>
      <c r="DW350" s="43"/>
      <c r="DX350" s="43"/>
      <c r="DY350" s="43"/>
      <c r="DZ350" s="43"/>
      <c r="EA350" s="43"/>
      <c r="EB350" s="43"/>
      <c r="EC350" s="43"/>
      <c r="ED350" s="43"/>
      <c r="EE350" s="43"/>
      <c r="EF350" s="43"/>
      <c r="EG350" s="43"/>
      <c r="EH350" s="43"/>
      <c r="EI350" s="43"/>
      <c r="EJ350" s="43"/>
      <c r="EK350" s="43"/>
      <c r="EL350" s="43"/>
      <c r="EM350" s="43"/>
      <c r="EN350" s="43"/>
      <c r="EO350" s="43"/>
      <c r="EP350" s="43"/>
      <c r="EQ350" s="43"/>
      <c r="ER350" s="43"/>
      <c r="ES350" s="43"/>
      <c r="ET350" s="50"/>
      <c r="EU350" s="50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43"/>
      <c r="CZ351" s="43"/>
      <c r="DA351" s="43"/>
      <c r="DB351" s="43"/>
      <c r="DC351" s="43"/>
      <c r="DD351" s="43"/>
      <c r="DE351" s="43"/>
      <c r="DF351" s="43"/>
      <c r="DG351" s="43"/>
      <c r="DH351" s="43"/>
      <c r="DI351" s="43"/>
      <c r="DJ351" s="43"/>
      <c r="DK351" s="43"/>
      <c r="DL351" s="43"/>
      <c r="DM351" s="43"/>
      <c r="DN351" s="43"/>
      <c r="DO351" s="43"/>
      <c r="DP351" s="43"/>
      <c r="DQ351" s="43"/>
      <c r="DR351" s="43"/>
      <c r="DS351" s="43"/>
      <c r="DT351" s="43"/>
      <c r="DU351" s="43"/>
      <c r="DV351" s="43"/>
      <c r="DW351" s="43"/>
      <c r="DX351" s="43"/>
      <c r="DY351" s="43"/>
      <c r="DZ351" s="43"/>
      <c r="EA351" s="43"/>
      <c r="EB351" s="43"/>
      <c r="EC351" s="43"/>
      <c r="ED351" s="43"/>
      <c r="EE351" s="43"/>
      <c r="EF351" s="43"/>
      <c r="EG351" s="43"/>
      <c r="EH351" s="43"/>
      <c r="EI351" s="43"/>
      <c r="EJ351" s="43"/>
      <c r="EK351" s="43"/>
      <c r="EL351" s="43"/>
      <c r="EM351" s="43"/>
      <c r="EN351" s="43"/>
      <c r="EO351" s="43"/>
      <c r="EP351" s="43"/>
      <c r="EQ351" s="43"/>
      <c r="ER351" s="43"/>
      <c r="ES351" s="43"/>
      <c r="ET351" s="50"/>
      <c r="EU351" s="50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43"/>
      <c r="CZ352" s="43"/>
      <c r="DA352" s="43"/>
      <c r="DB352" s="43"/>
      <c r="DC352" s="43"/>
      <c r="DD352" s="43"/>
      <c r="DE352" s="43"/>
      <c r="DF352" s="43"/>
      <c r="DG352" s="43"/>
      <c r="DH352" s="43"/>
      <c r="DI352" s="43"/>
      <c r="DJ352" s="43"/>
      <c r="DK352" s="43"/>
      <c r="DL352" s="43"/>
      <c r="DM352" s="43"/>
      <c r="DN352" s="43"/>
      <c r="DO352" s="43"/>
      <c r="DP352" s="43"/>
      <c r="DQ352" s="43"/>
      <c r="DR352" s="43"/>
      <c r="DS352" s="43"/>
      <c r="DT352" s="43"/>
      <c r="DU352" s="43"/>
      <c r="DV352" s="43"/>
      <c r="DW352" s="43"/>
      <c r="DX352" s="43"/>
      <c r="DY352" s="43"/>
      <c r="DZ352" s="43"/>
      <c r="EA352" s="43"/>
      <c r="EB352" s="43"/>
      <c r="EC352" s="43"/>
      <c r="ED352" s="43"/>
      <c r="EE352" s="43"/>
      <c r="EF352" s="43"/>
      <c r="EG352" s="43"/>
      <c r="EH352" s="43"/>
      <c r="EI352" s="43"/>
      <c r="EJ352" s="43"/>
      <c r="EK352" s="43"/>
      <c r="EL352" s="43"/>
      <c r="EM352" s="43"/>
      <c r="EN352" s="43"/>
      <c r="EO352" s="43"/>
      <c r="EP352" s="43"/>
      <c r="EQ352" s="43"/>
      <c r="ER352" s="43"/>
      <c r="ES352" s="43"/>
      <c r="ET352" s="50"/>
      <c r="EU352" s="50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  <c r="DR353" s="43"/>
      <c r="DS353" s="43"/>
      <c r="DT353" s="43"/>
      <c r="DU353" s="43"/>
      <c r="DV353" s="43"/>
      <c r="DW353" s="43"/>
      <c r="DX353" s="43"/>
      <c r="DY353" s="43"/>
      <c r="DZ353" s="43"/>
      <c r="EA353" s="43"/>
      <c r="EB353" s="43"/>
      <c r="EC353" s="43"/>
      <c r="ED353" s="43"/>
      <c r="EE353" s="43"/>
      <c r="EF353" s="43"/>
      <c r="EG353" s="43"/>
      <c r="EH353" s="43"/>
      <c r="EI353" s="43"/>
      <c r="EJ353" s="43"/>
      <c r="EK353" s="43"/>
      <c r="EL353" s="43"/>
      <c r="EM353" s="43"/>
      <c r="EN353" s="43"/>
      <c r="EO353" s="43"/>
      <c r="EP353" s="43"/>
      <c r="EQ353" s="43"/>
      <c r="ER353" s="43"/>
      <c r="ES353" s="43"/>
      <c r="ET353" s="50"/>
      <c r="EU353" s="50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43"/>
      <c r="CZ354" s="43"/>
      <c r="DA354" s="43"/>
      <c r="DB354" s="43"/>
      <c r="DC354" s="43"/>
      <c r="DD354" s="43"/>
      <c r="DE354" s="43"/>
      <c r="DF354" s="43"/>
      <c r="DG354" s="43"/>
      <c r="DH354" s="43"/>
      <c r="DI354" s="43"/>
      <c r="DJ354" s="43"/>
      <c r="DK354" s="43"/>
      <c r="DL354" s="43"/>
      <c r="DM354" s="43"/>
      <c r="DN354" s="43"/>
      <c r="DO354" s="43"/>
      <c r="DP354" s="43"/>
      <c r="DQ354" s="43"/>
      <c r="DR354" s="43"/>
      <c r="DS354" s="43"/>
      <c r="DT354" s="43"/>
      <c r="DU354" s="43"/>
      <c r="DV354" s="43"/>
      <c r="DW354" s="43"/>
      <c r="DX354" s="43"/>
      <c r="DY354" s="43"/>
      <c r="DZ354" s="43"/>
      <c r="EA354" s="43"/>
      <c r="EB354" s="43"/>
      <c r="EC354" s="43"/>
      <c r="ED354" s="43"/>
      <c r="EE354" s="43"/>
      <c r="EF354" s="43"/>
      <c r="EG354" s="43"/>
      <c r="EH354" s="43"/>
      <c r="EI354" s="43"/>
      <c r="EJ354" s="43"/>
      <c r="EK354" s="43"/>
      <c r="EL354" s="43"/>
      <c r="EM354" s="43"/>
      <c r="EN354" s="43"/>
      <c r="EO354" s="43"/>
      <c r="EP354" s="43"/>
      <c r="EQ354" s="43"/>
      <c r="ER354" s="43"/>
      <c r="ES354" s="43"/>
      <c r="ET354" s="50"/>
      <c r="EU354" s="50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43"/>
      <c r="CZ355" s="43"/>
      <c r="DA355" s="43"/>
      <c r="DB355" s="43"/>
      <c r="DC355" s="43"/>
      <c r="DD355" s="43"/>
      <c r="DE355" s="43"/>
      <c r="DF355" s="43"/>
      <c r="DG355" s="43"/>
      <c r="DH355" s="43"/>
      <c r="DI355" s="43"/>
      <c r="DJ355" s="43"/>
      <c r="DK355" s="43"/>
      <c r="DL355" s="43"/>
      <c r="DM355" s="43"/>
      <c r="DN355" s="43"/>
      <c r="DO355" s="43"/>
      <c r="DP355" s="43"/>
      <c r="DQ355" s="43"/>
      <c r="DR355" s="43"/>
      <c r="DS355" s="43"/>
      <c r="DT355" s="43"/>
      <c r="DU355" s="43"/>
      <c r="DV355" s="43"/>
      <c r="DW355" s="43"/>
      <c r="DX355" s="43"/>
      <c r="DY355" s="43"/>
      <c r="DZ355" s="43"/>
      <c r="EA355" s="43"/>
      <c r="EB355" s="43"/>
      <c r="EC355" s="43"/>
      <c r="ED355" s="43"/>
      <c r="EE355" s="43"/>
      <c r="EF355" s="43"/>
      <c r="EG355" s="43"/>
      <c r="EH355" s="43"/>
      <c r="EI355" s="43"/>
      <c r="EJ355" s="43"/>
      <c r="EK355" s="43"/>
      <c r="EL355" s="43"/>
      <c r="EM355" s="43"/>
      <c r="EN355" s="43"/>
      <c r="EO355" s="43"/>
      <c r="EP355" s="43"/>
      <c r="EQ355" s="43"/>
      <c r="ER355" s="43"/>
      <c r="ES355" s="43"/>
      <c r="ET355" s="50"/>
      <c r="EU355" s="50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/>
      <c r="CP356" s="43"/>
      <c r="CQ356" s="43"/>
      <c r="CR356" s="43"/>
      <c r="CS356" s="43"/>
      <c r="CT356" s="43"/>
      <c r="CU356" s="43"/>
      <c r="CV356" s="43"/>
      <c r="CW356" s="43"/>
      <c r="CX356" s="43"/>
      <c r="CY356" s="43"/>
      <c r="CZ356" s="43"/>
      <c r="DA356" s="43"/>
      <c r="DB356" s="43"/>
      <c r="DC356" s="43"/>
      <c r="DD356" s="43"/>
      <c r="DE356" s="43"/>
      <c r="DF356" s="43"/>
      <c r="DG356" s="43"/>
      <c r="DH356" s="43"/>
      <c r="DI356" s="43"/>
      <c r="DJ356" s="43"/>
      <c r="DK356" s="43"/>
      <c r="DL356" s="43"/>
      <c r="DM356" s="43"/>
      <c r="DN356" s="43"/>
      <c r="DO356" s="43"/>
      <c r="DP356" s="43"/>
      <c r="DQ356" s="43"/>
      <c r="DR356" s="43"/>
      <c r="DS356" s="43"/>
      <c r="DT356" s="43"/>
      <c r="DU356" s="43"/>
      <c r="DV356" s="43"/>
      <c r="DW356" s="43"/>
      <c r="DX356" s="43"/>
      <c r="DY356" s="43"/>
      <c r="DZ356" s="43"/>
      <c r="EA356" s="43"/>
      <c r="EB356" s="43"/>
      <c r="EC356" s="43"/>
      <c r="ED356" s="43"/>
      <c r="EE356" s="43"/>
      <c r="EF356" s="43"/>
      <c r="EG356" s="43"/>
      <c r="EH356" s="43"/>
      <c r="EI356" s="43"/>
      <c r="EJ356" s="43"/>
      <c r="EK356" s="43"/>
      <c r="EL356" s="43"/>
      <c r="EM356" s="43"/>
      <c r="EN356" s="43"/>
      <c r="EO356" s="43"/>
      <c r="EP356" s="43"/>
      <c r="EQ356" s="43"/>
      <c r="ER356" s="43"/>
      <c r="ES356" s="43"/>
      <c r="ET356" s="50"/>
      <c r="EU356" s="50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/>
      <c r="CP357" s="43"/>
      <c r="CQ357" s="43"/>
      <c r="CR357" s="43"/>
      <c r="CS357" s="43"/>
      <c r="CT357" s="43"/>
      <c r="CU357" s="43"/>
      <c r="CV357" s="43"/>
      <c r="CW357" s="43"/>
      <c r="CX357" s="43"/>
      <c r="CY357" s="43"/>
      <c r="CZ357" s="43"/>
      <c r="DA357" s="43"/>
      <c r="DB357" s="43"/>
      <c r="DC357" s="43"/>
      <c r="DD357" s="43"/>
      <c r="DE357" s="43"/>
      <c r="DF357" s="43"/>
      <c r="DG357" s="43"/>
      <c r="DH357" s="43"/>
      <c r="DI357" s="43"/>
      <c r="DJ357" s="43"/>
      <c r="DK357" s="43"/>
      <c r="DL357" s="43"/>
      <c r="DM357" s="43"/>
      <c r="DN357" s="43"/>
      <c r="DO357" s="43"/>
      <c r="DP357" s="43"/>
      <c r="DQ357" s="43"/>
      <c r="DR357" s="43"/>
      <c r="DS357" s="43"/>
      <c r="DT357" s="43"/>
      <c r="DU357" s="43"/>
      <c r="DV357" s="43"/>
      <c r="DW357" s="43"/>
      <c r="DX357" s="43"/>
      <c r="DY357" s="43"/>
      <c r="DZ357" s="43"/>
      <c r="EA357" s="43"/>
      <c r="EB357" s="43"/>
      <c r="EC357" s="43"/>
      <c r="ED357" s="43"/>
      <c r="EE357" s="43"/>
      <c r="EF357" s="43"/>
      <c r="EG357" s="43"/>
      <c r="EH357" s="43"/>
      <c r="EI357" s="43"/>
      <c r="EJ357" s="43"/>
      <c r="EK357" s="43"/>
      <c r="EL357" s="43"/>
      <c r="EM357" s="43"/>
      <c r="EN357" s="43"/>
      <c r="EO357" s="43"/>
      <c r="EP357" s="43"/>
      <c r="EQ357" s="43"/>
      <c r="ER357" s="43"/>
      <c r="ES357" s="43"/>
      <c r="ET357" s="50"/>
      <c r="EU357" s="50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/>
      <c r="CP358" s="43"/>
      <c r="CQ358" s="43"/>
      <c r="CR358" s="43"/>
      <c r="CS358" s="43"/>
      <c r="CT358" s="43"/>
      <c r="CU358" s="43"/>
      <c r="CV358" s="43"/>
      <c r="CW358" s="43"/>
      <c r="CX358" s="43"/>
      <c r="CY358" s="43"/>
      <c r="CZ358" s="43"/>
      <c r="DA358" s="43"/>
      <c r="DB358" s="43"/>
      <c r="DC358" s="43"/>
      <c r="DD358" s="43"/>
      <c r="DE358" s="43"/>
      <c r="DF358" s="43"/>
      <c r="DG358" s="43"/>
      <c r="DH358" s="43"/>
      <c r="DI358" s="43"/>
      <c r="DJ358" s="43"/>
      <c r="DK358" s="43"/>
      <c r="DL358" s="43"/>
      <c r="DM358" s="43"/>
      <c r="DN358" s="43"/>
      <c r="DO358" s="43"/>
      <c r="DP358" s="43"/>
      <c r="DQ358" s="43"/>
      <c r="DR358" s="43"/>
      <c r="DS358" s="43"/>
      <c r="DT358" s="43"/>
      <c r="DU358" s="43"/>
      <c r="DV358" s="43"/>
      <c r="DW358" s="43"/>
      <c r="DX358" s="43"/>
      <c r="DY358" s="43"/>
      <c r="DZ358" s="43"/>
      <c r="EA358" s="43"/>
      <c r="EB358" s="43"/>
      <c r="EC358" s="43"/>
      <c r="ED358" s="43"/>
      <c r="EE358" s="43"/>
      <c r="EF358" s="43"/>
      <c r="EG358" s="43"/>
      <c r="EH358" s="43"/>
      <c r="EI358" s="43"/>
      <c r="EJ358" s="43"/>
      <c r="EK358" s="43"/>
      <c r="EL358" s="43"/>
      <c r="EM358" s="43"/>
      <c r="EN358" s="43"/>
      <c r="EO358" s="43"/>
      <c r="EP358" s="43"/>
      <c r="EQ358" s="43"/>
      <c r="ER358" s="43"/>
      <c r="ES358" s="43"/>
      <c r="ET358" s="50"/>
      <c r="EU358" s="50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  <c r="CS359" s="43"/>
      <c r="CT359" s="43"/>
      <c r="CU359" s="43"/>
      <c r="CV359" s="43"/>
      <c r="CW359" s="43"/>
      <c r="CX359" s="43"/>
      <c r="CY359" s="43"/>
      <c r="CZ359" s="43"/>
      <c r="DA359" s="43"/>
      <c r="DB359" s="43"/>
      <c r="DC359" s="43"/>
      <c r="DD359" s="43"/>
      <c r="DE359" s="43"/>
      <c r="DF359" s="43"/>
      <c r="DG359" s="43"/>
      <c r="DH359" s="43"/>
      <c r="DI359" s="43"/>
      <c r="DJ359" s="43"/>
      <c r="DK359" s="43"/>
      <c r="DL359" s="43"/>
      <c r="DM359" s="43"/>
      <c r="DN359" s="43"/>
      <c r="DO359" s="43"/>
      <c r="DP359" s="43"/>
      <c r="DQ359" s="43"/>
      <c r="DR359" s="43"/>
      <c r="DS359" s="43"/>
      <c r="DT359" s="43"/>
      <c r="DU359" s="43"/>
      <c r="DV359" s="43"/>
      <c r="DW359" s="43"/>
      <c r="DX359" s="43"/>
      <c r="DY359" s="43"/>
      <c r="DZ359" s="43"/>
      <c r="EA359" s="43"/>
      <c r="EB359" s="43"/>
      <c r="EC359" s="43"/>
      <c r="ED359" s="43"/>
      <c r="EE359" s="43"/>
      <c r="EF359" s="43"/>
      <c r="EG359" s="43"/>
      <c r="EH359" s="43"/>
      <c r="EI359" s="43"/>
      <c r="EJ359" s="43"/>
      <c r="EK359" s="43"/>
      <c r="EL359" s="43"/>
      <c r="EM359" s="43"/>
      <c r="EN359" s="43"/>
      <c r="EO359" s="43"/>
      <c r="EP359" s="43"/>
      <c r="EQ359" s="43"/>
      <c r="ER359" s="43"/>
      <c r="ES359" s="43"/>
      <c r="ET359" s="50"/>
      <c r="EU359" s="50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/>
      <c r="CP360" s="43"/>
      <c r="CQ360" s="43"/>
      <c r="CR360" s="43"/>
      <c r="CS360" s="43"/>
      <c r="CT360" s="43"/>
      <c r="CU360" s="43"/>
      <c r="CV360" s="43"/>
      <c r="CW360" s="43"/>
      <c r="CX360" s="43"/>
      <c r="CY360" s="43"/>
      <c r="CZ360" s="43"/>
      <c r="DA360" s="43"/>
      <c r="DB360" s="43"/>
      <c r="DC360" s="43"/>
      <c r="DD360" s="43"/>
      <c r="DE360" s="43"/>
      <c r="DF360" s="43"/>
      <c r="DG360" s="43"/>
      <c r="DH360" s="43"/>
      <c r="DI360" s="43"/>
      <c r="DJ360" s="43"/>
      <c r="DK360" s="43"/>
      <c r="DL360" s="43"/>
      <c r="DM360" s="43"/>
      <c r="DN360" s="43"/>
      <c r="DO360" s="43"/>
      <c r="DP360" s="43"/>
      <c r="DQ360" s="43"/>
      <c r="DR360" s="43"/>
      <c r="DS360" s="43"/>
      <c r="DT360" s="43"/>
      <c r="DU360" s="43"/>
      <c r="DV360" s="43"/>
      <c r="DW360" s="43"/>
      <c r="DX360" s="43"/>
      <c r="DY360" s="43"/>
      <c r="DZ360" s="43"/>
      <c r="EA360" s="43"/>
      <c r="EB360" s="43"/>
      <c r="EC360" s="43"/>
      <c r="ED360" s="43"/>
      <c r="EE360" s="43"/>
      <c r="EF360" s="43"/>
      <c r="EG360" s="43"/>
      <c r="EH360" s="43"/>
      <c r="EI360" s="43"/>
      <c r="EJ360" s="43"/>
      <c r="EK360" s="43"/>
      <c r="EL360" s="43"/>
      <c r="EM360" s="43"/>
      <c r="EN360" s="43"/>
      <c r="EO360" s="43"/>
      <c r="EP360" s="43"/>
      <c r="EQ360" s="43"/>
      <c r="ER360" s="43"/>
      <c r="ES360" s="43"/>
      <c r="ET360" s="50"/>
      <c r="EU360" s="50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/>
      <c r="CP361" s="43"/>
      <c r="CQ361" s="43"/>
      <c r="CR361" s="43"/>
      <c r="CS361" s="43"/>
      <c r="CT361" s="43"/>
      <c r="CU361" s="43"/>
      <c r="CV361" s="43"/>
      <c r="CW361" s="43"/>
      <c r="CX361" s="43"/>
      <c r="CY361" s="43"/>
      <c r="CZ361" s="43"/>
      <c r="DA361" s="43"/>
      <c r="DB361" s="43"/>
      <c r="DC361" s="43"/>
      <c r="DD361" s="43"/>
      <c r="DE361" s="43"/>
      <c r="DF361" s="43"/>
      <c r="DG361" s="43"/>
      <c r="DH361" s="43"/>
      <c r="DI361" s="43"/>
      <c r="DJ361" s="43"/>
      <c r="DK361" s="43"/>
      <c r="DL361" s="43"/>
      <c r="DM361" s="43"/>
      <c r="DN361" s="43"/>
      <c r="DO361" s="43"/>
      <c r="DP361" s="43"/>
      <c r="DQ361" s="43"/>
      <c r="DR361" s="43"/>
      <c r="DS361" s="43"/>
      <c r="DT361" s="43"/>
      <c r="DU361" s="43"/>
      <c r="DV361" s="43"/>
      <c r="DW361" s="43"/>
      <c r="DX361" s="43"/>
      <c r="DY361" s="43"/>
      <c r="DZ361" s="43"/>
      <c r="EA361" s="43"/>
      <c r="EB361" s="43"/>
      <c r="EC361" s="43"/>
      <c r="ED361" s="43"/>
      <c r="EE361" s="43"/>
      <c r="EF361" s="43"/>
      <c r="EG361" s="43"/>
      <c r="EH361" s="43"/>
      <c r="EI361" s="43"/>
      <c r="EJ361" s="43"/>
      <c r="EK361" s="43"/>
      <c r="EL361" s="43"/>
      <c r="EM361" s="43"/>
      <c r="EN361" s="43"/>
      <c r="EO361" s="43"/>
      <c r="EP361" s="43"/>
      <c r="EQ361" s="43"/>
      <c r="ER361" s="43"/>
      <c r="ES361" s="43"/>
      <c r="ET361" s="50"/>
      <c r="EU361" s="50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/>
      <c r="CP362" s="43"/>
      <c r="CQ362" s="43"/>
      <c r="CR362" s="43"/>
      <c r="CS362" s="43"/>
      <c r="CT362" s="43"/>
      <c r="CU362" s="43"/>
      <c r="CV362" s="43"/>
      <c r="CW362" s="43"/>
      <c r="CX362" s="43"/>
      <c r="CY362" s="43"/>
      <c r="CZ362" s="43"/>
      <c r="DA362" s="43"/>
      <c r="DB362" s="43"/>
      <c r="DC362" s="43"/>
      <c r="DD362" s="43"/>
      <c r="DE362" s="43"/>
      <c r="DF362" s="43"/>
      <c r="DG362" s="43"/>
      <c r="DH362" s="43"/>
      <c r="DI362" s="43"/>
      <c r="DJ362" s="43"/>
      <c r="DK362" s="43"/>
      <c r="DL362" s="43"/>
      <c r="DM362" s="43"/>
      <c r="DN362" s="43"/>
      <c r="DO362" s="43"/>
      <c r="DP362" s="43"/>
      <c r="DQ362" s="43"/>
      <c r="DR362" s="43"/>
      <c r="DS362" s="43"/>
      <c r="DT362" s="43"/>
      <c r="DU362" s="43"/>
      <c r="DV362" s="43"/>
      <c r="DW362" s="43"/>
      <c r="DX362" s="43"/>
      <c r="DY362" s="43"/>
      <c r="DZ362" s="43"/>
      <c r="EA362" s="43"/>
      <c r="EB362" s="43"/>
      <c r="EC362" s="43"/>
      <c r="ED362" s="43"/>
      <c r="EE362" s="43"/>
      <c r="EF362" s="43"/>
      <c r="EG362" s="43"/>
      <c r="EH362" s="43"/>
      <c r="EI362" s="43"/>
      <c r="EJ362" s="43"/>
      <c r="EK362" s="43"/>
      <c r="EL362" s="43"/>
      <c r="EM362" s="43"/>
      <c r="EN362" s="43"/>
      <c r="EO362" s="43"/>
      <c r="EP362" s="43"/>
      <c r="EQ362" s="43"/>
      <c r="ER362" s="43"/>
      <c r="ES362" s="43"/>
      <c r="ET362" s="50"/>
      <c r="EU362" s="50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/>
      <c r="CM363" s="43"/>
      <c r="CN363" s="43"/>
      <c r="CO363" s="43"/>
      <c r="CP363" s="43"/>
      <c r="CQ363" s="43"/>
      <c r="CR363" s="43"/>
      <c r="CS363" s="43"/>
      <c r="CT363" s="43"/>
      <c r="CU363" s="43"/>
      <c r="CV363" s="43"/>
      <c r="CW363" s="43"/>
      <c r="CX363" s="43"/>
      <c r="CY363" s="43"/>
      <c r="CZ363" s="43"/>
      <c r="DA363" s="43"/>
      <c r="DB363" s="43"/>
      <c r="DC363" s="43"/>
      <c r="DD363" s="43"/>
      <c r="DE363" s="43"/>
      <c r="DF363" s="43"/>
      <c r="DG363" s="43"/>
      <c r="DH363" s="43"/>
      <c r="DI363" s="43"/>
      <c r="DJ363" s="43"/>
      <c r="DK363" s="43"/>
      <c r="DL363" s="43"/>
      <c r="DM363" s="43"/>
      <c r="DN363" s="43"/>
      <c r="DO363" s="43"/>
      <c r="DP363" s="43"/>
      <c r="DQ363" s="43"/>
      <c r="DR363" s="43"/>
      <c r="DS363" s="43"/>
      <c r="DT363" s="43"/>
      <c r="DU363" s="43"/>
      <c r="DV363" s="43"/>
      <c r="DW363" s="43"/>
      <c r="DX363" s="43"/>
      <c r="DY363" s="43"/>
      <c r="DZ363" s="43"/>
      <c r="EA363" s="43"/>
      <c r="EB363" s="43"/>
      <c r="EC363" s="43"/>
      <c r="ED363" s="43"/>
      <c r="EE363" s="43"/>
      <c r="EF363" s="43"/>
      <c r="EG363" s="43"/>
      <c r="EH363" s="43"/>
      <c r="EI363" s="43"/>
      <c r="EJ363" s="43"/>
      <c r="EK363" s="43"/>
      <c r="EL363" s="43"/>
      <c r="EM363" s="43"/>
      <c r="EN363" s="43"/>
      <c r="EO363" s="43"/>
      <c r="EP363" s="43"/>
      <c r="EQ363" s="43"/>
      <c r="ER363" s="43"/>
      <c r="ES363" s="43"/>
      <c r="ET363" s="50"/>
      <c r="EU363" s="50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  <c r="CI364" s="43"/>
      <c r="CJ364" s="43"/>
      <c r="CK364" s="43"/>
      <c r="CL364" s="43"/>
      <c r="CM364" s="43"/>
      <c r="CN364" s="43"/>
      <c r="CO364" s="43"/>
      <c r="CP364" s="43"/>
      <c r="CQ364" s="43"/>
      <c r="CR364" s="43"/>
      <c r="CS364" s="43"/>
      <c r="CT364" s="43"/>
      <c r="CU364" s="43"/>
      <c r="CV364" s="43"/>
      <c r="CW364" s="43"/>
      <c r="CX364" s="43"/>
      <c r="CY364" s="43"/>
      <c r="CZ364" s="43"/>
      <c r="DA364" s="43"/>
      <c r="DB364" s="43"/>
      <c r="DC364" s="43"/>
      <c r="DD364" s="43"/>
      <c r="DE364" s="43"/>
      <c r="DF364" s="43"/>
      <c r="DG364" s="43"/>
      <c r="DH364" s="43"/>
      <c r="DI364" s="43"/>
      <c r="DJ364" s="43"/>
      <c r="DK364" s="43"/>
      <c r="DL364" s="43"/>
      <c r="DM364" s="43"/>
      <c r="DN364" s="43"/>
      <c r="DO364" s="43"/>
      <c r="DP364" s="43"/>
      <c r="DQ364" s="43"/>
      <c r="DR364" s="43"/>
      <c r="DS364" s="43"/>
      <c r="DT364" s="43"/>
      <c r="DU364" s="43"/>
      <c r="DV364" s="43"/>
      <c r="DW364" s="43"/>
      <c r="DX364" s="43"/>
      <c r="DY364" s="43"/>
      <c r="DZ364" s="43"/>
      <c r="EA364" s="43"/>
      <c r="EB364" s="43"/>
      <c r="EC364" s="43"/>
      <c r="ED364" s="43"/>
      <c r="EE364" s="43"/>
      <c r="EF364" s="43"/>
      <c r="EG364" s="43"/>
      <c r="EH364" s="43"/>
      <c r="EI364" s="43"/>
      <c r="EJ364" s="43"/>
      <c r="EK364" s="43"/>
      <c r="EL364" s="43"/>
      <c r="EM364" s="43"/>
      <c r="EN364" s="43"/>
      <c r="EO364" s="43"/>
      <c r="EP364" s="43"/>
      <c r="EQ364" s="43"/>
      <c r="ER364" s="43"/>
      <c r="ES364" s="43"/>
      <c r="ET364" s="50"/>
      <c r="EU364" s="50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  <c r="CI365" s="43"/>
      <c r="CJ365" s="43"/>
      <c r="CK365" s="43"/>
      <c r="CL365" s="43"/>
      <c r="CM365" s="43"/>
      <c r="CN365" s="43"/>
      <c r="CO365" s="43"/>
      <c r="CP365" s="43"/>
      <c r="CQ365" s="43"/>
      <c r="CR365" s="43"/>
      <c r="CS365" s="43"/>
      <c r="CT365" s="43"/>
      <c r="CU365" s="43"/>
      <c r="CV365" s="43"/>
      <c r="CW365" s="43"/>
      <c r="CX365" s="43"/>
      <c r="CY365" s="43"/>
      <c r="CZ365" s="43"/>
      <c r="DA365" s="43"/>
      <c r="DB365" s="43"/>
      <c r="DC365" s="43"/>
      <c r="DD365" s="43"/>
      <c r="DE365" s="43"/>
      <c r="DF365" s="43"/>
      <c r="DG365" s="43"/>
      <c r="DH365" s="43"/>
      <c r="DI365" s="43"/>
      <c r="DJ365" s="43"/>
      <c r="DK365" s="43"/>
      <c r="DL365" s="43"/>
      <c r="DM365" s="43"/>
      <c r="DN365" s="43"/>
      <c r="DO365" s="43"/>
      <c r="DP365" s="43"/>
      <c r="DQ365" s="43"/>
      <c r="DR365" s="43"/>
      <c r="DS365" s="43"/>
      <c r="DT365" s="43"/>
      <c r="DU365" s="43"/>
      <c r="DV365" s="43"/>
      <c r="DW365" s="43"/>
      <c r="DX365" s="43"/>
      <c r="DY365" s="43"/>
      <c r="DZ365" s="43"/>
      <c r="EA365" s="43"/>
      <c r="EB365" s="43"/>
      <c r="EC365" s="43"/>
      <c r="ED365" s="43"/>
      <c r="EE365" s="43"/>
      <c r="EF365" s="43"/>
      <c r="EG365" s="43"/>
      <c r="EH365" s="43"/>
      <c r="EI365" s="43"/>
      <c r="EJ365" s="43"/>
      <c r="EK365" s="43"/>
      <c r="EL365" s="43"/>
      <c r="EM365" s="43"/>
      <c r="EN365" s="43"/>
      <c r="EO365" s="43"/>
      <c r="EP365" s="43"/>
      <c r="EQ365" s="43"/>
      <c r="ER365" s="43"/>
      <c r="ES365" s="43"/>
      <c r="ET365" s="50"/>
      <c r="EU365" s="50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  <c r="CS366" s="43"/>
      <c r="CT366" s="43"/>
      <c r="CU366" s="43"/>
      <c r="CV366" s="43"/>
      <c r="CW366" s="43"/>
      <c r="CX366" s="43"/>
      <c r="CY366" s="43"/>
      <c r="CZ366" s="43"/>
      <c r="DA366" s="43"/>
      <c r="DB366" s="43"/>
      <c r="DC366" s="43"/>
      <c r="DD366" s="43"/>
      <c r="DE366" s="43"/>
      <c r="DF366" s="43"/>
      <c r="DG366" s="43"/>
      <c r="DH366" s="43"/>
      <c r="DI366" s="43"/>
      <c r="DJ366" s="43"/>
      <c r="DK366" s="43"/>
      <c r="DL366" s="43"/>
      <c r="DM366" s="43"/>
      <c r="DN366" s="43"/>
      <c r="DO366" s="43"/>
      <c r="DP366" s="43"/>
      <c r="DQ366" s="43"/>
      <c r="DR366" s="43"/>
      <c r="DS366" s="43"/>
      <c r="DT366" s="43"/>
      <c r="DU366" s="43"/>
      <c r="DV366" s="43"/>
      <c r="DW366" s="43"/>
      <c r="DX366" s="43"/>
      <c r="DY366" s="43"/>
      <c r="DZ366" s="43"/>
      <c r="EA366" s="43"/>
      <c r="EB366" s="43"/>
      <c r="EC366" s="43"/>
      <c r="ED366" s="43"/>
      <c r="EE366" s="43"/>
      <c r="EF366" s="43"/>
      <c r="EG366" s="43"/>
      <c r="EH366" s="43"/>
      <c r="EI366" s="43"/>
      <c r="EJ366" s="43"/>
      <c r="EK366" s="43"/>
      <c r="EL366" s="43"/>
      <c r="EM366" s="43"/>
      <c r="EN366" s="43"/>
      <c r="EO366" s="43"/>
      <c r="EP366" s="43"/>
      <c r="EQ366" s="43"/>
      <c r="ER366" s="43"/>
      <c r="ES366" s="43"/>
      <c r="ET366" s="50"/>
      <c r="EU366" s="50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  <c r="CI367" s="43"/>
      <c r="CJ367" s="43"/>
      <c r="CK367" s="43"/>
      <c r="CL367" s="43"/>
      <c r="CM367" s="43"/>
      <c r="CN367" s="43"/>
      <c r="CO367" s="43"/>
      <c r="CP367" s="43"/>
      <c r="CQ367" s="43"/>
      <c r="CR367" s="43"/>
      <c r="CS367" s="43"/>
      <c r="CT367" s="43"/>
      <c r="CU367" s="43"/>
      <c r="CV367" s="43"/>
      <c r="CW367" s="43"/>
      <c r="CX367" s="43"/>
      <c r="CY367" s="43"/>
      <c r="CZ367" s="43"/>
      <c r="DA367" s="43"/>
      <c r="DB367" s="43"/>
      <c r="DC367" s="43"/>
      <c r="DD367" s="43"/>
      <c r="DE367" s="43"/>
      <c r="DF367" s="43"/>
      <c r="DG367" s="43"/>
      <c r="DH367" s="43"/>
      <c r="DI367" s="43"/>
      <c r="DJ367" s="43"/>
      <c r="DK367" s="43"/>
      <c r="DL367" s="43"/>
      <c r="DM367" s="43"/>
      <c r="DN367" s="43"/>
      <c r="DO367" s="43"/>
      <c r="DP367" s="43"/>
      <c r="DQ367" s="43"/>
      <c r="DR367" s="43"/>
      <c r="DS367" s="43"/>
      <c r="DT367" s="43"/>
      <c r="DU367" s="43"/>
      <c r="DV367" s="43"/>
      <c r="DW367" s="43"/>
      <c r="DX367" s="43"/>
      <c r="DY367" s="43"/>
      <c r="DZ367" s="43"/>
      <c r="EA367" s="43"/>
      <c r="EB367" s="43"/>
      <c r="EC367" s="43"/>
      <c r="ED367" s="43"/>
      <c r="EE367" s="43"/>
      <c r="EF367" s="43"/>
      <c r="EG367" s="43"/>
      <c r="EH367" s="43"/>
      <c r="EI367" s="43"/>
      <c r="EJ367" s="43"/>
      <c r="EK367" s="43"/>
      <c r="EL367" s="43"/>
      <c r="EM367" s="43"/>
      <c r="EN367" s="43"/>
      <c r="EO367" s="43"/>
      <c r="EP367" s="43"/>
      <c r="EQ367" s="43"/>
      <c r="ER367" s="43"/>
      <c r="ES367" s="43"/>
      <c r="ET367" s="50"/>
      <c r="EU367" s="50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  <c r="CS368" s="43"/>
      <c r="CT368" s="43"/>
      <c r="CU368" s="43"/>
      <c r="CV368" s="43"/>
      <c r="CW368" s="43"/>
      <c r="CX368" s="43"/>
      <c r="CY368" s="43"/>
      <c r="CZ368" s="43"/>
      <c r="DA368" s="43"/>
      <c r="DB368" s="43"/>
      <c r="DC368" s="43"/>
      <c r="DD368" s="43"/>
      <c r="DE368" s="43"/>
      <c r="DF368" s="43"/>
      <c r="DG368" s="43"/>
      <c r="DH368" s="43"/>
      <c r="DI368" s="43"/>
      <c r="DJ368" s="43"/>
      <c r="DK368" s="43"/>
      <c r="DL368" s="43"/>
      <c r="DM368" s="43"/>
      <c r="DN368" s="43"/>
      <c r="DO368" s="43"/>
      <c r="DP368" s="43"/>
      <c r="DQ368" s="43"/>
      <c r="DR368" s="43"/>
      <c r="DS368" s="43"/>
      <c r="DT368" s="43"/>
      <c r="DU368" s="43"/>
      <c r="DV368" s="43"/>
      <c r="DW368" s="43"/>
      <c r="DX368" s="43"/>
      <c r="DY368" s="43"/>
      <c r="DZ368" s="43"/>
      <c r="EA368" s="43"/>
      <c r="EB368" s="43"/>
      <c r="EC368" s="43"/>
      <c r="ED368" s="43"/>
      <c r="EE368" s="43"/>
      <c r="EF368" s="43"/>
      <c r="EG368" s="43"/>
      <c r="EH368" s="43"/>
      <c r="EI368" s="43"/>
      <c r="EJ368" s="43"/>
      <c r="EK368" s="43"/>
      <c r="EL368" s="43"/>
      <c r="EM368" s="43"/>
      <c r="EN368" s="43"/>
      <c r="EO368" s="43"/>
      <c r="EP368" s="43"/>
      <c r="EQ368" s="43"/>
      <c r="ER368" s="43"/>
      <c r="ES368" s="43"/>
      <c r="ET368" s="50"/>
      <c r="EU368" s="50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  <c r="CI369" s="43"/>
      <c r="CJ369" s="43"/>
      <c r="CK369" s="43"/>
      <c r="CL369" s="43"/>
      <c r="CM369" s="43"/>
      <c r="CN369" s="43"/>
      <c r="CO369" s="43"/>
      <c r="CP369" s="43"/>
      <c r="CQ369" s="43"/>
      <c r="CR369" s="43"/>
      <c r="CS369" s="43"/>
      <c r="CT369" s="43"/>
      <c r="CU369" s="43"/>
      <c r="CV369" s="43"/>
      <c r="CW369" s="43"/>
      <c r="CX369" s="43"/>
      <c r="CY369" s="43"/>
      <c r="CZ369" s="43"/>
      <c r="DA369" s="43"/>
      <c r="DB369" s="43"/>
      <c r="DC369" s="43"/>
      <c r="DD369" s="43"/>
      <c r="DE369" s="43"/>
      <c r="DF369" s="43"/>
      <c r="DG369" s="43"/>
      <c r="DH369" s="43"/>
      <c r="DI369" s="43"/>
      <c r="DJ369" s="43"/>
      <c r="DK369" s="43"/>
      <c r="DL369" s="43"/>
      <c r="DM369" s="43"/>
      <c r="DN369" s="43"/>
      <c r="DO369" s="43"/>
      <c r="DP369" s="43"/>
      <c r="DQ369" s="43"/>
      <c r="DR369" s="43"/>
      <c r="DS369" s="43"/>
      <c r="DT369" s="43"/>
      <c r="DU369" s="43"/>
      <c r="DV369" s="43"/>
      <c r="DW369" s="43"/>
      <c r="DX369" s="43"/>
      <c r="DY369" s="43"/>
      <c r="DZ369" s="43"/>
      <c r="EA369" s="43"/>
      <c r="EB369" s="43"/>
      <c r="EC369" s="43"/>
      <c r="ED369" s="43"/>
      <c r="EE369" s="43"/>
      <c r="EF369" s="43"/>
      <c r="EG369" s="43"/>
      <c r="EH369" s="43"/>
      <c r="EI369" s="43"/>
      <c r="EJ369" s="43"/>
      <c r="EK369" s="43"/>
      <c r="EL369" s="43"/>
      <c r="EM369" s="43"/>
      <c r="EN369" s="43"/>
      <c r="EO369" s="43"/>
      <c r="EP369" s="43"/>
      <c r="EQ369" s="43"/>
      <c r="ER369" s="43"/>
      <c r="ES369" s="43"/>
      <c r="ET369" s="50"/>
      <c r="EU369" s="50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  <c r="CI370" s="43"/>
      <c r="CJ370" s="43"/>
      <c r="CK370" s="43"/>
      <c r="CL370" s="43"/>
      <c r="CM370" s="43"/>
      <c r="CN370" s="43"/>
      <c r="CO370" s="43"/>
      <c r="CP370" s="43"/>
      <c r="CQ370" s="43"/>
      <c r="CR370" s="43"/>
      <c r="CS370" s="43"/>
      <c r="CT370" s="43"/>
      <c r="CU370" s="43"/>
      <c r="CV370" s="43"/>
      <c r="CW370" s="43"/>
      <c r="CX370" s="43"/>
      <c r="CY370" s="43"/>
      <c r="CZ370" s="43"/>
      <c r="DA370" s="43"/>
      <c r="DB370" s="43"/>
      <c r="DC370" s="43"/>
      <c r="DD370" s="43"/>
      <c r="DE370" s="43"/>
      <c r="DF370" s="43"/>
      <c r="DG370" s="43"/>
      <c r="DH370" s="43"/>
      <c r="DI370" s="43"/>
      <c r="DJ370" s="43"/>
      <c r="DK370" s="43"/>
      <c r="DL370" s="43"/>
      <c r="DM370" s="43"/>
      <c r="DN370" s="43"/>
      <c r="DO370" s="43"/>
      <c r="DP370" s="43"/>
      <c r="DQ370" s="43"/>
      <c r="DR370" s="43"/>
      <c r="DS370" s="43"/>
      <c r="DT370" s="43"/>
      <c r="DU370" s="43"/>
      <c r="DV370" s="43"/>
      <c r="DW370" s="43"/>
      <c r="DX370" s="43"/>
      <c r="DY370" s="43"/>
      <c r="DZ370" s="43"/>
      <c r="EA370" s="43"/>
      <c r="EB370" s="43"/>
      <c r="EC370" s="43"/>
      <c r="ED370" s="43"/>
      <c r="EE370" s="43"/>
      <c r="EF370" s="43"/>
      <c r="EG370" s="43"/>
      <c r="EH370" s="43"/>
      <c r="EI370" s="43"/>
      <c r="EJ370" s="43"/>
      <c r="EK370" s="43"/>
      <c r="EL370" s="43"/>
      <c r="EM370" s="43"/>
      <c r="EN370" s="43"/>
      <c r="EO370" s="43"/>
      <c r="EP370" s="43"/>
      <c r="EQ370" s="43"/>
      <c r="ER370" s="43"/>
      <c r="ES370" s="43"/>
      <c r="ET370" s="50"/>
      <c r="EU370" s="50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  <c r="CS371" s="43"/>
      <c r="CT371" s="43"/>
      <c r="CU371" s="43"/>
      <c r="CV371" s="43"/>
      <c r="CW371" s="43"/>
      <c r="CX371" s="43"/>
      <c r="CY371" s="43"/>
      <c r="CZ371" s="43"/>
      <c r="DA371" s="43"/>
      <c r="DB371" s="43"/>
      <c r="DC371" s="43"/>
      <c r="DD371" s="43"/>
      <c r="DE371" s="43"/>
      <c r="DF371" s="43"/>
      <c r="DG371" s="43"/>
      <c r="DH371" s="43"/>
      <c r="DI371" s="43"/>
      <c r="DJ371" s="43"/>
      <c r="DK371" s="43"/>
      <c r="DL371" s="43"/>
      <c r="DM371" s="43"/>
      <c r="DN371" s="43"/>
      <c r="DO371" s="43"/>
      <c r="DP371" s="43"/>
      <c r="DQ371" s="43"/>
      <c r="DR371" s="43"/>
      <c r="DS371" s="43"/>
      <c r="DT371" s="43"/>
      <c r="DU371" s="43"/>
      <c r="DV371" s="43"/>
      <c r="DW371" s="43"/>
      <c r="DX371" s="43"/>
      <c r="DY371" s="43"/>
      <c r="DZ371" s="43"/>
      <c r="EA371" s="43"/>
      <c r="EB371" s="43"/>
      <c r="EC371" s="43"/>
      <c r="ED371" s="43"/>
      <c r="EE371" s="43"/>
      <c r="EF371" s="43"/>
      <c r="EG371" s="43"/>
      <c r="EH371" s="43"/>
      <c r="EI371" s="43"/>
      <c r="EJ371" s="43"/>
      <c r="EK371" s="43"/>
      <c r="EL371" s="43"/>
      <c r="EM371" s="43"/>
      <c r="EN371" s="43"/>
      <c r="EO371" s="43"/>
      <c r="EP371" s="43"/>
      <c r="EQ371" s="43"/>
      <c r="ER371" s="43"/>
      <c r="ES371" s="43"/>
      <c r="ET371" s="50"/>
      <c r="EU371" s="50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  <c r="CI372" s="43"/>
      <c r="CJ372" s="43"/>
      <c r="CK372" s="43"/>
      <c r="CL372" s="43"/>
      <c r="CM372" s="43"/>
      <c r="CN372" s="43"/>
      <c r="CO372" s="43"/>
      <c r="CP372" s="43"/>
      <c r="CQ372" s="43"/>
      <c r="CR372" s="43"/>
      <c r="CS372" s="43"/>
      <c r="CT372" s="43"/>
      <c r="CU372" s="43"/>
      <c r="CV372" s="43"/>
      <c r="CW372" s="43"/>
      <c r="CX372" s="43"/>
      <c r="CY372" s="43"/>
      <c r="CZ372" s="43"/>
      <c r="DA372" s="43"/>
      <c r="DB372" s="43"/>
      <c r="DC372" s="43"/>
      <c r="DD372" s="43"/>
      <c r="DE372" s="43"/>
      <c r="DF372" s="43"/>
      <c r="DG372" s="43"/>
      <c r="DH372" s="43"/>
      <c r="DI372" s="43"/>
      <c r="DJ372" s="43"/>
      <c r="DK372" s="43"/>
      <c r="DL372" s="43"/>
      <c r="DM372" s="43"/>
      <c r="DN372" s="43"/>
      <c r="DO372" s="43"/>
      <c r="DP372" s="43"/>
      <c r="DQ372" s="43"/>
      <c r="DR372" s="43"/>
      <c r="DS372" s="43"/>
      <c r="DT372" s="43"/>
      <c r="DU372" s="43"/>
      <c r="DV372" s="43"/>
      <c r="DW372" s="43"/>
      <c r="DX372" s="43"/>
      <c r="DY372" s="43"/>
      <c r="DZ372" s="43"/>
      <c r="EA372" s="43"/>
      <c r="EB372" s="43"/>
      <c r="EC372" s="43"/>
      <c r="ED372" s="43"/>
      <c r="EE372" s="43"/>
      <c r="EF372" s="43"/>
      <c r="EG372" s="43"/>
      <c r="EH372" s="43"/>
      <c r="EI372" s="43"/>
      <c r="EJ372" s="43"/>
      <c r="EK372" s="43"/>
      <c r="EL372" s="43"/>
      <c r="EM372" s="43"/>
      <c r="EN372" s="43"/>
      <c r="EO372" s="43"/>
      <c r="EP372" s="43"/>
      <c r="EQ372" s="43"/>
      <c r="ER372" s="43"/>
      <c r="ES372" s="43"/>
      <c r="ET372" s="50"/>
      <c r="EU372" s="50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  <c r="CI373" s="43"/>
      <c r="CJ373" s="43"/>
      <c r="CK373" s="43"/>
      <c r="CL373" s="43"/>
      <c r="CM373" s="43"/>
      <c r="CN373" s="43"/>
      <c r="CO373" s="43"/>
      <c r="CP373" s="43"/>
      <c r="CQ373" s="43"/>
      <c r="CR373" s="43"/>
      <c r="CS373" s="43"/>
      <c r="CT373" s="43"/>
      <c r="CU373" s="43"/>
      <c r="CV373" s="43"/>
      <c r="CW373" s="43"/>
      <c r="CX373" s="43"/>
      <c r="CY373" s="43"/>
      <c r="CZ373" s="43"/>
      <c r="DA373" s="43"/>
      <c r="DB373" s="43"/>
      <c r="DC373" s="43"/>
      <c r="DD373" s="43"/>
      <c r="DE373" s="43"/>
      <c r="DF373" s="43"/>
      <c r="DG373" s="43"/>
      <c r="DH373" s="43"/>
      <c r="DI373" s="43"/>
      <c r="DJ373" s="43"/>
      <c r="DK373" s="43"/>
      <c r="DL373" s="43"/>
      <c r="DM373" s="43"/>
      <c r="DN373" s="43"/>
      <c r="DO373" s="43"/>
      <c r="DP373" s="43"/>
      <c r="DQ373" s="43"/>
      <c r="DR373" s="43"/>
      <c r="DS373" s="43"/>
      <c r="DT373" s="43"/>
      <c r="DU373" s="43"/>
      <c r="DV373" s="43"/>
      <c r="DW373" s="43"/>
      <c r="DX373" s="43"/>
      <c r="DY373" s="43"/>
      <c r="DZ373" s="43"/>
      <c r="EA373" s="43"/>
      <c r="EB373" s="43"/>
      <c r="EC373" s="43"/>
      <c r="ED373" s="43"/>
      <c r="EE373" s="43"/>
      <c r="EF373" s="43"/>
      <c r="EG373" s="43"/>
      <c r="EH373" s="43"/>
      <c r="EI373" s="43"/>
      <c r="EJ373" s="43"/>
      <c r="EK373" s="43"/>
      <c r="EL373" s="43"/>
      <c r="EM373" s="43"/>
      <c r="EN373" s="43"/>
      <c r="EO373" s="43"/>
      <c r="EP373" s="43"/>
      <c r="EQ373" s="43"/>
      <c r="ER373" s="43"/>
      <c r="ES373" s="43"/>
      <c r="ET373" s="50"/>
      <c r="EU373" s="50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  <c r="CS374" s="43"/>
      <c r="CT374" s="43"/>
      <c r="CU374" s="43"/>
      <c r="CV374" s="43"/>
      <c r="CW374" s="43"/>
      <c r="CX374" s="43"/>
      <c r="CY374" s="43"/>
      <c r="CZ374" s="43"/>
      <c r="DA374" s="43"/>
      <c r="DB374" s="43"/>
      <c r="DC374" s="43"/>
      <c r="DD374" s="43"/>
      <c r="DE374" s="43"/>
      <c r="DF374" s="43"/>
      <c r="DG374" s="43"/>
      <c r="DH374" s="43"/>
      <c r="DI374" s="43"/>
      <c r="DJ374" s="43"/>
      <c r="DK374" s="43"/>
      <c r="DL374" s="43"/>
      <c r="DM374" s="43"/>
      <c r="DN374" s="43"/>
      <c r="DO374" s="43"/>
      <c r="DP374" s="43"/>
      <c r="DQ374" s="43"/>
      <c r="DR374" s="43"/>
      <c r="DS374" s="43"/>
      <c r="DT374" s="43"/>
      <c r="DU374" s="43"/>
      <c r="DV374" s="43"/>
      <c r="DW374" s="43"/>
      <c r="DX374" s="43"/>
      <c r="DY374" s="43"/>
      <c r="DZ374" s="43"/>
      <c r="EA374" s="43"/>
      <c r="EB374" s="43"/>
      <c r="EC374" s="43"/>
      <c r="ED374" s="43"/>
      <c r="EE374" s="43"/>
      <c r="EF374" s="43"/>
      <c r="EG374" s="43"/>
      <c r="EH374" s="43"/>
      <c r="EI374" s="43"/>
      <c r="EJ374" s="43"/>
      <c r="EK374" s="43"/>
      <c r="EL374" s="43"/>
      <c r="EM374" s="43"/>
      <c r="EN374" s="43"/>
      <c r="EO374" s="43"/>
      <c r="EP374" s="43"/>
      <c r="EQ374" s="43"/>
      <c r="ER374" s="43"/>
      <c r="ES374" s="43"/>
      <c r="ET374" s="50"/>
      <c r="EU374" s="50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  <c r="CI375" s="43"/>
      <c r="CJ375" s="43"/>
      <c r="CK375" s="43"/>
      <c r="CL375" s="43"/>
      <c r="CM375" s="43"/>
      <c r="CN375" s="43"/>
      <c r="CO375" s="43"/>
      <c r="CP375" s="43"/>
      <c r="CQ375" s="43"/>
      <c r="CR375" s="43"/>
      <c r="CS375" s="43"/>
      <c r="CT375" s="43"/>
      <c r="CU375" s="43"/>
      <c r="CV375" s="43"/>
      <c r="CW375" s="43"/>
      <c r="CX375" s="43"/>
      <c r="CY375" s="43"/>
      <c r="CZ375" s="43"/>
      <c r="DA375" s="43"/>
      <c r="DB375" s="43"/>
      <c r="DC375" s="43"/>
      <c r="DD375" s="43"/>
      <c r="DE375" s="43"/>
      <c r="DF375" s="43"/>
      <c r="DG375" s="43"/>
      <c r="DH375" s="43"/>
      <c r="DI375" s="43"/>
      <c r="DJ375" s="43"/>
      <c r="DK375" s="43"/>
      <c r="DL375" s="43"/>
      <c r="DM375" s="43"/>
      <c r="DN375" s="43"/>
      <c r="DO375" s="43"/>
      <c r="DP375" s="43"/>
      <c r="DQ375" s="43"/>
      <c r="DR375" s="43"/>
      <c r="DS375" s="43"/>
      <c r="DT375" s="43"/>
      <c r="DU375" s="43"/>
      <c r="DV375" s="43"/>
      <c r="DW375" s="43"/>
      <c r="DX375" s="43"/>
      <c r="DY375" s="43"/>
      <c r="DZ375" s="43"/>
      <c r="EA375" s="43"/>
      <c r="EB375" s="43"/>
      <c r="EC375" s="43"/>
      <c r="ED375" s="43"/>
      <c r="EE375" s="43"/>
      <c r="EF375" s="43"/>
      <c r="EG375" s="43"/>
      <c r="EH375" s="43"/>
      <c r="EI375" s="43"/>
      <c r="EJ375" s="43"/>
      <c r="EK375" s="43"/>
      <c r="EL375" s="43"/>
      <c r="EM375" s="43"/>
      <c r="EN375" s="43"/>
      <c r="EO375" s="43"/>
      <c r="EP375" s="43"/>
      <c r="EQ375" s="43"/>
      <c r="ER375" s="43"/>
      <c r="ES375" s="43"/>
      <c r="ET375" s="50"/>
      <c r="EU375" s="50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  <c r="CI376" s="43"/>
      <c r="CJ376" s="43"/>
      <c r="CK376" s="43"/>
      <c r="CL376" s="43"/>
      <c r="CM376" s="43"/>
      <c r="CN376" s="43"/>
      <c r="CO376" s="43"/>
      <c r="CP376" s="43"/>
      <c r="CQ376" s="43"/>
      <c r="CR376" s="43"/>
      <c r="CS376" s="43"/>
      <c r="CT376" s="43"/>
      <c r="CU376" s="43"/>
      <c r="CV376" s="43"/>
      <c r="CW376" s="43"/>
      <c r="CX376" s="43"/>
      <c r="CY376" s="43"/>
      <c r="CZ376" s="43"/>
      <c r="DA376" s="43"/>
      <c r="DB376" s="43"/>
      <c r="DC376" s="43"/>
      <c r="DD376" s="43"/>
      <c r="DE376" s="43"/>
      <c r="DF376" s="43"/>
      <c r="DG376" s="43"/>
      <c r="DH376" s="43"/>
      <c r="DI376" s="43"/>
      <c r="DJ376" s="43"/>
      <c r="DK376" s="43"/>
      <c r="DL376" s="43"/>
      <c r="DM376" s="43"/>
      <c r="DN376" s="43"/>
      <c r="DO376" s="43"/>
      <c r="DP376" s="43"/>
      <c r="DQ376" s="43"/>
      <c r="DR376" s="43"/>
      <c r="DS376" s="43"/>
      <c r="DT376" s="43"/>
      <c r="DU376" s="43"/>
      <c r="DV376" s="43"/>
      <c r="DW376" s="43"/>
      <c r="DX376" s="43"/>
      <c r="DY376" s="43"/>
      <c r="DZ376" s="43"/>
      <c r="EA376" s="43"/>
      <c r="EB376" s="43"/>
      <c r="EC376" s="43"/>
      <c r="ED376" s="43"/>
      <c r="EE376" s="43"/>
      <c r="EF376" s="43"/>
      <c r="EG376" s="43"/>
      <c r="EH376" s="43"/>
      <c r="EI376" s="43"/>
      <c r="EJ376" s="43"/>
      <c r="EK376" s="43"/>
      <c r="EL376" s="43"/>
      <c r="EM376" s="43"/>
      <c r="EN376" s="43"/>
      <c r="EO376" s="43"/>
      <c r="EP376" s="43"/>
      <c r="EQ376" s="43"/>
      <c r="ER376" s="43"/>
      <c r="ES376" s="43"/>
      <c r="ET376" s="50"/>
      <c r="EU376" s="50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/>
      <c r="CS377" s="43"/>
      <c r="CT377" s="43"/>
      <c r="CU377" s="43"/>
      <c r="CV377" s="43"/>
      <c r="CW377" s="43"/>
      <c r="CX377" s="43"/>
      <c r="CY377" s="43"/>
      <c r="CZ377" s="43"/>
      <c r="DA377" s="43"/>
      <c r="DB377" s="43"/>
      <c r="DC377" s="43"/>
      <c r="DD377" s="43"/>
      <c r="DE377" s="43"/>
      <c r="DF377" s="43"/>
      <c r="DG377" s="43"/>
      <c r="DH377" s="43"/>
      <c r="DI377" s="43"/>
      <c r="DJ377" s="43"/>
      <c r="DK377" s="43"/>
      <c r="DL377" s="43"/>
      <c r="DM377" s="43"/>
      <c r="DN377" s="43"/>
      <c r="DO377" s="43"/>
      <c r="DP377" s="43"/>
      <c r="DQ377" s="43"/>
      <c r="DR377" s="43"/>
      <c r="DS377" s="43"/>
      <c r="DT377" s="43"/>
      <c r="DU377" s="43"/>
      <c r="DV377" s="43"/>
      <c r="DW377" s="43"/>
      <c r="DX377" s="43"/>
      <c r="DY377" s="43"/>
      <c r="DZ377" s="43"/>
      <c r="EA377" s="43"/>
      <c r="EB377" s="43"/>
      <c r="EC377" s="43"/>
      <c r="ED377" s="43"/>
      <c r="EE377" s="43"/>
      <c r="EF377" s="43"/>
      <c r="EG377" s="43"/>
      <c r="EH377" s="43"/>
      <c r="EI377" s="43"/>
      <c r="EJ377" s="43"/>
      <c r="EK377" s="43"/>
      <c r="EL377" s="43"/>
      <c r="EM377" s="43"/>
      <c r="EN377" s="43"/>
      <c r="EO377" s="43"/>
      <c r="EP377" s="43"/>
      <c r="EQ377" s="43"/>
      <c r="ER377" s="43"/>
      <c r="ES377" s="43"/>
      <c r="ET377" s="50"/>
      <c r="EU377" s="50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/>
      <c r="CS378" s="43"/>
      <c r="CT378" s="43"/>
      <c r="CU378" s="43"/>
      <c r="CV378" s="43"/>
      <c r="CW378" s="43"/>
      <c r="CX378" s="43"/>
      <c r="CY378" s="43"/>
      <c r="CZ378" s="43"/>
      <c r="DA378" s="43"/>
      <c r="DB378" s="43"/>
      <c r="DC378" s="43"/>
      <c r="DD378" s="43"/>
      <c r="DE378" s="43"/>
      <c r="DF378" s="43"/>
      <c r="DG378" s="43"/>
      <c r="DH378" s="43"/>
      <c r="DI378" s="43"/>
      <c r="DJ378" s="43"/>
      <c r="DK378" s="43"/>
      <c r="DL378" s="43"/>
      <c r="DM378" s="43"/>
      <c r="DN378" s="43"/>
      <c r="DO378" s="43"/>
      <c r="DP378" s="43"/>
      <c r="DQ378" s="43"/>
      <c r="DR378" s="43"/>
      <c r="DS378" s="43"/>
      <c r="DT378" s="43"/>
      <c r="DU378" s="43"/>
      <c r="DV378" s="43"/>
      <c r="DW378" s="43"/>
      <c r="DX378" s="43"/>
      <c r="DY378" s="43"/>
      <c r="DZ378" s="43"/>
      <c r="EA378" s="43"/>
      <c r="EB378" s="43"/>
      <c r="EC378" s="43"/>
      <c r="ED378" s="43"/>
      <c r="EE378" s="43"/>
      <c r="EF378" s="43"/>
      <c r="EG378" s="43"/>
      <c r="EH378" s="43"/>
      <c r="EI378" s="43"/>
      <c r="EJ378" s="43"/>
      <c r="EK378" s="43"/>
      <c r="EL378" s="43"/>
      <c r="EM378" s="43"/>
      <c r="EN378" s="43"/>
      <c r="EO378" s="43"/>
      <c r="EP378" s="43"/>
      <c r="EQ378" s="43"/>
      <c r="ER378" s="43"/>
      <c r="ES378" s="43"/>
      <c r="ET378" s="50"/>
      <c r="EU378" s="50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/>
      <c r="CS379" s="43"/>
      <c r="CT379" s="43"/>
      <c r="CU379" s="43"/>
      <c r="CV379" s="43"/>
      <c r="CW379" s="43"/>
      <c r="CX379" s="43"/>
      <c r="CY379" s="43"/>
      <c r="CZ379" s="43"/>
      <c r="DA379" s="43"/>
      <c r="DB379" s="43"/>
      <c r="DC379" s="43"/>
      <c r="DD379" s="43"/>
      <c r="DE379" s="43"/>
      <c r="DF379" s="43"/>
      <c r="DG379" s="43"/>
      <c r="DH379" s="43"/>
      <c r="DI379" s="43"/>
      <c r="DJ379" s="43"/>
      <c r="DK379" s="43"/>
      <c r="DL379" s="43"/>
      <c r="DM379" s="43"/>
      <c r="DN379" s="43"/>
      <c r="DO379" s="43"/>
      <c r="DP379" s="43"/>
      <c r="DQ379" s="43"/>
      <c r="DR379" s="43"/>
      <c r="DS379" s="43"/>
      <c r="DT379" s="43"/>
      <c r="DU379" s="43"/>
      <c r="DV379" s="43"/>
      <c r="DW379" s="43"/>
      <c r="DX379" s="43"/>
      <c r="DY379" s="43"/>
      <c r="DZ379" s="43"/>
      <c r="EA379" s="43"/>
      <c r="EB379" s="43"/>
      <c r="EC379" s="43"/>
      <c r="ED379" s="43"/>
      <c r="EE379" s="43"/>
      <c r="EF379" s="43"/>
      <c r="EG379" s="43"/>
      <c r="EH379" s="43"/>
      <c r="EI379" s="43"/>
      <c r="EJ379" s="43"/>
      <c r="EK379" s="43"/>
      <c r="EL379" s="43"/>
      <c r="EM379" s="43"/>
      <c r="EN379" s="43"/>
      <c r="EO379" s="43"/>
      <c r="EP379" s="43"/>
      <c r="EQ379" s="43"/>
      <c r="ER379" s="43"/>
      <c r="ES379" s="43"/>
      <c r="ET379" s="50"/>
      <c r="EU379" s="50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/>
      <c r="CS380" s="43"/>
      <c r="CT380" s="43"/>
      <c r="CU380" s="43"/>
      <c r="CV380" s="43"/>
      <c r="CW380" s="43"/>
      <c r="CX380" s="43"/>
      <c r="CY380" s="43"/>
      <c r="CZ380" s="43"/>
      <c r="DA380" s="43"/>
      <c r="DB380" s="43"/>
      <c r="DC380" s="43"/>
      <c r="DD380" s="43"/>
      <c r="DE380" s="43"/>
      <c r="DF380" s="43"/>
      <c r="DG380" s="43"/>
      <c r="DH380" s="43"/>
      <c r="DI380" s="43"/>
      <c r="DJ380" s="43"/>
      <c r="DK380" s="43"/>
      <c r="DL380" s="43"/>
      <c r="DM380" s="43"/>
      <c r="DN380" s="43"/>
      <c r="DO380" s="43"/>
      <c r="DP380" s="43"/>
      <c r="DQ380" s="43"/>
      <c r="DR380" s="43"/>
      <c r="DS380" s="43"/>
      <c r="DT380" s="43"/>
      <c r="DU380" s="43"/>
      <c r="DV380" s="43"/>
      <c r="DW380" s="43"/>
      <c r="DX380" s="43"/>
      <c r="DY380" s="43"/>
      <c r="DZ380" s="43"/>
      <c r="EA380" s="43"/>
      <c r="EB380" s="43"/>
      <c r="EC380" s="43"/>
      <c r="ED380" s="43"/>
      <c r="EE380" s="43"/>
      <c r="EF380" s="43"/>
      <c r="EG380" s="43"/>
      <c r="EH380" s="43"/>
      <c r="EI380" s="43"/>
      <c r="EJ380" s="43"/>
      <c r="EK380" s="43"/>
      <c r="EL380" s="43"/>
      <c r="EM380" s="43"/>
      <c r="EN380" s="43"/>
      <c r="EO380" s="43"/>
      <c r="EP380" s="43"/>
      <c r="EQ380" s="43"/>
      <c r="ER380" s="43"/>
      <c r="ES380" s="43"/>
      <c r="ET380" s="50"/>
      <c r="EU380" s="50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/>
      <c r="CS381" s="43"/>
      <c r="CT381" s="43"/>
      <c r="CU381" s="43"/>
      <c r="CV381" s="43"/>
      <c r="CW381" s="43"/>
      <c r="CX381" s="43"/>
      <c r="CY381" s="43"/>
      <c r="CZ381" s="43"/>
      <c r="DA381" s="43"/>
      <c r="DB381" s="43"/>
      <c r="DC381" s="43"/>
      <c r="DD381" s="43"/>
      <c r="DE381" s="43"/>
      <c r="DF381" s="43"/>
      <c r="DG381" s="43"/>
      <c r="DH381" s="43"/>
      <c r="DI381" s="43"/>
      <c r="DJ381" s="43"/>
      <c r="DK381" s="43"/>
      <c r="DL381" s="43"/>
      <c r="DM381" s="43"/>
      <c r="DN381" s="43"/>
      <c r="DO381" s="43"/>
      <c r="DP381" s="43"/>
      <c r="DQ381" s="43"/>
      <c r="DR381" s="43"/>
      <c r="DS381" s="43"/>
      <c r="DT381" s="43"/>
      <c r="DU381" s="43"/>
      <c r="DV381" s="43"/>
      <c r="DW381" s="43"/>
      <c r="DX381" s="43"/>
      <c r="DY381" s="43"/>
      <c r="DZ381" s="43"/>
      <c r="EA381" s="43"/>
      <c r="EB381" s="43"/>
      <c r="EC381" s="43"/>
      <c r="ED381" s="43"/>
      <c r="EE381" s="43"/>
      <c r="EF381" s="43"/>
      <c r="EG381" s="43"/>
      <c r="EH381" s="43"/>
      <c r="EI381" s="43"/>
      <c r="EJ381" s="43"/>
      <c r="EK381" s="43"/>
      <c r="EL381" s="43"/>
      <c r="EM381" s="43"/>
      <c r="EN381" s="43"/>
      <c r="EO381" s="43"/>
      <c r="EP381" s="43"/>
      <c r="EQ381" s="43"/>
      <c r="ER381" s="43"/>
      <c r="ES381" s="43"/>
      <c r="ET381" s="50"/>
      <c r="EU381" s="50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/>
      <c r="CS382" s="43"/>
      <c r="CT382" s="43"/>
      <c r="CU382" s="43"/>
      <c r="CV382" s="43"/>
      <c r="CW382" s="43"/>
      <c r="CX382" s="43"/>
      <c r="CY382" s="43"/>
      <c r="CZ382" s="43"/>
      <c r="DA382" s="43"/>
      <c r="DB382" s="43"/>
      <c r="DC382" s="43"/>
      <c r="DD382" s="43"/>
      <c r="DE382" s="43"/>
      <c r="DF382" s="43"/>
      <c r="DG382" s="43"/>
      <c r="DH382" s="43"/>
      <c r="DI382" s="43"/>
      <c r="DJ382" s="43"/>
      <c r="DK382" s="43"/>
      <c r="DL382" s="43"/>
      <c r="DM382" s="43"/>
      <c r="DN382" s="43"/>
      <c r="DO382" s="43"/>
      <c r="DP382" s="43"/>
      <c r="DQ382" s="43"/>
      <c r="DR382" s="43"/>
      <c r="DS382" s="43"/>
      <c r="DT382" s="43"/>
      <c r="DU382" s="43"/>
      <c r="DV382" s="43"/>
      <c r="DW382" s="43"/>
      <c r="DX382" s="43"/>
      <c r="DY382" s="43"/>
      <c r="DZ382" s="43"/>
      <c r="EA382" s="43"/>
      <c r="EB382" s="43"/>
      <c r="EC382" s="43"/>
      <c r="ED382" s="43"/>
      <c r="EE382" s="43"/>
      <c r="EF382" s="43"/>
      <c r="EG382" s="43"/>
      <c r="EH382" s="43"/>
      <c r="EI382" s="43"/>
      <c r="EJ382" s="43"/>
      <c r="EK382" s="43"/>
      <c r="EL382" s="43"/>
      <c r="EM382" s="43"/>
      <c r="EN382" s="43"/>
      <c r="EO382" s="43"/>
      <c r="EP382" s="43"/>
      <c r="EQ382" s="43"/>
      <c r="ER382" s="43"/>
      <c r="ES382" s="43"/>
      <c r="ET382" s="50"/>
      <c r="EU382" s="50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/>
      <c r="CS383" s="43"/>
      <c r="CT383" s="43"/>
      <c r="CU383" s="43"/>
      <c r="CV383" s="43"/>
      <c r="CW383" s="43"/>
      <c r="CX383" s="43"/>
      <c r="CY383" s="43"/>
      <c r="CZ383" s="43"/>
      <c r="DA383" s="43"/>
      <c r="DB383" s="43"/>
      <c r="DC383" s="43"/>
      <c r="DD383" s="43"/>
      <c r="DE383" s="43"/>
      <c r="DF383" s="43"/>
      <c r="DG383" s="43"/>
      <c r="DH383" s="43"/>
      <c r="DI383" s="43"/>
      <c r="DJ383" s="43"/>
      <c r="DK383" s="43"/>
      <c r="DL383" s="43"/>
      <c r="DM383" s="43"/>
      <c r="DN383" s="43"/>
      <c r="DO383" s="43"/>
      <c r="DP383" s="43"/>
      <c r="DQ383" s="43"/>
      <c r="DR383" s="43"/>
      <c r="DS383" s="43"/>
      <c r="DT383" s="43"/>
      <c r="DU383" s="43"/>
      <c r="DV383" s="43"/>
      <c r="DW383" s="43"/>
      <c r="DX383" s="43"/>
      <c r="DY383" s="43"/>
      <c r="DZ383" s="43"/>
      <c r="EA383" s="43"/>
      <c r="EB383" s="43"/>
      <c r="EC383" s="43"/>
      <c r="ED383" s="43"/>
      <c r="EE383" s="43"/>
      <c r="EF383" s="43"/>
      <c r="EG383" s="43"/>
      <c r="EH383" s="43"/>
      <c r="EI383" s="43"/>
      <c r="EJ383" s="43"/>
      <c r="EK383" s="43"/>
      <c r="EL383" s="43"/>
      <c r="EM383" s="43"/>
      <c r="EN383" s="43"/>
      <c r="EO383" s="43"/>
      <c r="EP383" s="43"/>
      <c r="EQ383" s="43"/>
      <c r="ER383" s="43"/>
      <c r="ES383" s="43"/>
      <c r="ET383" s="50"/>
      <c r="EU383" s="50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/>
      <c r="CS384" s="43"/>
      <c r="CT384" s="43"/>
      <c r="CU384" s="43"/>
      <c r="CV384" s="43"/>
      <c r="CW384" s="43"/>
      <c r="CX384" s="43"/>
      <c r="CY384" s="43"/>
      <c r="CZ384" s="43"/>
      <c r="DA384" s="43"/>
      <c r="DB384" s="43"/>
      <c r="DC384" s="43"/>
      <c r="DD384" s="43"/>
      <c r="DE384" s="43"/>
      <c r="DF384" s="43"/>
      <c r="DG384" s="43"/>
      <c r="DH384" s="43"/>
      <c r="DI384" s="43"/>
      <c r="DJ384" s="43"/>
      <c r="DK384" s="43"/>
      <c r="DL384" s="43"/>
      <c r="DM384" s="43"/>
      <c r="DN384" s="43"/>
      <c r="DO384" s="43"/>
      <c r="DP384" s="43"/>
      <c r="DQ384" s="43"/>
      <c r="DR384" s="43"/>
      <c r="DS384" s="43"/>
      <c r="DT384" s="43"/>
      <c r="DU384" s="43"/>
      <c r="DV384" s="43"/>
      <c r="DW384" s="43"/>
      <c r="DX384" s="43"/>
      <c r="DY384" s="43"/>
      <c r="DZ384" s="43"/>
      <c r="EA384" s="43"/>
      <c r="EB384" s="43"/>
      <c r="EC384" s="43"/>
      <c r="ED384" s="43"/>
      <c r="EE384" s="43"/>
      <c r="EF384" s="43"/>
      <c r="EG384" s="43"/>
      <c r="EH384" s="43"/>
      <c r="EI384" s="43"/>
      <c r="EJ384" s="43"/>
      <c r="EK384" s="43"/>
      <c r="EL384" s="43"/>
      <c r="EM384" s="43"/>
      <c r="EN384" s="43"/>
      <c r="EO384" s="43"/>
      <c r="EP384" s="43"/>
      <c r="EQ384" s="43"/>
      <c r="ER384" s="43"/>
      <c r="ES384" s="43"/>
      <c r="ET384" s="50"/>
      <c r="EU384" s="50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/>
      <c r="CS385" s="43"/>
      <c r="CT385" s="43"/>
      <c r="CU385" s="43"/>
      <c r="CV385" s="43"/>
      <c r="CW385" s="43"/>
      <c r="CX385" s="43"/>
      <c r="CY385" s="43"/>
      <c r="CZ385" s="43"/>
      <c r="DA385" s="43"/>
      <c r="DB385" s="43"/>
      <c r="DC385" s="43"/>
      <c r="DD385" s="43"/>
      <c r="DE385" s="43"/>
      <c r="DF385" s="43"/>
      <c r="DG385" s="43"/>
      <c r="DH385" s="43"/>
      <c r="DI385" s="43"/>
      <c r="DJ385" s="43"/>
      <c r="DK385" s="43"/>
      <c r="DL385" s="43"/>
      <c r="DM385" s="43"/>
      <c r="DN385" s="43"/>
      <c r="DO385" s="43"/>
      <c r="DP385" s="43"/>
      <c r="DQ385" s="43"/>
      <c r="DR385" s="43"/>
      <c r="DS385" s="43"/>
      <c r="DT385" s="43"/>
      <c r="DU385" s="43"/>
      <c r="DV385" s="43"/>
      <c r="DW385" s="43"/>
      <c r="DX385" s="43"/>
      <c r="DY385" s="43"/>
      <c r="DZ385" s="43"/>
      <c r="EA385" s="43"/>
      <c r="EB385" s="43"/>
      <c r="EC385" s="43"/>
      <c r="ED385" s="43"/>
      <c r="EE385" s="43"/>
      <c r="EF385" s="43"/>
      <c r="EG385" s="43"/>
      <c r="EH385" s="43"/>
      <c r="EI385" s="43"/>
      <c r="EJ385" s="43"/>
      <c r="EK385" s="43"/>
      <c r="EL385" s="43"/>
      <c r="EM385" s="43"/>
      <c r="EN385" s="43"/>
      <c r="EO385" s="43"/>
      <c r="EP385" s="43"/>
      <c r="EQ385" s="43"/>
      <c r="ER385" s="43"/>
      <c r="ES385" s="43"/>
      <c r="ET385" s="50"/>
      <c r="EU385" s="50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/>
      <c r="CS386" s="43"/>
      <c r="CT386" s="43"/>
      <c r="CU386" s="43"/>
      <c r="CV386" s="43"/>
      <c r="CW386" s="43"/>
      <c r="CX386" s="43"/>
      <c r="CY386" s="43"/>
      <c r="CZ386" s="43"/>
      <c r="DA386" s="43"/>
      <c r="DB386" s="43"/>
      <c r="DC386" s="43"/>
      <c r="DD386" s="43"/>
      <c r="DE386" s="43"/>
      <c r="DF386" s="43"/>
      <c r="DG386" s="43"/>
      <c r="DH386" s="43"/>
      <c r="DI386" s="43"/>
      <c r="DJ386" s="43"/>
      <c r="DK386" s="43"/>
      <c r="DL386" s="43"/>
      <c r="DM386" s="43"/>
      <c r="DN386" s="43"/>
      <c r="DO386" s="43"/>
      <c r="DP386" s="43"/>
      <c r="DQ386" s="43"/>
      <c r="DR386" s="43"/>
      <c r="DS386" s="43"/>
      <c r="DT386" s="43"/>
      <c r="DU386" s="43"/>
      <c r="DV386" s="43"/>
      <c r="DW386" s="43"/>
      <c r="DX386" s="43"/>
      <c r="DY386" s="43"/>
      <c r="DZ386" s="43"/>
      <c r="EA386" s="43"/>
      <c r="EB386" s="43"/>
      <c r="EC386" s="43"/>
      <c r="ED386" s="43"/>
      <c r="EE386" s="43"/>
      <c r="EF386" s="43"/>
      <c r="EG386" s="43"/>
      <c r="EH386" s="43"/>
      <c r="EI386" s="43"/>
      <c r="EJ386" s="43"/>
      <c r="EK386" s="43"/>
      <c r="EL386" s="43"/>
      <c r="EM386" s="43"/>
      <c r="EN386" s="43"/>
      <c r="EO386" s="43"/>
      <c r="EP386" s="43"/>
      <c r="EQ386" s="43"/>
      <c r="ER386" s="43"/>
      <c r="ES386" s="43"/>
      <c r="ET386" s="50"/>
      <c r="EU386" s="50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  <c r="CS387" s="43"/>
      <c r="CT387" s="43"/>
      <c r="CU387" s="43"/>
      <c r="CV387" s="43"/>
      <c r="CW387" s="43"/>
      <c r="CX387" s="43"/>
      <c r="CY387" s="43"/>
      <c r="CZ387" s="43"/>
      <c r="DA387" s="43"/>
      <c r="DB387" s="43"/>
      <c r="DC387" s="43"/>
      <c r="DD387" s="43"/>
      <c r="DE387" s="43"/>
      <c r="DF387" s="43"/>
      <c r="DG387" s="43"/>
      <c r="DH387" s="43"/>
      <c r="DI387" s="43"/>
      <c r="DJ387" s="43"/>
      <c r="DK387" s="43"/>
      <c r="DL387" s="43"/>
      <c r="DM387" s="43"/>
      <c r="DN387" s="43"/>
      <c r="DO387" s="43"/>
      <c r="DP387" s="43"/>
      <c r="DQ387" s="43"/>
      <c r="DR387" s="43"/>
      <c r="DS387" s="43"/>
      <c r="DT387" s="43"/>
      <c r="DU387" s="43"/>
      <c r="DV387" s="43"/>
      <c r="DW387" s="43"/>
      <c r="DX387" s="43"/>
      <c r="DY387" s="43"/>
      <c r="DZ387" s="43"/>
      <c r="EA387" s="43"/>
      <c r="EB387" s="43"/>
      <c r="EC387" s="43"/>
      <c r="ED387" s="43"/>
      <c r="EE387" s="43"/>
      <c r="EF387" s="43"/>
      <c r="EG387" s="43"/>
      <c r="EH387" s="43"/>
      <c r="EI387" s="43"/>
      <c r="EJ387" s="43"/>
      <c r="EK387" s="43"/>
      <c r="EL387" s="43"/>
      <c r="EM387" s="43"/>
      <c r="EN387" s="43"/>
      <c r="EO387" s="43"/>
      <c r="EP387" s="43"/>
      <c r="EQ387" s="43"/>
      <c r="ER387" s="43"/>
      <c r="ES387" s="43"/>
      <c r="ET387" s="50"/>
      <c r="EU387" s="50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  <c r="CI388" s="43"/>
      <c r="CJ388" s="43"/>
      <c r="CK388" s="43"/>
      <c r="CL388" s="43"/>
      <c r="CM388" s="43"/>
      <c r="CN388" s="43"/>
      <c r="CO388" s="43"/>
      <c r="CP388" s="43"/>
      <c r="CQ388" s="43"/>
      <c r="CR388" s="43"/>
      <c r="CS388" s="43"/>
      <c r="CT388" s="43"/>
      <c r="CU388" s="43"/>
      <c r="CV388" s="43"/>
      <c r="CW388" s="43"/>
      <c r="CX388" s="43"/>
      <c r="CY388" s="43"/>
      <c r="CZ388" s="43"/>
      <c r="DA388" s="43"/>
      <c r="DB388" s="43"/>
      <c r="DC388" s="43"/>
      <c r="DD388" s="43"/>
      <c r="DE388" s="43"/>
      <c r="DF388" s="43"/>
      <c r="DG388" s="43"/>
      <c r="DH388" s="43"/>
      <c r="DI388" s="43"/>
      <c r="DJ388" s="43"/>
      <c r="DK388" s="43"/>
      <c r="DL388" s="43"/>
      <c r="DM388" s="43"/>
      <c r="DN388" s="43"/>
      <c r="DO388" s="43"/>
      <c r="DP388" s="43"/>
      <c r="DQ388" s="43"/>
      <c r="DR388" s="43"/>
      <c r="DS388" s="43"/>
      <c r="DT388" s="43"/>
      <c r="DU388" s="43"/>
      <c r="DV388" s="43"/>
      <c r="DW388" s="43"/>
      <c r="DX388" s="43"/>
      <c r="DY388" s="43"/>
      <c r="DZ388" s="43"/>
      <c r="EA388" s="43"/>
      <c r="EB388" s="43"/>
      <c r="EC388" s="43"/>
      <c r="ED388" s="43"/>
      <c r="EE388" s="43"/>
      <c r="EF388" s="43"/>
      <c r="EG388" s="43"/>
      <c r="EH388" s="43"/>
      <c r="EI388" s="43"/>
      <c r="EJ388" s="43"/>
      <c r="EK388" s="43"/>
      <c r="EL388" s="43"/>
      <c r="EM388" s="43"/>
      <c r="EN388" s="43"/>
      <c r="EO388" s="43"/>
      <c r="EP388" s="43"/>
      <c r="EQ388" s="43"/>
      <c r="ER388" s="43"/>
      <c r="ES388" s="43"/>
      <c r="ET388" s="50"/>
      <c r="EU388" s="50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  <c r="CS389" s="43"/>
      <c r="CT389" s="43"/>
      <c r="CU389" s="43"/>
      <c r="CV389" s="43"/>
      <c r="CW389" s="43"/>
      <c r="CX389" s="43"/>
      <c r="CY389" s="43"/>
      <c r="CZ389" s="43"/>
      <c r="DA389" s="43"/>
      <c r="DB389" s="43"/>
      <c r="DC389" s="43"/>
      <c r="DD389" s="43"/>
      <c r="DE389" s="43"/>
      <c r="DF389" s="43"/>
      <c r="DG389" s="43"/>
      <c r="DH389" s="43"/>
      <c r="DI389" s="43"/>
      <c r="DJ389" s="43"/>
      <c r="DK389" s="43"/>
      <c r="DL389" s="43"/>
      <c r="DM389" s="43"/>
      <c r="DN389" s="43"/>
      <c r="DO389" s="43"/>
      <c r="DP389" s="43"/>
      <c r="DQ389" s="43"/>
      <c r="DR389" s="43"/>
      <c r="DS389" s="43"/>
      <c r="DT389" s="43"/>
      <c r="DU389" s="43"/>
      <c r="DV389" s="43"/>
      <c r="DW389" s="43"/>
      <c r="DX389" s="43"/>
      <c r="DY389" s="43"/>
      <c r="DZ389" s="43"/>
      <c r="EA389" s="43"/>
      <c r="EB389" s="43"/>
      <c r="EC389" s="43"/>
      <c r="ED389" s="43"/>
      <c r="EE389" s="43"/>
      <c r="EF389" s="43"/>
      <c r="EG389" s="43"/>
      <c r="EH389" s="43"/>
      <c r="EI389" s="43"/>
      <c r="EJ389" s="43"/>
      <c r="EK389" s="43"/>
      <c r="EL389" s="43"/>
      <c r="EM389" s="43"/>
      <c r="EN389" s="43"/>
      <c r="EO389" s="43"/>
      <c r="EP389" s="43"/>
      <c r="EQ389" s="43"/>
      <c r="ER389" s="43"/>
      <c r="ES389" s="43"/>
      <c r="ET389" s="50"/>
      <c r="EU389" s="50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  <c r="CS390" s="43"/>
      <c r="CT390" s="43"/>
      <c r="CU390" s="43"/>
      <c r="CV390" s="43"/>
      <c r="CW390" s="43"/>
      <c r="CX390" s="43"/>
      <c r="CY390" s="43"/>
      <c r="CZ390" s="43"/>
      <c r="DA390" s="43"/>
      <c r="DB390" s="43"/>
      <c r="DC390" s="43"/>
      <c r="DD390" s="43"/>
      <c r="DE390" s="43"/>
      <c r="DF390" s="43"/>
      <c r="DG390" s="43"/>
      <c r="DH390" s="43"/>
      <c r="DI390" s="43"/>
      <c r="DJ390" s="43"/>
      <c r="DK390" s="43"/>
      <c r="DL390" s="43"/>
      <c r="DM390" s="43"/>
      <c r="DN390" s="43"/>
      <c r="DO390" s="43"/>
      <c r="DP390" s="43"/>
      <c r="DQ390" s="43"/>
      <c r="DR390" s="43"/>
      <c r="DS390" s="43"/>
      <c r="DT390" s="43"/>
      <c r="DU390" s="43"/>
      <c r="DV390" s="43"/>
      <c r="DW390" s="43"/>
      <c r="DX390" s="43"/>
      <c r="DY390" s="43"/>
      <c r="DZ390" s="43"/>
      <c r="EA390" s="43"/>
      <c r="EB390" s="43"/>
      <c r="EC390" s="43"/>
      <c r="ED390" s="43"/>
      <c r="EE390" s="43"/>
      <c r="EF390" s="43"/>
      <c r="EG390" s="43"/>
      <c r="EH390" s="43"/>
      <c r="EI390" s="43"/>
      <c r="EJ390" s="43"/>
      <c r="EK390" s="43"/>
      <c r="EL390" s="43"/>
      <c r="EM390" s="43"/>
      <c r="EN390" s="43"/>
      <c r="EO390" s="43"/>
      <c r="EP390" s="43"/>
      <c r="EQ390" s="43"/>
      <c r="ER390" s="43"/>
      <c r="ES390" s="43"/>
      <c r="ET390" s="50"/>
      <c r="EU390" s="50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  <c r="CI391" s="43"/>
      <c r="CJ391" s="43"/>
      <c r="CK391" s="43"/>
      <c r="CL391" s="43"/>
      <c r="CM391" s="43"/>
      <c r="CN391" s="43"/>
      <c r="CO391" s="43"/>
      <c r="CP391" s="43"/>
      <c r="CQ391" s="43"/>
      <c r="CR391" s="43"/>
      <c r="CS391" s="43"/>
      <c r="CT391" s="43"/>
      <c r="CU391" s="43"/>
      <c r="CV391" s="43"/>
      <c r="CW391" s="43"/>
      <c r="CX391" s="43"/>
      <c r="CY391" s="43"/>
      <c r="CZ391" s="43"/>
      <c r="DA391" s="43"/>
      <c r="DB391" s="43"/>
      <c r="DC391" s="43"/>
      <c r="DD391" s="43"/>
      <c r="DE391" s="43"/>
      <c r="DF391" s="43"/>
      <c r="DG391" s="43"/>
      <c r="DH391" s="43"/>
      <c r="DI391" s="43"/>
      <c r="DJ391" s="43"/>
      <c r="DK391" s="43"/>
      <c r="DL391" s="43"/>
      <c r="DM391" s="43"/>
      <c r="DN391" s="43"/>
      <c r="DO391" s="43"/>
      <c r="DP391" s="43"/>
      <c r="DQ391" s="43"/>
      <c r="DR391" s="43"/>
      <c r="DS391" s="43"/>
      <c r="DT391" s="43"/>
      <c r="DU391" s="43"/>
      <c r="DV391" s="43"/>
      <c r="DW391" s="43"/>
      <c r="DX391" s="43"/>
      <c r="DY391" s="43"/>
      <c r="DZ391" s="43"/>
      <c r="EA391" s="43"/>
      <c r="EB391" s="43"/>
      <c r="EC391" s="43"/>
      <c r="ED391" s="43"/>
      <c r="EE391" s="43"/>
      <c r="EF391" s="43"/>
      <c r="EG391" s="43"/>
      <c r="EH391" s="43"/>
      <c r="EI391" s="43"/>
      <c r="EJ391" s="43"/>
      <c r="EK391" s="43"/>
      <c r="EL391" s="43"/>
      <c r="EM391" s="43"/>
      <c r="EN391" s="43"/>
      <c r="EO391" s="43"/>
      <c r="EP391" s="43"/>
      <c r="EQ391" s="43"/>
      <c r="ER391" s="43"/>
      <c r="ES391" s="43"/>
      <c r="ET391" s="50"/>
      <c r="EU391" s="50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/>
      <c r="CK392" s="43"/>
      <c r="CL392" s="43"/>
      <c r="CM392" s="43"/>
      <c r="CN392" s="43"/>
      <c r="CO392" s="43"/>
      <c r="CP392" s="43"/>
      <c r="CQ392" s="43"/>
      <c r="CR392" s="43"/>
      <c r="CS392" s="43"/>
      <c r="CT392" s="43"/>
      <c r="CU392" s="43"/>
      <c r="CV392" s="43"/>
      <c r="CW392" s="43"/>
      <c r="CX392" s="43"/>
      <c r="CY392" s="43"/>
      <c r="CZ392" s="43"/>
      <c r="DA392" s="43"/>
      <c r="DB392" s="43"/>
      <c r="DC392" s="43"/>
      <c r="DD392" s="43"/>
      <c r="DE392" s="43"/>
      <c r="DF392" s="43"/>
      <c r="DG392" s="43"/>
      <c r="DH392" s="43"/>
      <c r="DI392" s="43"/>
      <c r="DJ392" s="43"/>
      <c r="DK392" s="43"/>
      <c r="DL392" s="43"/>
      <c r="DM392" s="43"/>
      <c r="DN392" s="43"/>
      <c r="DO392" s="43"/>
      <c r="DP392" s="43"/>
      <c r="DQ392" s="43"/>
      <c r="DR392" s="43"/>
      <c r="DS392" s="43"/>
      <c r="DT392" s="43"/>
      <c r="DU392" s="43"/>
      <c r="DV392" s="43"/>
      <c r="DW392" s="43"/>
      <c r="DX392" s="43"/>
      <c r="DY392" s="43"/>
      <c r="DZ392" s="43"/>
      <c r="EA392" s="43"/>
      <c r="EB392" s="43"/>
      <c r="EC392" s="43"/>
      <c r="ED392" s="43"/>
      <c r="EE392" s="43"/>
      <c r="EF392" s="43"/>
      <c r="EG392" s="43"/>
      <c r="EH392" s="43"/>
      <c r="EI392" s="43"/>
      <c r="EJ392" s="43"/>
      <c r="EK392" s="43"/>
      <c r="EL392" s="43"/>
      <c r="EM392" s="43"/>
      <c r="EN392" s="43"/>
      <c r="EO392" s="43"/>
      <c r="EP392" s="43"/>
      <c r="EQ392" s="43"/>
      <c r="ER392" s="43"/>
      <c r="ES392" s="43"/>
      <c r="ET392" s="50"/>
      <c r="EU392" s="50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  <c r="CI393" s="43"/>
      <c r="CJ393" s="43"/>
      <c r="CK393" s="43"/>
      <c r="CL393" s="43"/>
      <c r="CM393" s="43"/>
      <c r="CN393" s="43"/>
      <c r="CO393" s="43"/>
      <c r="CP393" s="43"/>
      <c r="CQ393" s="43"/>
      <c r="CR393" s="43"/>
      <c r="CS393" s="43"/>
      <c r="CT393" s="43"/>
      <c r="CU393" s="43"/>
      <c r="CV393" s="43"/>
      <c r="CW393" s="43"/>
      <c r="CX393" s="43"/>
      <c r="CY393" s="43"/>
      <c r="CZ393" s="43"/>
      <c r="DA393" s="43"/>
      <c r="DB393" s="43"/>
      <c r="DC393" s="43"/>
      <c r="DD393" s="43"/>
      <c r="DE393" s="43"/>
      <c r="DF393" s="43"/>
      <c r="DG393" s="43"/>
      <c r="DH393" s="43"/>
      <c r="DI393" s="43"/>
      <c r="DJ393" s="43"/>
      <c r="DK393" s="43"/>
      <c r="DL393" s="43"/>
      <c r="DM393" s="43"/>
      <c r="DN393" s="43"/>
      <c r="DO393" s="43"/>
      <c r="DP393" s="43"/>
      <c r="DQ393" s="43"/>
      <c r="DR393" s="43"/>
      <c r="DS393" s="43"/>
      <c r="DT393" s="43"/>
      <c r="DU393" s="43"/>
      <c r="DV393" s="43"/>
      <c r="DW393" s="43"/>
      <c r="DX393" s="43"/>
      <c r="DY393" s="43"/>
      <c r="DZ393" s="43"/>
      <c r="EA393" s="43"/>
      <c r="EB393" s="43"/>
      <c r="EC393" s="43"/>
      <c r="ED393" s="43"/>
      <c r="EE393" s="43"/>
      <c r="EF393" s="43"/>
      <c r="EG393" s="43"/>
      <c r="EH393" s="43"/>
      <c r="EI393" s="43"/>
      <c r="EJ393" s="43"/>
      <c r="EK393" s="43"/>
      <c r="EL393" s="43"/>
      <c r="EM393" s="43"/>
      <c r="EN393" s="43"/>
      <c r="EO393" s="43"/>
      <c r="EP393" s="43"/>
      <c r="EQ393" s="43"/>
      <c r="ER393" s="43"/>
      <c r="ES393" s="43"/>
      <c r="ET393" s="50"/>
      <c r="EU393" s="50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  <c r="CI394" s="43"/>
      <c r="CJ394" s="43"/>
      <c r="CK394" s="43"/>
      <c r="CL394" s="43"/>
      <c r="CM394" s="43"/>
      <c r="CN394" s="43"/>
      <c r="CO394" s="43"/>
      <c r="CP394" s="43"/>
      <c r="CQ394" s="43"/>
      <c r="CR394" s="43"/>
      <c r="CS394" s="43"/>
      <c r="CT394" s="43"/>
      <c r="CU394" s="43"/>
      <c r="CV394" s="43"/>
      <c r="CW394" s="43"/>
      <c r="CX394" s="43"/>
      <c r="CY394" s="43"/>
      <c r="CZ394" s="43"/>
      <c r="DA394" s="43"/>
      <c r="DB394" s="43"/>
      <c r="DC394" s="43"/>
      <c r="DD394" s="43"/>
      <c r="DE394" s="43"/>
      <c r="DF394" s="43"/>
      <c r="DG394" s="43"/>
      <c r="DH394" s="43"/>
      <c r="DI394" s="43"/>
      <c r="DJ394" s="43"/>
      <c r="DK394" s="43"/>
      <c r="DL394" s="43"/>
      <c r="DM394" s="43"/>
      <c r="DN394" s="43"/>
      <c r="DO394" s="43"/>
      <c r="DP394" s="43"/>
      <c r="DQ394" s="43"/>
      <c r="DR394" s="43"/>
      <c r="DS394" s="43"/>
      <c r="DT394" s="43"/>
      <c r="DU394" s="43"/>
      <c r="DV394" s="43"/>
      <c r="DW394" s="43"/>
      <c r="DX394" s="43"/>
      <c r="DY394" s="43"/>
      <c r="DZ394" s="43"/>
      <c r="EA394" s="43"/>
      <c r="EB394" s="43"/>
      <c r="EC394" s="43"/>
      <c r="ED394" s="43"/>
      <c r="EE394" s="43"/>
      <c r="EF394" s="43"/>
      <c r="EG394" s="43"/>
      <c r="EH394" s="43"/>
      <c r="EI394" s="43"/>
      <c r="EJ394" s="43"/>
      <c r="EK394" s="43"/>
      <c r="EL394" s="43"/>
      <c r="EM394" s="43"/>
      <c r="EN394" s="43"/>
      <c r="EO394" s="43"/>
      <c r="EP394" s="43"/>
      <c r="EQ394" s="43"/>
      <c r="ER394" s="43"/>
      <c r="ES394" s="43"/>
      <c r="ET394" s="50"/>
      <c r="EU394" s="50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  <c r="CI395" s="43"/>
      <c r="CJ395" s="43"/>
      <c r="CK395" s="43"/>
      <c r="CL395" s="43"/>
      <c r="CM395" s="43"/>
      <c r="CN395" s="43"/>
      <c r="CO395" s="43"/>
      <c r="CP395" s="43"/>
      <c r="CQ395" s="43"/>
      <c r="CR395" s="43"/>
      <c r="CS395" s="43"/>
      <c r="CT395" s="43"/>
      <c r="CU395" s="43"/>
      <c r="CV395" s="43"/>
      <c r="CW395" s="43"/>
      <c r="CX395" s="43"/>
      <c r="CY395" s="43"/>
      <c r="CZ395" s="43"/>
      <c r="DA395" s="43"/>
      <c r="DB395" s="43"/>
      <c r="DC395" s="43"/>
      <c r="DD395" s="43"/>
      <c r="DE395" s="43"/>
      <c r="DF395" s="43"/>
      <c r="DG395" s="43"/>
      <c r="DH395" s="43"/>
      <c r="DI395" s="43"/>
      <c r="DJ395" s="43"/>
      <c r="DK395" s="43"/>
      <c r="DL395" s="43"/>
      <c r="DM395" s="43"/>
      <c r="DN395" s="43"/>
      <c r="DO395" s="43"/>
      <c r="DP395" s="43"/>
      <c r="DQ395" s="43"/>
      <c r="DR395" s="43"/>
      <c r="DS395" s="43"/>
      <c r="DT395" s="43"/>
      <c r="DU395" s="43"/>
      <c r="DV395" s="43"/>
      <c r="DW395" s="43"/>
      <c r="DX395" s="43"/>
      <c r="DY395" s="43"/>
      <c r="DZ395" s="43"/>
      <c r="EA395" s="43"/>
      <c r="EB395" s="43"/>
      <c r="EC395" s="43"/>
      <c r="ED395" s="43"/>
      <c r="EE395" s="43"/>
      <c r="EF395" s="43"/>
      <c r="EG395" s="43"/>
      <c r="EH395" s="43"/>
      <c r="EI395" s="43"/>
      <c r="EJ395" s="43"/>
      <c r="EK395" s="43"/>
      <c r="EL395" s="43"/>
      <c r="EM395" s="43"/>
      <c r="EN395" s="43"/>
      <c r="EO395" s="43"/>
      <c r="EP395" s="43"/>
      <c r="EQ395" s="43"/>
      <c r="ER395" s="43"/>
      <c r="ES395" s="43"/>
      <c r="ET395" s="50"/>
      <c r="EU395" s="50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  <c r="CI396" s="43"/>
      <c r="CJ396" s="43"/>
      <c r="CK396" s="43"/>
      <c r="CL396" s="43"/>
      <c r="CM396" s="43"/>
      <c r="CN396" s="43"/>
      <c r="CO396" s="43"/>
      <c r="CP396" s="43"/>
      <c r="CQ396" s="43"/>
      <c r="CR396" s="43"/>
      <c r="CS396" s="43"/>
      <c r="CT396" s="43"/>
      <c r="CU396" s="43"/>
      <c r="CV396" s="43"/>
      <c r="CW396" s="43"/>
      <c r="CX396" s="43"/>
      <c r="CY396" s="43"/>
      <c r="CZ396" s="43"/>
      <c r="DA396" s="43"/>
      <c r="DB396" s="43"/>
      <c r="DC396" s="43"/>
      <c r="DD396" s="43"/>
      <c r="DE396" s="43"/>
      <c r="DF396" s="43"/>
      <c r="DG396" s="43"/>
      <c r="DH396" s="43"/>
      <c r="DI396" s="43"/>
      <c r="DJ396" s="43"/>
      <c r="DK396" s="43"/>
      <c r="DL396" s="43"/>
      <c r="DM396" s="43"/>
      <c r="DN396" s="43"/>
      <c r="DO396" s="43"/>
      <c r="DP396" s="43"/>
      <c r="DQ396" s="43"/>
      <c r="DR396" s="43"/>
      <c r="DS396" s="43"/>
      <c r="DT396" s="43"/>
      <c r="DU396" s="43"/>
      <c r="DV396" s="43"/>
      <c r="DW396" s="43"/>
      <c r="DX396" s="43"/>
      <c r="DY396" s="43"/>
      <c r="DZ396" s="43"/>
      <c r="EA396" s="43"/>
      <c r="EB396" s="43"/>
      <c r="EC396" s="43"/>
      <c r="ED396" s="43"/>
      <c r="EE396" s="43"/>
      <c r="EF396" s="43"/>
      <c r="EG396" s="43"/>
      <c r="EH396" s="43"/>
      <c r="EI396" s="43"/>
      <c r="EJ396" s="43"/>
      <c r="EK396" s="43"/>
      <c r="EL396" s="43"/>
      <c r="EM396" s="43"/>
      <c r="EN396" s="43"/>
      <c r="EO396" s="43"/>
      <c r="EP396" s="43"/>
      <c r="EQ396" s="43"/>
      <c r="ER396" s="43"/>
      <c r="ES396" s="43"/>
      <c r="ET396" s="50"/>
      <c r="EU396" s="50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  <c r="CI397" s="43"/>
      <c r="CJ397" s="43"/>
      <c r="CK397" s="43"/>
      <c r="CL397" s="43"/>
      <c r="CM397" s="43"/>
      <c r="CN397" s="43"/>
      <c r="CO397" s="43"/>
      <c r="CP397" s="43"/>
      <c r="CQ397" s="43"/>
      <c r="CR397" s="43"/>
      <c r="CS397" s="43"/>
      <c r="CT397" s="43"/>
      <c r="CU397" s="43"/>
      <c r="CV397" s="43"/>
      <c r="CW397" s="43"/>
      <c r="CX397" s="43"/>
      <c r="CY397" s="43"/>
      <c r="CZ397" s="43"/>
      <c r="DA397" s="43"/>
      <c r="DB397" s="43"/>
      <c r="DC397" s="43"/>
      <c r="DD397" s="43"/>
      <c r="DE397" s="43"/>
      <c r="DF397" s="43"/>
      <c r="DG397" s="43"/>
      <c r="DH397" s="43"/>
      <c r="DI397" s="43"/>
      <c r="DJ397" s="43"/>
      <c r="DK397" s="43"/>
      <c r="DL397" s="43"/>
      <c r="DM397" s="43"/>
      <c r="DN397" s="43"/>
      <c r="DO397" s="43"/>
      <c r="DP397" s="43"/>
      <c r="DQ397" s="43"/>
      <c r="DR397" s="43"/>
      <c r="DS397" s="43"/>
      <c r="DT397" s="43"/>
      <c r="DU397" s="43"/>
      <c r="DV397" s="43"/>
      <c r="DW397" s="43"/>
      <c r="DX397" s="43"/>
      <c r="DY397" s="43"/>
      <c r="DZ397" s="43"/>
      <c r="EA397" s="43"/>
      <c r="EB397" s="43"/>
      <c r="EC397" s="43"/>
      <c r="ED397" s="43"/>
      <c r="EE397" s="43"/>
      <c r="EF397" s="43"/>
      <c r="EG397" s="43"/>
      <c r="EH397" s="43"/>
      <c r="EI397" s="43"/>
      <c r="EJ397" s="43"/>
      <c r="EK397" s="43"/>
      <c r="EL397" s="43"/>
      <c r="EM397" s="43"/>
      <c r="EN397" s="43"/>
      <c r="EO397" s="43"/>
      <c r="EP397" s="43"/>
      <c r="EQ397" s="43"/>
      <c r="ER397" s="43"/>
      <c r="ES397" s="43"/>
      <c r="ET397" s="50"/>
      <c r="EU397" s="50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  <c r="CI398" s="43"/>
      <c r="CJ398" s="43"/>
      <c r="CK398" s="43"/>
      <c r="CL398" s="43"/>
      <c r="CM398" s="43"/>
      <c r="CN398" s="43"/>
      <c r="CO398" s="43"/>
      <c r="CP398" s="43"/>
      <c r="CQ398" s="43"/>
      <c r="CR398" s="43"/>
      <c r="CS398" s="43"/>
      <c r="CT398" s="43"/>
      <c r="CU398" s="43"/>
      <c r="CV398" s="43"/>
      <c r="CW398" s="43"/>
      <c r="CX398" s="43"/>
      <c r="CY398" s="43"/>
      <c r="CZ398" s="43"/>
      <c r="DA398" s="43"/>
      <c r="DB398" s="43"/>
      <c r="DC398" s="43"/>
      <c r="DD398" s="43"/>
      <c r="DE398" s="43"/>
      <c r="DF398" s="43"/>
      <c r="DG398" s="43"/>
      <c r="DH398" s="43"/>
      <c r="DI398" s="43"/>
      <c r="DJ398" s="43"/>
      <c r="DK398" s="43"/>
      <c r="DL398" s="43"/>
      <c r="DM398" s="43"/>
      <c r="DN398" s="43"/>
      <c r="DO398" s="43"/>
      <c r="DP398" s="43"/>
      <c r="DQ398" s="43"/>
      <c r="DR398" s="43"/>
      <c r="DS398" s="43"/>
      <c r="DT398" s="43"/>
      <c r="DU398" s="43"/>
      <c r="DV398" s="43"/>
      <c r="DW398" s="43"/>
      <c r="DX398" s="43"/>
      <c r="DY398" s="43"/>
      <c r="DZ398" s="43"/>
      <c r="EA398" s="43"/>
      <c r="EB398" s="43"/>
      <c r="EC398" s="43"/>
      <c r="ED398" s="43"/>
      <c r="EE398" s="43"/>
      <c r="EF398" s="43"/>
      <c r="EG398" s="43"/>
      <c r="EH398" s="43"/>
      <c r="EI398" s="43"/>
      <c r="EJ398" s="43"/>
      <c r="EK398" s="43"/>
      <c r="EL398" s="43"/>
      <c r="EM398" s="43"/>
      <c r="EN398" s="43"/>
      <c r="EO398" s="43"/>
      <c r="EP398" s="43"/>
      <c r="EQ398" s="43"/>
      <c r="ER398" s="43"/>
      <c r="ES398" s="43"/>
      <c r="ET398" s="50"/>
      <c r="EU398" s="50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43"/>
      <c r="CZ399" s="43"/>
      <c r="DA399" s="43"/>
      <c r="DB399" s="43"/>
      <c r="DC399" s="43"/>
      <c r="DD399" s="43"/>
      <c r="DE399" s="43"/>
      <c r="DF399" s="43"/>
      <c r="DG399" s="43"/>
      <c r="DH399" s="43"/>
      <c r="DI399" s="43"/>
      <c r="DJ399" s="43"/>
      <c r="DK399" s="43"/>
      <c r="DL399" s="43"/>
      <c r="DM399" s="43"/>
      <c r="DN399" s="43"/>
      <c r="DO399" s="43"/>
      <c r="DP399" s="43"/>
      <c r="DQ399" s="43"/>
      <c r="DR399" s="43"/>
      <c r="DS399" s="43"/>
      <c r="DT399" s="43"/>
      <c r="DU399" s="43"/>
      <c r="DV399" s="43"/>
      <c r="DW399" s="43"/>
      <c r="DX399" s="43"/>
      <c r="DY399" s="43"/>
      <c r="DZ399" s="43"/>
      <c r="EA399" s="43"/>
      <c r="EB399" s="43"/>
      <c r="EC399" s="43"/>
      <c r="ED399" s="43"/>
      <c r="EE399" s="43"/>
      <c r="EF399" s="43"/>
      <c r="EG399" s="43"/>
      <c r="EH399" s="43"/>
      <c r="EI399" s="43"/>
      <c r="EJ399" s="43"/>
      <c r="EK399" s="43"/>
      <c r="EL399" s="43"/>
      <c r="EM399" s="43"/>
      <c r="EN399" s="43"/>
      <c r="EO399" s="43"/>
      <c r="EP399" s="43"/>
      <c r="EQ399" s="43"/>
      <c r="ER399" s="43"/>
      <c r="ES399" s="43"/>
      <c r="ET399" s="50"/>
      <c r="EU399" s="50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43"/>
      <c r="CZ400" s="43"/>
      <c r="DA400" s="43"/>
      <c r="DB400" s="43"/>
      <c r="DC400" s="43"/>
      <c r="DD400" s="43"/>
      <c r="DE400" s="43"/>
      <c r="DF400" s="43"/>
      <c r="DG400" s="43"/>
      <c r="DH400" s="43"/>
      <c r="DI400" s="43"/>
      <c r="DJ400" s="43"/>
      <c r="DK400" s="43"/>
      <c r="DL400" s="43"/>
      <c r="DM400" s="43"/>
      <c r="DN400" s="43"/>
      <c r="DO400" s="43"/>
      <c r="DP400" s="43"/>
      <c r="DQ400" s="43"/>
      <c r="DR400" s="43"/>
      <c r="DS400" s="43"/>
      <c r="DT400" s="43"/>
      <c r="DU400" s="43"/>
      <c r="DV400" s="43"/>
      <c r="DW400" s="43"/>
      <c r="DX400" s="43"/>
      <c r="DY400" s="43"/>
      <c r="DZ400" s="43"/>
      <c r="EA400" s="43"/>
      <c r="EB400" s="43"/>
      <c r="EC400" s="43"/>
      <c r="ED400" s="43"/>
      <c r="EE400" s="43"/>
      <c r="EF400" s="43"/>
      <c r="EG400" s="43"/>
      <c r="EH400" s="43"/>
      <c r="EI400" s="43"/>
      <c r="EJ400" s="43"/>
      <c r="EK400" s="43"/>
      <c r="EL400" s="43"/>
      <c r="EM400" s="43"/>
      <c r="EN400" s="43"/>
      <c r="EO400" s="43"/>
      <c r="EP400" s="43"/>
      <c r="EQ400" s="43"/>
      <c r="ER400" s="43"/>
      <c r="ES400" s="43"/>
      <c r="ET400" s="50"/>
      <c r="EU400" s="50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43"/>
      <c r="CZ401" s="43"/>
      <c r="DA401" s="43"/>
      <c r="DB401" s="43"/>
      <c r="DC401" s="43"/>
      <c r="DD401" s="43"/>
      <c r="DE401" s="43"/>
      <c r="DF401" s="43"/>
      <c r="DG401" s="43"/>
      <c r="DH401" s="43"/>
      <c r="DI401" s="43"/>
      <c r="DJ401" s="43"/>
      <c r="DK401" s="43"/>
      <c r="DL401" s="43"/>
      <c r="DM401" s="43"/>
      <c r="DN401" s="43"/>
      <c r="DO401" s="43"/>
      <c r="DP401" s="43"/>
      <c r="DQ401" s="43"/>
      <c r="DR401" s="43"/>
      <c r="DS401" s="43"/>
      <c r="DT401" s="43"/>
      <c r="DU401" s="43"/>
      <c r="DV401" s="43"/>
      <c r="DW401" s="43"/>
      <c r="DX401" s="43"/>
      <c r="DY401" s="43"/>
      <c r="DZ401" s="43"/>
      <c r="EA401" s="43"/>
      <c r="EB401" s="43"/>
      <c r="EC401" s="43"/>
      <c r="ED401" s="43"/>
      <c r="EE401" s="43"/>
      <c r="EF401" s="43"/>
      <c r="EG401" s="43"/>
      <c r="EH401" s="43"/>
      <c r="EI401" s="43"/>
      <c r="EJ401" s="43"/>
      <c r="EK401" s="43"/>
      <c r="EL401" s="43"/>
      <c r="EM401" s="43"/>
      <c r="EN401" s="43"/>
      <c r="EO401" s="43"/>
      <c r="EP401" s="43"/>
      <c r="EQ401" s="43"/>
      <c r="ER401" s="43"/>
      <c r="ES401" s="43"/>
      <c r="ET401" s="50"/>
      <c r="EU401" s="50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43"/>
      <c r="CZ402" s="43"/>
      <c r="DA402" s="43"/>
      <c r="DB402" s="43"/>
      <c r="DC402" s="43"/>
      <c r="DD402" s="43"/>
      <c r="DE402" s="43"/>
      <c r="DF402" s="43"/>
      <c r="DG402" s="43"/>
      <c r="DH402" s="43"/>
      <c r="DI402" s="43"/>
      <c r="DJ402" s="43"/>
      <c r="DK402" s="43"/>
      <c r="DL402" s="43"/>
      <c r="DM402" s="43"/>
      <c r="DN402" s="43"/>
      <c r="DO402" s="43"/>
      <c r="DP402" s="43"/>
      <c r="DQ402" s="43"/>
      <c r="DR402" s="43"/>
      <c r="DS402" s="43"/>
      <c r="DT402" s="43"/>
      <c r="DU402" s="43"/>
      <c r="DV402" s="43"/>
      <c r="DW402" s="43"/>
      <c r="DX402" s="43"/>
      <c r="DY402" s="43"/>
      <c r="DZ402" s="43"/>
      <c r="EA402" s="43"/>
      <c r="EB402" s="43"/>
      <c r="EC402" s="43"/>
      <c r="ED402" s="43"/>
      <c r="EE402" s="43"/>
      <c r="EF402" s="43"/>
      <c r="EG402" s="43"/>
      <c r="EH402" s="43"/>
      <c r="EI402" s="43"/>
      <c r="EJ402" s="43"/>
      <c r="EK402" s="43"/>
      <c r="EL402" s="43"/>
      <c r="EM402" s="43"/>
      <c r="EN402" s="43"/>
      <c r="EO402" s="43"/>
      <c r="EP402" s="43"/>
      <c r="EQ402" s="43"/>
      <c r="ER402" s="43"/>
      <c r="ES402" s="43"/>
      <c r="ET402" s="50"/>
      <c r="EU402" s="50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43"/>
      <c r="CZ403" s="43"/>
      <c r="DA403" s="43"/>
      <c r="DB403" s="43"/>
      <c r="DC403" s="43"/>
      <c r="DD403" s="43"/>
      <c r="DE403" s="43"/>
      <c r="DF403" s="43"/>
      <c r="DG403" s="43"/>
      <c r="DH403" s="43"/>
      <c r="DI403" s="43"/>
      <c r="DJ403" s="43"/>
      <c r="DK403" s="43"/>
      <c r="DL403" s="43"/>
      <c r="DM403" s="43"/>
      <c r="DN403" s="43"/>
      <c r="DO403" s="43"/>
      <c r="DP403" s="43"/>
      <c r="DQ403" s="43"/>
      <c r="DR403" s="43"/>
      <c r="DS403" s="43"/>
      <c r="DT403" s="43"/>
      <c r="DU403" s="43"/>
      <c r="DV403" s="43"/>
      <c r="DW403" s="43"/>
      <c r="DX403" s="43"/>
      <c r="DY403" s="43"/>
      <c r="DZ403" s="43"/>
      <c r="EA403" s="43"/>
      <c r="EB403" s="43"/>
      <c r="EC403" s="43"/>
      <c r="ED403" s="43"/>
      <c r="EE403" s="43"/>
      <c r="EF403" s="43"/>
      <c r="EG403" s="43"/>
      <c r="EH403" s="43"/>
      <c r="EI403" s="43"/>
      <c r="EJ403" s="43"/>
      <c r="EK403" s="43"/>
      <c r="EL403" s="43"/>
      <c r="EM403" s="43"/>
      <c r="EN403" s="43"/>
      <c r="EO403" s="43"/>
      <c r="EP403" s="43"/>
      <c r="EQ403" s="43"/>
      <c r="ER403" s="43"/>
      <c r="ES403" s="43"/>
      <c r="ET403" s="50"/>
      <c r="EU403" s="50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  <c r="DE404" s="43"/>
      <c r="DF404" s="43"/>
      <c r="DG404" s="43"/>
      <c r="DH404" s="43"/>
      <c r="DI404" s="43"/>
      <c r="DJ404" s="43"/>
      <c r="DK404" s="43"/>
      <c r="DL404" s="43"/>
      <c r="DM404" s="43"/>
      <c r="DN404" s="43"/>
      <c r="DO404" s="43"/>
      <c r="DP404" s="43"/>
      <c r="DQ404" s="43"/>
      <c r="DR404" s="43"/>
      <c r="DS404" s="43"/>
      <c r="DT404" s="43"/>
      <c r="DU404" s="43"/>
      <c r="DV404" s="43"/>
      <c r="DW404" s="43"/>
      <c r="DX404" s="43"/>
      <c r="DY404" s="43"/>
      <c r="DZ404" s="43"/>
      <c r="EA404" s="43"/>
      <c r="EB404" s="43"/>
      <c r="EC404" s="43"/>
      <c r="ED404" s="43"/>
      <c r="EE404" s="43"/>
      <c r="EF404" s="43"/>
      <c r="EG404" s="43"/>
      <c r="EH404" s="43"/>
      <c r="EI404" s="43"/>
      <c r="EJ404" s="43"/>
      <c r="EK404" s="43"/>
      <c r="EL404" s="43"/>
      <c r="EM404" s="43"/>
      <c r="EN404" s="43"/>
      <c r="EO404" s="43"/>
      <c r="EP404" s="43"/>
      <c r="EQ404" s="43"/>
      <c r="ER404" s="43"/>
      <c r="ES404" s="43"/>
      <c r="ET404" s="50"/>
      <c r="EU404" s="50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43"/>
      <c r="CZ405" s="43"/>
      <c r="DA405" s="43"/>
      <c r="DB405" s="43"/>
      <c r="DC405" s="43"/>
      <c r="DD405" s="43"/>
      <c r="DE405" s="43"/>
      <c r="DF405" s="43"/>
      <c r="DG405" s="43"/>
      <c r="DH405" s="43"/>
      <c r="DI405" s="43"/>
      <c r="DJ405" s="43"/>
      <c r="DK405" s="43"/>
      <c r="DL405" s="43"/>
      <c r="DM405" s="43"/>
      <c r="DN405" s="43"/>
      <c r="DO405" s="43"/>
      <c r="DP405" s="43"/>
      <c r="DQ405" s="43"/>
      <c r="DR405" s="43"/>
      <c r="DS405" s="43"/>
      <c r="DT405" s="43"/>
      <c r="DU405" s="43"/>
      <c r="DV405" s="43"/>
      <c r="DW405" s="43"/>
      <c r="DX405" s="43"/>
      <c r="DY405" s="43"/>
      <c r="DZ405" s="43"/>
      <c r="EA405" s="43"/>
      <c r="EB405" s="43"/>
      <c r="EC405" s="43"/>
      <c r="ED405" s="43"/>
      <c r="EE405" s="43"/>
      <c r="EF405" s="43"/>
      <c r="EG405" s="43"/>
      <c r="EH405" s="43"/>
      <c r="EI405" s="43"/>
      <c r="EJ405" s="43"/>
      <c r="EK405" s="43"/>
      <c r="EL405" s="43"/>
      <c r="EM405" s="43"/>
      <c r="EN405" s="43"/>
      <c r="EO405" s="43"/>
      <c r="EP405" s="43"/>
      <c r="EQ405" s="43"/>
      <c r="ER405" s="43"/>
      <c r="ES405" s="43"/>
      <c r="ET405" s="50"/>
      <c r="EU405" s="50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43"/>
      <c r="CZ406" s="43"/>
      <c r="DA406" s="43"/>
      <c r="DB406" s="43"/>
      <c r="DC406" s="43"/>
      <c r="DD406" s="43"/>
      <c r="DE406" s="43"/>
      <c r="DF406" s="43"/>
      <c r="DG406" s="43"/>
      <c r="DH406" s="43"/>
      <c r="DI406" s="43"/>
      <c r="DJ406" s="43"/>
      <c r="DK406" s="43"/>
      <c r="DL406" s="43"/>
      <c r="DM406" s="43"/>
      <c r="DN406" s="43"/>
      <c r="DO406" s="43"/>
      <c r="DP406" s="43"/>
      <c r="DQ406" s="43"/>
      <c r="DR406" s="43"/>
      <c r="DS406" s="43"/>
      <c r="DT406" s="43"/>
      <c r="DU406" s="43"/>
      <c r="DV406" s="43"/>
      <c r="DW406" s="43"/>
      <c r="DX406" s="43"/>
      <c r="DY406" s="43"/>
      <c r="DZ406" s="43"/>
      <c r="EA406" s="43"/>
      <c r="EB406" s="43"/>
      <c r="EC406" s="43"/>
      <c r="ED406" s="43"/>
      <c r="EE406" s="43"/>
      <c r="EF406" s="43"/>
      <c r="EG406" s="43"/>
      <c r="EH406" s="43"/>
      <c r="EI406" s="43"/>
      <c r="EJ406" s="43"/>
      <c r="EK406" s="43"/>
      <c r="EL406" s="43"/>
      <c r="EM406" s="43"/>
      <c r="EN406" s="43"/>
      <c r="EO406" s="43"/>
      <c r="EP406" s="43"/>
      <c r="EQ406" s="43"/>
      <c r="ER406" s="43"/>
      <c r="ES406" s="43"/>
      <c r="ET406" s="50"/>
      <c r="EU406" s="50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  <c r="CI407" s="43"/>
      <c r="CJ407" s="43"/>
      <c r="CK407" s="43"/>
      <c r="CL407" s="43"/>
      <c r="CM407" s="43"/>
      <c r="CN407" s="43"/>
      <c r="CO407" s="43"/>
      <c r="CP407" s="43"/>
      <c r="CQ407" s="43"/>
      <c r="CR407" s="43"/>
      <c r="CS407" s="43"/>
      <c r="CT407" s="43"/>
      <c r="CU407" s="43"/>
      <c r="CV407" s="43"/>
      <c r="CW407" s="43"/>
      <c r="CX407" s="43"/>
      <c r="CY407" s="43"/>
      <c r="CZ407" s="43"/>
      <c r="DA407" s="43"/>
      <c r="DB407" s="43"/>
      <c r="DC407" s="43"/>
      <c r="DD407" s="43"/>
      <c r="DE407" s="43"/>
      <c r="DF407" s="43"/>
      <c r="DG407" s="43"/>
      <c r="DH407" s="43"/>
      <c r="DI407" s="43"/>
      <c r="DJ407" s="43"/>
      <c r="DK407" s="43"/>
      <c r="DL407" s="43"/>
      <c r="DM407" s="43"/>
      <c r="DN407" s="43"/>
      <c r="DO407" s="43"/>
      <c r="DP407" s="43"/>
      <c r="DQ407" s="43"/>
      <c r="DR407" s="43"/>
      <c r="DS407" s="43"/>
      <c r="DT407" s="43"/>
      <c r="DU407" s="43"/>
      <c r="DV407" s="43"/>
      <c r="DW407" s="43"/>
      <c r="DX407" s="43"/>
      <c r="DY407" s="43"/>
      <c r="DZ407" s="43"/>
      <c r="EA407" s="43"/>
      <c r="EB407" s="43"/>
      <c r="EC407" s="43"/>
      <c r="ED407" s="43"/>
      <c r="EE407" s="43"/>
      <c r="EF407" s="43"/>
      <c r="EG407" s="43"/>
      <c r="EH407" s="43"/>
      <c r="EI407" s="43"/>
      <c r="EJ407" s="43"/>
      <c r="EK407" s="43"/>
      <c r="EL407" s="43"/>
      <c r="EM407" s="43"/>
      <c r="EN407" s="43"/>
      <c r="EO407" s="43"/>
      <c r="EP407" s="43"/>
      <c r="EQ407" s="43"/>
      <c r="ER407" s="43"/>
      <c r="ES407" s="43"/>
      <c r="ET407" s="50"/>
      <c r="EU407" s="50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  <c r="CI408" s="43"/>
      <c r="CJ408" s="43"/>
      <c r="CK408" s="43"/>
      <c r="CL408" s="43"/>
      <c r="CM408" s="43"/>
      <c r="CN408" s="43"/>
      <c r="CO408" s="43"/>
      <c r="CP408" s="43"/>
      <c r="CQ408" s="43"/>
      <c r="CR408" s="43"/>
      <c r="CS408" s="43"/>
      <c r="CT408" s="43"/>
      <c r="CU408" s="43"/>
      <c r="CV408" s="43"/>
      <c r="CW408" s="43"/>
      <c r="CX408" s="43"/>
      <c r="CY408" s="43"/>
      <c r="CZ408" s="43"/>
      <c r="DA408" s="43"/>
      <c r="DB408" s="43"/>
      <c r="DC408" s="43"/>
      <c r="DD408" s="43"/>
      <c r="DE408" s="43"/>
      <c r="DF408" s="43"/>
      <c r="DG408" s="43"/>
      <c r="DH408" s="43"/>
      <c r="DI408" s="43"/>
      <c r="DJ408" s="43"/>
      <c r="DK408" s="43"/>
      <c r="DL408" s="43"/>
      <c r="DM408" s="43"/>
      <c r="DN408" s="43"/>
      <c r="DO408" s="43"/>
      <c r="DP408" s="43"/>
      <c r="DQ408" s="43"/>
      <c r="DR408" s="43"/>
      <c r="DS408" s="43"/>
      <c r="DT408" s="43"/>
      <c r="DU408" s="43"/>
      <c r="DV408" s="43"/>
      <c r="DW408" s="43"/>
      <c r="DX408" s="43"/>
      <c r="DY408" s="43"/>
      <c r="DZ408" s="43"/>
      <c r="EA408" s="43"/>
      <c r="EB408" s="43"/>
      <c r="EC408" s="43"/>
      <c r="ED408" s="43"/>
      <c r="EE408" s="43"/>
      <c r="EF408" s="43"/>
      <c r="EG408" s="43"/>
      <c r="EH408" s="43"/>
      <c r="EI408" s="43"/>
      <c r="EJ408" s="43"/>
      <c r="EK408" s="43"/>
      <c r="EL408" s="43"/>
      <c r="EM408" s="43"/>
      <c r="EN408" s="43"/>
      <c r="EO408" s="43"/>
      <c r="EP408" s="43"/>
      <c r="EQ408" s="43"/>
      <c r="ER408" s="43"/>
      <c r="ES408" s="43"/>
      <c r="ET408" s="50"/>
      <c r="EU408" s="50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  <c r="CI409" s="43"/>
      <c r="CJ409" s="43"/>
      <c r="CK409" s="43"/>
      <c r="CL409" s="43"/>
      <c r="CM409" s="43"/>
      <c r="CN409" s="43"/>
      <c r="CO409" s="43"/>
      <c r="CP409" s="43"/>
      <c r="CQ409" s="43"/>
      <c r="CR409" s="43"/>
      <c r="CS409" s="43"/>
      <c r="CT409" s="43"/>
      <c r="CU409" s="43"/>
      <c r="CV409" s="43"/>
      <c r="CW409" s="43"/>
      <c r="CX409" s="43"/>
      <c r="CY409" s="43"/>
      <c r="CZ409" s="43"/>
      <c r="DA409" s="43"/>
      <c r="DB409" s="43"/>
      <c r="DC409" s="43"/>
      <c r="DD409" s="43"/>
      <c r="DE409" s="43"/>
      <c r="DF409" s="43"/>
      <c r="DG409" s="43"/>
      <c r="DH409" s="43"/>
      <c r="DI409" s="43"/>
      <c r="DJ409" s="43"/>
      <c r="DK409" s="43"/>
      <c r="DL409" s="43"/>
      <c r="DM409" s="43"/>
      <c r="DN409" s="43"/>
      <c r="DO409" s="43"/>
      <c r="DP409" s="43"/>
      <c r="DQ409" s="43"/>
      <c r="DR409" s="43"/>
      <c r="DS409" s="43"/>
      <c r="DT409" s="43"/>
      <c r="DU409" s="43"/>
      <c r="DV409" s="43"/>
      <c r="DW409" s="43"/>
      <c r="DX409" s="43"/>
      <c r="DY409" s="43"/>
      <c r="DZ409" s="43"/>
      <c r="EA409" s="43"/>
      <c r="EB409" s="43"/>
      <c r="EC409" s="43"/>
      <c r="ED409" s="43"/>
      <c r="EE409" s="43"/>
      <c r="EF409" s="43"/>
      <c r="EG409" s="43"/>
      <c r="EH409" s="43"/>
      <c r="EI409" s="43"/>
      <c r="EJ409" s="43"/>
      <c r="EK409" s="43"/>
      <c r="EL409" s="43"/>
      <c r="EM409" s="43"/>
      <c r="EN409" s="43"/>
      <c r="EO409" s="43"/>
      <c r="EP409" s="43"/>
      <c r="EQ409" s="43"/>
      <c r="ER409" s="43"/>
      <c r="ES409" s="43"/>
      <c r="ET409" s="50"/>
      <c r="EU409" s="50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  <c r="CV410" s="43"/>
      <c r="CW410" s="43"/>
      <c r="CX410" s="43"/>
      <c r="CY410" s="43"/>
      <c r="CZ410" s="43"/>
      <c r="DA410" s="43"/>
      <c r="DB410" s="43"/>
      <c r="DC410" s="43"/>
      <c r="DD410" s="43"/>
      <c r="DE410" s="43"/>
      <c r="DF410" s="43"/>
      <c r="DG410" s="43"/>
      <c r="DH410" s="43"/>
      <c r="DI410" s="43"/>
      <c r="DJ410" s="43"/>
      <c r="DK410" s="43"/>
      <c r="DL410" s="43"/>
      <c r="DM410" s="43"/>
      <c r="DN410" s="43"/>
      <c r="DO410" s="43"/>
      <c r="DP410" s="43"/>
      <c r="DQ410" s="43"/>
      <c r="DR410" s="43"/>
      <c r="DS410" s="43"/>
      <c r="DT410" s="43"/>
      <c r="DU410" s="43"/>
      <c r="DV410" s="43"/>
      <c r="DW410" s="43"/>
      <c r="DX410" s="43"/>
      <c r="DY410" s="43"/>
      <c r="DZ410" s="43"/>
      <c r="EA410" s="43"/>
      <c r="EB410" s="43"/>
      <c r="EC410" s="43"/>
      <c r="ED410" s="43"/>
      <c r="EE410" s="43"/>
      <c r="EF410" s="43"/>
      <c r="EG410" s="43"/>
      <c r="EH410" s="43"/>
      <c r="EI410" s="43"/>
      <c r="EJ410" s="43"/>
      <c r="EK410" s="43"/>
      <c r="EL410" s="43"/>
      <c r="EM410" s="43"/>
      <c r="EN410" s="43"/>
      <c r="EO410" s="43"/>
      <c r="EP410" s="43"/>
      <c r="EQ410" s="43"/>
      <c r="ER410" s="43"/>
      <c r="ES410" s="43"/>
      <c r="ET410" s="50"/>
      <c r="EU410" s="50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  <c r="CI411" s="43"/>
      <c r="CJ411" s="43"/>
      <c r="CK411" s="43"/>
      <c r="CL411" s="43"/>
      <c r="CM411" s="43"/>
      <c r="CN411" s="43"/>
      <c r="CO411" s="43"/>
      <c r="CP411" s="43"/>
      <c r="CQ411" s="43"/>
      <c r="CR411" s="43"/>
      <c r="CS411" s="43"/>
      <c r="CT411" s="43"/>
      <c r="CU411" s="43"/>
      <c r="CV411" s="43"/>
      <c r="CW411" s="43"/>
      <c r="CX411" s="43"/>
      <c r="CY411" s="43"/>
      <c r="CZ411" s="43"/>
      <c r="DA411" s="43"/>
      <c r="DB411" s="43"/>
      <c r="DC411" s="43"/>
      <c r="DD411" s="43"/>
      <c r="DE411" s="43"/>
      <c r="DF411" s="43"/>
      <c r="DG411" s="43"/>
      <c r="DH411" s="43"/>
      <c r="DI411" s="43"/>
      <c r="DJ411" s="43"/>
      <c r="DK411" s="43"/>
      <c r="DL411" s="43"/>
      <c r="DM411" s="43"/>
      <c r="DN411" s="43"/>
      <c r="DO411" s="43"/>
      <c r="DP411" s="43"/>
      <c r="DQ411" s="43"/>
      <c r="DR411" s="43"/>
      <c r="DS411" s="43"/>
      <c r="DT411" s="43"/>
      <c r="DU411" s="43"/>
      <c r="DV411" s="43"/>
      <c r="DW411" s="43"/>
      <c r="DX411" s="43"/>
      <c r="DY411" s="43"/>
      <c r="DZ411" s="43"/>
      <c r="EA411" s="43"/>
      <c r="EB411" s="43"/>
      <c r="EC411" s="43"/>
      <c r="ED411" s="43"/>
      <c r="EE411" s="43"/>
      <c r="EF411" s="43"/>
      <c r="EG411" s="43"/>
      <c r="EH411" s="43"/>
      <c r="EI411" s="43"/>
      <c r="EJ411" s="43"/>
      <c r="EK411" s="43"/>
      <c r="EL411" s="43"/>
      <c r="EM411" s="43"/>
      <c r="EN411" s="43"/>
      <c r="EO411" s="43"/>
      <c r="EP411" s="43"/>
      <c r="EQ411" s="43"/>
      <c r="ER411" s="43"/>
      <c r="ES411" s="43"/>
      <c r="ET411" s="50"/>
      <c r="EU411" s="50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  <c r="CI412" s="43"/>
      <c r="CJ412" s="43"/>
      <c r="CK412" s="43"/>
      <c r="CL412" s="43"/>
      <c r="CM412" s="43"/>
      <c r="CN412" s="43"/>
      <c r="CO412" s="43"/>
      <c r="CP412" s="43"/>
      <c r="CQ412" s="43"/>
      <c r="CR412" s="43"/>
      <c r="CS412" s="43"/>
      <c r="CT412" s="43"/>
      <c r="CU412" s="43"/>
      <c r="CV412" s="43"/>
      <c r="CW412" s="43"/>
      <c r="CX412" s="43"/>
      <c r="CY412" s="43"/>
      <c r="CZ412" s="43"/>
      <c r="DA412" s="43"/>
      <c r="DB412" s="43"/>
      <c r="DC412" s="43"/>
      <c r="DD412" s="43"/>
      <c r="DE412" s="43"/>
      <c r="DF412" s="43"/>
      <c r="DG412" s="43"/>
      <c r="DH412" s="43"/>
      <c r="DI412" s="43"/>
      <c r="DJ412" s="43"/>
      <c r="DK412" s="43"/>
      <c r="DL412" s="43"/>
      <c r="DM412" s="43"/>
      <c r="DN412" s="43"/>
      <c r="DO412" s="43"/>
      <c r="DP412" s="43"/>
      <c r="DQ412" s="43"/>
      <c r="DR412" s="43"/>
      <c r="DS412" s="43"/>
      <c r="DT412" s="43"/>
      <c r="DU412" s="43"/>
      <c r="DV412" s="43"/>
      <c r="DW412" s="43"/>
      <c r="DX412" s="43"/>
      <c r="DY412" s="43"/>
      <c r="DZ412" s="43"/>
      <c r="EA412" s="43"/>
      <c r="EB412" s="43"/>
      <c r="EC412" s="43"/>
      <c r="ED412" s="43"/>
      <c r="EE412" s="43"/>
      <c r="EF412" s="43"/>
      <c r="EG412" s="43"/>
      <c r="EH412" s="43"/>
      <c r="EI412" s="43"/>
      <c r="EJ412" s="43"/>
      <c r="EK412" s="43"/>
      <c r="EL412" s="43"/>
      <c r="EM412" s="43"/>
      <c r="EN412" s="43"/>
      <c r="EO412" s="43"/>
      <c r="EP412" s="43"/>
      <c r="EQ412" s="43"/>
      <c r="ER412" s="43"/>
      <c r="ES412" s="43"/>
      <c r="ET412" s="50"/>
      <c r="EU412" s="50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  <c r="CI413" s="43"/>
      <c r="CJ413" s="43"/>
      <c r="CK413" s="43"/>
      <c r="CL413" s="43"/>
      <c r="CM413" s="43"/>
      <c r="CN413" s="43"/>
      <c r="CO413" s="43"/>
      <c r="CP413" s="43"/>
      <c r="CQ413" s="43"/>
      <c r="CR413" s="43"/>
      <c r="CS413" s="43"/>
      <c r="CT413" s="43"/>
      <c r="CU413" s="43"/>
      <c r="CV413" s="43"/>
      <c r="CW413" s="43"/>
      <c r="CX413" s="43"/>
      <c r="CY413" s="43"/>
      <c r="CZ413" s="43"/>
      <c r="DA413" s="43"/>
      <c r="DB413" s="43"/>
      <c r="DC413" s="43"/>
      <c r="DD413" s="43"/>
      <c r="DE413" s="43"/>
      <c r="DF413" s="43"/>
      <c r="DG413" s="43"/>
      <c r="DH413" s="43"/>
      <c r="DI413" s="43"/>
      <c r="DJ413" s="43"/>
      <c r="DK413" s="43"/>
      <c r="DL413" s="43"/>
      <c r="DM413" s="43"/>
      <c r="DN413" s="43"/>
      <c r="DO413" s="43"/>
      <c r="DP413" s="43"/>
      <c r="DQ413" s="43"/>
      <c r="DR413" s="43"/>
      <c r="DS413" s="43"/>
      <c r="DT413" s="43"/>
      <c r="DU413" s="43"/>
      <c r="DV413" s="43"/>
      <c r="DW413" s="43"/>
      <c r="DX413" s="43"/>
      <c r="DY413" s="43"/>
      <c r="DZ413" s="43"/>
      <c r="EA413" s="43"/>
      <c r="EB413" s="43"/>
      <c r="EC413" s="43"/>
      <c r="ED413" s="43"/>
      <c r="EE413" s="43"/>
      <c r="EF413" s="43"/>
      <c r="EG413" s="43"/>
      <c r="EH413" s="43"/>
      <c r="EI413" s="43"/>
      <c r="EJ413" s="43"/>
      <c r="EK413" s="43"/>
      <c r="EL413" s="43"/>
      <c r="EM413" s="43"/>
      <c r="EN413" s="43"/>
      <c r="EO413" s="43"/>
      <c r="EP413" s="43"/>
      <c r="EQ413" s="43"/>
      <c r="ER413" s="43"/>
      <c r="ES413" s="43"/>
      <c r="ET413" s="50"/>
      <c r="EU413" s="50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  <c r="CI414" s="43"/>
      <c r="CJ414" s="43"/>
      <c r="CK414" s="43"/>
      <c r="CL414" s="43"/>
      <c r="CM414" s="43"/>
      <c r="CN414" s="43"/>
      <c r="CO414" s="43"/>
      <c r="CP414" s="43"/>
      <c r="CQ414" s="43"/>
      <c r="CR414" s="43"/>
      <c r="CS414" s="43"/>
      <c r="CT414" s="43"/>
      <c r="CU414" s="43"/>
      <c r="CV414" s="43"/>
      <c r="CW414" s="43"/>
      <c r="CX414" s="43"/>
      <c r="CY414" s="43"/>
      <c r="CZ414" s="43"/>
      <c r="DA414" s="43"/>
      <c r="DB414" s="43"/>
      <c r="DC414" s="43"/>
      <c r="DD414" s="43"/>
      <c r="DE414" s="43"/>
      <c r="DF414" s="43"/>
      <c r="DG414" s="43"/>
      <c r="DH414" s="43"/>
      <c r="DI414" s="43"/>
      <c r="DJ414" s="43"/>
      <c r="DK414" s="43"/>
      <c r="DL414" s="43"/>
      <c r="DM414" s="43"/>
      <c r="DN414" s="43"/>
      <c r="DO414" s="43"/>
      <c r="DP414" s="43"/>
      <c r="DQ414" s="43"/>
      <c r="DR414" s="43"/>
      <c r="DS414" s="43"/>
      <c r="DT414" s="43"/>
      <c r="DU414" s="43"/>
      <c r="DV414" s="43"/>
      <c r="DW414" s="43"/>
      <c r="DX414" s="43"/>
      <c r="DY414" s="43"/>
      <c r="DZ414" s="43"/>
      <c r="EA414" s="43"/>
      <c r="EB414" s="43"/>
      <c r="EC414" s="43"/>
      <c r="ED414" s="43"/>
      <c r="EE414" s="43"/>
      <c r="EF414" s="43"/>
      <c r="EG414" s="43"/>
      <c r="EH414" s="43"/>
      <c r="EI414" s="43"/>
      <c r="EJ414" s="43"/>
      <c r="EK414" s="43"/>
      <c r="EL414" s="43"/>
      <c r="EM414" s="43"/>
      <c r="EN414" s="43"/>
      <c r="EO414" s="43"/>
      <c r="EP414" s="43"/>
      <c r="EQ414" s="43"/>
      <c r="ER414" s="43"/>
      <c r="ES414" s="43"/>
      <c r="ET414" s="50"/>
      <c r="EU414" s="50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  <c r="CI415" s="43"/>
      <c r="CJ415" s="43"/>
      <c r="CK415" s="43"/>
      <c r="CL415" s="43"/>
      <c r="CM415" s="43"/>
      <c r="CN415" s="43"/>
      <c r="CO415" s="43"/>
      <c r="CP415" s="43"/>
      <c r="CQ415" s="43"/>
      <c r="CR415" s="43"/>
      <c r="CS415" s="43"/>
      <c r="CT415" s="43"/>
      <c r="CU415" s="43"/>
      <c r="CV415" s="43"/>
      <c r="CW415" s="43"/>
      <c r="CX415" s="43"/>
      <c r="CY415" s="43"/>
      <c r="CZ415" s="43"/>
      <c r="DA415" s="43"/>
      <c r="DB415" s="43"/>
      <c r="DC415" s="43"/>
      <c r="DD415" s="43"/>
      <c r="DE415" s="43"/>
      <c r="DF415" s="43"/>
      <c r="DG415" s="43"/>
      <c r="DH415" s="43"/>
      <c r="DI415" s="43"/>
      <c r="DJ415" s="43"/>
      <c r="DK415" s="43"/>
      <c r="DL415" s="43"/>
      <c r="DM415" s="43"/>
      <c r="DN415" s="43"/>
      <c r="DO415" s="43"/>
      <c r="DP415" s="43"/>
      <c r="DQ415" s="43"/>
      <c r="DR415" s="43"/>
      <c r="DS415" s="43"/>
      <c r="DT415" s="43"/>
      <c r="DU415" s="43"/>
      <c r="DV415" s="43"/>
      <c r="DW415" s="43"/>
      <c r="DX415" s="43"/>
      <c r="DY415" s="43"/>
      <c r="DZ415" s="43"/>
      <c r="EA415" s="43"/>
      <c r="EB415" s="43"/>
      <c r="EC415" s="43"/>
      <c r="ED415" s="43"/>
      <c r="EE415" s="43"/>
      <c r="EF415" s="43"/>
      <c r="EG415" s="43"/>
      <c r="EH415" s="43"/>
      <c r="EI415" s="43"/>
      <c r="EJ415" s="43"/>
      <c r="EK415" s="43"/>
      <c r="EL415" s="43"/>
      <c r="EM415" s="43"/>
      <c r="EN415" s="43"/>
      <c r="EO415" s="43"/>
      <c r="EP415" s="43"/>
      <c r="EQ415" s="43"/>
      <c r="ER415" s="43"/>
      <c r="ES415" s="43"/>
      <c r="ET415" s="50"/>
      <c r="EU415" s="50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  <c r="CI416" s="43"/>
      <c r="CJ416" s="43"/>
      <c r="CK416" s="43"/>
      <c r="CL416" s="43"/>
      <c r="CM416" s="43"/>
      <c r="CN416" s="43"/>
      <c r="CO416" s="43"/>
      <c r="CP416" s="43"/>
      <c r="CQ416" s="43"/>
      <c r="CR416" s="43"/>
      <c r="CS416" s="43"/>
      <c r="CT416" s="43"/>
      <c r="CU416" s="43"/>
      <c r="CV416" s="43"/>
      <c r="CW416" s="43"/>
      <c r="CX416" s="43"/>
      <c r="CY416" s="43"/>
      <c r="CZ416" s="43"/>
      <c r="DA416" s="43"/>
      <c r="DB416" s="43"/>
      <c r="DC416" s="43"/>
      <c r="DD416" s="43"/>
      <c r="DE416" s="43"/>
      <c r="DF416" s="43"/>
      <c r="DG416" s="43"/>
      <c r="DH416" s="43"/>
      <c r="DI416" s="43"/>
      <c r="DJ416" s="43"/>
      <c r="DK416" s="43"/>
      <c r="DL416" s="43"/>
      <c r="DM416" s="43"/>
      <c r="DN416" s="43"/>
      <c r="DO416" s="43"/>
      <c r="DP416" s="43"/>
      <c r="DQ416" s="43"/>
      <c r="DR416" s="43"/>
      <c r="DS416" s="43"/>
      <c r="DT416" s="43"/>
      <c r="DU416" s="43"/>
      <c r="DV416" s="43"/>
      <c r="DW416" s="43"/>
      <c r="DX416" s="43"/>
      <c r="DY416" s="43"/>
      <c r="DZ416" s="43"/>
      <c r="EA416" s="43"/>
      <c r="EB416" s="43"/>
      <c r="EC416" s="43"/>
      <c r="ED416" s="43"/>
      <c r="EE416" s="43"/>
      <c r="EF416" s="43"/>
      <c r="EG416" s="43"/>
      <c r="EH416" s="43"/>
      <c r="EI416" s="43"/>
      <c r="EJ416" s="43"/>
      <c r="EK416" s="43"/>
      <c r="EL416" s="43"/>
      <c r="EM416" s="43"/>
      <c r="EN416" s="43"/>
      <c r="EO416" s="43"/>
      <c r="EP416" s="43"/>
      <c r="EQ416" s="43"/>
      <c r="ER416" s="43"/>
      <c r="ES416" s="43"/>
      <c r="ET416" s="50"/>
      <c r="EU416" s="50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  <c r="CI417" s="43"/>
      <c r="CJ417" s="43"/>
      <c r="CK417" s="43"/>
      <c r="CL417" s="43"/>
      <c r="CM417" s="43"/>
      <c r="CN417" s="43"/>
      <c r="CO417" s="43"/>
      <c r="CP417" s="43"/>
      <c r="CQ417" s="43"/>
      <c r="CR417" s="43"/>
      <c r="CS417" s="43"/>
      <c r="CT417" s="43"/>
      <c r="CU417" s="43"/>
      <c r="CV417" s="43"/>
      <c r="CW417" s="43"/>
      <c r="CX417" s="43"/>
      <c r="CY417" s="43"/>
      <c r="CZ417" s="43"/>
      <c r="DA417" s="43"/>
      <c r="DB417" s="43"/>
      <c r="DC417" s="43"/>
      <c r="DD417" s="43"/>
      <c r="DE417" s="43"/>
      <c r="DF417" s="43"/>
      <c r="DG417" s="43"/>
      <c r="DH417" s="43"/>
      <c r="DI417" s="43"/>
      <c r="DJ417" s="43"/>
      <c r="DK417" s="43"/>
      <c r="DL417" s="43"/>
      <c r="DM417" s="43"/>
      <c r="DN417" s="43"/>
      <c r="DO417" s="43"/>
      <c r="DP417" s="43"/>
      <c r="DQ417" s="43"/>
      <c r="DR417" s="43"/>
      <c r="DS417" s="43"/>
      <c r="DT417" s="43"/>
      <c r="DU417" s="43"/>
      <c r="DV417" s="43"/>
      <c r="DW417" s="43"/>
      <c r="DX417" s="43"/>
      <c r="DY417" s="43"/>
      <c r="DZ417" s="43"/>
      <c r="EA417" s="43"/>
      <c r="EB417" s="43"/>
      <c r="EC417" s="43"/>
      <c r="ED417" s="43"/>
      <c r="EE417" s="43"/>
      <c r="EF417" s="43"/>
      <c r="EG417" s="43"/>
      <c r="EH417" s="43"/>
      <c r="EI417" s="43"/>
      <c r="EJ417" s="43"/>
      <c r="EK417" s="43"/>
      <c r="EL417" s="43"/>
      <c r="EM417" s="43"/>
      <c r="EN417" s="43"/>
      <c r="EO417" s="43"/>
      <c r="EP417" s="43"/>
      <c r="EQ417" s="43"/>
      <c r="ER417" s="43"/>
      <c r="ES417" s="43"/>
      <c r="ET417" s="50"/>
      <c r="EU417" s="50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  <c r="CI418" s="43"/>
      <c r="CJ418" s="43"/>
      <c r="CK418" s="43"/>
      <c r="CL418" s="43"/>
      <c r="CM418" s="43"/>
      <c r="CN418" s="43"/>
      <c r="CO418" s="43"/>
      <c r="CP418" s="43"/>
      <c r="CQ418" s="43"/>
      <c r="CR418" s="43"/>
      <c r="CS418" s="43"/>
      <c r="CT418" s="43"/>
      <c r="CU418" s="43"/>
      <c r="CV418" s="43"/>
      <c r="CW418" s="43"/>
      <c r="CX418" s="43"/>
      <c r="CY418" s="43"/>
      <c r="CZ418" s="43"/>
      <c r="DA418" s="43"/>
      <c r="DB418" s="43"/>
      <c r="DC418" s="43"/>
      <c r="DD418" s="43"/>
      <c r="DE418" s="43"/>
      <c r="DF418" s="43"/>
      <c r="DG418" s="43"/>
      <c r="DH418" s="43"/>
      <c r="DI418" s="43"/>
      <c r="DJ418" s="43"/>
      <c r="DK418" s="43"/>
      <c r="DL418" s="43"/>
      <c r="DM418" s="43"/>
      <c r="DN418" s="43"/>
      <c r="DO418" s="43"/>
      <c r="DP418" s="43"/>
      <c r="DQ418" s="43"/>
      <c r="DR418" s="43"/>
      <c r="DS418" s="43"/>
      <c r="DT418" s="43"/>
      <c r="DU418" s="43"/>
      <c r="DV418" s="43"/>
      <c r="DW418" s="43"/>
      <c r="DX418" s="43"/>
      <c r="DY418" s="43"/>
      <c r="DZ418" s="43"/>
      <c r="EA418" s="43"/>
      <c r="EB418" s="43"/>
      <c r="EC418" s="43"/>
      <c r="ED418" s="43"/>
      <c r="EE418" s="43"/>
      <c r="EF418" s="43"/>
      <c r="EG418" s="43"/>
      <c r="EH418" s="43"/>
      <c r="EI418" s="43"/>
      <c r="EJ418" s="43"/>
      <c r="EK418" s="43"/>
      <c r="EL418" s="43"/>
      <c r="EM418" s="43"/>
      <c r="EN418" s="43"/>
      <c r="EO418" s="43"/>
      <c r="EP418" s="43"/>
      <c r="EQ418" s="43"/>
      <c r="ER418" s="43"/>
      <c r="ES418" s="43"/>
      <c r="ET418" s="50"/>
      <c r="EU418" s="50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  <c r="CS419" s="43"/>
      <c r="CT419" s="43"/>
      <c r="CU419" s="43"/>
      <c r="CV419" s="43"/>
      <c r="CW419" s="43"/>
      <c r="CX419" s="43"/>
      <c r="CY419" s="43"/>
      <c r="CZ419" s="43"/>
      <c r="DA419" s="43"/>
      <c r="DB419" s="43"/>
      <c r="DC419" s="43"/>
      <c r="DD419" s="43"/>
      <c r="DE419" s="43"/>
      <c r="DF419" s="43"/>
      <c r="DG419" s="43"/>
      <c r="DH419" s="43"/>
      <c r="DI419" s="43"/>
      <c r="DJ419" s="43"/>
      <c r="DK419" s="43"/>
      <c r="DL419" s="43"/>
      <c r="DM419" s="43"/>
      <c r="DN419" s="43"/>
      <c r="DO419" s="43"/>
      <c r="DP419" s="43"/>
      <c r="DQ419" s="43"/>
      <c r="DR419" s="43"/>
      <c r="DS419" s="43"/>
      <c r="DT419" s="43"/>
      <c r="DU419" s="43"/>
      <c r="DV419" s="43"/>
      <c r="DW419" s="43"/>
      <c r="DX419" s="43"/>
      <c r="DY419" s="43"/>
      <c r="DZ419" s="43"/>
      <c r="EA419" s="43"/>
      <c r="EB419" s="43"/>
      <c r="EC419" s="43"/>
      <c r="ED419" s="43"/>
      <c r="EE419" s="43"/>
      <c r="EF419" s="43"/>
      <c r="EG419" s="43"/>
      <c r="EH419" s="43"/>
      <c r="EI419" s="43"/>
      <c r="EJ419" s="43"/>
      <c r="EK419" s="43"/>
      <c r="EL419" s="43"/>
      <c r="EM419" s="43"/>
      <c r="EN419" s="43"/>
      <c r="EO419" s="43"/>
      <c r="EP419" s="43"/>
      <c r="EQ419" s="43"/>
      <c r="ER419" s="43"/>
      <c r="ES419" s="43"/>
      <c r="ET419" s="50"/>
      <c r="EU419" s="50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  <c r="CI420" s="43"/>
      <c r="CJ420" s="43"/>
      <c r="CK420" s="43"/>
      <c r="CL420" s="43"/>
      <c r="CM420" s="43"/>
      <c r="CN420" s="43"/>
      <c r="CO420" s="43"/>
      <c r="CP420" s="43"/>
      <c r="CQ420" s="43"/>
      <c r="CR420" s="43"/>
      <c r="CS420" s="43"/>
      <c r="CT420" s="43"/>
      <c r="CU420" s="43"/>
      <c r="CV420" s="43"/>
      <c r="CW420" s="43"/>
      <c r="CX420" s="43"/>
      <c r="CY420" s="43"/>
      <c r="CZ420" s="43"/>
      <c r="DA420" s="43"/>
      <c r="DB420" s="43"/>
      <c r="DC420" s="43"/>
      <c r="DD420" s="43"/>
      <c r="DE420" s="43"/>
      <c r="DF420" s="43"/>
      <c r="DG420" s="43"/>
      <c r="DH420" s="43"/>
      <c r="DI420" s="43"/>
      <c r="DJ420" s="43"/>
      <c r="DK420" s="43"/>
      <c r="DL420" s="43"/>
      <c r="DM420" s="43"/>
      <c r="DN420" s="43"/>
      <c r="DO420" s="43"/>
      <c r="DP420" s="43"/>
      <c r="DQ420" s="43"/>
      <c r="DR420" s="43"/>
      <c r="DS420" s="43"/>
      <c r="DT420" s="43"/>
      <c r="DU420" s="43"/>
      <c r="DV420" s="43"/>
      <c r="DW420" s="43"/>
      <c r="DX420" s="43"/>
      <c r="DY420" s="43"/>
      <c r="DZ420" s="43"/>
      <c r="EA420" s="43"/>
      <c r="EB420" s="43"/>
      <c r="EC420" s="43"/>
      <c r="ED420" s="43"/>
      <c r="EE420" s="43"/>
      <c r="EF420" s="43"/>
      <c r="EG420" s="43"/>
      <c r="EH420" s="43"/>
      <c r="EI420" s="43"/>
      <c r="EJ420" s="43"/>
      <c r="EK420" s="43"/>
      <c r="EL420" s="43"/>
      <c r="EM420" s="43"/>
      <c r="EN420" s="43"/>
      <c r="EO420" s="43"/>
      <c r="EP420" s="43"/>
      <c r="EQ420" s="43"/>
      <c r="ER420" s="43"/>
      <c r="ES420" s="43"/>
      <c r="ET420" s="50"/>
      <c r="EU420" s="50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  <c r="CS421" s="43"/>
      <c r="CT421" s="43"/>
      <c r="CU421" s="43"/>
      <c r="CV421" s="43"/>
      <c r="CW421" s="43"/>
      <c r="CX421" s="43"/>
      <c r="CY421" s="43"/>
      <c r="CZ421" s="43"/>
      <c r="DA421" s="43"/>
      <c r="DB421" s="43"/>
      <c r="DC421" s="43"/>
      <c r="DD421" s="43"/>
      <c r="DE421" s="43"/>
      <c r="DF421" s="43"/>
      <c r="DG421" s="43"/>
      <c r="DH421" s="43"/>
      <c r="DI421" s="43"/>
      <c r="DJ421" s="43"/>
      <c r="DK421" s="43"/>
      <c r="DL421" s="43"/>
      <c r="DM421" s="43"/>
      <c r="DN421" s="43"/>
      <c r="DO421" s="43"/>
      <c r="DP421" s="43"/>
      <c r="DQ421" s="43"/>
      <c r="DR421" s="43"/>
      <c r="DS421" s="43"/>
      <c r="DT421" s="43"/>
      <c r="DU421" s="43"/>
      <c r="DV421" s="43"/>
      <c r="DW421" s="43"/>
      <c r="DX421" s="43"/>
      <c r="DY421" s="43"/>
      <c r="DZ421" s="43"/>
      <c r="EA421" s="43"/>
      <c r="EB421" s="43"/>
      <c r="EC421" s="43"/>
      <c r="ED421" s="43"/>
      <c r="EE421" s="43"/>
      <c r="EF421" s="43"/>
      <c r="EG421" s="43"/>
      <c r="EH421" s="43"/>
      <c r="EI421" s="43"/>
      <c r="EJ421" s="43"/>
      <c r="EK421" s="43"/>
      <c r="EL421" s="43"/>
      <c r="EM421" s="43"/>
      <c r="EN421" s="43"/>
      <c r="EO421" s="43"/>
      <c r="EP421" s="43"/>
      <c r="EQ421" s="43"/>
      <c r="ER421" s="43"/>
      <c r="ES421" s="43"/>
      <c r="ET421" s="50"/>
      <c r="EU421" s="50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  <c r="CI422" s="43"/>
      <c r="CJ422" s="43"/>
      <c r="CK422" s="43"/>
      <c r="CL422" s="43"/>
      <c r="CM422" s="43"/>
      <c r="CN422" s="43"/>
      <c r="CO422" s="43"/>
      <c r="CP422" s="43"/>
      <c r="CQ422" s="43"/>
      <c r="CR422" s="43"/>
      <c r="CS422" s="43"/>
      <c r="CT422" s="43"/>
      <c r="CU422" s="43"/>
      <c r="CV422" s="43"/>
      <c r="CW422" s="43"/>
      <c r="CX422" s="43"/>
      <c r="CY422" s="43"/>
      <c r="CZ422" s="43"/>
      <c r="DA422" s="43"/>
      <c r="DB422" s="43"/>
      <c r="DC422" s="43"/>
      <c r="DD422" s="43"/>
      <c r="DE422" s="43"/>
      <c r="DF422" s="43"/>
      <c r="DG422" s="43"/>
      <c r="DH422" s="43"/>
      <c r="DI422" s="43"/>
      <c r="DJ422" s="43"/>
      <c r="DK422" s="43"/>
      <c r="DL422" s="43"/>
      <c r="DM422" s="43"/>
      <c r="DN422" s="43"/>
      <c r="DO422" s="43"/>
      <c r="DP422" s="43"/>
      <c r="DQ422" s="43"/>
      <c r="DR422" s="43"/>
      <c r="DS422" s="43"/>
      <c r="DT422" s="43"/>
      <c r="DU422" s="43"/>
      <c r="DV422" s="43"/>
      <c r="DW422" s="43"/>
      <c r="DX422" s="43"/>
      <c r="DY422" s="43"/>
      <c r="DZ422" s="43"/>
      <c r="EA422" s="43"/>
      <c r="EB422" s="43"/>
      <c r="EC422" s="43"/>
      <c r="ED422" s="43"/>
      <c r="EE422" s="43"/>
      <c r="EF422" s="43"/>
      <c r="EG422" s="43"/>
      <c r="EH422" s="43"/>
      <c r="EI422" s="43"/>
      <c r="EJ422" s="43"/>
      <c r="EK422" s="43"/>
      <c r="EL422" s="43"/>
      <c r="EM422" s="43"/>
      <c r="EN422" s="43"/>
      <c r="EO422" s="43"/>
      <c r="EP422" s="43"/>
      <c r="EQ422" s="43"/>
      <c r="ER422" s="43"/>
      <c r="ES422" s="43"/>
      <c r="ET422" s="50"/>
      <c r="EU422" s="50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  <c r="CI423" s="43"/>
      <c r="CJ423" s="43"/>
      <c r="CK423" s="43"/>
      <c r="CL423" s="43"/>
      <c r="CM423" s="43"/>
      <c r="CN423" s="43"/>
      <c r="CO423" s="43"/>
      <c r="CP423" s="43"/>
      <c r="CQ423" s="43"/>
      <c r="CR423" s="43"/>
      <c r="CS423" s="43"/>
      <c r="CT423" s="43"/>
      <c r="CU423" s="43"/>
      <c r="CV423" s="43"/>
      <c r="CW423" s="43"/>
      <c r="CX423" s="43"/>
      <c r="CY423" s="43"/>
      <c r="CZ423" s="43"/>
      <c r="DA423" s="43"/>
      <c r="DB423" s="43"/>
      <c r="DC423" s="43"/>
      <c r="DD423" s="43"/>
      <c r="DE423" s="43"/>
      <c r="DF423" s="43"/>
      <c r="DG423" s="43"/>
      <c r="DH423" s="43"/>
      <c r="DI423" s="43"/>
      <c r="DJ423" s="43"/>
      <c r="DK423" s="43"/>
      <c r="DL423" s="43"/>
      <c r="DM423" s="43"/>
      <c r="DN423" s="43"/>
      <c r="DO423" s="43"/>
      <c r="DP423" s="43"/>
      <c r="DQ423" s="43"/>
      <c r="DR423" s="43"/>
      <c r="DS423" s="43"/>
      <c r="DT423" s="43"/>
      <c r="DU423" s="43"/>
      <c r="DV423" s="43"/>
      <c r="DW423" s="43"/>
      <c r="DX423" s="43"/>
      <c r="DY423" s="43"/>
      <c r="DZ423" s="43"/>
      <c r="EA423" s="43"/>
      <c r="EB423" s="43"/>
      <c r="EC423" s="43"/>
      <c r="ED423" s="43"/>
      <c r="EE423" s="43"/>
      <c r="EF423" s="43"/>
      <c r="EG423" s="43"/>
      <c r="EH423" s="43"/>
      <c r="EI423" s="43"/>
      <c r="EJ423" s="43"/>
      <c r="EK423" s="43"/>
      <c r="EL423" s="43"/>
      <c r="EM423" s="43"/>
      <c r="EN423" s="43"/>
      <c r="EO423" s="43"/>
      <c r="EP423" s="43"/>
      <c r="EQ423" s="43"/>
      <c r="ER423" s="43"/>
      <c r="ES423" s="43"/>
      <c r="ET423" s="50"/>
      <c r="EU423" s="50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  <c r="CI424" s="43"/>
      <c r="CJ424" s="43"/>
      <c r="CK424" s="43"/>
      <c r="CL424" s="43"/>
      <c r="CM424" s="43"/>
      <c r="CN424" s="43"/>
      <c r="CO424" s="43"/>
      <c r="CP424" s="43"/>
      <c r="CQ424" s="43"/>
      <c r="CR424" s="43"/>
      <c r="CS424" s="43"/>
      <c r="CT424" s="43"/>
      <c r="CU424" s="43"/>
      <c r="CV424" s="43"/>
      <c r="CW424" s="43"/>
      <c r="CX424" s="43"/>
      <c r="CY424" s="43"/>
      <c r="CZ424" s="43"/>
      <c r="DA424" s="43"/>
      <c r="DB424" s="43"/>
      <c r="DC424" s="43"/>
      <c r="DD424" s="43"/>
      <c r="DE424" s="43"/>
      <c r="DF424" s="43"/>
      <c r="DG424" s="43"/>
      <c r="DH424" s="43"/>
      <c r="DI424" s="43"/>
      <c r="DJ424" s="43"/>
      <c r="DK424" s="43"/>
      <c r="DL424" s="43"/>
      <c r="DM424" s="43"/>
      <c r="DN424" s="43"/>
      <c r="DO424" s="43"/>
      <c r="DP424" s="43"/>
      <c r="DQ424" s="43"/>
      <c r="DR424" s="43"/>
      <c r="DS424" s="43"/>
      <c r="DT424" s="43"/>
      <c r="DU424" s="43"/>
      <c r="DV424" s="43"/>
      <c r="DW424" s="43"/>
      <c r="DX424" s="43"/>
      <c r="DY424" s="43"/>
      <c r="DZ424" s="43"/>
      <c r="EA424" s="43"/>
      <c r="EB424" s="43"/>
      <c r="EC424" s="43"/>
      <c r="ED424" s="43"/>
      <c r="EE424" s="43"/>
      <c r="EF424" s="43"/>
      <c r="EG424" s="43"/>
      <c r="EH424" s="43"/>
      <c r="EI424" s="43"/>
      <c r="EJ424" s="43"/>
      <c r="EK424" s="43"/>
      <c r="EL424" s="43"/>
      <c r="EM424" s="43"/>
      <c r="EN424" s="43"/>
      <c r="EO424" s="43"/>
      <c r="EP424" s="43"/>
      <c r="EQ424" s="43"/>
      <c r="ER424" s="43"/>
      <c r="ES424" s="43"/>
      <c r="ET424" s="50"/>
      <c r="EU424" s="50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  <c r="CS425" s="43"/>
      <c r="CT425" s="43"/>
      <c r="CU425" s="43"/>
      <c r="CV425" s="43"/>
      <c r="CW425" s="43"/>
      <c r="CX425" s="43"/>
      <c r="CY425" s="43"/>
      <c r="CZ425" s="43"/>
      <c r="DA425" s="43"/>
      <c r="DB425" s="43"/>
      <c r="DC425" s="43"/>
      <c r="DD425" s="43"/>
      <c r="DE425" s="43"/>
      <c r="DF425" s="43"/>
      <c r="DG425" s="43"/>
      <c r="DH425" s="43"/>
      <c r="DI425" s="43"/>
      <c r="DJ425" s="43"/>
      <c r="DK425" s="43"/>
      <c r="DL425" s="43"/>
      <c r="DM425" s="43"/>
      <c r="DN425" s="43"/>
      <c r="DO425" s="43"/>
      <c r="DP425" s="43"/>
      <c r="DQ425" s="43"/>
      <c r="DR425" s="43"/>
      <c r="DS425" s="43"/>
      <c r="DT425" s="43"/>
      <c r="DU425" s="43"/>
      <c r="DV425" s="43"/>
      <c r="DW425" s="43"/>
      <c r="DX425" s="43"/>
      <c r="DY425" s="43"/>
      <c r="DZ425" s="43"/>
      <c r="EA425" s="43"/>
      <c r="EB425" s="43"/>
      <c r="EC425" s="43"/>
      <c r="ED425" s="43"/>
      <c r="EE425" s="43"/>
      <c r="EF425" s="43"/>
      <c r="EG425" s="43"/>
      <c r="EH425" s="43"/>
      <c r="EI425" s="43"/>
      <c r="EJ425" s="43"/>
      <c r="EK425" s="43"/>
      <c r="EL425" s="43"/>
      <c r="EM425" s="43"/>
      <c r="EN425" s="43"/>
      <c r="EO425" s="43"/>
      <c r="EP425" s="43"/>
      <c r="EQ425" s="43"/>
      <c r="ER425" s="43"/>
      <c r="ES425" s="43"/>
      <c r="ET425" s="50"/>
      <c r="EU425" s="50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  <c r="CI426" s="43"/>
      <c r="CJ426" s="43"/>
      <c r="CK426" s="43"/>
      <c r="CL426" s="43"/>
      <c r="CM426" s="43"/>
      <c r="CN426" s="43"/>
      <c r="CO426" s="43"/>
      <c r="CP426" s="43"/>
      <c r="CQ426" s="43"/>
      <c r="CR426" s="43"/>
      <c r="CS426" s="43"/>
      <c r="CT426" s="43"/>
      <c r="CU426" s="43"/>
      <c r="CV426" s="43"/>
      <c r="CW426" s="43"/>
      <c r="CX426" s="43"/>
      <c r="CY426" s="43"/>
      <c r="CZ426" s="43"/>
      <c r="DA426" s="43"/>
      <c r="DB426" s="43"/>
      <c r="DC426" s="43"/>
      <c r="DD426" s="43"/>
      <c r="DE426" s="43"/>
      <c r="DF426" s="43"/>
      <c r="DG426" s="43"/>
      <c r="DH426" s="43"/>
      <c r="DI426" s="43"/>
      <c r="DJ426" s="43"/>
      <c r="DK426" s="43"/>
      <c r="DL426" s="43"/>
      <c r="DM426" s="43"/>
      <c r="DN426" s="43"/>
      <c r="DO426" s="43"/>
      <c r="DP426" s="43"/>
      <c r="DQ426" s="43"/>
      <c r="DR426" s="43"/>
      <c r="DS426" s="43"/>
      <c r="DT426" s="43"/>
      <c r="DU426" s="43"/>
      <c r="DV426" s="43"/>
      <c r="DW426" s="43"/>
      <c r="DX426" s="43"/>
      <c r="DY426" s="43"/>
      <c r="DZ426" s="43"/>
      <c r="EA426" s="43"/>
      <c r="EB426" s="43"/>
      <c r="EC426" s="43"/>
      <c r="ED426" s="43"/>
      <c r="EE426" s="43"/>
      <c r="EF426" s="43"/>
      <c r="EG426" s="43"/>
      <c r="EH426" s="43"/>
      <c r="EI426" s="43"/>
      <c r="EJ426" s="43"/>
      <c r="EK426" s="43"/>
      <c r="EL426" s="43"/>
      <c r="EM426" s="43"/>
      <c r="EN426" s="43"/>
      <c r="EO426" s="43"/>
      <c r="EP426" s="43"/>
      <c r="EQ426" s="43"/>
      <c r="ER426" s="43"/>
      <c r="ES426" s="43"/>
      <c r="ET426" s="50"/>
      <c r="EU426" s="50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  <c r="CI427" s="43"/>
      <c r="CJ427" s="43"/>
      <c r="CK427" s="43"/>
      <c r="CL427" s="43"/>
      <c r="CM427" s="43"/>
      <c r="CN427" s="43"/>
      <c r="CO427" s="43"/>
      <c r="CP427" s="43"/>
      <c r="CQ427" s="43"/>
      <c r="CR427" s="43"/>
      <c r="CS427" s="43"/>
      <c r="CT427" s="43"/>
      <c r="CU427" s="43"/>
      <c r="CV427" s="43"/>
      <c r="CW427" s="43"/>
      <c r="CX427" s="43"/>
      <c r="CY427" s="43"/>
      <c r="CZ427" s="43"/>
      <c r="DA427" s="43"/>
      <c r="DB427" s="43"/>
      <c r="DC427" s="43"/>
      <c r="DD427" s="43"/>
      <c r="DE427" s="43"/>
      <c r="DF427" s="43"/>
      <c r="DG427" s="43"/>
      <c r="DH427" s="43"/>
      <c r="DI427" s="43"/>
      <c r="DJ427" s="43"/>
      <c r="DK427" s="43"/>
      <c r="DL427" s="43"/>
      <c r="DM427" s="43"/>
      <c r="DN427" s="43"/>
      <c r="DO427" s="43"/>
      <c r="DP427" s="43"/>
      <c r="DQ427" s="43"/>
      <c r="DR427" s="43"/>
      <c r="DS427" s="43"/>
      <c r="DT427" s="43"/>
      <c r="DU427" s="43"/>
      <c r="DV427" s="43"/>
      <c r="DW427" s="43"/>
      <c r="DX427" s="43"/>
      <c r="DY427" s="43"/>
      <c r="DZ427" s="43"/>
      <c r="EA427" s="43"/>
      <c r="EB427" s="43"/>
      <c r="EC427" s="43"/>
      <c r="ED427" s="43"/>
      <c r="EE427" s="43"/>
      <c r="EF427" s="43"/>
      <c r="EG427" s="43"/>
      <c r="EH427" s="43"/>
      <c r="EI427" s="43"/>
      <c r="EJ427" s="43"/>
      <c r="EK427" s="43"/>
      <c r="EL427" s="43"/>
      <c r="EM427" s="43"/>
      <c r="EN427" s="43"/>
      <c r="EO427" s="43"/>
      <c r="EP427" s="43"/>
      <c r="EQ427" s="43"/>
      <c r="ER427" s="43"/>
      <c r="ES427" s="43"/>
      <c r="ET427" s="50"/>
      <c r="EU427" s="50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  <c r="CI428" s="43"/>
      <c r="CJ428" s="43"/>
      <c r="CK428" s="43"/>
      <c r="CL428" s="43"/>
      <c r="CM428" s="43"/>
      <c r="CN428" s="43"/>
      <c r="CO428" s="43"/>
      <c r="CP428" s="43"/>
      <c r="CQ428" s="43"/>
      <c r="CR428" s="43"/>
      <c r="CS428" s="43"/>
      <c r="CT428" s="43"/>
      <c r="CU428" s="43"/>
      <c r="CV428" s="43"/>
      <c r="CW428" s="43"/>
      <c r="CX428" s="43"/>
      <c r="CY428" s="43"/>
      <c r="CZ428" s="43"/>
      <c r="DA428" s="43"/>
      <c r="DB428" s="43"/>
      <c r="DC428" s="43"/>
      <c r="DD428" s="43"/>
      <c r="DE428" s="43"/>
      <c r="DF428" s="43"/>
      <c r="DG428" s="43"/>
      <c r="DH428" s="43"/>
      <c r="DI428" s="43"/>
      <c r="DJ428" s="43"/>
      <c r="DK428" s="43"/>
      <c r="DL428" s="43"/>
      <c r="DM428" s="43"/>
      <c r="DN428" s="43"/>
      <c r="DO428" s="43"/>
      <c r="DP428" s="43"/>
      <c r="DQ428" s="43"/>
      <c r="DR428" s="43"/>
      <c r="DS428" s="43"/>
      <c r="DT428" s="43"/>
      <c r="DU428" s="43"/>
      <c r="DV428" s="43"/>
      <c r="DW428" s="43"/>
      <c r="DX428" s="43"/>
      <c r="DY428" s="43"/>
      <c r="DZ428" s="43"/>
      <c r="EA428" s="43"/>
      <c r="EB428" s="43"/>
      <c r="EC428" s="43"/>
      <c r="ED428" s="43"/>
      <c r="EE428" s="43"/>
      <c r="EF428" s="43"/>
      <c r="EG428" s="43"/>
      <c r="EH428" s="43"/>
      <c r="EI428" s="43"/>
      <c r="EJ428" s="43"/>
      <c r="EK428" s="43"/>
      <c r="EL428" s="43"/>
      <c r="EM428" s="43"/>
      <c r="EN428" s="43"/>
      <c r="EO428" s="43"/>
      <c r="EP428" s="43"/>
      <c r="EQ428" s="43"/>
      <c r="ER428" s="43"/>
      <c r="ES428" s="43"/>
      <c r="ET428" s="50"/>
      <c r="EU428" s="50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  <c r="CI429" s="43"/>
      <c r="CJ429" s="43"/>
      <c r="CK429" s="43"/>
      <c r="CL429" s="43"/>
      <c r="CM429" s="43"/>
      <c r="CN429" s="43"/>
      <c r="CO429" s="43"/>
      <c r="CP429" s="43"/>
      <c r="CQ429" s="43"/>
      <c r="CR429" s="43"/>
      <c r="CS429" s="43"/>
      <c r="CT429" s="43"/>
      <c r="CU429" s="43"/>
      <c r="CV429" s="43"/>
      <c r="CW429" s="43"/>
      <c r="CX429" s="43"/>
      <c r="CY429" s="43"/>
      <c r="CZ429" s="43"/>
      <c r="DA429" s="43"/>
      <c r="DB429" s="43"/>
      <c r="DC429" s="43"/>
      <c r="DD429" s="43"/>
      <c r="DE429" s="43"/>
      <c r="DF429" s="43"/>
      <c r="DG429" s="43"/>
      <c r="DH429" s="43"/>
      <c r="DI429" s="43"/>
      <c r="DJ429" s="43"/>
      <c r="DK429" s="43"/>
      <c r="DL429" s="43"/>
      <c r="DM429" s="43"/>
      <c r="DN429" s="43"/>
      <c r="DO429" s="43"/>
      <c r="DP429" s="43"/>
      <c r="DQ429" s="43"/>
      <c r="DR429" s="43"/>
      <c r="DS429" s="43"/>
      <c r="DT429" s="43"/>
      <c r="DU429" s="43"/>
      <c r="DV429" s="43"/>
      <c r="DW429" s="43"/>
      <c r="DX429" s="43"/>
      <c r="DY429" s="43"/>
      <c r="DZ429" s="43"/>
      <c r="EA429" s="43"/>
      <c r="EB429" s="43"/>
      <c r="EC429" s="43"/>
      <c r="ED429" s="43"/>
      <c r="EE429" s="43"/>
      <c r="EF429" s="43"/>
      <c r="EG429" s="43"/>
      <c r="EH429" s="43"/>
      <c r="EI429" s="43"/>
      <c r="EJ429" s="43"/>
      <c r="EK429" s="43"/>
      <c r="EL429" s="43"/>
      <c r="EM429" s="43"/>
      <c r="EN429" s="43"/>
      <c r="EO429" s="43"/>
      <c r="EP429" s="43"/>
      <c r="EQ429" s="43"/>
      <c r="ER429" s="43"/>
      <c r="ES429" s="43"/>
      <c r="ET429" s="50"/>
      <c r="EU429" s="50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  <c r="CI430" s="43"/>
      <c r="CJ430" s="43"/>
      <c r="CK430" s="43"/>
      <c r="CL430" s="43"/>
      <c r="CM430" s="43"/>
      <c r="CN430" s="43"/>
      <c r="CO430" s="43"/>
      <c r="CP430" s="43"/>
      <c r="CQ430" s="43"/>
      <c r="CR430" s="43"/>
      <c r="CS430" s="43"/>
      <c r="CT430" s="43"/>
      <c r="CU430" s="43"/>
      <c r="CV430" s="43"/>
      <c r="CW430" s="43"/>
      <c r="CX430" s="43"/>
      <c r="CY430" s="43"/>
      <c r="CZ430" s="43"/>
      <c r="DA430" s="43"/>
      <c r="DB430" s="43"/>
      <c r="DC430" s="43"/>
      <c r="DD430" s="43"/>
      <c r="DE430" s="43"/>
      <c r="DF430" s="43"/>
      <c r="DG430" s="43"/>
      <c r="DH430" s="43"/>
      <c r="DI430" s="43"/>
      <c r="DJ430" s="43"/>
      <c r="DK430" s="43"/>
      <c r="DL430" s="43"/>
      <c r="DM430" s="43"/>
      <c r="DN430" s="43"/>
      <c r="DO430" s="43"/>
      <c r="DP430" s="43"/>
      <c r="DQ430" s="43"/>
      <c r="DR430" s="43"/>
      <c r="DS430" s="43"/>
      <c r="DT430" s="43"/>
      <c r="DU430" s="43"/>
      <c r="DV430" s="43"/>
      <c r="DW430" s="43"/>
      <c r="DX430" s="43"/>
      <c r="DY430" s="43"/>
      <c r="DZ430" s="43"/>
      <c r="EA430" s="43"/>
      <c r="EB430" s="43"/>
      <c r="EC430" s="43"/>
      <c r="ED430" s="43"/>
      <c r="EE430" s="43"/>
      <c r="EF430" s="43"/>
      <c r="EG430" s="43"/>
      <c r="EH430" s="43"/>
      <c r="EI430" s="43"/>
      <c r="EJ430" s="43"/>
      <c r="EK430" s="43"/>
      <c r="EL430" s="43"/>
      <c r="EM430" s="43"/>
      <c r="EN430" s="43"/>
      <c r="EO430" s="43"/>
      <c r="EP430" s="43"/>
      <c r="EQ430" s="43"/>
      <c r="ER430" s="43"/>
      <c r="ES430" s="43"/>
      <c r="ET430" s="50"/>
      <c r="EU430" s="50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  <c r="CV431" s="43"/>
      <c r="CW431" s="43"/>
      <c r="CX431" s="43"/>
      <c r="CY431" s="43"/>
      <c r="CZ431" s="43"/>
      <c r="DA431" s="43"/>
      <c r="DB431" s="43"/>
      <c r="DC431" s="43"/>
      <c r="DD431" s="43"/>
      <c r="DE431" s="43"/>
      <c r="DF431" s="43"/>
      <c r="DG431" s="43"/>
      <c r="DH431" s="43"/>
      <c r="DI431" s="43"/>
      <c r="DJ431" s="43"/>
      <c r="DK431" s="43"/>
      <c r="DL431" s="43"/>
      <c r="DM431" s="43"/>
      <c r="DN431" s="43"/>
      <c r="DO431" s="43"/>
      <c r="DP431" s="43"/>
      <c r="DQ431" s="43"/>
      <c r="DR431" s="43"/>
      <c r="DS431" s="43"/>
      <c r="DT431" s="43"/>
      <c r="DU431" s="43"/>
      <c r="DV431" s="43"/>
      <c r="DW431" s="43"/>
      <c r="DX431" s="43"/>
      <c r="DY431" s="43"/>
      <c r="DZ431" s="43"/>
      <c r="EA431" s="43"/>
      <c r="EB431" s="43"/>
      <c r="EC431" s="43"/>
      <c r="ED431" s="43"/>
      <c r="EE431" s="43"/>
      <c r="EF431" s="43"/>
      <c r="EG431" s="43"/>
      <c r="EH431" s="43"/>
      <c r="EI431" s="43"/>
      <c r="EJ431" s="43"/>
      <c r="EK431" s="43"/>
      <c r="EL431" s="43"/>
      <c r="EM431" s="43"/>
      <c r="EN431" s="43"/>
      <c r="EO431" s="43"/>
      <c r="EP431" s="43"/>
      <c r="EQ431" s="43"/>
      <c r="ER431" s="43"/>
      <c r="ES431" s="43"/>
      <c r="ET431" s="50"/>
      <c r="EU431" s="50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  <c r="CS432" s="43"/>
      <c r="CT432" s="43"/>
      <c r="CU432" s="43"/>
      <c r="CV432" s="43"/>
      <c r="CW432" s="43"/>
      <c r="CX432" s="43"/>
      <c r="CY432" s="43"/>
      <c r="CZ432" s="43"/>
      <c r="DA432" s="43"/>
      <c r="DB432" s="43"/>
      <c r="DC432" s="43"/>
      <c r="DD432" s="43"/>
      <c r="DE432" s="43"/>
      <c r="DF432" s="43"/>
      <c r="DG432" s="43"/>
      <c r="DH432" s="43"/>
      <c r="DI432" s="43"/>
      <c r="DJ432" s="43"/>
      <c r="DK432" s="43"/>
      <c r="DL432" s="43"/>
      <c r="DM432" s="43"/>
      <c r="DN432" s="43"/>
      <c r="DO432" s="43"/>
      <c r="DP432" s="43"/>
      <c r="DQ432" s="43"/>
      <c r="DR432" s="43"/>
      <c r="DS432" s="43"/>
      <c r="DT432" s="43"/>
      <c r="DU432" s="43"/>
      <c r="DV432" s="43"/>
      <c r="DW432" s="43"/>
      <c r="DX432" s="43"/>
      <c r="DY432" s="43"/>
      <c r="DZ432" s="43"/>
      <c r="EA432" s="43"/>
      <c r="EB432" s="43"/>
      <c r="EC432" s="43"/>
      <c r="ED432" s="43"/>
      <c r="EE432" s="43"/>
      <c r="EF432" s="43"/>
      <c r="EG432" s="43"/>
      <c r="EH432" s="43"/>
      <c r="EI432" s="43"/>
      <c r="EJ432" s="43"/>
      <c r="EK432" s="43"/>
      <c r="EL432" s="43"/>
      <c r="EM432" s="43"/>
      <c r="EN432" s="43"/>
      <c r="EO432" s="43"/>
      <c r="EP432" s="43"/>
      <c r="EQ432" s="43"/>
      <c r="ER432" s="43"/>
      <c r="ES432" s="43"/>
      <c r="ET432" s="50"/>
      <c r="EU432" s="50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  <c r="CS433" s="43"/>
      <c r="CT433" s="43"/>
      <c r="CU433" s="43"/>
      <c r="CV433" s="43"/>
      <c r="CW433" s="43"/>
      <c r="CX433" s="43"/>
      <c r="CY433" s="43"/>
      <c r="CZ433" s="43"/>
      <c r="DA433" s="43"/>
      <c r="DB433" s="43"/>
      <c r="DC433" s="43"/>
      <c r="DD433" s="43"/>
      <c r="DE433" s="43"/>
      <c r="DF433" s="43"/>
      <c r="DG433" s="43"/>
      <c r="DH433" s="43"/>
      <c r="DI433" s="43"/>
      <c r="DJ433" s="43"/>
      <c r="DK433" s="43"/>
      <c r="DL433" s="43"/>
      <c r="DM433" s="43"/>
      <c r="DN433" s="43"/>
      <c r="DO433" s="43"/>
      <c r="DP433" s="43"/>
      <c r="DQ433" s="43"/>
      <c r="DR433" s="43"/>
      <c r="DS433" s="43"/>
      <c r="DT433" s="43"/>
      <c r="DU433" s="43"/>
      <c r="DV433" s="43"/>
      <c r="DW433" s="43"/>
      <c r="DX433" s="43"/>
      <c r="DY433" s="43"/>
      <c r="DZ433" s="43"/>
      <c r="EA433" s="43"/>
      <c r="EB433" s="43"/>
      <c r="EC433" s="43"/>
      <c r="ED433" s="43"/>
      <c r="EE433" s="43"/>
      <c r="EF433" s="43"/>
      <c r="EG433" s="43"/>
      <c r="EH433" s="43"/>
      <c r="EI433" s="43"/>
      <c r="EJ433" s="43"/>
      <c r="EK433" s="43"/>
      <c r="EL433" s="43"/>
      <c r="EM433" s="43"/>
      <c r="EN433" s="43"/>
      <c r="EO433" s="43"/>
      <c r="EP433" s="43"/>
      <c r="EQ433" s="43"/>
      <c r="ER433" s="43"/>
      <c r="ES433" s="43"/>
      <c r="ET433" s="50"/>
      <c r="EU433" s="50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  <c r="CV434" s="43"/>
      <c r="CW434" s="43"/>
      <c r="CX434" s="43"/>
      <c r="CY434" s="43"/>
      <c r="CZ434" s="43"/>
      <c r="DA434" s="43"/>
      <c r="DB434" s="43"/>
      <c r="DC434" s="43"/>
      <c r="DD434" s="43"/>
      <c r="DE434" s="43"/>
      <c r="DF434" s="43"/>
      <c r="DG434" s="43"/>
      <c r="DH434" s="43"/>
      <c r="DI434" s="43"/>
      <c r="DJ434" s="43"/>
      <c r="DK434" s="43"/>
      <c r="DL434" s="43"/>
      <c r="DM434" s="43"/>
      <c r="DN434" s="43"/>
      <c r="DO434" s="43"/>
      <c r="DP434" s="43"/>
      <c r="DQ434" s="43"/>
      <c r="DR434" s="43"/>
      <c r="DS434" s="43"/>
      <c r="DT434" s="43"/>
      <c r="DU434" s="43"/>
      <c r="DV434" s="43"/>
      <c r="DW434" s="43"/>
      <c r="DX434" s="43"/>
      <c r="DY434" s="43"/>
      <c r="DZ434" s="43"/>
      <c r="EA434" s="43"/>
      <c r="EB434" s="43"/>
      <c r="EC434" s="43"/>
      <c r="ED434" s="43"/>
      <c r="EE434" s="43"/>
      <c r="EF434" s="43"/>
      <c r="EG434" s="43"/>
      <c r="EH434" s="43"/>
      <c r="EI434" s="43"/>
      <c r="EJ434" s="43"/>
      <c r="EK434" s="43"/>
      <c r="EL434" s="43"/>
      <c r="EM434" s="43"/>
      <c r="EN434" s="43"/>
      <c r="EO434" s="43"/>
      <c r="EP434" s="43"/>
      <c r="EQ434" s="43"/>
      <c r="ER434" s="43"/>
      <c r="ES434" s="43"/>
      <c r="ET434" s="50"/>
      <c r="EU434" s="50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  <c r="CS435" s="43"/>
      <c r="CT435" s="43"/>
      <c r="CU435" s="43"/>
      <c r="CV435" s="43"/>
      <c r="CW435" s="43"/>
      <c r="CX435" s="43"/>
      <c r="CY435" s="43"/>
      <c r="CZ435" s="43"/>
      <c r="DA435" s="43"/>
      <c r="DB435" s="43"/>
      <c r="DC435" s="43"/>
      <c r="DD435" s="43"/>
      <c r="DE435" s="43"/>
      <c r="DF435" s="43"/>
      <c r="DG435" s="43"/>
      <c r="DH435" s="43"/>
      <c r="DI435" s="43"/>
      <c r="DJ435" s="43"/>
      <c r="DK435" s="43"/>
      <c r="DL435" s="43"/>
      <c r="DM435" s="43"/>
      <c r="DN435" s="43"/>
      <c r="DO435" s="43"/>
      <c r="DP435" s="43"/>
      <c r="DQ435" s="43"/>
      <c r="DR435" s="43"/>
      <c r="DS435" s="43"/>
      <c r="DT435" s="43"/>
      <c r="DU435" s="43"/>
      <c r="DV435" s="43"/>
      <c r="DW435" s="43"/>
      <c r="DX435" s="43"/>
      <c r="DY435" s="43"/>
      <c r="DZ435" s="43"/>
      <c r="EA435" s="43"/>
      <c r="EB435" s="43"/>
      <c r="EC435" s="43"/>
      <c r="ED435" s="43"/>
      <c r="EE435" s="43"/>
      <c r="EF435" s="43"/>
      <c r="EG435" s="43"/>
      <c r="EH435" s="43"/>
      <c r="EI435" s="43"/>
      <c r="EJ435" s="43"/>
      <c r="EK435" s="43"/>
      <c r="EL435" s="43"/>
      <c r="EM435" s="43"/>
      <c r="EN435" s="43"/>
      <c r="EO435" s="43"/>
      <c r="EP435" s="43"/>
      <c r="EQ435" s="43"/>
      <c r="ER435" s="43"/>
      <c r="ES435" s="43"/>
      <c r="ET435" s="50"/>
      <c r="EU435" s="50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43"/>
      <c r="CW436" s="43"/>
      <c r="CX436" s="43"/>
      <c r="CY436" s="43"/>
      <c r="CZ436" s="43"/>
      <c r="DA436" s="43"/>
      <c r="DB436" s="43"/>
      <c r="DC436" s="43"/>
      <c r="DD436" s="43"/>
      <c r="DE436" s="43"/>
      <c r="DF436" s="43"/>
      <c r="DG436" s="43"/>
      <c r="DH436" s="43"/>
      <c r="DI436" s="43"/>
      <c r="DJ436" s="43"/>
      <c r="DK436" s="43"/>
      <c r="DL436" s="43"/>
      <c r="DM436" s="43"/>
      <c r="DN436" s="43"/>
      <c r="DO436" s="43"/>
      <c r="DP436" s="43"/>
      <c r="DQ436" s="43"/>
      <c r="DR436" s="43"/>
      <c r="DS436" s="43"/>
      <c r="DT436" s="43"/>
      <c r="DU436" s="43"/>
      <c r="DV436" s="43"/>
      <c r="DW436" s="43"/>
      <c r="DX436" s="43"/>
      <c r="DY436" s="43"/>
      <c r="DZ436" s="43"/>
      <c r="EA436" s="43"/>
      <c r="EB436" s="43"/>
      <c r="EC436" s="43"/>
      <c r="ED436" s="43"/>
      <c r="EE436" s="43"/>
      <c r="EF436" s="43"/>
      <c r="EG436" s="43"/>
      <c r="EH436" s="43"/>
      <c r="EI436" s="43"/>
      <c r="EJ436" s="43"/>
      <c r="EK436" s="43"/>
      <c r="EL436" s="43"/>
      <c r="EM436" s="43"/>
      <c r="EN436" s="43"/>
      <c r="EO436" s="43"/>
      <c r="EP436" s="43"/>
      <c r="EQ436" s="43"/>
      <c r="ER436" s="43"/>
      <c r="ES436" s="43"/>
      <c r="ET436" s="50"/>
      <c r="EU436" s="50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  <c r="CV437" s="43"/>
      <c r="CW437" s="43"/>
      <c r="CX437" s="43"/>
      <c r="CY437" s="43"/>
      <c r="CZ437" s="43"/>
      <c r="DA437" s="43"/>
      <c r="DB437" s="43"/>
      <c r="DC437" s="43"/>
      <c r="DD437" s="43"/>
      <c r="DE437" s="43"/>
      <c r="DF437" s="43"/>
      <c r="DG437" s="43"/>
      <c r="DH437" s="43"/>
      <c r="DI437" s="43"/>
      <c r="DJ437" s="43"/>
      <c r="DK437" s="43"/>
      <c r="DL437" s="43"/>
      <c r="DM437" s="43"/>
      <c r="DN437" s="43"/>
      <c r="DO437" s="43"/>
      <c r="DP437" s="43"/>
      <c r="DQ437" s="43"/>
      <c r="DR437" s="43"/>
      <c r="DS437" s="43"/>
      <c r="DT437" s="43"/>
      <c r="DU437" s="43"/>
      <c r="DV437" s="43"/>
      <c r="DW437" s="43"/>
      <c r="DX437" s="43"/>
      <c r="DY437" s="43"/>
      <c r="DZ437" s="43"/>
      <c r="EA437" s="43"/>
      <c r="EB437" s="43"/>
      <c r="EC437" s="43"/>
      <c r="ED437" s="43"/>
      <c r="EE437" s="43"/>
      <c r="EF437" s="43"/>
      <c r="EG437" s="43"/>
      <c r="EH437" s="43"/>
      <c r="EI437" s="43"/>
      <c r="EJ437" s="43"/>
      <c r="EK437" s="43"/>
      <c r="EL437" s="43"/>
      <c r="EM437" s="43"/>
      <c r="EN437" s="43"/>
      <c r="EO437" s="43"/>
      <c r="EP437" s="43"/>
      <c r="EQ437" s="43"/>
      <c r="ER437" s="43"/>
      <c r="ES437" s="43"/>
      <c r="ET437" s="50"/>
      <c r="EU437" s="50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/>
      <c r="CI438" s="43"/>
      <c r="CJ438" s="43"/>
      <c r="CK438" s="43"/>
      <c r="CL438" s="43"/>
      <c r="CM438" s="43"/>
      <c r="CN438" s="43"/>
      <c r="CO438" s="43"/>
      <c r="CP438" s="43"/>
      <c r="CQ438" s="43"/>
      <c r="CR438" s="43"/>
      <c r="CS438" s="43"/>
      <c r="CT438" s="43"/>
      <c r="CU438" s="43"/>
      <c r="CV438" s="43"/>
      <c r="CW438" s="43"/>
      <c r="CX438" s="43"/>
      <c r="CY438" s="43"/>
      <c r="CZ438" s="43"/>
      <c r="DA438" s="43"/>
      <c r="DB438" s="43"/>
      <c r="DC438" s="43"/>
      <c r="DD438" s="43"/>
      <c r="DE438" s="43"/>
      <c r="DF438" s="43"/>
      <c r="DG438" s="43"/>
      <c r="DH438" s="43"/>
      <c r="DI438" s="43"/>
      <c r="DJ438" s="43"/>
      <c r="DK438" s="43"/>
      <c r="DL438" s="43"/>
      <c r="DM438" s="43"/>
      <c r="DN438" s="43"/>
      <c r="DO438" s="43"/>
      <c r="DP438" s="43"/>
      <c r="DQ438" s="43"/>
      <c r="DR438" s="43"/>
      <c r="DS438" s="43"/>
      <c r="DT438" s="43"/>
      <c r="DU438" s="43"/>
      <c r="DV438" s="43"/>
      <c r="DW438" s="43"/>
      <c r="DX438" s="43"/>
      <c r="DY438" s="43"/>
      <c r="DZ438" s="43"/>
      <c r="EA438" s="43"/>
      <c r="EB438" s="43"/>
      <c r="EC438" s="43"/>
      <c r="ED438" s="43"/>
      <c r="EE438" s="43"/>
      <c r="EF438" s="43"/>
      <c r="EG438" s="43"/>
      <c r="EH438" s="43"/>
      <c r="EI438" s="43"/>
      <c r="EJ438" s="43"/>
      <c r="EK438" s="43"/>
      <c r="EL438" s="43"/>
      <c r="EM438" s="43"/>
      <c r="EN438" s="43"/>
      <c r="EO438" s="43"/>
      <c r="EP438" s="43"/>
      <c r="EQ438" s="43"/>
      <c r="ER438" s="43"/>
      <c r="ES438" s="43"/>
      <c r="ET438" s="50"/>
      <c r="EU438" s="50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/>
      <c r="CM439" s="43"/>
      <c r="CN439" s="43"/>
      <c r="CO439" s="43"/>
      <c r="CP439" s="43"/>
      <c r="CQ439" s="43"/>
      <c r="CR439" s="43"/>
      <c r="CS439" s="43"/>
      <c r="CT439" s="43"/>
      <c r="CU439" s="43"/>
      <c r="CV439" s="43"/>
      <c r="CW439" s="43"/>
      <c r="CX439" s="43"/>
      <c r="CY439" s="43"/>
      <c r="CZ439" s="43"/>
      <c r="DA439" s="43"/>
      <c r="DB439" s="43"/>
      <c r="DC439" s="43"/>
      <c r="DD439" s="43"/>
      <c r="DE439" s="43"/>
      <c r="DF439" s="43"/>
      <c r="DG439" s="43"/>
      <c r="DH439" s="43"/>
      <c r="DI439" s="43"/>
      <c r="DJ439" s="43"/>
      <c r="DK439" s="43"/>
      <c r="DL439" s="43"/>
      <c r="DM439" s="43"/>
      <c r="DN439" s="43"/>
      <c r="DO439" s="43"/>
      <c r="DP439" s="43"/>
      <c r="DQ439" s="43"/>
      <c r="DR439" s="43"/>
      <c r="DS439" s="43"/>
      <c r="DT439" s="43"/>
      <c r="DU439" s="43"/>
      <c r="DV439" s="43"/>
      <c r="DW439" s="43"/>
      <c r="DX439" s="43"/>
      <c r="DY439" s="43"/>
      <c r="DZ439" s="43"/>
      <c r="EA439" s="43"/>
      <c r="EB439" s="43"/>
      <c r="EC439" s="43"/>
      <c r="ED439" s="43"/>
      <c r="EE439" s="43"/>
      <c r="EF439" s="43"/>
      <c r="EG439" s="43"/>
      <c r="EH439" s="43"/>
      <c r="EI439" s="43"/>
      <c r="EJ439" s="43"/>
      <c r="EK439" s="43"/>
      <c r="EL439" s="43"/>
      <c r="EM439" s="43"/>
      <c r="EN439" s="43"/>
      <c r="EO439" s="43"/>
      <c r="EP439" s="43"/>
      <c r="EQ439" s="43"/>
      <c r="ER439" s="43"/>
      <c r="ES439" s="43"/>
      <c r="ET439" s="50"/>
      <c r="EU439" s="50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  <c r="CS440" s="43"/>
      <c r="CT440" s="43"/>
      <c r="CU440" s="43"/>
      <c r="CV440" s="43"/>
      <c r="CW440" s="43"/>
      <c r="CX440" s="43"/>
      <c r="CY440" s="43"/>
      <c r="CZ440" s="43"/>
      <c r="DA440" s="43"/>
      <c r="DB440" s="43"/>
      <c r="DC440" s="43"/>
      <c r="DD440" s="43"/>
      <c r="DE440" s="43"/>
      <c r="DF440" s="43"/>
      <c r="DG440" s="43"/>
      <c r="DH440" s="43"/>
      <c r="DI440" s="43"/>
      <c r="DJ440" s="43"/>
      <c r="DK440" s="43"/>
      <c r="DL440" s="43"/>
      <c r="DM440" s="43"/>
      <c r="DN440" s="43"/>
      <c r="DO440" s="43"/>
      <c r="DP440" s="43"/>
      <c r="DQ440" s="43"/>
      <c r="DR440" s="43"/>
      <c r="DS440" s="43"/>
      <c r="DT440" s="43"/>
      <c r="DU440" s="43"/>
      <c r="DV440" s="43"/>
      <c r="DW440" s="43"/>
      <c r="DX440" s="43"/>
      <c r="DY440" s="43"/>
      <c r="DZ440" s="43"/>
      <c r="EA440" s="43"/>
      <c r="EB440" s="43"/>
      <c r="EC440" s="43"/>
      <c r="ED440" s="43"/>
      <c r="EE440" s="43"/>
      <c r="EF440" s="43"/>
      <c r="EG440" s="43"/>
      <c r="EH440" s="43"/>
      <c r="EI440" s="43"/>
      <c r="EJ440" s="43"/>
      <c r="EK440" s="43"/>
      <c r="EL440" s="43"/>
      <c r="EM440" s="43"/>
      <c r="EN440" s="43"/>
      <c r="EO440" s="43"/>
      <c r="EP440" s="43"/>
      <c r="EQ440" s="43"/>
      <c r="ER440" s="43"/>
      <c r="ES440" s="43"/>
      <c r="ET440" s="50"/>
      <c r="EU440" s="50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/>
      <c r="CM441" s="43"/>
      <c r="CN441" s="43"/>
      <c r="CO441" s="43"/>
      <c r="CP441" s="43"/>
      <c r="CQ441" s="43"/>
      <c r="CR441" s="43"/>
      <c r="CS441" s="43"/>
      <c r="CT441" s="43"/>
      <c r="CU441" s="43"/>
      <c r="CV441" s="43"/>
      <c r="CW441" s="43"/>
      <c r="CX441" s="43"/>
      <c r="CY441" s="43"/>
      <c r="CZ441" s="43"/>
      <c r="DA441" s="43"/>
      <c r="DB441" s="43"/>
      <c r="DC441" s="43"/>
      <c r="DD441" s="43"/>
      <c r="DE441" s="43"/>
      <c r="DF441" s="43"/>
      <c r="DG441" s="43"/>
      <c r="DH441" s="43"/>
      <c r="DI441" s="43"/>
      <c r="DJ441" s="43"/>
      <c r="DK441" s="43"/>
      <c r="DL441" s="43"/>
      <c r="DM441" s="43"/>
      <c r="DN441" s="43"/>
      <c r="DO441" s="43"/>
      <c r="DP441" s="43"/>
      <c r="DQ441" s="43"/>
      <c r="DR441" s="43"/>
      <c r="DS441" s="43"/>
      <c r="DT441" s="43"/>
      <c r="DU441" s="43"/>
      <c r="DV441" s="43"/>
      <c r="DW441" s="43"/>
      <c r="DX441" s="43"/>
      <c r="DY441" s="43"/>
      <c r="DZ441" s="43"/>
      <c r="EA441" s="43"/>
      <c r="EB441" s="43"/>
      <c r="EC441" s="43"/>
      <c r="ED441" s="43"/>
      <c r="EE441" s="43"/>
      <c r="EF441" s="43"/>
      <c r="EG441" s="43"/>
      <c r="EH441" s="43"/>
      <c r="EI441" s="43"/>
      <c r="EJ441" s="43"/>
      <c r="EK441" s="43"/>
      <c r="EL441" s="43"/>
      <c r="EM441" s="43"/>
      <c r="EN441" s="43"/>
      <c r="EO441" s="43"/>
      <c r="EP441" s="43"/>
      <c r="EQ441" s="43"/>
      <c r="ER441" s="43"/>
      <c r="ES441" s="43"/>
      <c r="ET441" s="50"/>
      <c r="EU441" s="50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/>
      <c r="CM442" s="43"/>
      <c r="CN442" s="43"/>
      <c r="CO442" s="43"/>
      <c r="CP442" s="43"/>
      <c r="CQ442" s="43"/>
      <c r="CR442" s="43"/>
      <c r="CS442" s="43"/>
      <c r="CT442" s="43"/>
      <c r="CU442" s="43"/>
      <c r="CV442" s="43"/>
      <c r="CW442" s="43"/>
      <c r="CX442" s="43"/>
      <c r="CY442" s="43"/>
      <c r="CZ442" s="43"/>
      <c r="DA442" s="43"/>
      <c r="DB442" s="43"/>
      <c r="DC442" s="43"/>
      <c r="DD442" s="43"/>
      <c r="DE442" s="43"/>
      <c r="DF442" s="43"/>
      <c r="DG442" s="43"/>
      <c r="DH442" s="43"/>
      <c r="DI442" s="43"/>
      <c r="DJ442" s="43"/>
      <c r="DK442" s="43"/>
      <c r="DL442" s="43"/>
      <c r="DM442" s="43"/>
      <c r="DN442" s="43"/>
      <c r="DO442" s="43"/>
      <c r="DP442" s="43"/>
      <c r="DQ442" s="43"/>
      <c r="DR442" s="43"/>
      <c r="DS442" s="43"/>
      <c r="DT442" s="43"/>
      <c r="DU442" s="43"/>
      <c r="DV442" s="43"/>
      <c r="DW442" s="43"/>
      <c r="DX442" s="43"/>
      <c r="DY442" s="43"/>
      <c r="DZ442" s="43"/>
      <c r="EA442" s="43"/>
      <c r="EB442" s="43"/>
      <c r="EC442" s="43"/>
      <c r="ED442" s="43"/>
      <c r="EE442" s="43"/>
      <c r="EF442" s="43"/>
      <c r="EG442" s="43"/>
      <c r="EH442" s="43"/>
      <c r="EI442" s="43"/>
      <c r="EJ442" s="43"/>
      <c r="EK442" s="43"/>
      <c r="EL442" s="43"/>
      <c r="EM442" s="43"/>
      <c r="EN442" s="43"/>
      <c r="EO442" s="43"/>
      <c r="EP442" s="43"/>
      <c r="EQ442" s="43"/>
      <c r="ER442" s="43"/>
      <c r="ES442" s="43"/>
      <c r="ET442" s="50"/>
      <c r="EU442" s="50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  <c r="CS443" s="43"/>
      <c r="CT443" s="43"/>
      <c r="CU443" s="43"/>
      <c r="CV443" s="43"/>
      <c r="CW443" s="43"/>
      <c r="CX443" s="43"/>
      <c r="CY443" s="43"/>
      <c r="CZ443" s="43"/>
      <c r="DA443" s="43"/>
      <c r="DB443" s="43"/>
      <c r="DC443" s="43"/>
      <c r="DD443" s="43"/>
      <c r="DE443" s="43"/>
      <c r="DF443" s="43"/>
      <c r="DG443" s="43"/>
      <c r="DH443" s="43"/>
      <c r="DI443" s="43"/>
      <c r="DJ443" s="43"/>
      <c r="DK443" s="43"/>
      <c r="DL443" s="43"/>
      <c r="DM443" s="43"/>
      <c r="DN443" s="43"/>
      <c r="DO443" s="43"/>
      <c r="DP443" s="43"/>
      <c r="DQ443" s="43"/>
      <c r="DR443" s="43"/>
      <c r="DS443" s="43"/>
      <c r="DT443" s="43"/>
      <c r="DU443" s="43"/>
      <c r="DV443" s="43"/>
      <c r="DW443" s="43"/>
      <c r="DX443" s="43"/>
      <c r="DY443" s="43"/>
      <c r="DZ443" s="43"/>
      <c r="EA443" s="43"/>
      <c r="EB443" s="43"/>
      <c r="EC443" s="43"/>
      <c r="ED443" s="43"/>
      <c r="EE443" s="43"/>
      <c r="EF443" s="43"/>
      <c r="EG443" s="43"/>
      <c r="EH443" s="43"/>
      <c r="EI443" s="43"/>
      <c r="EJ443" s="43"/>
      <c r="EK443" s="43"/>
      <c r="EL443" s="43"/>
      <c r="EM443" s="43"/>
      <c r="EN443" s="43"/>
      <c r="EO443" s="43"/>
      <c r="EP443" s="43"/>
      <c r="EQ443" s="43"/>
      <c r="ER443" s="43"/>
      <c r="ES443" s="43"/>
      <c r="ET443" s="50"/>
      <c r="EU443" s="50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/>
      <c r="CM444" s="43"/>
      <c r="CN444" s="43"/>
      <c r="CO444" s="43"/>
      <c r="CP444" s="43"/>
      <c r="CQ444" s="43"/>
      <c r="CR444" s="43"/>
      <c r="CS444" s="43"/>
      <c r="CT444" s="43"/>
      <c r="CU444" s="43"/>
      <c r="CV444" s="43"/>
      <c r="CW444" s="43"/>
      <c r="CX444" s="43"/>
      <c r="CY444" s="43"/>
      <c r="CZ444" s="43"/>
      <c r="DA444" s="43"/>
      <c r="DB444" s="43"/>
      <c r="DC444" s="43"/>
      <c r="DD444" s="43"/>
      <c r="DE444" s="43"/>
      <c r="DF444" s="43"/>
      <c r="DG444" s="43"/>
      <c r="DH444" s="43"/>
      <c r="DI444" s="43"/>
      <c r="DJ444" s="43"/>
      <c r="DK444" s="43"/>
      <c r="DL444" s="43"/>
      <c r="DM444" s="43"/>
      <c r="DN444" s="43"/>
      <c r="DO444" s="43"/>
      <c r="DP444" s="43"/>
      <c r="DQ444" s="43"/>
      <c r="DR444" s="43"/>
      <c r="DS444" s="43"/>
      <c r="DT444" s="43"/>
      <c r="DU444" s="43"/>
      <c r="DV444" s="43"/>
      <c r="DW444" s="43"/>
      <c r="DX444" s="43"/>
      <c r="DY444" s="43"/>
      <c r="DZ444" s="43"/>
      <c r="EA444" s="43"/>
      <c r="EB444" s="43"/>
      <c r="EC444" s="43"/>
      <c r="ED444" s="43"/>
      <c r="EE444" s="43"/>
      <c r="EF444" s="43"/>
      <c r="EG444" s="43"/>
      <c r="EH444" s="43"/>
      <c r="EI444" s="43"/>
      <c r="EJ444" s="43"/>
      <c r="EK444" s="43"/>
      <c r="EL444" s="43"/>
      <c r="EM444" s="43"/>
      <c r="EN444" s="43"/>
      <c r="EO444" s="43"/>
      <c r="EP444" s="43"/>
      <c r="EQ444" s="43"/>
      <c r="ER444" s="43"/>
      <c r="ES444" s="43"/>
      <c r="ET444" s="50"/>
      <c r="EU444" s="50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/>
      <c r="CM445" s="43"/>
      <c r="CN445" s="43"/>
      <c r="CO445" s="43"/>
      <c r="CP445" s="43"/>
      <c r="CQ445" s="43"/>
      <c r="CR445" s="43"/>
      <c r="CS445" s="43"/>
      <c r="CT445" s="43"/>
      <c r="CU445" s="43"/>
      <c r="CV445" s="43"/>
      <c r="CW445" s="43"/>
      <c r="CX445" s="43"/>
      <c r="CY445" s="43"/>
      <c r="CZ445" s="43"/>
      <c r="DA445" s="43"/>
      <c r="DB445" s="43"/>
      <c r="DC445" s="43"/>
      <c r="DD445" s="43"/>
      <c r="DE445" s="43"/>
      <c r="DF445" s="43"/>
      <c r="DG445" s="43"/>
      <c r="DH445" s="43"/>
      <c r="DI445" s="43"/>
      <c r="DJ445" s="43"/>
      <c r="DK445" s="43"/>
      <c r="DL445" s="43"/>
      <c r="DM445" s="43"/>
      <c r="DN445" s="43"/>
      <c r="DO445" s="43"/>
      <c r="DP445" s="43"/>
      <c r="DQ445" s="43"/>
      <c r="DR445" s="43"/>
      <c r="DS445" s="43"/>
      <c r="DT445" s="43"/>
      <c r="DU445" s="43"/>
      <c r="DV445" s="43"/>
      <c r="DW445" s="43"/>
      <c r="DX445" s="43"/>
      <c r="DY445" s="43"/>
      <c r="DZ445" s="43"/>
      <c r="EA445" s="43"/>
      <c r="EB445" s="43"/>
      <c r="EC445" s="43"/>
      <c r="ED445" s="43"/>
      <c r="EE445" s="43"/>
      <c r="EF445" s="43"/>
      <c r="EG445" s="43"/>
      <c r="EH445" s="43"/>
      <c r="EI445" s="43"/>
      <c r="EJ445" s="43"/>
      <c r="EK445" s="43"/>
      <c r="EL445" s="43"/>
      <c r="EM445" s="43"/>
      <c r="EN445" s="43"/>
      <c r="EO445" s="43"/>
      <c r="EP445" s="43"/>
      <c r="EQ445" s="43"/>
      <c r="ER445" s="43"/>
      <c r="ES445" s="43"/>
      <c r="ET445" s="50"/>
      <c r="EU445" s="50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/>
      <c r="CF446" s="43"/>
      <c r="CG446" s="43"/>
      <c r="CH446" s="43"/>
      <c r="CI446" s="43"/>
      <c r="CJ446" s="43"/>
      <c r="CK446" s="43"/>
      <c r="CL446" s="43"/>
      <c r="CM446" s="43"/>
      <c r="CN446" s="43"/>
      <c r="CO446" s="43"/>
      <c r="CP446" s="43"/>
      <c r="CQ446" s="43"/>
      <c r="CR446" s="43"/>
      <c r="CS446" s="43"/>
      <c r="CT446" s="43"/>
      <c r="CU446" s="43"/>
      <c r="CV446" s="43"/>
      <c r="CW446" s="43"/>
      <c r="CX446" s="43"/>
      <c r="CY446" s="43"/>
      <c r="CZ446" s="43"/>
      <c r="DA446" s="43"/>
      <c r="DB446" s="43"/>
      <c r="DC446" s="43"/>
      <c r="DD446" s="43"/>
      <c r="DE446" s="43"/>
      <c r="DF446" s="43"/>
      <c r="DG446" s="43"/>
      <c r="DH446" s="43"/>
      <c r="DI446" s="43"/>
      <c r="DJ446" s="43"/>
      <c r="DK446" s="43"/>
      <c r="DL446" s="43"/>
      <c r="DM446" s="43"/>
      <c r="DN446" s="43"/>
      <c r="DO446" s="43"/>
      <c r="DP446" s="43"/>
      <c r="DQ446" s="43"/>
      <c r="DR446" s="43"/>
      <c r="DS446" s="43"/>
      <c r="DT446" s="43"/>
      <c r="DU446" s="43"/>
      <c r="DV446" s="43"/>
      <c r="DW446" s="43"/>
      <c r="DX446" s="43"/>
      <c r="DY446" s="43"/>
      <c r="DZ446" s="43"/>
      <c r="EA446" s="43"/>
      <c r="EB446" s="43"/>
      <c r="EC446" s="43"/>
      <c r="ED446" s="43"/>
      <c r="EE446" s="43"/>
      <c r="EF446" s="43"/>
      <c r="EG446" s="43"/>
      <c r="EH446" s="43"/>
      <c r="EI446" s="43"/>
      <c r="EJ446" s="43"/>
      <c r="EK446" s="43"/>
      <c r="EL446" s="43"/>
      <c r="EM446" s="43"/>
      <c r="EN446" s="43"/>
      <c r="EO446" s="43"/>
      <c r="EP446" s="43"/>
      <c r="EQ446" s="43"/>
      <c r="ER446" s="43"/>
      <c r="ES446" s="43"/>
      <c r="ET446" s="50"/>
      <c r="EU446" s="50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43"/>
      <c r="CF447" s="43"/>
      <c r="CG447" s="43"/>
      <c r="CH447" s="43"/>
      <c r="CI447" s="43"/>
      <c r="CJ447" s="43"/>
      <c r="CK447" s="43"/>
      <c r="CL447" s="43"/>
      <c r="CM447" s="43"/>
      <c r="CN447" s="43"/>
      <c r="CO447" s="43"/>
      <c r="CP447" s="43"/>
      <c r="CQ447" s="43"/>
      <c r="CR447" s="43"/>
      <c r="CS447" s="43"/>
      <c r="CT447" s="43"/>
      <c r="CU447" s="43"/>
      <c r="CV447" s="43"/>
      <c r="CW447" s="43"/>
      <c r="CX447" s="43"/>
      <c r="CY447" s="43"/>
      <c r="CZ447" s="43"/>
      <c r="DA447" s="43"/>
      <c r="DB447" s="43"/>
      <c r="DC447" s="43"/>
      <c r="DD447" s="43"/>
      <c r="DE447" s="43"/>
      <c r="DF447" s="43"/>
      <c r="DG447" s="43"/>
      <c r="DH447" s="43"/>
      <c r="DI447" s="43"/>
      <c r="DJ447" s="43"/>
      <c r="DK447" s="43"/>
      <c r="DL447" s="43"/>
      <c r="DM447" s="43"/>
      <c r="DN447" s="43"/>
      <c r="DO447" s="43"/>
      <c r="DP447" s="43"/>
      <c r="DQ447" s="43"/>
      <c r="DR447" s="43"/>
      <c r="DS447" s="43"/>
      <c r="DT447" s="43"/>
      <c r="DU447" s="43"/>
      <c r="DV447" s="43"/>
      <c r="DW447" s="43"/>
      <c r="DX447" s="43"/>
      <c r="DY447" s="43"/>
      <c r="DZ447" s="43"/>
      <c r="EA447" s="43"/>
      <c r="EB447" s="43"/>
      <c r="EC447" s="43"/>
      <c r="ED447" s="43"/>
      <c r="EE447" s="43"/>
      <c r="EF447" s="43"/>
      <c r="EG447" s="43"/>
      <c r="EH447" s="43"/>
      <c r="EI447" s="43"/>
      <c r="EJ447" s="43"/>
      <c r="EK447" s="43"/>
      <c r="EL447" s="43"/>
      <c r="EM447" s="43"/>
      <c r="EN447" s="43"/>
      <c r="EO447" s="43"/>
      <c r="EP447" s="43"/>
      <c r="EQ447" s="43"/>
      <c r="ER447" s="43"/>
      <c r="ES447" s="43"/>
      <c r="ET447" s="50"/>
      <c r="EU447" s="50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43"/>
      <c r="CF448" s="43"/>
      <c r="CG448" s="43"/>
      <c r="CH448" s="43"/>
      <c r="CI448" s="43"/>
      <c r="CJ448" s="43"/>
      <c r="CK448" s="43"/>
      <c r="CL448" s="43"/>
      <c r="CM448" s="43"/>
      <c r="CN448" s="43"/>
      <c r="CO448" s="43"/>
      <c r="CP448" s="43"/>
      <c r="CQ448" s="43"/>
      <c r="CR448" s="43"/>
      <c r="CS448" s="43"/>
      <c r="CT448" s="43"/>
      <c r="CU448" s="43"/>
      <c r="CV448" s="43"/>
      <c r="CW448" s="43"/>
      <c r="CX448" s="43"/>
      <c r="CY448" s="43"/>
      <c r="CZ448" s="43"/>
      <c r="DA448" s="43"/>
      <c r="DB448" s="43"/>
      <c r="DC448" s="43"/>
      <c r="DD448" s="43"/>
      <c r="DE448" s="43"/>
      <c r="DF448" s="43"/>
      <c r="DG448" s="43"/>
      <c r="DH448" s="43"/>
      <c r="DI448" s="43"/>
      <c r="DJ448" s="43"/>
      <c r="DK448" s="43"/>
      <c r="DL448" s="43"/>
      <c r="DM448" s="43"/>
      <c r="DN448" s="43"/>
      <c r="DO448" s="43"/>
      <c r="DP448" s="43"/>
      <c r="DQ448" s="43"/>
      <c r="DR448" s="43"/>
      <c r="DS448" s="43"/>
      <c r="DT448" s="43"/>
      <c r="DU448" s="43"/>
      <c r="DV448" s="43"/>
      <c r="DW448" s="43"/>
      <c r="DX448" s="43"/>
      <c r="DY448" s="43"/>
      <c r="DZ448" s="43"/>
      <c r="EA448" s="43"/>
      <c r="EB448" s="43"/>
      <c r="EC448" s="43"/>
      <c r="ED448" s="43"/>
      <c r="EE448" s="43"/>
      <c r="EF448" s="43"/>
      <c r="EG448" s="43"/>
      <c r="EH448" s="43"/>
      <c r="EI448" s="43"/>
      <c r="EJ448" s="43"/>
      <c r="EK448" s="43"/>
      <c r="EL448" s="43"/>
      <c r="EM448" s="43"/>
      <c r="EN448" s="43"/>
      <c r="EO448" s="43"/>
      <c r="EP448" s="43"/>
      <c r="EQ448" s="43"/>
      <c r="ER448" s="43"/>
      <c r="ES448" s="43"/>
      <c r="ET448" s="50"/>
      <c r="EU448" s="50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43"/>
      <c r="CF449" s="43"/>
      <c r="CG449" s="43"/>
      <c r="CH449" s="43"/>
      <c r="CI449" s="43"/>
      <c r="CJ449" s="43"/>
      <c r="CK449" s="43"/>
      <c r="CL449" s="43"/>
      <c r="CM449" s="43"/>
      <c r="CN449" s="43"/>
      <c r="CO449" s="43"/>
      <c r="CP449" s="43"/>
      <c r="CQ449" s="43"/>
      <c r="CR449" s="43"/>
      <c r="CS449" s="43"/>
      <c r="CT449" s="43"/>
      <c r="CU449" s="43"/>
      <c r="CV449" s="43"/>
      <c r="CW449" s="43"/>
      <c r="CX449" s="43"/>
      <c r="CY449" s="43"/>
      <c r="CZ449" s="43"/>
      <c r="DA449" s="43"/>
      <c r="DB449" s="43"/>
      <c r="DC449" s="43"/>
      <c r="DD449" s="43"/>
      <c r="DE449" s="43"/>
      <c r="DF449" s="43"/>
      <c r="DG449" s="43"/>
      <c r="DH449" s="43"/>
      <c r="DI449" s="43"/>
      <c r="DJ449" s="43"/>
      <c r="DK449" s="43"/>
      <c r="DL449" s="43"/>
      <c r="DM449" s="43"/>
      <c r="DN449" s="43"/>
      <c r="DO449" s="43"/>
      <c r="DP449" s="43"/>
      <c r="DQ449" s="43"/>
      <c r="DR449" s="43"/>
      <c r="DS449" s="43"/>
      <c r="DT449" s="43"/>
      <c r="DU449" s="43"/>
      <c r="DV449" s="43"/>
      <c r="DW449" s="43"/>
      <c r="DX449" s="43"/>
      <c r="DY449" s="43"/>
      <c r="DZ449" s="43"/>
      <c r="EA449" s="43"/>
      <c r="EB449" s="43"/>
      <c r="EC449" s="43"/>
      <c r="ED449" s="43"/>
      <c r="EE449" s="43"/>
      <c r="EF449" s="43"/>
      <c r="EG449" s="43"/>
      <c r="EH449" s="43"/>
      <c r="EI449" s="43"/>
      <c r="EJ449" s="43"/>
      <c r="EK449" s="43"/>
      <c r="EL449" s="43"/>
      <c r="EM449" s="43"/>
      <c r="EN449" s="43"/>
      <c r="EO449" s="43"/>
      <c r="EP449" s="43"/>
      <c r="EQ449" s="43"/>
      <c r="ER449" s="43"/>
      <c r="ES449" s="43"/>
      <c r="ET449" s="50"/>
      <c r="EU449" s="50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43"/>
      <c r="CF450" s="43"/>
      <c r="CG450" s="43"/>
      <c r="CH450" s="43"/>
      <c r="CI450" s="43"/>
      <c r="CJ450" s="43"/>
      <c r="CK450" s="43"/>
      <c r="CL450" s="43"/>
      <c r="CM450" s="43"/>
      <c r="CN450" s="43"/>
      <c r="CO450" s="43"/>
      <c r="CP450" s="43"/>
      <c r="CQ450" s="43"/>
      <c r="CR450" s="43"/>
      <c r="CS450" s="43"/>
      <c r="CT450" s="43"/>
      <c r="CU450" s="43"/>
      <c r="CV450" s="43"/>
      <c r="CW450" s="43"/>
      <c r="CX450" s="43"/>
      <c r="CY450" s="43"/>
      <c r="CZ450" s="43"/>
      <c r="DA450" s="43"/>
      <c r="DB450" s="43"/>
      <c r="DC450" s="43"/>
      <c r="DD450" s="43"/>
      <c r="DE450" s="43"/>
      <c r="DF450" s="43"/>
      <c r="DG450" s="43"/>
      <c r="DH450" s="43"/>
      <c r="DI450" s="43"/>
      <c r="DJ450" s="43"/>
      <c r="DK450" s="43"/>
      <c r="DL450" s="43"/>
      <c r="DM450" s="43"/>
      <c r="DN450" s="43"/>
      <c r="DO450" s="43"/>
      <c r="DP450" s="43"/>
      <c r="DQ450" s="43"/>
      <c r="DR450" s="43"/>
      <c r="DS450" s="43"/>
      <c r="DT450" s="43"/>
      <c r="DU450" s="43"/>
      <c r="DV450" s="43"/>
      <c r="DW450" s="43"/>
      <c r="DX450" s="43"/>
      <c r="DY450" s="43"/>
      <c r="DZ450" s="43"/>
      <c r="EA450" s="43"/>
      <c r="EB450" s="43"/>
      <c r="EC450" s="43"/>
      <c r="ED450" s="43"/>
      <c r="EE450" s="43"/>
      <c r="EF450" s="43"/>
      <c r="EG450" s="43"/>
      <c r="EH450" s="43"/>
      <c r="EI450" s="43"/>
      <c r="EJ450" s="43"/>
      <c r="EK450" s="43"/>
      <c r="EL450" s="43"/>
      <c r="EM450" s="43"/>
      <c r="EN450" s="43"/>
      <c r="EO450" s="43"/>
      <c r="EP450" s="43"/>
      <c r="EQ450" s="43"/>
      <c r="ER450" s="43"/>
      <c r="ES450" s="43"/>
      <c r="ET450" s="50"/>
      <c r="EU450" s="50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43"/>
      <c r="CF451" s="43"/>
      <c r="CG451" s="43"/>
      <c r="CH451" s="43"/>
      <c r="CI451" s="43"/>
      <c r="CJ451" s="43"/>
      <c r="CK451" s="43"/>
      <c r="CL451" s="43"/>
      <c r="CM451" s="43"/>
      <c r="CN451" s="43"/>
      <c r="CO451" s="43"/>
      <c r="CP451" s="43"/>
      <c r="CQ451" s="43"/>
      <c r="CR451" s="43"/>
      <c r="CS451" s="43"/>
      <c r="CT451" s="43"/>
      <c r="CU451" s="43"/>
      <c r="CV451" s="43"/>
      <c r="CW451" s="43"/>
      <c r="CX451" s="43"/>
      <c r="CY451" s="43"/>
      <c r="CZ451" s="43"/>
      <c r="DA451" s="43"/>
      <c r="DB451" s="43"/>
      <c r="DC451" s="43"/>
      <c r="DD451" s="43"/>
      <c r="DE451" s="43"/>
      <c r="DF451" s="43"/>
      <c r="DG451" s="43"/>
      <c r="DH451" s="43"/>
      <c r="DI451" s="43"/>
      <c r="DJ451" s="43"/>
      <c r="DK451" s="43"/>
      <c r="DL451" s="43"/>
      <c r="DM451" s="43"/>
      <c r="DN451" s="43"/>
      <c r="DO451" s="43"/>
      <c r="DP451" s="43"/>
      <c r="DQ451" s="43"/>
      <c r="DR451" s="43"/>
      <c r="DS451" s="43"/>
      <c r="DT451" s="43"/>
      <c r="DU451" s="43"/>
      <c r="DV451" s="43"/>
      <c r="DW451" s="43"/>
      <c r="DX451" s="43"/>
      <c r="DY451" s="43"/>
      <c r="DZ451" s="43"/>
      <c r="EA451" s="43"/>
      <c r="EB451" s="43"/>
      <c r="EC451" s="43"/>
      <c r="ED451" s="43"/>
      <c r="EE451" s="43"/>
      <c r="EF451" s="43"/>
      <c r="EG451" s="43"/>
      <c r="EH451" s="43"/>
      <c r="EI451" s="43"/>
      <c r="EJ451" s="43"/>
      <c r="EK451" s="43"/>
      <c r="EL451" s="43"/>
      <c r="EM451" s="43"/>
      <c r="EN451" s="43"/>
      <c r="EO451" s="43"/>
      <c r="EP451" s="43"/>
      <c r="EQ451" s="43"/>
      <c r="ER451" s="43"/>
      <c r="ES451" s="43"/>
      <c r="ET451" s="50"/>
      <c r="EU451" s="50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  <c r="CS452" s="43"/>
      <c r="CT452" s="43"/>
      <c r="CU452" s="43"/>
      <c r="CV452" s="43"/>
      <c r="CW452" s="43"/>
      <c r="CX452" s="43"/>
      <c r="CY452" s="43"/>
      <c r="CZ452" s="43"/>
      <c r="DA452" s="43"/>
      <c r="DB452" s="43"/>
      <c r="DC452" s="43"/>
      <c r="DD452" s="43"/>
      <c r="DE452" s="43"/>
      <c r="DF452" s="43"/>
      <c r="DG452" s="43"/>
      <c r="DH452" s="43"/>
      <c r="DI452" s="43"/>
      <c r="DJ452" s="43"/>
      <c r="DK452" s="43"/>
      <c r="DL452" s="43"/>
      <c r="DM452" s="43"/>
      <c r="DN452" s="43"/>
      <c r="DO452" s="43"/>
      <c r="DP452" s="43"/>
      <c r="DQ452" s="43"/>
      <c r="DR452" s="43"/>
      <c r="DS452" s="43"/>
      <c r="DT452" s="43"/>
      <c r="DU452" s="43"/>
      <c r="DV452" s="43"/>
      <c r="DW452" s="43"/>
      <c r="DX452" s="43"/>
      <c r="DY452" s="43"/>
      <c r="DZ452" s="43"/>
      <c r="EA452" s="43"/>
      <c r="EB452" s="43"/>
      <c r="EC452" s="43"/>
      <c r="ED452" s="43"/>
      <c r="EE452" s="43"/>
      <c r="EF452" s="43"/>
      <c r="EG452" s="43"/>
      <c r="EH452" s="43"/>
      <c r="EI452" s="43"/>
      <c r="EJ452" s="43"/>
      <c r="EK452" s="43"/>
      <c r="EL452" s="43"/>
      <c r="EM452" s="43"/>
      <c r="EN452" s="43"/>
      <c r="EO452" s="43"/>
      <c r="EP452" s="43"/>
      <c r="EQ452" s="43"/>
      <c r="ER452" s="43"/>
      <c r="ES452" s="43"/>
      <c r="ET452" s="50"/>
      <c r="EU452" s="50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43"/>
      <c r="CF453" s="43"/>
      <c r="CG453" s="43"/>
      <c r="CH453" s="43"/>
      <c r="CI453" s="43"/>
      <c r="CJ453" s="43"/>
      <c r="CK453" s="43"/>
      <c r="CL453" s="43"/>
      <c r="CM453" s="43"/>
      <c r="CN453" s="43"/>
      <c r="CO453" s="43"/>
      <c r="CP453" s="43"/>
      <c r="CQ453" s="43"/>
      <c r="CR453" s="43"/>
      <c r="CS453" s="43"/>
      <c r="CT453" s="43"/>
      <c r="CU453" s="43"/>
      <c r="CV453" s="43"/>
      <c r="CW453" s="43"/>
      <c r="CX453" s="43"/>
      <c r="CY453" s="43"/>
      <c r="CZ453" s="43"/>
      <c r="DA453" s="43"/>
      <c r="DB453" s="43"/>
      <c r="DC453" s="43"/>
      <c r="DD453" s="43"/>
      <c r="DE453" s="43"/>
      <c r="DF453" s="43"/>
      <c r="DG453" s="43"/>
      <c r="DH453" s="43"/>
      <c r="DI453" s="43"/>
      <c r="DJ453" s="43"/>
      <c r="DK453" s="43"/>
      <c r="DL453" s="43"/>
      <c r="DM453" s="43"/>
      <c r="DN453" s="43"/>
      <c r="DO453" s="43"/>
      <c r="DP453" s="43"/>
      <c r="DQ453" s="43"/>
      <c r="DR453" s="43"/>
      <c r="DS453" s="43"/>
      <c r="DT453" s="43"/>
      <c r="DU453" s="43"/>
      <c r="DV453" s="43"/>
      <c r="DW453" s="43"/>
      <c r="DX453" s="43"/>
      <c r="DY453" s="43"/>
      <c r="DZ453" s="43"/>
      <c r="EA453" s="43"/>
      <c r="EB453" s="43"/>
      <c r="EC453" s="43"/>
      <c r="ED453" s="43"/>
      <c r="EE453" s="43"/>
      <c r="EF453" s="43"/>
      <c r="EG453" s="43"/>
      <c r="EH453" s="43"/>
      <c r="EI453" s="43"/>
      <c r="EJ453" s="43"/>
      <c r="EK453" s="43"/>
      <c r="EL453" s="43"/>
      <c r="EM453" s="43"/>
      <c r="EN453" s="43"/>
      <c r="EO453" s="43"/>
      <c r="EP453" s="43"/>
      <c r="EQ453" s="43"/>
      <c r="ER453" s="43"/>
      <c r="ES453" s="43"/>
      <c r="ET453" s="50"/>
      <c r="EU453" s="50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43"/>
      <c r="CF454" s="43"/>
      <c r="CG454" s="43"/>
      <c r="CH454" s="43"/>
      <c r="CI454" s="43"/>
      <c r="CJ454" s="43"/>
      <c r="CK454" s="43"/>
      <c r="CL454" s="43"/>
      <c r="CM454" s="43"/>
      <c r="CN454" s="43"/>
      <c r="CO454" s="43"/>
      <c r="CP454" s="43"/>
      <c r="CQ454" s="43"/>
      <c r="CR454" s="43"/>
      <c r="CS454" s="43"/>
      <c r="CT454" s="43"/>
      <c r="CU454" s="43"/>
      <c r="CV454" s="43"/>
      <c r="CW454" s="43"/>
      <c r="CX454" s="43"/>
      <c r="CY454" s="43"/>
      <c r="CZ454" s="43"/>
      <c r="DA454" s="43"/>
      <c r="DB454" s="43"/>
      <c r="DC454" s="43"/>
      <c r="DD454" s="43"/>
      <c r="DE454" s="43"/>
      <c r="DF454" s="43"/>
      <c r="DG454" s="43"/>
      <c r="DH454" s="43"/>
      <c r="DI454" s="43"/>
      <c r="DJ454" s="43"/>
      <c r="DK454" s="43"/>
      <c r="DL454" s="43"/>
      <c r="DM454" s="43"/>
      <c r="DN454" s="43"/>
      <c r="DO454" s="43"/>
      <c r="DP454" s="43"/>
      <c r="DQ454" s="43"/>
      <c r="DR454" s="43"/>
      <c r="DS454" s="43"/>
      <c r="DT454" s="43"/>
      <c r="DU454" s="43"/>
      <c r="DV454" s="43"/>
      <c r="DW454" s="43"/>
      <c r="DX454" s="43"/>
      <c r="DY454" s="43"/>
      <c r="DZ454" s="43"/>
      <c r="EA454" s="43"/>
      <c r="EB454" s="43"/>
      <c r="EC454" s="43"/>
      <c r="ED454" s="43"/>
      <c r="EE454" s="43"/>
      <c r="EF454" s="43"/>
      <c r="EG454" s="43"/>
      <c r="EH454" s="43"/>
      <c r="EI454" s="43"/>
      <c r="EJ454" s="43"/>
      <c r="EK454" s="43"/>
      <c r="EL454" s="43"/>
      <c r="EM454" s="43"/>
      <c r="EN454" s="43"/>
      <c r="EO454" s="43"/>
      <c r="EP454" s="43"/>
      <c r="EQ454" s="43"/>
      <c r="ER454" s="43"/>
      <c r="ES454" s="43"/>
      <c r="ET454" s="50"/>
      <c r="EU454" s="50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43"/>
      <c r="CF455" s="43"/>
      <c r="CG455" s="43"/>
      <c r="CH455" s="43"/>
      <c r="CI455" s="43"/>
      <c r="CJ455" s="43"/>
      <c r="CK455" s="43"/>
      <c r="CL455" s="43"/>
      <c r="CM455" s="43"/>
      <c r="CN455" s="43"/>
      <c r="CO455" s="43"/>
      <c r="CP455" s="43"/>
      <c r="CQ455" s="43"/>
      <c r="CR455" s="43"/>
      <c r="CS455" s="43"/>
      <c r="CT455" s="43"/>
      <c r="CU455" s="43"/>
      <c r="CV455" s="43"/>
      <c r="CW455" s="43"/>
      <c r="CX455" s="43"/>
      <c r="CY455" s="43"/>
      <c r="CZ455" s="43"/>
      <c r="DA455" s="43"/>
      <c r="DB455" s="43"/>
      <c r="DC455" s="43"/>
      <c r="DD455" s="43"/>
      <c r="DE455" s="43"/>
      <c r="DF455" s="43"/>
      <c r="DG455" s="43"/>
      <c r="DH455" s="43"/>
      <c r="DI455" s="43"/>
      <c r="DJ455" s="43"/>
      <c r="DK455" s="43"/>
      <c r="DL455" s="43"/>
      <c r="DM455" s="43"/>
      <c r="DN455" s="43"/>
      <c r="DO455" s="43"/>
      <c r="DP455" s="43"/>
      <c r="DQ455" s="43"/>
      <c r="DR455" s="43"/>
      <c r="DS455" s="43"/>
      <c r="DT455" s="43"/>
      <c r="DU455" s="43"/>
      <c r="DV455" s="43"/>
      <c r="DW455" s="43"/>
      <c r="DX455" s="43"/>
      <c r="DY455" s="43"/>
      <c r="DZ455" s="43"/>
      <c r="EA455" s="43"/>
      <c r="EB455" s="43"/>
      <c r="EC455" s="43"/>
      <c r="ED455" s="43"/>
      <c r="EE455" s="43"/>
      <c r="EF455" s="43"/>
      <c r="EG455" s="43"/>
      <c r="EH455" s="43"/>
      <c r="EI455" s="43"/>
      <c r="EJ455" s="43"/>
      <c r="EK455" s="43"/>
      <c r="EL455" s="43"/>
      <c r="EM455" s="43"/>
      <c r="EN455" s="43"/>
      <c r="EO455" s="43"/>
      <c r="EP455" s="43"/>
      <c r="EQ455" s="43"/>
      <c r="ER455" s="43"/>
      <c r="ES455" s="43"/>
      <c r="ET455" s="50"/>
      <c r="EU455" s="50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43"/>
      <c r="CF456" s="43"/>
      <c r="CG456" s="43"/>
      <c r="CH456" s="43"/>
      <c r="CI456" s="43"/>
      <c r="CJ456" s="43"/>
      <c r="CK456" s="43"/>
      <c r="CL456" s="43"/>
      <c r="CM456" s="43"/>
      <c r="CN456" s="43"/>
      <c r="CO456" s="43"/>
      <c r="CP456" s="43"/>
      <c r="CQ456" s="43"/>
      <c r="CR456" s="43"/>
      <c r="CS456" s="43"/>
      <c r="CT456" s="43"/>
      <c r="CU456" s="43"/>
      <c r="CV456" s="43"/>
      <c r="CW456" s="43"/>
      <c r="CX456" s="43"/>
      <c r="CY456" s="43"/>
      <c r="CZ456" s="43"/>
      <c r="DA456" s="43"/>
      <c r="DB456" s="43"/>
      <c r="DC456" s="43"/>
      <c r="DD456" s="43"/>
      <c r="DE456" s="43"/>
      <c r="DF456" s="43"/>
      <c r="DG456" s="43"/>
      <c r="DH456" s="43"/>
      <c r="DI456" s="43"/>
      <c r="DJ456" s="43"/>
      <c r="DK456" s="43"/>
      <c r="DL456" s="43"/>
      <c r="DM456" s="43"/>
      <c r="DN456" s="43"/>
      <c r="DO456" s="43"/>
      <c r="DP456" s="43"/>
      <c r="DQ456" s="43"/>
      <c r="DR456" s="43"/>
      <c r="DS456" s="43"/>
      <c r="DT456" s="43"/>
      <c r="DU456" s="43"/>
      <c r="DV456" s="43"/>
      <c r="DW456" s="43"/>
      <c r="DX456" s="43"/>
      <c r="DY456" s="43"/>
      <c r="DZ456" s="43"/>
      <c r="EA456" s="43"/>
      <c r="EB456" s="43"/>
      <c r="EC456" s="43"/>
      <c r="ED456" s="43"/>
      <c r="EE456" s="43"/>
      <c r="EF456" s="43"/>
      <c r="EG456" s="43"/>
      <c r="EH456" s="43"/>
      <c r="EI456" s="43"/>
      <c r="EJ456" s="43"/>
      <c r="EK456" s="43"/>
      <c r="EL456" s="43"/>
      <c r="EM456" s="43"/>
      <c r="EN456" s="43"/>
      <c r="EO456" s="43"/>
      <c r="EP456" s="43"/>
      <c r="EQ456" s="43"/>
      <c r="ER456" s="43"/>
      <c r="ES456" s="43"/>
      <c r="ET456" s="50"/>
      <c r="EU456" s="50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43"/>
      <c r="CF457" s="43"/>
      <c r="CG457" s="43"/>
      <c r="CH457" s="43"/>
      <c r="CI457" s="43"/>
      <c r="CJ457" s="43"/>
      <c r="CK457" s="43"/>
      <c r="CL457" s="43"/>
      <c r="CM457" s="43"/>
      <c r="CN457" s="43"/>
      <c r="CO457" s="43"/>
      <c r="CP457" s="43"/>
      <c r="CQ457" s="43"/>
      <c r="CR457" s="43"/>
      <c r="CS457" s="43"/>
      <c r="CT457" s="43"/>
      <c r="CU457" s="43"/>
      <c r="CV457" s="43"/>
      <c r="CW457" s="43"/>
      <c r="CX457" s="43"/>
      <c r="CY457" s="43"/>
      <c r="CZ457" s="43"/>
      <c r="DA457" s="43"/>
      <c r="DB457" s="43"/>
      <c r="DC457" s="43"/>
      <c r="DD457" s="43"/>
      <c r="DE457" s="43"/>
      <c r="DF457" s="43"/>
      <c r="DG457" s="43"/>
      <c r="DH457" s="43"/>
      <c r="DI457" s="43"/>
      <c r="DJ457" s="43"/>
      <c r="DK457" s="43"/>
      <c r="DL457" s="43"/>
      <c r="DM457" s="43"/>
      <c r="DN457" s="43"/>
      <c r="DO457" s="43"/>
      <c r="DP457" s="43"/>
      <c r="DQ457" s="43"/>
      <c r="DR457" s="43"/>
      <c r="DS457" s="43"/>
      <c r="DT457" s="43"/>
      <c r="DU457" s="43"/>
      <c r="DV457" s="43"/>
      <c r="DW457" s="43"/>
      <c r="DX457" s="43"/>
      <c r="DY457" s="43"/>
      <c r="DZ457" s="43"/>
      <c r="EA457" s="43"/>
      <c r="EB457" s="43"/>
      <c r="EC457" s="43"/>
      <c r="ED457" s="43"/>
      <c r="EE457" s="43"/>
      <c r="EF457" s="43"/>
      <c r="EG457" s="43"/>
      <c r="EH457" s="43"/>
      <c r="EI457" s="43"/>
      <c r="EJ457" s="43"/>
      <c r="EK457" s="43"/>
      <c r="EL457" s="43"/>
      <c r="EM457" s="43"/>
      <c r="EN457" s="43"/>
      <c r="EO457" s="43"/>
      <c r="EP457" s="43"/>
      <c r="EQ457" s="43"/>
      <c r="ER457" s="43"/>
      <c r="ES457" s="43"/>
      <c r="ET457" s="50"/>
      <c r="EU457" s="50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43"/>
      <c r="CF458" s="43"/>
      <c r="CG458" s="43"/>
      <c r="CH458" s="43"/>
      <c r="CI458" s="43"/>
      <c r="CJ458" s="43"/>
      <c r="CK458" s="43"/>
      <c r="CL458" s="43"/>
      <c r="CM458" s="43"/>
      <c r="CN458" s="43"/>
      <c r="CO458" s="43"/>
      <c r="CP458" s="43"/>
      <c r="CQ458" s="43"/>
      <c r="CR458" s="43"/>
      <c r="CS458" s="43"/>
      <c r="CT458" s="43"/>
      <c r="CU458" s="43"/>
      <c r="CV458" s="43"/>
      <c r="CW458" s="43"/>
      <c r="CX458" s="43"/>
      <c r="CY458" s="43"/>
      <c r="CZ458" s="43"/>
      <c r="DA458" s="43"/>
      <c r="DB458" s="43"/>
      <c r="DC458" s="43"/>
      <c r="DD458" s="43"/>
      <c r="DE458" s="43"/>
      <c r="DF458" s="43"/>
      <c r="DG458" s="43"/>
      <c r="DH458" s="43"/>
      <c r="DI458" s="43"/>
      <c r="DJ458" s="43"/>
      <c r="DK458" s="43"/>
      <c r="DL458" s="43"/>
      <c r="DM458" s="43"/>
      <c r="DN458" s="43"/>
      <c r="DO458" s="43"/>
      <c r="DP458" s="43"/>
      <c r="DQ458" s="43"/>
      <c r="DR458" s="43"/>
      <c r="DS458" s="43"/>
      <c r="DT458" s="43"/>
      <c r="DU458" s="43"/>
      <c r="DV458" s="43"/>
      <c r="DW458" s="43"/>
      <c r="DX458" s="43"/>
      <c r="DY458" s="43"/>
      <c r="DZ458" s="43"/>
      <c r="EA458" s="43"/>
      <c r="EB458" s="43"/>
      <c r="EC458" s="43"/>
      <c r="ED458" s="43"/>
      <c r="EE458" s="43"/>
      <c r="EF458" s="43"/>
      <c r="EG458" s="43"/>
      <c r="EH458" s="43"/>
      <c r="EI458" s="43"/>
      <c r="EJ458" s="43"/>
      <c r="EK458" s="43"/>
      <c r="EL458" s="43"/>
      <c r="EM458" s="43"/>
      <c r="EN458" s="43"/>
      <c r="EO458" s="43"/>
      <c r="EP458" s="43"/>
      <c r="EQ458" s="43"/>
      <c r="ER458" s="43"/>
      <c r="ES458" s="43"/>
      <c r="ET458" s="50"/>
      <c r="EU458" s="50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/>
      <c r="CK459" s="43"/>
      <c r="CL459" s="43"/>
      <c r="CM459" s="43"/>
      <c r="CN459" s="43"/>
      <c r="CO459" s="43"/>
      <c r="CP459" s="43"/>
      <c r="CQ459" s="43"/>
      <c r="CR459" s="43"/>
      <c r="CS459" s="43"/>
      <c r="CT459" s="43"/>
      <c r="CU459" s="43"/>
      <c r="CV459" s="43"/>
      <c r="CW459" s="43"/>
      <c r="CX459" s="43"/>
      <c r="CY459" s="43"/>
      <c r="CZ459" s="43"/>
      <c r="DA459" s="43"/>
      <c r="DB459" s="43"/>
      <c r="DC459" s="43"/>
      <c r="DD459" s="43"/>
      <c r="DE459" s="43"/>
      <c r="DF459" s="43"/>
      <c r="DG459" s="43"/>
      <c r="DH459" s="43"/>
      <c r="DI459" s="43"/>
      <c r="DJ459" s="43"/>
      <c r="DK459" s="43"/>
      <c r="DL459" s="43"/>
      <c r="DM459" s="43"/>
      <c r="DN459" s="43"/>
      <c r="DO459" s="43"/>
      <c r="DP459" s="43"/>
      <c r="DQ459" s="43"/>
      <c r="DR459" s="43"/>
      <c r="DS459" s="43"/>
      <c r="DT459" s="43"/>
      <c r="DU459" s="43"/>
      <c r="DV459" s="43"/>
      <c r="DW459" s="43"/>
      <c r="DX459" s="43"/>
      <c r="DY459" s="43"/>
      <c r="DZ459" s="43"/>
      <c r="EA459" s="43"/>
      <c r="EB459" s="43"/>
      <c r="EC459" s="43"/>
      <c r="ED459" s="43"/>
      <c r="EE459" s="43"/>
      <c r="EF459" s="43"/>
      <c r="EG459" s="43"/>
      <c r="EH459" s="43"/>
      <c r="EI459" s="43"/>
      <c r="EJ459" s="43"/>
      <c r="EK459" s="43"/>
      <c r="EL459" s="43"/>
      <c r="EM459" s="43"/>
      <c r="EN459" s="43"/>
      <c r="EO459" s="43"/>
      <c r="EP459" s="43"/>
      <c r="EQ459" s="43"/>
      <c r="ER459" s="43"/>
      <c r="ES459" s="43"/>
      <c r="ET459" s="50"/>
      <c r="EU459" s="50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43"/>
      <c r="CF460" s="43"/>
      <c r="CG460" s="43"/>
      <c r="CH460" s="43"/>
      <c r="CI460" s="43"/>
      <c r="CJ460" s="43"/>
      <c r="CK460" s="43"/>
      <c r="CL460" s="43"/>
      <c r="CM460" s="43"/>
      <c r="CN460" s="43"/>
      <c r="CO460" s="43"/>
      <c r="CP460" s="43"/>
      <c r="CQ460" s="43"/>
      <c r="CR460" s="43"/>
      <c r="CS460" s="43"/>
      <c r="CT460" s="43"/>
      <c r="CU460" s="43"/>
      <c r="CV460" s="43"/>
      <c r="CW460" s="43"/>
      <c r="CX460" s="43"/>
      <c r="CY460" s="43"/>
      <c r="CZ460" s="43"/>
      <c r="DA460" s="43"/>
      <c r="DB460" s="43"/>
      <c r="DC460" s="43"/>
      <c r="DD460" s="43"/>
      <c r="DE460" s="43"/>
      <c r="DF460" s="43"/>
      <c r="DG460" s="43"/>
      <c r="DH460" s="43"/>
      <c r="DI460" s="43"/>
      <c r="DJ460" s="43"/>
      <c r="DK460" s="43"/>
      <c r="DL460" s="43"/>
      <c r="DM460" s="43"/>
      <c r="DN460" s="43"/>
      <c r="DO460" s="43"/>
      <c r="DP460" s="43"/>
      <c r="DQ460" s="43"/>
      <c r="DR460" s="43"/>
      <c r="DS460" s="43"/>
      <c r="DT460" s="43"/>
      <c r="DU460" s="43"/>
      <c r="DV460" s="43"/>
      <c r="DW460" s="43"/>
      <c r="DX460" s="43"/>
      <c r="DY460" s="43"/>
      <c r="DZ460" s="43"/>
      <c r="EA460" s="43"/>
      <c r="EB460" s="43"/>
      <c r="EC460" s="43"/>
      <c r="ED460" s="43"/>
      <c r="EE460" s="43"/>
      <c r="EF460" s="43"/>
      <c r="EG460" s="43"/>
      <c r="EH460" s="43"/>
      <c r="EI460" s="43"/>
      <c r="EJ460" s="43"/>
      <c r="EK460" s="43"/>
      <c r="EL460" s="43"/>
      <c r="EM460" s="43"/>
      <c r="EN460" s="43"/>
      <c r="EO460" s="43"/>
      <c r="EP460" s="43"/>
      <c r="EQ460" s="43"/>
      <c r="ER460" s="43"/>
      <c r="ES460" s="43"/>
      <c r="ET460" s="50"/>
      <c r="EU460" s="50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43"/>
      <c r="CF461" s="43"/>
      <c r="CG461" s="43"/>
      <c r="CH461" s="43"/>
      <c r="CI461" s="43"/>
      <c r="CJ461" s="43"/>
      <c r="CK461" s="43"/>
      <c r="CL461" s="43"/>
      <c r="CM461" s="43"/>
      <c r="CN461" s="43"/>
      <c r="CO461" s="43"/>
      <c r="CP461" s="43"/>
      <c r="CQ461" s="43"/>
      <c r="CR461" s="43"/>
      <c r="CS461" s="43"/>
      <c r="CT461" s="43"/>
      <c r="CU461" s="43"/>
      <c r="CV461" s="43"/>
      <c r="CW461" s="43"/>
      <c r="CX461" s="43"/>
      <c r="CY461" s="43"/>
      <c r="CZ461" s="43"/>
      <c r="DA461" s="43"/>
      <c r="DB461" s="43"/>
      <c r="DC461" s="43"/>
      <c r="DD461" s="43"/>
      <c r="DE461" s="43"/>
      <c r="DF461" s="43"/>
      <c r="DG461" s="43"/>
      <c r="DH461" s="43"/>
      <c r="DI461" s="43"/>
      <c r="DJ461" s="43"/>
      <c r="DK461" s="43"/>
      <c r="DL461" s="43"/>
      <c r="DM461" s="43"/>
      <c r="DN461" s="43"/>
      <c r="DO461" s="43"/>
      <c r="DP461" s="43"/>
      <c r="DQ461" s="43"/>
      <c r="DR461" s="43"/>
      <c r="DS461" s="43"/>
      <c r="DT461" s="43"/>
      <c r="DU461" s="43"/>
      <c r="DV461" s="43"/>
      <c r="DW461" s="43"/>
      <c r="DX461" s="43"/>
      <c r="DY461" s="43"/>
      <c r="DZ461" s="43"/>
      <c r="EA461" s="43"/>
      <c r="EB461" s="43"/>
      <c r="EC461" s="43"/>
      <c r="ED461" s="43"/>
      <c r="EE461" s="43"/>
      <c r="EF461" s="43"/>
      <c r="EG461" s="43"/>
      <c r="EH461" s="43"/>
      <c r="EI461" s="43"/>
      <c r="EJ461" s="43"/>
      <c r="EK461" s="43"/>
      <c r="EL461" s="43"/>
      <c r="EM461" s="43"/>
      <c r="EN461" s="43"/>
      <c r="EO461" s="43"/>
      <c r="EP461" s="43"/>
      <c r="EQ461" s="43"/>
      <c r="ER461" s="43"/>
      <c r="ES461" s="43"/>
      <c r="ET461" s="50"/>
      <c r="EU461" s="50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/>
      <c r="CK462" s="43"/>
      <c r="CL462" s="43"/>
      <c r="CM462" s="43"/>
      <c r="CN462" s="43"/>
      <c r="CO462" s="43"/>
      <c r="CP462" s="43"/>
      <c r="CQ462" s="43"/>
      <c r="CR462" s="43"/>
      <c r="CS462" s="43"/>
      <c r="CT462" s="43"/>
      <c r="CU462" s="43"/>
      <c r="CV462" s="43"/>
      <c r="CW462" s="43"/>
      <c r="CX462" s="43"/>
      <c r="CY462" s="43"/>
      <c r="CZ462" s="43"/>
      <c r="DA462" s="43"/>
      <c r="DB462" s="43"/>
      <c r="DC462" s="43"/>
      <c r="DD462" s="43"/>
      <c r="DE462" s="43"/>
      <c r="DF462" s="43"/>
      <c r="DG462" s="43"/>
      <c r="DH462" s="43"/>
      <c r="DI462" s="43"/>
      <c r="DJ462" s="43"/>
      <c r="DK462" s="43"/>
      <c r="DL462" s="43"/>
      <c r="DM462" s="43"/>
      <c r="DN462" s="43"/>
      <c r="DO462" s="43"/>
      <c r="DP462" s="43"/>
      <c r="DQ462" s="43"/>
      <c r="DR462" s="43"/>
      <c r="DS462" s="43"/>
      <c r="DT462" s="43"/>
      <c r="DU462" s="43"/>
      <c r="DV462" s="43"/>
      <c r="DW462" s="43"/>
      <c r="DX462" s="43"/>
      <c r="DY462" s="43"/>
      <c r="DZ462" s="43"/>
      <c r="EA462" s="43"/>
      <c r="EB462" s="43"/>
      <c r="EC462" s="43"/>
      <c r="ED462" s="43"/>
      <c r="EE462" s="43"/>
      <c r="EF462" s="43"/>
      <c r="EG462" s="43"/>
      <c r="EH462" s="43"/>
      <c r="EI462" s="43"/>
      <c r="EJ462" s="43"/>
      <c r="EK462" s="43"/>
      <c r="EL462" s="43"/>
      <c r="EM462" s="43"/>
      <c r="EN462" s="43"/>
      <c r="EO462" s="43"/>
      <c r="EP462" s="43"/>
      <c r="EQ462" s="43"/>
      <c r="ER462" s="43"/>
      <c r="ES462" s="43"/>
      <c r="ET462" s="50"/>
      <c r="EU462" s="50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43"/>
      <c r="CF463" s="43"/>
      <c r="CG463" s="43"/>
      <c r="CH463" s="43"/>
      <c r="CI463" s="43"/>
      <c r="CJ463" s="43"/>
      <c r="CK463" s="43"/>
      <c r="CL463" s="43"/>
      <c r="CM463" s="43"/>
      <c r="CN463" s="43"/>
      <c r="CO463" s="43"/>
      <c r="CP463" s="43"/>
      <c r="CQ463" s="43"/>
      <c r="CR463" s="43"/>
      <c r="CS463" s="43"/>
      <c r="CT463" s="43"/>
      <c r="CU463" s="43"/>
      <c r="CV463" s="43"/>
      <c r="CW463" s="43"/>
      <c r="CX463" s="43"/>
      <c r="CY463" s="43"/>
      <c r="CZ463" s="43"/>
      <c r="DA463" s="43"/>
      <c r="DB463" s="43"/>
      <c r="DC463" s="43"/>
      <c r="DD463" s="43"/>
      <c r="DE463" s="43"/>
      <c r="DF463" s="43"/>
      <c r="DG463" s="43"/>
      <c r="DH463" s="43"/>
      <c r="DI463" s="43"/>
      <c r="DJ463" s="43"/>
      <c r="DK463" s="43"/>
      <c r="DL463" s="43"/>
      <c r="DM463" s="43"/>
      <c r="DN463" s="43"/>
      <c r="DO463" s="43"/>
      <c r="DP463" s="43"/>
      <c r="DQ463" s="43"/>
      <c r="DR463" s="43"/>
      <c r="DS463" s="43"/>
      <c r="DT463" s="43"/>
      <c r="DU463" s="43"/>
      <c r="DV463" s="43"/>
      <c r="DW463" s="43"/>
      <c r="DX463" s="43"/>
      <c r="DY463" s="43"/>
      <c r="DZ463" s="43"/>
      <c r="EA463" s="43"/>
      <c r="EB463" s="43"/>
      <c r="EC463" s="43"/>
      <c r="ED463" s="43"/>
      <c r="EE463" s="43"/>
      <c r="EF463" s="43"/>
      <c r="EG463" s="43"/>
      <c r="EH463" s="43"/>
      <c r="EI463" s="43"/>
      <c r="EJ463" s="43"/>
      <c r="EK463" s="43"/>
      <c r="EL463" s="43"/>
      <c r="EM463" s="43"/>
      <c r="EN463" s="43"/>
      <c r="EO463" s="43"/>
      <c r="EP463" s="43"/>
      <c r="EQ463" s="43"/>
      <c r="ER463" s="43"/>
      <c r="ES463" s="43"/>
      <c r="ET463" s="50"/>
      <c r="EU463" s="50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43"/>
      <c r="CF464" s="43"/>
      <c r="CG464" s="43"/>
      <c r="CH464" s="43"/>
      <c r="CI464" s="43"/>
      <c r="CJ464" s="43"/>
      <c r="CK464" s="43"/>
      <c r="CL464" s="43"/>
      <c r="CM464" s="43"/>
      <c r="CN464" s="43"/>
      <c r="CO464" s="43"/>
      <c r="CP464" s="43"/>
      <c r="CQ464" s="43"/>
      <c r="CR464" s="43"/>
      <c r="CS464" s="43"/>
      <c r="CT464" s="43"/>
      <c r="CU464" s="43"/>
      <c r="CV464" s="43"/>
      <c r="CW464" s="43"/>
      <c r="CX464" s="43"/>
      <c r="CY464" s="43"/>
      <c r="CZ464" s="43"/>
      <c r="DA464" s="43"/>
      <c r="DB464" s="43"/>
      <c r="DC464" s="43"/>
      <c r="DD464" s="43"/>
      <c r="DE464" s="43"/>
      <c r="DF464" s="43"/>
      <c r="DG464" s="43"/>
      <c r="DH464" s="43"/>
      <c r="DI464" s="43"/>
      <c r="DJ464" s="43"/>
      <c r="DK464" s="43"/>
      <c r="DL464" s="43"/>
      <c r="DM464" s="43"/>
      <c r="DN464" s="43"/>
      <c r="DO464" s="43"/>
      <c r="DP464" s="43"/>
      <c r="DQ464" s="43"/>
      <c r="DR464" s="43"/>
      <c r="DS464" s="43"/>
      <c r="DT464" s="43"/>
      <c r="DU464" s="43"/>
      <c r="DV464" s="43"/>
      <c r="DW464" s="43"/>
      <c r="DX464" s="43"/>
      <c r="DY464" s="43"/>
      <c r="DZ464" s="43"/>
      <c r="EA464" s="43"/>
      <c r="EB464" s="43"/>
      <c r="EC464" s="43"/>
      <c r="ED464" s="43"/>
      <c r="EE464" s="43"/>
      <c r="EF464" s="43"/>
      <c r="EG464" s="43"/>
      <c r="EH464" s="43"/>
      <c r="EI464" s="43"/>
      <c r="EJ464" s="43"/>
      <c r="EK464" s="43"/>
      <c r="EL464" s="43"/>
      <c r="EM464" s="43"/>
      <c r="EN464" s="43"/>
      <c r="EO464" s="43"/>
      <c r="EP464" s="43"/>
      <c r="EQ464" s="43"/>
      <c r="ER464" s="43"/>
      <c r="ES464" s="43"/>
      <c r="ET464" s="50"/>
      <c r="EU464" s="50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43"/>
      <c r="CF465" s="43"/>
      <c r="CG465" s="43"/>
      <c r="CH465" s="43"/>
      <c r="CI465" s="43"/>
      <c r="CJ465" s="43"/>
      <c r="CK465" s="43"/>
      <c r="CL465" s="43"/>
      <c r="CM465" s="43"/>
      <c r="CN465" s="43"/>
      <c r="CO465" s="43"/>
      <c r="CP465" s="43"/>
      <c r="CQ465" s="43"/>
      <c r="CR465" s="43"/>
      <c r="CS465" s="43"/>
      <c r="CT465" s="43"/>
      <c r="CU465" s="43"/>
      <c r="CV465" s="43"/>
      <c r="CW465" s="43"/>
      <c r="CX465" s="43"/>
      <c r="CY465" s="43"/>
      <c r="CZ465" s="43"/>
      <c r="DA465" s="43"/>
      <c r="DB465" s="43"/>
      <c r="DC465" s="43"/>
      <c r="DD465" s="43"/>
      <c r="DE465" s="43"/>
      <c r="DF465" s="43"/>
      <c r="DG465" s="43"/>
      <c r="DH465" s="43"/>
      <c r="DI465" s="43"/>
      <c r="DJ465" s="43"/>
      <c r="DK465" s="43"/>
      <c r="DL465" s="43"/>
      <c r="DM465" s="43"/>
      <c r="DN465" s="43"/>
      <c r="DO465" s="43"/>
      <c r="DP465" s="43"/>
      <c r="DQ465" s="43"/>
      <c r="DR465" s="43"/>
      <c r="DS465" s="43"/>
      <c r="DT465" s="43"/>
      <c r="DU465" s="43"/>
      <c r="DV465" s="43"/>
      <c r="DW465" s="43"/>
      <c r="DX465" s="43"/>
      <c r="DY465" s="43"/>
      <c r="DZ465" s="43"/>
      <c r="EA465" s="43"/>
      <c r="EB465" s="43"/>
      <c r="EC465" s="43"/>
      <c r="ED465" s="43"/>
      <c r="EE465" s="43"/>
      <c r="EF465" s="43"/>
      <c r="EG465" s="43"/>
      <c r="EH465" s="43"/>
      <c r="EI465" s="43"/>
      <c r="EJ465" s="43"/>
      <c r="EK465" s="43"/>
      <c r="EL465" s="43"/>
      <c r="EM465" s="43"/>
      <c r="EN465" s="43"/>
      <c r="EO465" s="43"/>
      <c r="EP465" s="43"/>
      <c r="EQ465" s="43"/>
      <c r="ER465" s="43"/>
      <c r="ES465" s="43"/>
      <c r="ET465" s="50"/>
      <c r="EU465" s="50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43"/>
      <c r="CF466" s="43"/>
      <c r="CG466" s="43"/>
      <c r="CH466" s="43"/>
      <c r="CI466" s="43"/>
      <c r="CJ466" s="43"/>
      <c r="CK466" s="43"/>
      <c r="CL466" s="43"/>
      <c r="CM466" s="43"/>
      <c r="CN466" s="43"/>
      <c r="CO466" s="43"/>
      <c r="CP466" s="43"/>
      <c r="CQ466" s="43"/>
      <c r="CR466" s="43"/>
      <c r="CS466" s="43"/>
      <c r="CT466" s="43"/>
      <c r="CU466" s="43"/>
      <c r="CV466" s="43"/>
      <c r="CW466" s="43"/>
      <c r="CX466" s="43"/>
      <c r="CY466" s="43"/>
      <c r="CZ466" s="43"/>
      <c r="DA466" s="43"/>
      <c r="DB466" s="43"/>
      <c r="DC466" s="43"/>
      <c r="DD466" s="43"/>
      <c r="DE466" s="43"/>
      <c r="DF466" s="43"/>
      <c r="DG466" s="43"/>
      <c r="DH466" s="43"/>
      <c r="DI466" s="43"/>
      <c r="DJ466" s="43"/>
      <c r="DK466" s="43"/>
      <c r="DL466" s="43"/>
      <c r="DM466" s="43"/>
      <c r="DN466" s="43"/>
      <c r="DO466" s="43"/>
      <c r="DP466" s="43"/>
      <c r="DQ466" s="43"/>
      <c r="DR466" s="43"/>
      <c r="DS466" s="43"/>
      <c r="DT466" s="43"/>
      <c r="DU466" s="43"/>
      <c r="DV466" s="43"/>
      <c r="DW466" s="43"/>
      <c r="DX466" s="43"/>
      <c r="DY466" s="43"/>
      <c r="DZ466" s="43"/>
      <c r="EA466" s="43"/>
      <c r="EB466" s="43"/>
      <c r="EC466" s="43"/>
      <c r="ED466" s="43"/>
      <c r="EE466" s="43"/>
      <c r="EF466" s="43"/>
      <c r="EG466" s="43"/>
      <c r="EH466" s="43"/>
      <c r="EI466" s="43"/>
      <c r="EJ466" s="43"/>
      <c r="EK466" s="43"/>
      <c r="EL466" s="43"/>
      <c r="EM466" s="43"/>
      <c r="EN466" s="43"/>
      <c r="EO466" s="43"/>
      <c r="EP466" s="43"/>
      <c r="EQ466" s="43"/>
      <c r="ER466" s="43"/>
      <c r="ES466" s="43"/>
      <c r="ET466" s="50"/>
      <c r="EU466" s="50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43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43"/>
      <c r="CF467" s="43"/>
      <c r="CG467" s="43"/>
      <c r="CH467" s="43"/>
      <c r="CI467" s="43"/>
      <c r="CJ467" s="43"/>
      <c r="CK467" s="43"/>
      <c r="CL467" s="43"/>
      <c r="CM467" s="43"/>
      <c r="CN467" s="43"/>
      <c r="CO467" s="43"/>
      <c r="CP467" s="43"/>
      <c r="CQ467" s="43"/>
      <c r="CR467" s="43"/>
      <c r="CS467" s="43"/>
      <c r="CT467" s="43"/>
      <c r="CU467" s="43"/>
      <c r="CV467" s="43"/>
      <c r="CW467" s="43"/>
      <c r="CX467" s="43"/>
      <c r="CY467" s="43"/>
      <c r="CZ467" s="43"/>
      <c r="DA467" s="43"/>
      <c r="DB467" s="43"/>
      <c r="DC467" s="43"/>
      <c r="DD467" s="43"/>
      <c r="DE467" s="43"/>
      <c r="DF467" s="43"/>
      <c r="DG467" s="43"/>
      <c r="DH467" s="43"/>
      <c r="DI467" s="43"/>
      <c r="DJ467" s="43"/>
      <c r="DK467" s="43"/>
      <c r="DL467" s="43"/>
      <c r="DM467" s="43"/>
      <c r="DN467" s="43"/>
      <c r="DO467" s="43"/>
      <c r="DP467" s="43"/>
      <c r="DQ467" s="43"/>
      <c r="DR467" s="43"/>
      <c r="DS467" s="43"/>
      <c r="DT467" s="43"/>
      <c r="DU467" s="43"/>
      <c r="DV467" s="43"/>
      <c r="DW467" s="43"/>
      <c r="DX467" s="43"/>
      <c r="DY467" s="43"/>
      <c r="DZ467" s="43"/>
      <c r="EA467" s="43"/>
      <c r="EB467" s="43"/>
      <c r="EC467" s="43"/>
      <c r="ED467" s="43"/>
      <c r="EE467" s="43"/>
      <c r="EF467" s="43"/>
      <c r="EG467" s="43"/>
      <c r="EH467" s="43"/>
      <c r="EI467" s="43"/>
      <c r="EJ467" s="43"/>
      <c r="EK467" s="43"/>
      <c r="EL467" s="43"/>
      <c r="EM467" s="43"/>
      <c r="EN467" s="43"/>
      <c r="EO467" s="43"/>
      <c r="EP467" s="43"/>
      <c r="EQ467" s="43"/>
      <c r="ER467" s="43"/>
      <c r="ES467" s="43"/>
      <c r="ET467" s="50"/>
      <c r="EU467" s="50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43"/>
      <c r="CF468" s="43"/>
      <c r="CG468" s="43"/>
      <c r="CH468" s="43"/>
      <c r="CI468" s="43"/>
      <c r="CJ468" s="43"/>
      <c r="CK468" s="43"/>
      <c r="CL468" s="43"/>
      <c r="CM468" s="43"/>
      <c r="CN468" s="43"/>
      <c r="CO468" s="43"/>
      <c r="CP468" s="43"/>
      <c r="CQ468" s="43"/>
      <c r="CR468" s="43"/>
      <c r="CS468" s="43"/>
      <c r="CT468" s="43"/>
      <c r="CU468" s="43"/>
      <c r="CV468" s="43"/>
      <c r="CW468" s="43"/>
      <c r="CX468" s="43"/>
      <c r="CY468" s="43"/>
      <c r="CZ468" s="43"/>
      <c r="DA468" s="43"/>
      <c r="DB468" s="43"/>
      <c r="DC468" s="43"/>
      <c r="DD468" s="43"/>
      <c r="DE468" s="43"/>
      <c r="DF468" s="43"/>
      <c r="DG468" s="43"/>
      <c r="DH468" s="43"/>
      <c r="DI468" s="43"/>
      <c r="DJ468" s="43"/>
      <c r="DK468" s="43"/>
      <c r="DL468" s="43"/>
      <c r="DM468" s="43"/>
      <c r="DN468" s="43"/>
      <c r="DO468" s="43"/>
      <c r="DP468" s="43"/>
      <c r="DQ468" s="43"/>
      <c r="DR468" s="43"/>
      <c r="DS468" s="43"/>
      <c r="DT468" s="43"/>
      <c r="DU468" s="43"/>
      <c r="DV468" s="43"/>
      <c r="DW468" s="43"/>
      <c r="DX468" s="43"/>
      <c r="DY468" s="43"/>
      <c r="DZ468" s="43"/>
      <c r="EA468" s="43"/>
      <c r="EB468" s="43"/>
      <c r="EC468" s="43"/>
      <c r="ED468" s="43"/>
      <c r="EE468" s="43"/>
      <c r="EF468" s="43"/>
      <c r="EG468" s="43"/>
      <c r="EH468" s="43"/>
      <c r="EI468" s="43"/>
      <c r="EJ468" s="43"/>
      <c r="EK468" s="43"/>
      <c r="EL468" s="43"/>
      <c r="EM468" s="43"/>
      <c r="EN468" s="43"/>
      <c r="EO468" s="43"/>
      <c r="EP468" s="43"/>
      <c r="EQ468" s="43"/>
      <c r="ER468" s="43"/>
      <c r="ES468" s="43"/>
      <c r="ET468" s="50"/>
      <c r="EU468" s="50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43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43"/>
      <c r="CF469" s="43"/>
      <c r="CG469" s="43"/>
      <c r="CH469" s="43"/>
      <c r="CI469" s="43"/>
      <c r="CJ469" s="43"/>
      <c r="CK469" s="43"/>
      <c r="CL469" s="43"/>
      <c r="CM469" s="43"/>
      <c r="CN469" s="43"/>
      <c r="CO469" s="43"/>
      <c r="CP469" s="43"/>
      <c r="CQ469" s="43"/>
      <c r="CR469" s="43"/>
      <c r="CS469" s="43"/>
      <c r="CT469" s="43"/>
      <c r="CU469" s="43"/>
      <c r="CV469" s="43"/>
      <c r="CW469" s="43"/>
      <c r="CX469" s="43"/>
      <c r="CY469" s="43"/>
      <c r="CZ469" s="43"/>
      <c r="DA469" s="43"/>
      <c r="DB469" s="43"/>
      <c r="DC469" s="43"/>
      <c r="DD469" s="43"/>
      <c r="DE469" s="43"/>
      <c r="DF469" s="43"/>
      <c r="DG469" s="43"/>
      <c r="DH469" s="43"/>
      <c r="DI469" s="43"/>
      <c r="DJ469" s="43"/>
      <c r="DK469" s="43"/>
      <c r="DL469" s="43"/>
      <c r="DM469" s="43"/>
      <c r="DN469" s="43"/>
      <c r="DO469" s="43"/>
      <c r="DP469" s="43"/>
      <c r="DQ469" s="43"/>
      <c r="DR469" s="43"/>
      <c r="DS469" s="43"/>
      <c r="DT469" s="43"/>
      <c r="DU469" s="43"/>
      <c r="DV469" s="43"/>
      <c r="DW469" s="43"/>
      <c r="DX469" s="43"/>
      <c r="DY469" s="43"/>
      <c r="DZ469" s="43"/>
      <c r="EA469" s="43"/>
      <c r="EB469" s="43"/>
      <c r="EC469" s="43"/>
      <c r="ED469" s="43"/>
      <c r="EE469" s="43"/>
      <c r="EF469" s="43"/>
      <c r="EG469" s="43"/>
      <c r="EH469" s="43"/>
      <c r="EI469" s="43"/>
      <c r="EJ469" s="43"/>
      <c r="EK469" s="43"/>
      <c r="EL469" s="43"/>
      <c r="EM469" s="43"/>
      <c r="EN469" s="43"/>
      <c r="EO469" s="43"/>
      <c r="EP469" s="43"/>
      <c r="EQ469" s="43"/>
      <c r="ER469" s="43"/>
      <c r="ES469" s="43"/>
      <c r="ET469" s="50"/>
      <c r="EU469" s="50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43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43"/>
      <c r="CF470" s="43"/>
      <c r="CG470" s="43"/>
      <c r="CH470" s="43"/>
      <c r="CI470" s="43"/>
      <c r="CJ470" s="43"/>
      <c r="CK470" s="43"/>
      <c r="CL470" s="43"/>
      <c r="CM470" s="43"/>
      <c r="CN470" s="43"/>
      <c r="CO470" s="43"/>
      <c r="CP470" s="43"/>
      <c r="CQ470" s="43"/>
      <c r="CR470" s="43"/>
      <c r="CS470" s="43"/>
      <c r="CT470" s="43"/>
      <c r="CU470" s="43"/>
      <c r="CV470" s="43"/>
      <c r="CW470" s="43"/>
      <c r="CX470" s="43"/>
      <c r="CY470" s="43"/>
      <c r="CZ470" s="43"/>
      <c r="DA470" s="43"/>
      <c r="DB470" s="43"/>
      <c r="DC470" s="43"/>
      <c r="DD470" s="43"/>
      <c r="DE470" s="43"/>
      <c r="DF470" s="43"/>
      <c r="DG470" s="43"/>
      <c r="DH470" s="43"/>
      <c r="DI470" s="43"/>
      <c r="DJ470" s="43"/>
      <c r="DK470" s="43"/>
      <c r="DL470" s="43"/>
      <c r="DM470" s="43"/>
      <c r="DN470" s="43"/>
      <c r="DO470" s="43"/>
      <c r="DP470" s="43"/>
      <c r="DQ470" s="43"/>
      <c r="DR470" s="43"/>
      <c r="DS470" s="43"/>
      <c r="DT470" s="43"/>
      <c r="DU470" s="43"/>
      <c r="DV470" s="43"/>
      <c r="DW470" s="43"/>
      <c r="DX470" s="43"/>
      <c r="DY470" s="43"/>
      <c r="DZ470" s="43"/>
      <c r="EA470" s="43"/>
      <c r="EB470" s="43"/>
      <c r="EC470" s="43"/>
      <c r="ED470" s="43"/>
      <c r="EE470" s="43"/>
      <c r="EF470" s="43"/>
      <c r="EG470" s="43"/>
      <c r="EH470" s="43"/>
      <c r="EI470" s="43"/>
      <c r="EJ470" s="43"/>
      <c r="EK470" s="43"/>
      <c r="EL470" s="43"/>
      <c r="EM470" s="43"/>
      <c r="EN470" s="43"/>
      <c r="EO470" s="43"/>
      <c r="EP470" s="43"/>
      <c r="EQ470" s="43"/>
      <c r="ER470" s="43"/>
      <c r="ES470" s="43"/>
      <c r="ET470" s="50"/>
      <c r="EU470" s="50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43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43"/>
      <c r="CF471" s="43"/>
      <c r="CG471" s="43"/>
      <c r="CH471" s="43"/>
      <c r="CI471" s="43"/>
      <c r="CJ471" s="43"/>
      <c r="CK471" s="43"/>
      <c r="CL471" s="43"/>
      <c r="CM471" s="43"/>
      <c r="CN471" s="43"/>
      <c r="CO471" s="43"/>
      <c r="CP471" s="43"/>
      <c r="CQ471" s="43"/>
      <c r="CR471" s="43"/>
      <c r="CS471" s="43"/>
      <c r="CT471" s="43"/>
      <c r="CU471" s="43"/>
      <c r="CV471" s="43"/>
      <c r="CW471" s="43"/>
      <c r="CX471" s="43"/>
      <c r="CY471" s="43"/>
      <c r="CZ471" s="43"/>
      <c r="DA471" s="43"/>
      <c r="DB471" s="43"/>
      <c r="DC471" s="43"/>
      <c r="DD471" s="43"/>
      <c r="DE471" s="43"/>
      <c r="DF471" s="43"/>
      <c r="DG471" s="43"/>
      <c r="DH471" s="43"/>
      <c r="DI471" s="43"/>
      <c r="DJ471" s="43"/>
      <c r="DK471" s="43"/>
      <c r="DL471" s="43"/>
      <c r="DM471" s="43"/>
      <c r="DN471" s="43"/>
      <c r="DO471" s="43"/>
      <c r="DP471" s="43"/>
      <c r="DQ471" s="43"/>
      <c r="DR471" s="43"/>
      <c r="DS471" s="43"/>
      <c r="DT471" s="43"/>
      <c r="DU471" s="43"/>
      <c r="DV471" s="43"/>
      <c r="DW471" s="43"/>
      <c r="DX471" s="43"/>
      <c r="DY471" s="43"/>
      <c r="DZ471" s="43"/>
      <c r="EA471" s="43"/>
      <c r="EB471" s="43"/>
      <c r="EC471" s="43"/>
      <c r="ED471" s="43"/>
      <c r="EE471" s="43"/>
      <c r="EF471" s="43"/>
      <c r="EG471" s="43"/>
      <c r="EH471" s="43"/>
      <c r="EI471" s="43"/>
      <c r="EJ471" s="43"/>
      <c r="EK471" s="43"/>
      <c r="EL471" s="43"/>
      <c r="EM471" s="43"/>
      <c r="EN471" s="43"/>
      <c r="EO471" s="43"/>
      <c r="EP471" s="43"/>
      <c r="EQ471" s="43"/>
      <c r="ER471" s="43"/>
      <c r="ES471" s="43"/>
      <c r="ET471" s="50"/>
      <c r="EU471" s="50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43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43"/>
      <c r="CF472" s="43"/>
      <c r="CG472" s="43"/>
      <c r="CH472" s="43"/>
      <c r="CI472" s="43"/>
      <c r="CJ472" s="43"/>
      <c r="CK472" s="43"/>
      <c r="CL472" s="43"/>
      <c r="CM472" s="43"/>
      <c r="CN472" s="43"/>
      <c r="CO472" s="43"/>
      <c r="CP472" s="43"/>
      <c r="CQ472" s="43"/>
      <c r="CR472" s="43"/>
      <c r="CS472" s="43"/>
      <c r="CT472" s="43"/>
      <c r="CU472" s="43"/>
      <c r="CV472" s="43"/>
      <c r="CW472" s="43"/>
      <c r="CX472" s="43"/>
      <c r="CY472" s="43"/>
      <c r="CZ472" s="43"/>
      <c r="DA472" s="43"/>
      <c r="DB472" s="43"/>
      <c r="DC472" s="43"/>
      <c r="DD472" s="43"/>
      <c r="DE472" s="43"/>
      <c r="DF472" s="43"/>
      <c r="DG472" s="43"/>
      <c r="DH472" s="43"/>
      <c r="DI472" s="43"/>
      <c r="DJ472" s="43"/>
      <c r="DK472" s="43"/>
      <c r="DL472" s="43"/>
      <c r="DM472" s="43"/>
      <c r="DN472" s="43"/>
      <c r="DO472" s="43"/>
      <c r="DP472" s="43"/>
      <c r="DQ472" s="43"/>
      <c r="DR472" s="43"/>
      <c r="DS472" s="43"/>
      <c r="DT472" s="43"/>
      <c r="DU472" s="43"/>
      <c r="DV472" s="43"/>
      <c r="DW472" s="43"/>
      <c r="DX472" s="43"/>
      <c r="DY472" s="43"/>
      <c r="DZ472" s="43"/>
      <c r="EA472" s="43"/>
      <c r="EB472" s="43"/>
      <c r="EC472" s="43"/>
      <c r="ED472" s="43"/>
      <c r="EE472" s="43"/>
      <c r="EF472" s="43"/>
      <c r="EG472" s="43"/>
      <c r="EH472" s="43"/>
      <c r="EI472" s="43"/>
      <c r="EJ472" s="43"/>
      <c r="EK472" s="43"/>
      <c r="EL472" s="43"/>
      <c r="EM472" s="43"/>
      <c r="EN472" s="43"/>
      <c r="EO472" s="43"/>
      <c r="EP472" s="43"/>
      <c r="EQ472" s="43"/>
      <c r="ER472" s="43"/>
      <c r="ES472" s="43"/>
      <c r="ET472" s="50"/>
      <c r="EU472" s="50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  <c r="CS473" s="43"/>
      <c r="CT473" s="43"/>
      <c r="CU473" s="43"/>
      <c r="CV473" s="43"/>
      <c r="CW473" s="43"/>
      <c r="CX473" s="43"/>
      <c r="CY473" s="43"/>
      <c r="CZ473" s="43"/>
      <c r="DA473" s="43"/>
      <c r="DB473" s="43"/>
      <c r="DC473" s="43"/>
      <c r="DD473" s="43"/>
      <c r="DE473" s="43"/>
      <c r="DF473" s="43"/>
      <c r="DG473" s="43"/>
      <c r="DH473" s="43"/>
      <c r="DI473" s="43"/>
      <c r="DJ473" s="43"/>
      <c r="DK473" s="43"/>
      <c r="DL473" s="43"/>
      <c r="DM473" s="43"/>
      <c r="DN473" s="43"/>
      <c r="DO473" s="43"/>
      <c r="DP473" s="43"/>
      <c r="DQ473" s="43"/>
      <c r="DR473" s="43"/>
      <c r="DS473" s="43"/>
      <c r="DT473" s="43"/>
      <c r="DU473" s="43"/>
      <c r="DV473" s="43"/>
      <c r="DW473" s="43"/>
      <c r="DX473" s="43"/>
      <c r="DY473" s="43"/>
      <c r="DZ473" s="43"/>
      <c r="EA473" s="43"/>
      <c r="EB473" s="43"/>
      <c r="EC473" s="43"/>
      <c r="ED473" s="43"/>
      <c r="EE473" s="43"/>
      <c r="EF473" s="43"/>
      <c r="EG473" s="43"/>
      <c r="EH473" s="43"/>
      <c r="EI473" s="43"/>
      <c r="EJ473" s="43"/>
      <c r="EK473" s="43"/>
      <c r="EL473" s="43"/>
      <c r="EM473" s="43"/>
      <c r="EN473" s="43"/>
      <c r="EO473" s="43"/>
      <c r="EP473" s="43"/>
      <c r="EQ473" s="43"/>
      <c r="ER473" s="43"/>
      <c r="ES473" s="43"/>
      <c r="ET473" s="50"/>
      <c r="EU473" s="50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43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43"/>
      <c r="CF474" s="43"/>
      <c r="CG474" s="43"/>
      <c r="CH474" s="43"/>
      <c r="CI474" s="43"/>
      <c r="CJ474" s="43"/>
      <c r="CK474" s="43"/>
      <c r="CL474" s="43"/>
      <c r="CM474" s="43"/>
      <c r="CN474" s="43"/>
      <c r="CO474" s="43"/>
      <c r="CP474" s="43"/>
      <c r="CQ474" s="43"/>
      <c r="CR474" s="43"/>
      <c r="CS474" s="43"/>
      <c r="CT474" s="43"/>
      <c r="CU474" s="43"/>
      <c r="CV474" s="43"/>
      <c r="CW474" s="43"/>
      <c r="CX474" s="43"/>
      <c r="CY474" s="43"/>
      <c r="CZ474" s="43"/>
      <c r="DA474" s="43"/>
      <c r="DB474" s="43"/>
      <c r="DC474" s="43"/>
      <c r="DD474" s="43"/>
      <c r="DE474" s="43"/>
      <c r="DF474" s="43"/>
      <c r="DG474" s="43"/>
      <c r="DH474" s="43"/>
      <c r="DI474" s="43"/>
      <c r="DJ474" s="43"/>
      <c r="DK474" s="43"/>
      <c r="DL474" s="43"/>
      <c r="DM474" s="43"/>
      <c r="DN474" s="43"/>
      <c r="DO474" s="43"/>
      <c r="DP474" s="43"/>
      <c r="DQ474" s="43"/>
      <c r="DR474" s="43"/>
      <c r="DS474" s="43"/>
      <c r="DT474" s="43"/>
      <c r="DU474" s="43"/>
      <c r="DV474" s="43"/>
      <c r="DW474" s="43"/>
      <c r="DX474" s="43"/>
      <c r="DY474" s="43"/>
      <c r="DZ474" s="43"/>
      <c r="EA474" s="43"/>
      <c r="EB474" s="43"/>
      <c r="EC474" s="43"/>
      <c r="ED474" s="43"/>
      <c r="EE474" s="43"/>
      <c r="EF474" s="43"/>
      <c r="EG474" s="43"/>
      <c r="EH474" s="43"/>
      <c r="EI474" s="43"/>
      <c r="EJ474" s="43"/>
      <c r="EK474" s="43"/>
      <c r="EL474" s="43"/>
      <c r="EM474" s="43"/>
      <c r="EN474" s="43"/>
      <c r="EO474" s="43"/>
      <c r="EP474" s="43"/>
      <c r="EQ474" s="43"/>
      <c r="ER474" s="43"/>
      <c r="ES474" s="43"/>
      <c r="ET474" s="50"/>
      <c r="EU474" s="50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43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43"/>
      <c r="CF475" s="43"/>
      <c r="CG475" s="43"/>
      <c r="CH475" s="43"/>
      <c r="CI475" s="43"/>
      <c r="CJ475" s="43"/>
      <c r="CK475" s="43"/>
      <c r="CL475" s="43"/>
      <c r="CM475" s="43"/>
      <c r="CN475" s="43"/>
      <c r="CO475" s="43"/>
      <c r="CP475" s="43"/>
      <c r="CQ475" s="43"/>
      <c r="CR475" s="43"/>
      <c r="CS475" s="43"/>
      <c r="CT475" s="43"/>
      <c r="CU475" s="43"/>
      <c r="CV475" s="43"/>
      <c r="CW475" s="43"/>
      <c r="CX475" s="43"/>
      <c r="CY475" s="43"/>
      <c r="CZ475" s="43"/>
      <c r="DA475" s="43"/>
      <c r="DB475" s="43"/>
      <c r="DC475" s="43"/>
      <c r="DD475" s="43"/>
      <c r="DE475" s="43"/>
      <c r="DF475" s="43"/>
      <c r="DG475" s="43"/>
      <c r="DH475" s="43"/>
      <c r="DI475" s="43"/>
      <c r="DJ475" s="43"/>
      <c r="DK475" s="43"/>
      <c r="DL475" s="43"/>
      <c r="DM475" s="43"/>
      <c r="DN475" s="43"/>
      <c r="DO475" s="43"/>
      <c r="DP475" s="43"/>
      <c r="DQ475" s="43"/>
      <c r="DR475" s="43"/>
      <c r="DS475" s="43"/>
      <c r="DT475" s="43"/>
      <c r="DU475" s="43"/>
      <c r="DV475" s="43"/>
      <c r="DW475" s="43"/>
      <c r="DX475" s="43"/>
      <c r="DY475" s="43"/>
      <c r="DZ475" s="43"/>
      <c r="EA475" s="43"/>
      <c r="EB475" s="43"/>
      <c r="EC475" s="43"/>
      <c r="ED475" s="43"/>
      <c r="EE475" s="43"/>
      <c r="EF475" s="43"/>
      <c r="EG475" s="43"/>
      <c r="EH475" s="43"/>
      <c r="EI475" s="43"/>
      <c r="EJ475" s="43"/>
      <c r="EK475" s="43"/>
      <c r="EL475" s="43"/>
      <c r="EM475" s="43"/>
      <c r="EN475" s="43"/>
      <c r="EO475" s="43"/>
      <c r="EP475" s="43"/>
      <c r="EQ475" s="43"/>
      <c r="ER475" s="43"/>
      <c r="ES475" s="43"/>
      <c r="ET475" s="50"/>
      <c r="EU475" s="50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43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  <c r="CS476" s="43"/>
      <c r="CT476" s="43"/>
      <c r="CU476" s="43"/>
      <c r="CV476" s="43"/>
      <c r="CW476" s="43"/>
      <c r="CX476" s="43"/>
      <c r="CY476" s="43"/>
      <c r="CZ476" s="43"/>
      <c r="DA476" s="43"/>
      <c r="DB476" s="43"/>
      <c r="DC476" s="43"/>
      <c r="DD476" s="43"/>
      <c r="DE476" s="43"/>
      <c r="DF476" s="43"/>
      <c r="DG476" s="43"/>
      <c r="DH476" s="43"/>
      <c r="DI476" s="43"/>
      <c r="DJ476" s="43"/>
      <c r="DK476" s="43"/>
      <c r="DL476" s="43"/>
      <c r="DM476" s="43"/>
      <c r="DN476" s="43"/>
      <c r="DO476" s="43"/>
      <c r="DP476" s="43"/>
      <c r="DQ476" s="43"/>
      <c r="DR476" s="43"/>
      <c r="DS476" s="43"/>
      <c r="DT476" s="43"/>
      <c r="DU476" s="43"/>
      <c r="DV476" s="43"/>
      <c r="DW476" s="43"/>
      <c r="DX476" s="43"/>
      <c r="DY476" s="43"/>
      <c r="DZ476" s="43"/>
      <c r="EA476" s="43"/>
      <c r="EB476" s="43"/>
      <c r="EC476" s="43"/>
      <c r="ED476" s="43"/>
      <c r="EE476" s="43"/>
      <c r="EF476" s="43"/>
      <c r="EG476" s="43"/>
      <c r="EH476" s="43"/>
      <c r="EI476" s="43"/>
      <c r="EJ476" s="43"/>
      <c r="EK476" s="43"/>
      <c r="EL476" s="43"/>
      <c r="EM476" s="43"/>
      <c r="EN476" s="43"/>
      <c r="EO476" s="43"/>
      <c r="EP476" s="43"/>
      <c r="EQ476" s="43"/>
      <c r="ER476" s="43"/>
      <c r="ES476" s="43"/>
      <c r="ET476" s="50"/>
      <c r="EU476" s="50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43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43"/>
      <c r="CF477" s="43"/>
      <c r="CG477" s="43"/>
      <c r="CH477" s="43"/>
      <c r="CI477" s="43"/>
      <c r="CJ477" s="43"/>
      <c r="CK477" s="43"/>
      <c r="CL477" s="43"/>
      <c r="CM477" s="43"/>
      <c r="CN477" s="43"/>
      <c r="CO477" s="43"/>
      <c r="CP477" s="43"/>
      <c r="CQ477" s="43"/>
      <c r="CR477" s="43"/>
      <c r="CS477" s="43"/>
      <c r="CT477" s="43"/>
      <c r="CU477" s="43"/>
      <c r="CV477" s="43"/>
      <c r="CW477" s="43"/>
      <c r="CX477" s="43"/>
      <c r="CY477" s="43"/>
      <c r="CZ477" s="43"/>
      <c r="DA477" s="43"/>
      <c r="DB477" s="43"/>
      <c r="DC477" s="43"/>
      <c r="DD477" s="43"/>
      <c r="DE477" s="43"/>
      <c r="DF477" s="43"/>
      <c r="DG477" s="43"/>
      <c r="DH477" s="43"/>
      <c r="DI477" s="43"/>
      <c r="DJ477" s="43"/>
      <c r="DK477" s="43"/>
      <c r="DL477" s="43"/>
      <c r="DM477" s="43"/>
      <c r="DN477" s="43"/>
      <c r="DO477" s="43"/>
      <c r="DP477" s="43"/>
      <c r="DQ477" s="43"/>
      <c r="DR477" s="43"/>
      <c r="DS477" s="43"/>
      <c r="DT477" s="43"/>
      <c r="DU477" s="43"/>
      <c r="DV477" s="43"/>
      <c r="DW477" s="43"/>
      <c r="DX477" s="43"/>
      <c r="DY477" s="43"/>
      <c r="DZ477" s="43"/>
      <c r="EA477" s="43"/>
      <c r="EB477" s="43"/>
      <c r="EC477" s="43"/>
      <c r="ED477" s="43"/>
      <c r="EE477" s="43"/>
      <c r="EF477" s="43"/>
      <c r="EG477" s="43"/>
      <c r="EH477" s="43"/>
      <c r="EI477" s="43"/>
      <c r="EJ477" s="43"/>
      <c r="EK477" s="43"/>
      <c r="EL477" s="43"/>
      <c r="EM477" s="43"/>
      <c r="EN477" s="43"/>
      <c r="EO477" s="43"/>
      <c r="EP477" s="43"/>
      <c r="EQ477" s="43"/>
      <c r="ER477" s="43"/>
      <c r="ES477" s="43"/>
      <c r="ET477" s="50"/>
      <c r="EU477" s="50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43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43"/>
      <c r="CF478" s="43"/>
      <c r="CG478" s="43"/>
      <c r="CH478" s="43"/>
      <c r="CI478" s="43"/>
      <c r="CJ478" s="43"/>
      <c r="CK478" s="43"/>
      <c r="CL478" s="43"/>
      <c r="CM478" s="43"/>
      <c r="CN478" s="43"/>
      <c r="CO478" s="43"/>
      <c r="CP478" s="43"/>
      <c r="CQ478" s="43"/>
      <c r="CR478" s="43"/>
      <c r="CS478" s="43"/>
      <c r="CT478" s="43"/>
      <c r="CU478" s="43"/>
      <c r="CV478" s="43"/>
      <c r="CW478" s="43"/>
      <c r="CX478" s="43"/>
      <c r="CY478" s="43"/>
      <c r="CZ478" s="43"/>
      <c r="DA478" s="43"/>
      <c r="DB478" s="43"/>
      <c r="DC478" s="43"/>
      <c r="DD478" s="43"/>
      <c r="DE478" s="43"/>
      <c r="DF478" s="43"/>
      <c r="DG478" s="43"/>
      <c r="DH478" s="43"/>
      <c r="DI478" s="43"/>
      <c r="DJ478" s="43"/>
      <c r="DK478" s="43"/>
      <c r="DL478" s="43"/>
      <c r="DM478" s="43"/>
      <c r="DN478" s="43"/>
      <c r="DO478" s="43"/>
      <c r="DP478" s="43"/>
      <c r="DQ478" s="43"/>
      <c r="DR478" s="43"/>
      <c r="DS478" s="43"/>
      <c r="DT478" s="43"/>
      <c r="DU478" s="43"/>
      <c r="DV478" s="43"/>
      <c r="DW478" s="43"/>
      <c r="DX478" s="43"/>
      <c r="DY478" s="43"/>
      <c r="DZ478" s="43"/>
      <c r="EA478" s="43"/>
      <c r="EB478" s="43"/>
      <c r="EC478" s="43"/>
      <c r="ED478" s="43"/>
      <c r="EE478" s="43"/>
      <c r="EF478" s="43"/>
      <c r="EG478" s="43"/>
      <c r="EH478" s="43"/>
      <c r="EI478" s="43"/>
      <c r="EJ478" s="43"/>
      <c r="EK478" s="43"/>
      <c r="EL478" s="43"/>
      <c r="EM478" s="43"/>
      <c r="EN478" s="43"/>
      <c r="EO478" s="43"/>
      <c r="EP478" s="43"/>
      <c r="EQ478" s="43"/>
      <c r="ER478" s="43"/>
      <c r="ES478" s="43"/>
      <c r="ET478" s="50"/>
      <c r="EU478" s="50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43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  <c r="CS479" s="43"/>
      <c r="CT479" s="43"/>
      <c r="CU479" s="43"/>
      <c r="CV479" s="43"/>
      <c r="CW479" s="43"/>
      <c r="CX479" s="43"/>
      <c r="CY479" s="43"/>
      <c r="CZ479" s="43"/>
      <c r="DA479" s="43"/>
      <c r="DB479" s="43"/>
      <c r="DC479" s="43"/>
      <c r="DD479" s="43"/>
      <c r="DE479" s="43"/>
      <c r="DF479" s="43"/>
      <c r="DG479" s="43"/>
      <c r="DH479" s="43"/>
      <c r="DI479" s="43"/>
      <c r="DJ479" s="43"/>
      <c r="DK479" s="43"/>
      <c r="DL479" s="43"/>
      <c r="DM479" s="43"/>
      <c r="DN479" s="43"/>
      <c r="DO479" s="43"/>
      <c r="DP479" s="43"/>
      <c r="DQ479" s="43"/>
      <c r="DR479" s="43"/>
      <c r="DS479" s="43"/>
      <c r="DT479" s="43"/>
      <c r="DU479" s="43"/>
      <c r="DV479" s="43"/>
      <c r="DW479" s="43"/>
      <c r="DX479" s="43"/>
      <c r="DY479" s="43"/>
      <c r="DZ479" s="43"/>
      <c r="EA479" s="43"/>
      <c r="EB479" s="43"/>
      <c r="EC479" s="43"/>
      <c r="ED479" s="43"/>
      <c r="EE479" s="43"/>
      <c r="EF479" s="43"/>
      <c r="EG479" s="43"/>
      <c r="EH479" s="43"/>
      <c r="EI479" s="43"/>
      <c r="EJ479" s="43"/>
      <c r="EK479" s="43"/>
      <c r="EL479" s="43"/>
      <c r="EM479" s="43"/>
      <c r="EN479" s="43"/>
      <c r="EO479" s="43"/>
      <c r="EP479" s="43"/>
      <c r="EQ479" s="43"/>
      <c r="ER479" s="43"/>
      <c r="ES479" s="43"/>
      <c r="ET479" s="50"/>
      <c r="EU479" s="50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43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43"/>
      <c r="CF480" s="43"/>
      <c r="CG480" s="43"/>
      <c r="CH480" s="43"/>
      <c r="CI480" s="43"/>
      <c r="CJ480" s="43"/>
      <c r="CK480" s="43"/>
      <c r="CL480" s="43"/>
      <c r="CM480" s="43"/>
      <c r="CN480" s="43"/>
      <c r="CO480" s="43"/>
      <c r="CP480" s="43"/>
      <c r="CQ480" s="43"/>
      <c r="CR480" s="43"/>
      <c r="CS480" s="43"/>
      <c r="CT480" s="43"/>
      <c r="CU480" s="43"/>
      <c r="CV480" s="43"/>
      <c r="CW480" s="43"/>
      <c r="CX480" s="43"/>
      <c r="CY480" s="43"/>
      <c r="CZ480" s="43"/>
      <c r="DA480" s="43"/>
      <c r="DB480" s="43"/>
      <c r="DC480" s="43"/>
      <c r="DD480" s="43"/>
      <c r="DE480" s="43"/>
      <c r="DF480" s="43"/>
      <c r="DG480" s="43"/>
      <c r="DH480" s="43"/>
      <c r="DI480" s="43"/>
      <c r="DJ480" s="43"/>
      <c r="DK480" s="43"/>
      <c r="DL480" s="43"/>
      <c r="DM480" s="43"/>
      <c r="DN480" s="43"/>
      <c r="DO480" s="43"/>
      <c r="DP480" s="43"/>
      <c r="DQ480" s="43"/>
      <c r="DR480" s="43"/>
      <c r="DS480" s="43"/>
      <c r="DT480" s="43"/>
      <c r="DU480" s="43"/>
      <c r="DV480" s="43"/>
      <c r="DW480" s="43"/>
      <c r="DX480" s="43"/>
      <c r="DY480" s="43"/>
      <c r="DZ480" s="43"/>
      <c r="EA480" s="43"/>
      <c r="EB480" s="43"/>
      <c r="EC480" s="43"/>
      <c r="ED480" s="43"/>
      <c r="EE480" s="43"/>
      <c r="EF480" s="43"/>
      <c r="EG480" s="43"/>
      <c r="EH480" s="43"/>
      <c r="EI480" s="43"/>
      <c r="EJ480" s="43"/>
      <c r="EK480" s="43"/>
      <c r="EL480" s="43"/>
      <c r="EM480" s="43"/>
      <c r="EN480" s="43"/>
      <c r="EO480" s="43"/>
      <c r="EP480" s="43"/>
      <c r="EQ480" s="43"/>
      <c r="ER480" s="43"/>
      <c r="ES480" s="43"/>
      <c r="ET480" s="50"/>
      <c r="EU480" s="50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43"/>
      <c r="CF481" s="43"/>
      <c r="CG481" s="43"/>
      <c r="CH481" s="43"/>
      <c r="CI481" s="43"/>
      <c r="CJ481" s="43"/>
      <c r="CK481" s="43"/>
      <c r="CL481" s="43"/>
      <c r="CM481" s="43"/>
      <c r="CN481" s="43"/>
      <c r="CO481" s="43"/>
      <c r="CP481" s="43"/>
      <c r="CQ481" s="43"/>
      <c r="CR481" s="43"/>
      <c r="CS481" s="43"/>
      <c r="CT481" s="43"/>
      <c r="CU481" s="43"/>
      <c r="CV481" s="43"/>
      <c r="CW481" s="43"/>
      <c r="CX481" s="43"/>
      <c r="CY481" s="43"/>
      <c r="CZ481" s="43"/>
      <c r="DA481" s="43"/>
      <c r="DB481" s="43"/>
      <c r="DC481" s="43"/>
      <c r="DD481" s="43"/>
      <c r="DE481" s="43"/>
      <c r="DF481" s="43"/>
      <c r="DG481" s="43"/>
      <c r="DH481" s="43"/>
      <c r="DI481" s="43"/>
      <c r="DJ481" s="43"/>
      <c r="DK481" s="43"/>
      <c r="DL481" s="43"/>
      <c r="DM481" s="43"/>
      <c r="DN481" s="43"/>
      <c r="DO481" s="43"/>
      <c r="DP481" s="43"/>
      <c r="DQ481" s="43"/>
      <c r="DR481" s="43"/>
      <c r="DS481" s="43"/>
      <c r="DT481" s="43"/>
      <c r="DU481" s="43"/>
      <c r="DV481" s="43"/>
      <c r="DW481" s="43"/>
      <c r="DX481" s="43"/>
      <c r="DY481" s="43"/>
      <c r="DZ481" s="43"/>
      <c r="EA481" s="43"/>
      <c r="EB481" s="43"/>
      <c r="EC481" s="43"/>
      <c r="ED481" s="43"/>
      <c r="EE481" s="43"/>
      <c r="EF481" s="43"/>
      <c r="EG481" s="43"/>
      <c r="EH481" s="43"/>
      <c r="EI481" s="43"/>
      <c r="EJ481" s="43"/>
      <c r="EK481" s="43"/>
      <c r="EL481" s="43"/>
      <c r="EM481" s="43"/>
      <c r="EN481" s="43"/>
      <c r="EO481" s="43"/>
      <c r="EP481" s="43"/>
      <c r="EQ481" s="43"/>
      <c r="ER481" s="43"/>
      <c r="ES481" s="43"/>
      <c r="ET481" s="50"/>
      <c r="EU481" s="50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  <c r="CS482" s="43"/>
      <c r="CT482" s="43"/>
      <c r="CU482" s="43"/>
      <c r="CV482" s="43"/>
      <c r="CW482" s="43"/>
      <c r="CX482" s="43"/>
      <c r="CY482" s="43"/>
      <c r="CZ482" s="43"/>
      <c r="DA482" s="43"/>
      <c r="DB482" s="43"/>
      <c r="DC482" s="43"/>
      <c r="DD482" s="43"/>
      <c r="DE482" s="43"/>
      <c r="DF482" s="43"/>
      <c r="DG482" s="43"/>
      <c r="DH482" s="43"/>
      <c r="DI482" s="43"/>
      <c r="DJ482" s="43"/>
      <c r="DK482" s="43"/>
      <c r="DL482" s="43"/>
      <c r="DM482" s="43"/>
      <c r="DN482" s="43"/>
      <c r="DO482" s="43"/>
      <c r="DP482" s="43"/>
      <c r="DQ482" s="43"/>
      <c r="DR482" s="43"/>
      <c r="DS482" s="43"/>
      <c r="DT482" s="43"/>
      <c r="DU482" s="43"/>
      <c r="DV482" s="43"/>
      <c r="DW482" s="43"/>
      <c r="DX482" s="43"/>
      <c r="DY482" s="43"/>
      <c r="DZ482" s="43"/>
      <c r="EA482" s="43"/>
      <c r="EB482" s="43"/>
      <c r="EC482" s="43"/>
      <c r="ED482" s="43"/>
      <c r="EE482" s="43"/>
      <c r="EF482" s="43"/>
      <c r="EG482" s="43"/>
      <c r="EH482" s="43"/>
      <c r="EI482" s="43"/>
      <c r="EJ482" s="43"/>
      <c r="EK482" s="43"/>
      <c r="EL482" s="43"/>
      <c r="EM482" s="43"/>
      <c r="EN482" s="43"/>
      <c r="EO482" s="43"/>
      <c r="EP482" s="43"/>
      <c r="EQ482" s="43"/>
      <c r="ER482" s="43"/>
      <c r="ES482" s="43"/>
      <c r="ET482" s="50"/>
      <c r="EU482" s="50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43"/>
      <c r="CF483" s="43"/>
      <c r="CG483" s="43"/>
      <c r="CH483" s="43"/>
      <c r="CI483" s="43"/>
      <c r="CJ483" s="43"/>
      <c r="CK483" s="43"/>
      <c r="CL483" s="43"/>
      <c r="CM483" s="43"/>
      <c r="CN483" s="43"/>
      <c r="CO483" s="43"/>
      <c r="CP483" s="43"/>
      <c r="CQ483" s="43"/>
      <c r="CR483" s="43"/>
      <c r="CS483" s="43"/>
      <c r="CT483" s="43"/>
      <c r="CU483" s="43"/>
      <c r="CV483" s="43"/>
      <c r="CW483" s="43"/>
      <c r="CX483" s="43"/>
      <c r="CY483" s="43"/>
      <c r="CZ483" s="43"/>
      <c r="DA483" s="43"/>
      <c r="DB483" s="43"/>
      <c r="DC483" s="43"/>
      <c r="DD483" s="43"/>
      <c r="DE483" s="43"/>
      <c r="DF483" s="43"/>
      <c r="DG483" s="43"/>
      <c r="DH483" s="43"/>
      <c r="DI483" s="43"/>
      <c r="DJ483" s="43"/>
      <c r="DK483" s="43"/>
      <c r="DL483" s="43"/>
      <c r="DM483" s="43"/>
      <c r="DN483" s="43"/>
      <c r="DO483" s="43"/>
      <c r="DP483" s="43"/>
      <c r="DQ483" s="43"/>
      <c r="DR483" s="43"/>
      <c r="DS483" s="43"/>
      <c r="DT483" s="43"/>
      <c r="DU483" s="43"/>
      <c r="DV483" s="43"/>
      <c r="DW483" s="43"/>
      <c r="DX483" s="43"/>
      <c r="DY483" s="43"/>
      <c r="DZ483" s="43"/>
      <c r="EA483" s="43"/>
      <c r="EB483" s="43"/>
      <c r="EC483" s="43"/>
      <c r="ED483" s="43"/>
      <c r="EE483" s="43"/>
      <c r="EF483" s="43"/>
      <c r="EG483" s="43"/>
      <c r="EH483" s="43"/>
      <c r="EI483" s="43"/>
      <c r="EJ483" s="43"/>
      <c r="EK483" s="43"/>
      <c r="EL483" s="43"/>
      <c r="EM483" s="43"/>
      <c r="EN483" s="43"/>
      <c r="EO483" s="43"/>
      <c r="EP483" s="43"/>
      <c r="EQ483" s="43"/>
      <c r="ER483" s="43"/>
      <c r="ES483" s="43"/>
      <c r="ET483" s="50"/>
      <c r="EU483" s="50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43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43"/>
      <c r="CF484" s="43"/>
      <c r="CG484" s="43"/>
      <c r="CH484" s="43"/>
      <c r="CI484" s="43"/>
      <c r="CJ484" s="43"/>
      <c r="CK484" s="43"/>
      <c r="CL484" s="43"/>
      <c r="CM484" s="43"/>
      <c r="CN484" s="43"/>
      <c r="CO484" s="43"/>
      <c r="CP484" s="43"/>
      <c r="CQ484" s="43"/>
      <c r="CR484" s="43"/>
      <c r="CS484" s="43"/>
      <c r="CT484" s="43"/>
      <c r="CU484" s="43"/>
      <c r="CV484" s="43"/>
      <c r="CW484" s="43"/>
      <c r="CX484" s="43"/>
      <c r="CY484" s="43"/>
      <c r="CZ484" s="43"/>
      <c r="DA484" s="43"/>
      <c r="DB484" s="43"/>
      <c r="DC484" s="43"/>
      <c r="DD484" s="43"/>
      <c r="DE484" s="43"/>
      <c r="DF484" s="43"/>
      <c r="DG484" s="43"/>
      <c r="DH484" s="43"/>
      <c r="DI484" s="43"/>
      <c r="DJ484" s="43"/>
      <c r="DK484" s="43"/>
      <c r="DL484" s="43"/>
      <c r="DM484" s="43"/>
      <c r="DN484" s="43"/>
      <c r="DO484" s="43"/>
      <c r="DP484" s="43"/>
      <c r="DQ484" s="43"/>
      <c r="DR484" s="43"/>
      <c r="DS484" s="43"/>
      <c r="DT484" s="43"/>
      <c r="DU484" s="43"/>
      <c r="DV484" s="43"/>
      <c r="DW484" s="43"/>
      <c r="DX484" s="43"/>
      <c r="DY484" s="43"/>
      <c r="DZ484" s="43"/>
      <c r="EA484" s="43"/>
      <c r="EB484" s="43"/>
      <c r="EC484" s="43"/>
      <c r="ED484" s="43"/>
      <c r="EE484" s="43"/>
      <c r="EF484" s="43"/>
      <c r="EG484" s="43"/>
      <c r="EH484" s="43"/>
      <c r="EI484" s="43"/>
      <c r="EJ484" s="43"/>
      <c r="EK484" s="43"/>
      <c r="EL484" s="43"/>
      <c r="EM484" s="43"/>
      <c r="EN484" s="43"/>
      <c r="EO484" s="43"/>
      <c r="EP484" s="43"/>
      <c r="EQ484" s="43"/>
      <c r="ER484" s="43"/>
      <c r="ES484" s="43"/>
      <c r="ET484" s="50"/>
      <c r="EU484" s="50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  <c r="CS485" s="43"/>
      <c r="CT485" s="43"/>
      <c r="CU485" s="43"/>
      <c r="CV485" s="43"/>
      <c r="CW485" s="43"/>
      <c r="CX485" s="43"/>
      <c r="CY485" s="43"/>
      <c r="CZ485" s="43"/>
      <c r="DA485" s="43"/>
      <c r="DB485" s="43"/>
      <c r="DC485" s="43"/>
      <c r="DD485" s="43"/>
      <c r="DE485" s="43"/>
      <c r="DF485" s="43"/>
      <c r="DG485" s="43"/>
      <c r="DH485" s="43"/>
      <c r="DI485" s="43"/>
      <c r="DJ485" s="43"/>
      <c r="DK485" s="43"/>
      <c r="DL485" s="43"/>
      <c r="DM485" s="43"/>
      <c r="DN485" s="43"/>
      <c r="DO485" s="43"/>
      <c r="DP485" s="43"/>
      <c r="DQ485" s="43"/>
      <c r="DR485" s="43"/>
      <c r="DS485" s="43"/>
      <c r="DT485" s="43"/>
      <c r="DU485" s="43"/>
      <c r="DV485" s="43"/>
      <c r="DW485" s="43"/>
      <c r="DX485" s="43"/>
      <c r="DY485" s="43"/>
      <c r="DZ485" s="43"/>
      <c r="EA485" s="43"/>
      <c r="EB485" s="43"/>
      <c r="EC485" s="43"/>
      <c r="ED485" s="43"/>
      <c r="EE485" s="43"/>
      <c r="EF485" s="43"/>
      <c r="EG485" s="43"/>
      <c r="EH485" s="43"/>
      <c r="EI485" s="43"/>
      <c r="EJ485" s="43"/>
      <c r="EK485" s="43"/>
      <c r="EL485" s="43"/>
      <c r="EM485" s="43"/>
      <c r="EN485" s="43"/>
      <c r="EO485" s="43"/>
      <c r="EP485" s="43"/>
      <c r="EQ485" s="43"/>
      <c r="ER485" s="43"/>
      <c r="ES485" s="43"/>
      <c r="ET485" s="50"/>
      <c r="EU485" s="50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  <c r="CS486" s="43"/>
      <c r="CT486" s="43"/>
      <c r="CU486" s="43"/>
      <c r="CV486" s="43"/>
      <c r="CW486" s="43"/>
      <c r="CX486" s="43"/>
      <c r="CY486" s="43"/>
      <c r="CZ486" s="43"/>
      <c r="DA486" s="43"/>
      <c r="DB486" s="43"/>
      <c r="DC486" s="43"/>
      <c r="DD486" s="43"/>
      <c r="DE486" s="43"/>
      <c r="DF486" s="43"/>
      <c r="DG486" s="43"/>
      <c r="DH486" s="43"/>
      <c r="DI486" s="43"/>
      <c r="DJ486" s="43"/>
      <c r="DK486" s="43"/>
      <c r="DL486" s="43"/>
      <c r="DM486" s="43"/>
      <c r="DN486" s="43"/>
      <c r="DO486" s="43"/>
      <c r="DP486" s="43"/>
      <c r="DQ486" s="43"/>
      <c r="DR486" s="43"/>
      <c r="DS486" s="43"/>
      <c r="DT486" s="43"/>
      <c r="DU486" s="43"/>
      <c r="DV486" s="43"/>
      <c r="DW486" s="43"/>
      <c r="DX486" s="43"/>
      <c r="DY486" s="43"/>
      <c r="DZ486" s="43"/>
      <c r="EA486" s="43"/>
      <c r="EB486" s="43"/>
      <c r="EC486" s="43"/>
      <c r="ED486" s="43"/>
      <c r="EE486" s="43"/>
      <c r="EF486" s="43"/>
      <c r="EG486" s="43"/>
      <c r="EH486" s="43"/>
      <c r="EI486" s="43"/>
      <c r="EJ486" s="43"/>
      <c r="EK486" s="43"/>
      <c r="EL486" s="43"/>
      <c r="EM486" s="43"/>
      <c r="EN486" s="43"/>
      <c r="EO486" s="43"/>
      <c r="EP486" s="43"/>
      <c r="EQ486" s="43"/>
      <c r="ER486" s="43"/>
      <c r="ES486" s="43"/>
      <c r="ET486" s="50"/>
      <c r="EU486" s="50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43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43"/>
      <c r="CF487" s="43"/>
      <c r="CG487" s="43"/>
      <c r="CH487" s="43"/>
      <c r="CI487" s="43"/>
      <c r="CJ487" s="43"/>
      <c r="CK487" s="43"/>
      <c r="CL487" s="43"/>
      <c r="CM487" s="43"/>
      <c r="CN487" s="43"/>
      <c r="CO487" s="43"/>
      <c r="CP487" s="43"/>
      <c r="CQ487" s="43"/>
      <c r="CR487" s="43"/>
      <c r="CS487" s="43"/>
      <c r="CT487" s="43"/>
      <c r="CU487" s="43"/>
      <c r="CV487" s="43"/>
      <c r="CW487" s="43"/>
      <c r="CX487" s="43"/>
      <c r="CY487" s="43"/>
      <c r="CZ487" s="43"/>
      <c r="DA487" s="43"/>
      <c r="DB487" s="43"/>
      <c r="DC487" s="43"/>
      <c r="DD487" s="43"/>
      <c r="DE487" s="43"/>
      <c r="DF487" s="43"/>
      <c r="DG487" s="43"/>
      <c r="DH487" s="43"/>
      <c r="DI487" s="43"/>
      <c r="DJ487" s="43"/>
      <c r="DK487" s="43"/>
      <c r="DL487" s="43"/>
      <c r="DM487" s="43"/>
      <c r="DN487" s="43"/>
      <c r="DO487" s="43"/>
      <c r="DP487" s="43"/>
      <c r="DQ487" s="43"/>
      <c r="DR487" s="43"/>
      <c r="DS487" s="43"/>
      <c r="DT487" s="43"/>
      <c r="DU487" s="43"/>
      <c r="DV487" s="43"/>
      <c r="DW487" s="43"/>
      <c r="DX487" s="43"/>
      <c r="DY487" s="43"/>
      <c r="DZ487" s="43"/>
      <c r="EA487" s="43"/>
      <c r="EB487" s="43"/>
      <c r="EC487" s="43"/>
      <c r="ED487" s="43"/>
      <c r="EE487" s="43"/>
      <c r="EF487" s="43"/>
      <c r="EG487" s="43"/>
      <c r="EH487" s="43"/>
      <c r="EI487" s="43"/>
      <c r="EJ487" s="43"/>
      <c r="EK487" s="43"/>
      <c r="EL487" s="43"/>
      <c r="EM487" s="43"/>
      <c r="EN487" s="43"/>
      <c r="EO487" s="43"/>
      <c r="EP487" s="43"/>
      <c r="EQ487" s="43"/>
      <c r="ER487" s="43"/>
      <c r="ES487" s="43"/>
      <c r="ET487" s="50"/>
      <c r="EU487" s="50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43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43"/>
      <c r="CF488" s="43"/>
      <c r="CG488" s="43"/>
      <c r="CH488" s="43"/>
      <c r="CI488" s="43"/>
      <c r="CJ488" s="43"/>
      <c r="CK488" s="43"/>
      <c r="CL488" s="43"/>
      <c r="CM488" s="43"/>
      <c r="CN488" s="43"/>
      <c r="CO488" s="43"/>
      <c r="CP488" s="43"/>
      <c r="CQ488" s="43"/>
      <c r="CR488" s="43"/>
      <c r="CS488" s="43"/>
      <c r="CT488" s="43"/>
      <c r="CU488" s="43"/>
      <c r="CV488" s="43"/>
      <c r="CW488" s="43"/>
      <c r="CX488" s="43"/>
      <c r="CY488" s="43"/>
      <c r="CZ488" s="43"/>
      <c r="DA488" s="43"/>
      <c r="DB488" s="43"/>
      <c r="DC488" s="43"/>
      <c r="DD488" s="43"/>
      <c r="DE488" s="43"/>
      <c r="DF488" s="43"/>
      <c r="DG488" s="43"/>
      <c r="DH488" s="43"/>
      <c r="DI488" s="43"/>
      <c r="DJ488" s="43"/>
      <c r="DK488" s="43"/>
      <c r="DL488" s="43"/>
      <c r="DM488" s="43"/>
      <c r="DN488" s="43"/>
      <c r="DO488" s="43"/>
      <c r="DP488" s="43"/>
      <c r="DQ488" s="43"/>
      <c r="DR488" s="43"/>
      <c r="DS488" s="43"/>
      <c r="DT488" s="43"/>
      <c r="DU488" s="43"/>
      <c r="DV488" s="43"/>
      <c r="DW488" s="43"/>
      <c r="DX488" s="43"/>
      <c r="DY488" s="43"/>
      <c r="DZ488" s="43"/>
      <c r="EA488" s="43"/>
      <c r="EB488" s="43"/>
      <c r="EC488" s="43"/>
      <c r="ED488" s="43"/>
      <c r="EE488" s="43"/>
      <c r="EF488" s="43"/>
      <c r="EG488" s="43"/>
      <c r="EH488" s="43"/>
      <c r="EI488" s="43"/>
      <c r="EJ488" s="43"/>
      <c r="EK488" s="43"/>
      <c r="EL488" s="43"/>
      <c r="EM488" s="43"/>
      <c r="EN488" s="43"/>
      <c r="EO488" s="43"/>
      <c r="EP488" s="43"/>
      <c r="EQ488" s="43"/>
      <c r="ER488" s="43"/>
      <c r="ES488" s="43"/>
      <c r="ET488" s="50"/>
      <c r="EU488" s="50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43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43"/>
      <c r="CF489" s="43"/>
      <c r="CG489" s="43"/>
      <c r="CH489" s="43"/>
      <c r="CI489" s="43"/>
      <c r="CJ489" s="43"/>
      <c r="CK489" s="43"/>
      <c r="CL489" s="43"/>
      <c r="CM489" s="43"/>
      <c r="CN489" s="43"/>
      <c r="CO489" s="43"/>
      <c r="CP489" s="43"/>
      <c r="CQ489" s="43"/>
      <c r="CR489" s="43"/>
      <c r="CS489" s="43"/>
      <c r="CT489" s="43"/>
      <c r="CU489" s="43"/>
      <c r="CV489" s="43"/>
      <c r="CW489" s="43"/>
      <c r="CX489" s="43"/>
      <c r="CY489" s="43"/>
      <c r="CZ489" s="43"/>
      <c r="DA489" s="43"/>
      <c r="DB489" s="43"/>
      <c r="DC489" s="43"/>
      <c r="DD489" s="43"/>
      <c r="DE489" s="43"/>
      <c r="DF489" s="43"/>
      <c r="DG489" s="43"/>
      <c r="DH489" s="43"/>
      <c r="DI489" s="43"/>
      <c r="DJ489" s="43"/>
      <c r="DK489" s="43"/>
      <c r="DL489" s="43"/>
      <c r="DM489" s="43"/>
      <c r="DN489" s="43"/>
      <c r="DO489" s="43"/>
      <c r="DP489" s="43"/>
      <c r="DQ489" s="43"/>
      <c r="DR489" s="43"/>
      <c r="DS489" s="43"/>
      <c r="DT489" s="43"/>
      <c r="DU489" s="43"/>
      <c r="DV489" s="43"/>
      <c r="DW489" s="43"/>
      <c r="DX489" s="43"/>
      <c r="DY489" s="43"/>
      <c r="DZ489" s="43"/>
      <c r="EA489" s="43"/>
      <c r="EB489" s="43"/>
      <c r="EC489" s="43"/>
      <c r="ED489" s="43"/>
      <c r="EE489" s="43"/>
      <c r="EF489" s="43"/>
      <c r="EG489" s="43"/>
      <c r="EH489" s="43"/>
      <c r="EI489" s="43"/>
      <c r="EJ489" s="43"/>
      <c r="EK489" s="43"/>
      <c r="EL489" s="43"/>
      <c r="EM489" s="43"/>
      <c r="EN489" s="43"/>
      <c r="EO489" s="43"/>
      <c r="EP489" s="43"/>
      <c r="EQ489" s="43"/>
      <c r="ER489" s="43"/>
      <c r="ES489" s="43"/>
      <c r="ET489" s="50"/>
      <c r="EU489" s="50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43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43"/>
      <c r="CF490" s="43"/>
      <c r="CG490" s="43"/>
      <c r="CH490" s="43"/>
      <c r="CI490" s="43"/>
      <c r="CJ490" s="43"/>
      <c r="CK490" s="43"/>
      <c r="CL490" s="43"/>
      <c r="CM490" s="43"/>
      <c r="CN490" s="43"/>
      <c r="CO490" s="43"/>
      <c r="CP490" s="43"/>
      <c r="CQ490" s="43"/>
      <c r="CR490" s="43"/>
      <c r="CS490" s="43"/>
      <c r="CT490" s="43"/>
      <c r="CU490" s="43"/>
      <c r="CV490" s="43"/>
      <c r="CW490" s="43"/>
      <c r="CX490" s="43"/>
      <c r="CY490" s="43"/>
      <c r="CZ490" s="43"/>
      <c r="DA490" s="43"/>
      <c r="DB490" s="43"/>
      <c r="DC490" s="43"/>
      <c r="DD490" s="43"/>
      <c r="DE490" s="43"/>
      <c r="DF490" s="43"/>
      <c r="DG490" s="43"/>
      <c r="DH490" s="43"/>
      <c r="DI490" s="43"/>
      <c r="DJ490" s="43"/>
      <c r="DK490" s="43"/>
      <c r="DL490" s="43"/>
      <c r="DM490" s="43"/>
      <c r="DN490" s="43"/>
      <c r="DO490" s="43"/>
      <c r="DP490" s="43"/>
      <c r="DQ490" s="43"/>
      <c r="DR490" s="43"/>
      <c r="DS490" s="43"/>
      <c r="DT490" s="43"/>
      <c r="DU490" s="43"/>
      <c r="DV490" s="43"/>
      <c r="DW490" s="43"/>
      <c r="DX490" s="43"/>
      <c r="DY490" s="43"/>
      <c r="DZ490" s="43"/>
      <c r="EA490" s="43"/>
      <c r="EB490" s="43"/>
      <c r="EC490" s="43"/>
      <c r="ED490" s="43"/>
      <c r="EE490" s="43"/>
      <c r="EF490" s="43"/>
      <c r="EG490" s="43"/>
      <c r="EH490" s="43"/>
      <c r="EI490" s="43"/>
      <c r="EJ490" s="43"/>
      <c r="EK490" s="43"/>
      <c r="EL490" s="43"/>
      <c r="EM490" s="43"/>
      <c r="EN490" s="43"/>
      <c r="EO490" s="43"/>
      <c r="EP490" s="43"/>
      <c r="EQ490" s="43"/>
      <c r="ER490" s="43"/>
      <c r="ES490" s="43"/>
      <c r="ET490" s="50"/>
      <c r="EU490" s="50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43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43"/>
      <c r="CF491" s="43"/>
      <c r="CG491" s="43"/>
      <c r="CH491" s="43"/>
      <c r="CI491" s="43"/>
      <c r="CJ491" s="43"/>
      <c r="CK491" s="43"/>
      <c r="CL491" s="43"/>
      <c r="CM491" s="43"/>
      <c r="CN491" s="43"/>
      <c r="CO491" s="43"/>
      <c r="CP491" s="43"/>
      <c r="CQ491" s="43"/>
      <c r="CR491" s="43"/>
      <c r="CS491" s="43"/>
      <c r="CT491" s="43"/>
      <c r="CU491" s="43"/>
      <c r="CV491" s="43"/>
      <c r="CW491" s="43"/>
      <c r="CX491" s="43"/>
      <c r="CY491" s="43"/>
      <c r="CZ491" s="43"/>
      <c r="DA491" s="43"/>
      <c r="DB491" s="43"/>
      <c r="DC491" s="43"/>
      <c r="DD491" s="43"/>
      <c r="DE491" s="43"/>
      <c r="DF491" s="43"/>
      <c r="DG491" s="43"/>
      <c r="DH491" s="43"/>
      <c r="DI491" s="43"/>
      <c r="DJ491" s="43"/>
      <c r="DK491" s="43"/>
      <c r="DL491" s="43"/>
      <c r="DM491" s="43"/>
      <c r="DN491" s="43"/>
      <c r="DO491" s="43"/>
      <c r="DP491" s="43"/>
      <c r="DQ491" s="43"/>
      <c r="DR491" s="43"/>
      <c r="DS491" s="43"/>
      <c r="DT491" s="43"/>
      <c r="DU491" s="43"/>
      <c r="DV491" s="43"/>
      <c r="DW491" s="43"/>
      <c r="DX491" s="43"/>
      <c r="DY491" s="43"/>
      <c r="DZ491" s="43"/>
      <c r="EA491" s="43"/>
      <c r="EB491" s="43"/>
      <c r="EC491" s="43"/>
      <c r="ED491" s="43"/>
      <c r="EE491" s="43"/>
      <c r="EF491" s="43"/>
      <c r="EG491" s="43"/>
      <c r="EH491" s="43"/>
      <c r="EI491" s="43"/>
      <c r="EJ491" s="43"/>
      <c r="EK491" s="43"/>
      <c r="EL491" s="43"/>
      <c r="EM491" s="43"/>
      <c r="EN491" s="43"/>
      <c r="EO491" s="43"/>
      <c r="EP491" s="43"/>
      <c r="EQ491" s="43"/>
      <c r="ER491" s="43"/>
      <c r="ES491" s="43"/>
      <c r="ET491" s="50"/>
      <c r="EU491" s="50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43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43"/>
      <c r="CF492" s="43"/>
      <c r="CG492" s="43"/>
      <c r="CH492" s="43"/>
      <c r="CI492" s="43"/>
      <c r="CJ492" s="43"/>
      <c r="CK492" s="43"/>
      <c r="CL492" s="43"/>
      <c r="CM492" s="43"/>
      <c r="CN492" s="43"/>
      <c r="CO492" s="43"/>
      <c r="CP492" s="43"/>
      <c r="CQ492" s="43"/>
      <c r="CR492" s="43"/>
      <c r="CS492" s="43"/>
      <c r="CT492" s="43"/>
      <c r="CU492" s="43"/>
      <c r="CV492" s="43"/>
      <c r="CW492" s="43"/>
      <c r="CX492" s="43"/>
      <c r="CY492" s="43"/>
      <c r="CZ492" s="43"/>
      <c r="DA492" s="43"/>
      <c r="DB492" s="43"/>
      <c r="DC492" s="43"/>
      <c r="DD492" s="43"/>
      <c r="DE492" s="43"/>
      <c r="DF492" s="43"/>
      <c r="DG492" s="43"/>
      <c r="DH492" s="43"/>
      <c r="DI492" s="43"/>
      <c r="DJ492" s="43"/>
      <c r="DK492" s="43"/>
      <c r="DL492" s="43"/>
      <c r="DM492" s="43"/>
      <c r="DN492" s="43"/>
      <c r="DO492" s="43"/>
      <c r="DP492" s="43"/>
      <c r="DQ492" s="43"/>
      <c r="DR492" s="43"/>
      <c r="DS492" s="43"/>
      <c r="DT492" s="43"/>
      <c r="DU492" s="43"/>
      <c r="DV492" s="43"/>
      <c r="DW492" s="43"/>
      <c r="DX492" s="43"/>
      <c r="DY492" s="43"/>
      <c r="DZ492" s="43"/>
      <c r="EA492" s="43"/>
      <c r="EB492" s="43"/>
      <c r="EC492" s="43"/>
      <c r="ED492" s="43"/>
      <c r="EE492" s="43"/>
      <c r="EF492" s="43"/>
      <c r="EG492" s="43"/>
      <c r="EH492" s="43"/>
      <c r="EI492" s="43"/>
      <c r="EJ492" s="43"/>
      <c r="EK492" s="43"/>
      <c r="EL492" s="43"/>
      <c r="EM492" s="43"/>
      <c r="EN492" s="43"/>
      <c r="EO492" s="43"/>
      <c r="EP492" s="43"/>
      <c r="EQ492" s="43"/>
      <c r="ER492" s="43"/>
      <c r="ES492" s="43"/>
      <c r="ET492" s="50"/>
      <c r="EU492" s="50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43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43"/>
      <c r="CF493" s="43"/>
      <c r="CG493" s="43"/>
      <c r="CH493" s="43"/>
      <c r="CI493" s="43"/>
      <c r="CJ493" s="43"/>
      <c r="CK493" s="43"/>
      <c r="CL493" s="43"/>
      <c r="CM493" s="43"/>
      <c r="CN493" s="43"/>
      <c r="CO493" s="43"/>
      <c r="CP493" s="43"/>
      <c r="CQ493" s="43"/>
      <c r="CR493" s="43"/>
      <c r="CS493" s="43"/>
      <c r="CT493" s="43"/>
      <c r="CU493" s="43"/>
      <c r="CV493" s="43"/>
      <c r="CW493" s="43"/>
      <c r="CX493" s="43"/>
      <c r="CY493" s="43"/>
      <c r="CZ493" s="43"/>
      <c r="DA493" s="43"/>
      <c r="DB493" s="43"/>
      <c r="DC493" s="43"/>
      <c r="DD493" s="43"/>
      <c r="DE493" s="43"/>
      <c r="DF493" s="43"/>
      <c r="DG493" s="43"/>
      <c r="DH493" s="43"/>
      <c r="DI493" s="43"/>
      <c r="DJ493" s="43"/>
      <c r="DK493" s="43"/>
      <c r="DL493" s="43"/>
      <c r="DM493" s="43"/>
      <c r="DN493" s="43"/>
      <c r="DO493" s="43"/>
      <c r="DP493" s="43"/>
      <c r="DQ493" s="43"/>
      <c r="DR493" s="43"/>
      <c r="DS493" s="43"/>
      <c r="DT493" s="43"/>
      <c r="DU493" s="43"/>
      <c r="DV493" s="43"/>
      <c r="DW493" s="43"/>
      <c r="DX493" s="43"/>
      <c r="DY493" s="43"/>
      <c r="DZ493" s="43"/>
      <c r="EA493" s="43"/>
      <c r="EB493" s="43"/>
      <c r="EC493" s="43"/>
      <c r="ED493" s="43"/>
      <c r="EE493" s="43"/>
      <c r="EF493" s="43"/>
      <c r="EG493" s="43"/>
      <c r="EH493" s="43"/>
      <c r="EI493" s="43"/>
      <c r="EJ493" s="43"/>
      <c r="EK493" s="43"/>
      <c r="EL493" s="43"/>
      <c r="EM493" s="43"/>
      <c r="EN493" s="43"/>
      <c r="EO493" s="43"/>
      <c r="EP493" s="43"/>
      <c r="EQ493" s="43"/>
      <c r="ER493" s="43"/>
      <c r="ES493" s="43"/>
      <c r="ET493" s="50"/>
      <c r="EU493" s="50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  <c r="CS494" s="43"/>
      <c r="CT494" s="43"/>
      <c r="CU494" s="43"/>
      <c r="CV494" s="43"/>
      <c r="CW494" s="43"/>
      <c r="CX494" s="43"/>
      <c r="CY494" s="43"/>
      <c r="CZ494" s="43"/>
      <c r="DA494" s="43"/>
      <c r="DB494" s="43"/>
      <c r="DC494" s="43"/>
      <c r="DD494" s="43"/>
      <c r="DE494" s="43"/>
      <c r="DF494" s="43"/>
      <c r="DG494" s="43"/>
      <c r="DH494" s="43"/>
      <c r="DI494" s="43"/>
      <c r="DJ494" s="43"/>
      <c r="DK494" s="43"/>
      <c r="DL494" s="43"/>
      <c r="DM494" s="43"/>
      <c r="DN494" s="43"/>
      <c r="DO494" s="43"/>
      <c r="DP494" s="43"/>
      <c r="DQ494" s="43"/>
      <c r="DR494" s="43"/>
      <c r="DS494" s="43"/>
      <c r="DT494" s="43"/>
      <c r="DU494" s="43"/>
      <c r="DV494" s="43"/>
      <c r="DW494" s="43"/>
      <c r="DX494" s="43"/>
      <c r="DY494" s="43"/>
      <c r="DZ494" s="43"/>
      <c r="EA494" s="43"/>
      <c r="EB494" s="43"/>
      <c r="EC494" s="43"/>
      <c r="ED494" s="43"/>
      <c r="EE494" s="43"/>
      <c r="EF494" s="43"/>
      <c r="EG494" s="43"/>
      <c r="EH494" s="43"/>
      <c r="EI494" s="43"/>
      <c r="EJ494" s="43"/>
      <c r="EK494" s="43"/>
      <c r="EL494" s="43"/>
      <c r="EM494" s="43"/>
      <c r="EN494" s="43"/>
      <c r="EO494" s="43"/>
      <c r="EP494" s="43"/>
      <c r="EQ494" s="43"/>
      <c r="ER494" s="43"/>
      <c r="ES494" s="43"/>
      <c r="ET494" s="50"/>
      <c r="EU494" s="50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43"/>
      <c r="CF495" s="43"/>
      <c r="CG495" s="43"/>
      <c r="CH495" s="43"/>
      <c r="CI495" s="43"/>
      <c r="CJ495" s="43"/>
      <c r="CK495" s="43"/>
      <c r="CL495" s="43"/>
      <c r="CM495" s="43"/>
      <c r="CN495" s="43"/>
      <c r="CO495" s="43"/>
      <c r="CP495" s="43"/>
      <c r="CQ495" s="43"/>
      <c r="CR495" s="43"/>
      <c r="CS495" s="43"/>
      <c r="CT495" s="43"/>
      <c r="CU495" s="43"/>
      <c r="CV495" s="43"/>
      <c r="CW495" s="43"/>
      <c r="CX495" s="43"/>
      <c r="CY495" s="43"/>
      <c r="CZ495" s="43"/>
      <c r="DA495" s="43"/>
      <c r="DB495" s="43"/>
      <c r="DC495" s="43"/>
      <c r="DD495" s="43"/>
      <c r="DE495" s="43"/>
      <c r="DF495" s="43"/>
      <c r="DG495" s="43"/>
      <c r="DH495" s="43"/>
      <c r="DI495" s="43"/>
      <c r="DJ495" s="43"/>
      <c r="DK495" s="43"/>
      <c r="DL495" s="43"/>
      <c r="DM495" s="43"/>
      <c r="DN495" s="43"/>
      <c r="DO495" s="43"/>
      <c r="DP495" s="43"/>
      <c r="DQ495" s="43"/>
      <c r="DR495" s="43"/>
      <c r="DS495" s="43"/>
      <c r="DT495" s="43"/>
      <c r="DU495" s="43"/>
      <c r="DV495" s="43"/>
      <c r="DW495" s="43"/>
      <c r="DX495" s="43"/>
      <c r="DY495" s="43"/>
      <c r="DZ495" s="43"/>
      <c r="EA495" s="43"/>
      <c r="EB495" s="43"/>
      <c r="EC495" s="43"/>
      <c r="ED495" s="43"/>
      <c r="EE495" s="43"/>
      <c r="EF495" s="43"/>
      <c r="EG495" s="43"/>
      <c r="EH495" s="43"/>
      <c r="EI495" s="43"/>
      <c r="EJ495" s="43"/>
      <c r="EK495" s="43"/>
      <c r="EL495" s="43"/>
      <c r="EM495" s="43"/>
      <c r="EN495" s="43"/>
      <c r="EO495" s="43"/>
      <c r="EP495" s="43"/>
      <c r="EQ495" s="43"/>
      <c r="ER495" s="43"/>
      <c r="ES495" s="43"/>
      <c r="ET495" s="50"/>
      <c r="EU495" s="50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43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43"/>
      <c r="CF496" s="43"/>
      <c r="CG496" s="43"/>
      <c r="CH496" s="43"/>
      <c r="CI496" s="43"/>
      <c r="CJ496" s="43"/>
      <c r="CK496" s="43"/>
      <c r="CL496" s="43"/>
      <c r="CM496" s="43"/>
      <c r="CN496" s="43"/>
      <c r="CO496" s="43"/>
      <c r="CP496" s="43"/>
      <c r="CQ496" s="43"/>
      <c r="CR496" s="43"/>
      <c r="CS496" s="43"/>
      <c r="CT496" s="43"/>
      <c r="CU496" s="43"/>
      <c r="CV496" s="43"/>
      <c r="CW496" s="43"/>
      <c r="CX496" s="43"/>
      <c r="CY496" s="43"/>
      <c r="CZ496" s="43"/>
      <c r="DA496" s="43"/>
      <c r="DB496" s="43"/>
      <c r="DC496" s="43"/>
      <c r="DD496" s="43"/>
      <c r="DE496" s="43"/>
      <c r="DF496" s="43"/>
      <c r="DG496" s="43"/>
      <c r="DH496" s="43"/>
      <c r="DI496" s="43"/>
      <c r="DJ496" s="43"/>
      <c r="DK496" s="43"/>
      <c r="DL496" s="43"/>
      <c r="DM496" s="43"/>
      <c r="DN496" s="43"/>
      <c r="DO496" s="43"/>
      <c r="DP496" s="43"/>
      <c r="DQ496" s="43"/>
      <c r="DR496" s="43"/>
      <c r="DS496" s="43"/>
      <c r="DT496" s="43"/>
      <c r="DU496" s="43"/>
      <c r="DV496" s="43"/>
      <c r="DW496" s="43"/>
      <c r="DX496" s="43"/>
      <c r="DY496" s="43"/>
      <c r="DZ496" s="43"/>
      <c r="EA496" s="43"/>
      <c r="EB496" s="43"/>
      <c r="EC496" s="43"/>
      <c r="ED496" s="43"/>
      <c r="EE496" s="43"/>
      <c r="EF496" s="43"/>
      <c r="EG496" s="43"/>
      <c r="EH496" s="43"/>
      <c r="EI496" s="43"/>
      <c r="EJ496" s="43"/>
      <c r="EK496" s="43"/>
      <c r="EL496" s="43"/>
      <c r="EM496" s="43"/>
      <c r="EN496" s="43"/>
      <c r="EO496" s="43"/>
      <c r="EP496" s="43"/>
      <c r="EQ496" s="43"/>
      <c r="ER496" s="43"/>
      <c r="ES496" s="43"/>
      <c r="ET496" s="50"/>
      <c r="EU496" s="50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43"/>
      <c r="CF497" s="43"/>
      <c r="CG497" s="43"/>
      <c r="CH497" s="43"/>
      <c r="CI497" s="43"/>
      <c r="CJ497" s="43"/>
      <c r="CK497" s="43"/>
      <c r="CL497" s="43"/>
      <c r="CM497" s="43"/>
      <c r="CN497" s="43"/>
      <c r="CO497" s="43"/>
      <c r="CP497" s="43"/>
      <c r="CQ497" s="43"/>
      <c r="CR497" s="43"/>
      <c r="CS497" s="43"/>
      <c r="CT497" s="43"/>
      <c r="CU497" s="43"/>
      <c r="CV497" s="43"/>
      <c r="CW497" s="43"/>
      <c r="CX497" s="43"/>
      <c r="CY497" s="43"/>
      <c r="CZ497" s="43"/>
      <c r="DA497" s="43"/>
      <c r="DB497" s="43"/>
      <c r="DC497" s="43"/>
      <c r="DD497" s="43"/>
      <c r="DE497" s="43"/>
      <c r="DF497" s="43"/>
      <c r="DG497" s="43"/>
      <c r="DH497" s="43"/>
      <c r="DI497" s="43"/>
      <c r="DJ497" s="43"/>
      <c r="DK497" s="43"/>
      <c r="DL497" s="43"/>
      <c r="DM497" s="43"/>
      <c r="DN497" s="43"/>
      <c r="DO497" s="43"/>
      <c r="DP497" s="43"/>
      <c r="DQ497" s="43"/>
      <c r="DR497" s="43"/>
      <c r="DS497" s="43"/>
      <c r="DT497" s="43"/>
      <c r="DU497" s="43"/>
      <c r="DV497" s="43"/>
      <c r="DW497" s="43"/>
      <c r="DX497" s="43"/>
      <c r="DY497" s="43"/>
      <c r="DZ497" s="43"/>
      <c r="EA497" s="43"/>
      <c r="EB497" s="43"/>
      <c r="EC497" s="43"/>
      <c r="ED497" s="43"/>
      <c r="EE497" s="43"/>
      <c r="EF497" s="43"/>
      <c r="EG497" s="43"/>
      <c r="EH497" s="43"/>
      <c r="EI497" s="43"/>
      <c r="EJ497" s="43"/>
      <c r="EK497" s="43"/>
      <c r="EL497" s="43"/>
      <c r="EM497" s="43"/>
      <c r="EN497" s="43"/>
      <c r="EO497" s="43"/>
      <c r="EP497" s="43"/>
      <c r="EQ497" s="43"/>
      <c r="ER497" s="43"/>
      <c r="ES497" s="43"/>
      <c r="ET497" s="50"/>
      <c r="EU497" s="50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43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43"/>
      <c r="CF498" s="43"/>
      <c r="CG498" s="43"/>
      <c r="CH498" s="43"/>
      <c r="CI498" s="43"/>
      <c r="CJ498" s="43"/>
      <c r="CK498" s="43"/>
      <c r="CL498" s="43"/>
      <c r="CM498" s="43"/>
      <c r="CN498" s="43"/>
      <c r="CO498" s="43"/>
      <c r="CP498" s="43"/>
      <c r="CQ498" s="43"/>
      <c r="CR498" s="43"/>
      <c r="CS498" s="43"/>
      <c r="CT498" s="43"/>
      <c r="CU498" s="43"/>
      <c r="CV498" s="43"/>
      <c r="CW498" s="43"/>
      <c r="CX498" s="43"/>
      <c r="CY498" s="43"/>
      <c r="CZ498" s="43"/>
      <c r="DA498" s="43"/>
      <c r="DB498" s="43"/>
      <c r="DC498" s="43"/>
      <c r="DD498" s="43"/>
      <c r="DE498" s="43"/>
      <c r="DF498" s="43"/>
      <c r="DG498" s="43"/>
      <c r="DH498" s="43"/>
      <c r="DI498" s="43"/>
      <c r="DJ498" s="43"/>
      <c r="DK498" s="43"/>
      <c r="DL498" s="43"/>
      <c r="DM498" s="43"/>
      <c r="DN498" s="43"/>
      <c r="DO498" s="43"/>
      <c r="DP498" s="43"/>
      <c r="DQ498" s="43"/>
      <c r="DR498" s="43"/>
      <c r="DS498" s="43"/>
      <c r="DT498" s="43"/>
      <c r="DU498" s="43"/>
      <c r="DV498" s="43"/>
      <c r="DW498" s="43"/>
      <c r="DX498" s="43"/>
      <c r="DY498" s="43"/>
      <c r="DZ498" s="43"/>
      <c r="EA498" s="43"/>
      <c r="EB498" s="43"/>
      <c r="EC498" s="43"/>
      <c r="ED498" s="43"/>
      <c r="EE498" s="43"/>
      <c r="EF498" s="43"/>
      <c r="EG498" s="43"/>
      <c r="EH498" s="43"/>
      <c r="EI498" s="43"/>
      <c r="EJ498" s="43"/>
      <c r="EK498" s="43"/>
      <c r="EL498" s="43"/>
      <c r="EM498" s="43"/>
      <c r="EN498" s="43"/>
      <c r="EO498" s="43"/>
      <c r="EP498" s="43"/>
      <c r="EQ498" s="43"/>
      <c r="ER498" s="43"/>
      <c r="ES498" s="43"/>
      <c r="ET498" s="50"/>
      <c r="EU498" s="50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43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43"/>
      <c r="CF499" s="43"/>
      <c r="CG499" s="43"/>
      <c r="CH499" s="43"/>
      <c r="CI499" s="43"/>
      <c r="CJ499" s="43"/>
      <c r="CK499" s="43"/>
      <c r="CL499" s="43"/>
      <c r="CM499" s="43"/>
      <c r="CN499" s="43"/>
      <c r="CO499" s="43"/>
      <c r="CP499" s="43"/>
      <c r="CQ499" s="43"/>
      <c r="CR499" s="43"/>
      <c r="CS499" s="43"/>
      <c r="CT499" s="43"/>
      <c r="CU499" s="43"/>
      <c r="CV499" s="43"/>
      <c r="CW499" s="43"/>
      <c r="CX499" s="43"/>
      <c r="CY499" s="43"/>
      <c r="CZ499" s="43"/>
      <c r="DA499" s="43"/>
      <c r="DB499" s="43"/>
      <c r="DC499" s="43"/>
      <c r="DD499" s="43"/>
      <c r="DE499" s="43"/>
      <c r="DF499" s="43"/>
      <c r="DG499" s="43"/>
      <c r="DH499" s="43"/>
      <c r="DI499" s="43"/>
      <c r="DJ499" s="43"/>
      <c r="DK499" s="43"/>
      <c r="DL499" s="43"/>
      <c r="DM499" s="43"/>
      <c r="DN499" s="43"/>
      <c r="DO499" s="43"/>
      <c r="DP499" s="43"/>
      <c r="DQ499" s="43"/>
      <c r="DR499" s="43"/>
      <c r="DS499" s="43"/>
      <c r="DT499" s="43"/>
      <c r="DU499" s="43"/>
      <c r="DV499" s="43"/>
      <c r="DW499" s="43"/>
      <c r="DX499" s="43"/>
      <c r="DY499" s="43"/>
      <c r="DZ499" s="43"/>
      <c r="EA499" s="43"/>
      <c r="EB499" s="43"/>
      <c r="EC499" s="43"/>
      <c r="ED499" s="43"/>
      <c r="EE499" s="43"/>
      <c r="EF499" s="43"/>
      <c r="EG499" s="43"/>
      <c r="EH499" s="43"/>
      <c r="EI499" s="43"/>
      <c r="EJ499" s="43"/>
      <c r="EK499" s="43"/>
      <c r="EL499" s="43"/>
      <c r="EM499" s="43"/>
      <c r="EN499" s="43"/>
      <c r="EO499" s="43"/>
      <c r="EP499" s="43"/>
      <c r="EQ499" s="43"/>
      <c r="ER499" s="43"/>
      <c r="ES499" s="43"/>
      <c r="ET499" s="50"/>
      <c r="EU499" s="50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  <c r="CS500" s="43"/>
      <c r="CT500" s="43"/>
      <c r="CU500" s="43"/>
      <c r="CV500" s="43"/>
      <c r="CW500" s="43"/>
      <c r="CX500" s="43"/>
      <c r="CY500" s="43"/>
      <c r="CZ500" s="43"/>
      <c r="DA500" s="43"/>
      <c r="DB500" s="43"/>
      <c r="DC500" s="43"/>
      <c r="DD500" s="43"/>
      <c r="DE500" s="43"/>
      <c r="DF500" s="43"/>
      <c r="DG500" s="43"/>
      <c r="DH500" s="43"/>
      <c r="DI500" s="43"/>
      <c r="DJ500" s="43"/>
      <c r="DK500" s="43"/>
      <c r="DL500" s="43"/>
      <c r="DM500" s="43"/>
      <c r="DN500" s="43"/>
      <c r="DO500" s="43"/>
      <c r="DP500" s="43"/>
      <c r="DQ500" s="43"/>
      <c r="DR500" s="43"/>
      <c r="DS500" s="43"/>
      <c r="DT500" s="43"/>
      <c r="DU500" s="43"/>
      <c r="DV500" s="43"/>
      <c r="DW500" s="43"/>
      <c r="DX500" s="43"/>
      <c r="DY500" s="43"/>
      <c r="DZ500" s="43"/>
      <c r="EA500" s="43"/>
      <c r="EB500" s="43"/>
      <c r="EC500" s="43"/>
      <c r="ED500" s="43"/>
      <c r="EE500" s="43"/>
      <c r="EF500" s="43"/>
      <c r="EG500" s="43"/>
      <c r="EH500" s="43"/>
      <c r="EI500" s="43"/>
      <c r="EJ500" s="43"/>
      <c r="EK500" s="43"/>
      <c r="EL500" s="43"/>
      <c r="EM500" s="43"/>
      <c r="EN500" s="43"/>
      <c r="EO500" s="43"/>
      <c r="EP500" s="43"/>
      <c r="EQ500" s="43"/>
      <c r="ER500" s="43"/>
      <c r="ES500" s="43"/>
      <c r="ET500" s="50"/>
      <c r="EU500" s="50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/>
      <c r="CP501" s="43"/>
      <c r="CQ501" s="43"/>
      <c r="CR501" s="43"/>
      <c r="CS501" s="43"/>
      <c r="CT501" s="43"/>
      <c r="CU501" s="43"/>
      <c r="CV501" s="43"/>
      <c r="CW501" s="43"/>
      <c r="CX501" s="43"/>
      <c r="CY501" s="43"/>
      <c r="CZ501" s="43"/>
      <c r="DA501" s="43"/>
      <c r="DB501" s="43"/>
      <c r="DC501" s="43"/>
      <c r="DD501" s="43"/>
      <c r="DE501" s="43"/>
      <c r="DF501" s="43"/>
      <c r="DG501" s="43"/>
      <c r="DH501" s="43"/>
      <c r="DI501" s="43"/>
      <c r="DJ501" s="43"/>
      <c r="DK501" s="43"/>
      <c r="DL501" s="43"/>
      <c r="DM501" s="43"/>
      <c r="DN501" s="43"/>
      <c r="DO501" s="43"/>
      <c r="DP501" s="43"/>
      <c r="DQ501" s="43"/>
      <c r="DR501" s="43"/>
      <c r="DS501" s="43"/>
      <c r="DT501" s="43"/>
      <c r="DU501" s="43"/>
      <c r="DV501" s="43"/>
      <c r="DW501" s="43"/>
      <c r="DX501" s="43"/>
      <c r="DY501" s="43"/>
      <c r="DZ501" s="43"/>
      <c r="EA501" s="43"/>
      <c r="EB501" s="43"/>
      <c r="EC501" s="43"/>
      <c r="ED501" s="43"/>
      <c r="EE501" s="43"/>
      <c r="EF501" s="43"/>
      <c r="EG501" s="43"/>
      <c r="EH501" s="43"/>
      <c r="EI501" s="43"/>
      <c r="EJ501" s="43"/>
      <c r="EK501" s="43"/>
      <c r="EL501" s="43"/>
      <c r="EM501" s="43"/>
      <c r="EN501" s="43"/>
      <c r="EO501" s="43"/>
      <c r="EP501" s="43"/>
      <c r="EQ501" s="43"/>
      <c r="ER501" s="43"/>
      <c r="ES501" s="43"/>
      <c r="ET501" s="50"/>
      <c r="EU501" s="50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43"/>
      <c r="CF502" s="43"/>
      <c r="CG502" s="43"/>
      <c r="CH502" s="43"/>
      <c r="CI502" s="43"/>
      <c r="CJ502" s="43"/>
      <c r="CK502" s="43"/>
      <c r="CL502" s="43"/>
      <c r="CM502" s="43"/>
      <c r="CN502" s="43"/>
      <c r="CO502" s="43"/>
      <c r="CP502" s="43"/>
      <c r="CQ502" s="43"/>
      <c r="CR502" s="43"/>
      <c r="CS502" s="43"/>
      <c r="CT502" s="43"/>
      <c r="CU502" s="43"/>
      <c r="CV502" s="43"/>
      <c r="CW502" s="43"/>
      <c r="CX502" s="43"/>
      <c r="CY502" s="43"/>
      <c r="CZ502" s="43"/>
      <c r="DA502" s="43"/>
      <c r="DB502" s="43"/>
      <c r="DC502" s="43"/>
      <c r="DD502" s="43"/>
      <c r="DE502" s="43"/>
      <c r="DF502" s="43"/>
      <c r="DG502" s="43"/>
      <c r="DH502" s="43"/>
      <c r="DI502" s="43"/>
      <c r="DJ502" s="43"/>
      <c r="DK502" s="43"/>
      <c r="DL502" s="43"/>
      <c r="DM502" s="43"/>
      <c r="DN502" s="43"/>
      <c r="DO502" s="43"/>
      <c r="DP502" s="43"/>
      <c r="DQ502" s="43"/>
      <c r="DR502" s="43"/>
      <c r="DS502" s="43"/>
      <c r="DT502" s="43"/>
      <c r="DU502" s="43"/>
      <c r="DV502" s="43"/>
      <c r="DW502" s="43"/>
      <c r="DX502" s="43"/>
      <c r="DY502" s="43"/>
      <c r="DZ502" s="43"/>
      <c r="EA502" s="43"/>
      <c r="EB502" s="43"/>
      <c r="EC502" s="43"/>
      <c r="ED502" s="43"/>
      <c r="EE502" s="43"/>
      <c r="EF502" s="43"/>
      <c r="EG502" s="43"/>
      <c r="EH502" s="43"/>
      <c r="EI502" s="43"/>
      <c r="EJ502" s="43"/>
      <c r="EK502" s="43"/>
      <c r="EL502" s="43"/>
      <c r="EM502" s="43"/>
      <c r="EN502" s="43"/>
      <c r="EO502" s="43"/>
      <c r="EP502" s="43"/>
      <c r="EQ502" s="43"/>
      <c r="ER502" s="43"/>
      <c r="ES502" s="43"/>
      <c r="ET502" s="50"/>
      <c r="EU502" s="50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/>
      <c r="CF503" s="43"/>
      <c r="CG503" s="43"/>
      <c r="CH503" s="43"/>
      <c r="CI503" s="43"/>
      <c r="CJ503" s="43"/>
      <c r="CK503" s="43"/>
      <c r="CL503" s="43"/>
      <c r="CM503" s="43"/>
      <c r="CN503" s="43"/>
      <c r="CO503" s="43"/>
      <c r="CP503" s="43"/>
      <c r="CQ503" s="43"/>
      <c r="CR503" s="43"/>
      <c r="CS503" s="43"/>
      <c r="CT503" s="43"/>
      <c r="CU503" s="43"/>
      <c r="CV503" s="43"/>
      <c r="CW503" s="43"/>
      <c r="CX503" s="43"/>
      <c r="CY503" s="43"/>
      <c r="CZ503" s="43"/>
      <c r="DA503" s="43"/>
      <c r="DB503" s="43"/>
      <c r="DC503" s="43"/>
      <c r="DD503" s="43"/>
      <c r="DE503" s="43"/>
      <c r="DF503" s="43"/>
      <c r="DG503" s="43"/>
      <c r="DH503" s="43"/>
      <c r="DI503" s="43"/>
      <c r="DJ503" s="43"/>
      <c r="DK503" s="43"/>
      <c r="DL503" s="43"/>
      <c r="DM503" s="43"/>
      <c r="DN503" s="43"/>
      <c r="DO503" s="43"/>
      <c r="DP503" s="43"/>
      <c r="DQ503" s="43"/>
      <c r="DR503" s="43"/>
      <c r="DS503" s="43"/>
      <c r="DT503" s="43"/>
      <c r="DU503" s="43"/>
      <c r="DV503" s="43"/>
      <c r="DW503" s="43"/>
      <c r="DX503" s="43"/>
      <c r="DY503" s="43"/>
      <c r="DZ503" s="43"/>
      <c r="EA503" s="43"/>
      <c r="EB503" s="43"/>
      <c r="EC503" s="43"/>
      <c r="ED503" s="43"/>
      <c r="EE503" s="43"/>
      <c r="EF503" s="43"/>
      <c r="EG503" s="43"/>
      <c r="EH503" s="43"/>
      <c r="EI503" s="43"/>
      <c r="EJ503" s="43"/>
      <c r="EK503" s="43"/>
      <c r="EL503" s="43"/>
      <c r="EM503" s="43"/>
      <c r="EN503" s="43"/>
      <c r="EO503" s="43"/>
      <c r="EP503" s="43"/>
      <c r="EQ503" s="43"/>
      <c r="ER503" s="43"/>
      <c r="ES503" s="43"/>
      <c r="ET503" s="50"/>
      <c r="EU503" s="50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/>
      <c r="CI504" s="43"/>
      <c r="CJ504" s="43"/>
      <c r="CK504" s="43"/>
      <c r="CL504" s="43"/>
      <c r="CM504" s="43"/>
      <c r="CN504" s="43"/>
      <c r="CO504" s="43"/>
      <c r="CP504" s="43"/>
      <c r="CQ504" s="43"/>
      <c r="CR504" s="43"/>
      <c r="CS504" s="43"/>
      <c r="CT504" s="43"/>
      <c r="CU504" s="43"/>
      <c r="CV504" s="43"/>
      <c r="CW504" s="43"/>
      <c r="CX504" s="43"/>
      <c r="CY504" s="43"/>
      <c r="CZ504" s="43"/>
      <c r="DA504" s="43"/>
      <c r="DB504" s="43"/>
      <c r="DC504" s="43"/>
      <c r="DD504" s="43"/>
      <c r="DE504" s="43"/>
      <c r="DF504" s="43"/>
      <c r="DG504" s="43"/>
      <c r="DH504" s="43"/>
      <c r="DI504" s="43"/>
      <c r="DJ504" s="43"/>
      <c r="DK504" s="43"/>
      <c r="DL504" s="43"/>
      <c r="DM504" s="43"/>
      <c r="DN504" s="43"/>
      <c r="DO504" s="43"/>
      <c r="DP504" s="43"/>
      <c r="DQ504" s="43"/>
      <c r="DR504" s="43"/>
      <c r="DS504" s="43"/>
      <c r="DT504" s="43"/>
      <c r="DU504" s="43"/>
      <c r="DV504" s="43"/>
      <c r="DW504" s="43"/>
      <c r="DX504" s="43"/>
      <c r="DY504" s="43"/>
      <c r="DZ504" s="43"/>
      <c r="EA504" s="43"/>
      <c r="EB504" s="43"/>
      <c r="EC504" s="43"/>
      <c r="ED504" s="43"/>
      <c r="EE504" s="43"/>
      <c r="EF504" s="43"/>
      <c r="EG504" s="43"/>
      <c r="EH504" s="43"/>
      <c r="EI504" s="43"/>
      <c r="EJ504" s="43"/>
      <c r="EK504" s="43"/>
      <c r="EL504" s="43"/>
      <c r="EM504" s="43"/>
      <c r="EN504" s="43"/>
      <c r="EO504" s="43"/>
      <c r="EP504" s="43"/>
      <c r="EQ504" s="43"/>
      <c r="ER504" s="43"/>
      <c r="ES504" s="43"/>
      <c r="ET504" s="50"/>
      <c r="EU504" s="50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43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43"/>
      <c r="CF505" s="43"/>
      <c r="CG505" s="43"/>
      <c r="CH505" s="43"/>
      <c r="CI505" s="43"/>
      <c r="CJ505" s="43"/>
      <c r="CK505" s="43"/>
      <c r="CL505" s="43"/>
      <c r="CM505" s="43"/>
      <c r="CN505" s="43"/>
      <c r="CO505" s="43"/>
      <c r="CP505" s="43"/>
      <c r="CQ505" s="43"/>
      <c r="CR505" s="43"/>
      <c r="CS505" s="43"/>
      <c r="CT505" s="43"/>
      <c r="CU505" s="43"/>
      <c r="CV505" s="43"/>
      <c r="CW505" s="43"/>
      <c r="CX505" s="43"/>
      <c r="CY505" s="43"/>
      <c r="CZ505" s="43"/>
      <c r="DA505" s="43"/>
      <c r="DB505" s="43"/>
      <c r="DC505" s="43"/>
      <c r="DD505" s="43"/>
      <c r="DE505" s="43"/>
      <c r="DF505" s="43"/>
      <c r="DG505" s="43"/>
      <c r="DH505" s="43"/>
      <c r="DI505" s="43"/>
      <c r="DJ505" s="43"/>
      <c r="DK505" s="43"/>
      <c r="DL505" s="43"/>
      <c r="DM505" s="43"/>
      <c r="DN505" s="43"/>
      <c r="DO505" s="43"/>
      <c r="DP505" s="43"/>
      <c r="DQ505" s="43"/>
      <c r="DR505" s="43"/>
      <c r="DS505" s="43"/>
      <c r="DT505" s="43"/>
      <c r="DU505" s="43"/>
      <c r="DV505" s="43"/>
      <c r="DW505" s="43"/>
      <c r="DX505" s="43"/>
      <c r="DY505" s="43"/>
      <c r="DZ505" s="43"/>
      <c r="EA505" s="43"/>
      <c r="EB505" s="43"/>
      <c r="EC505" s="43"/>
      <c r="ED505" s="43"/>
      <c r="EE505" s="43"/>
      <c r="EF505" s="43"/>
      <c r="EG505" s="43"/>
      <c r="EH505" s="43"/>
      <c r="EI505" s="43"/>
      <c r="EJ505" s="43"/>
      <c r="EK505" s="43"/>
      <c r="EL505" s="43"/>
      <c r="EM505" s="43"/>
      <c r="EN505" s="43"/>
      <c r="EO505" s="43"/>
      <c r="EP505" s="43"/>
      <c r="EQ505" s="43"/>
      <c r="ER505" s="43"/>
      <c r="ES505" s="43"/>
      <c r="ET505" s="50"/>
      <c r="EU505" s="50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43"/>
      <c r="CF506" s="43"/>
      <c r="CG506" s="43"/>
      <c r="CH506" s="43"/>
      <c r="CI506" s="43"/>
      <c r="CJ506" s="43"/>
      <c r="CK506" s="43"/>
      <c r="CL506" s="43"/>
      <c r="CM506" s="43"/>
      <c r="CN506" s="43"/>
      <c r="CO506" s="43"/>
      <c r="CP506" s="43"/>
      <c r="CQ506" s="43"/>
      <c r="CR506" s="43"/>
      <c r="CS506" s="43"/>
      <c r="CT506" s="43"/>
      <c r="CU506" s="43"/>
      <c r="CV506" s="43"/>
      <c r="CW506" s="43"/>
      <c r="CX506" s="43"/>
      <c r="CY506" s="43"/>
      <c r="CZ506" s="43"/>
      <c r="DA506" s="43"/>
      <c r="DB506" s="43"/>
      <c r="DC506" s="43"/>
      <c r="DD506" s="43"/>
      <c r="DE506" s="43"/>
      <c r="DF506" s="43"/>
      <c r="DG506" s="43"/>
      <c r="DH506" s="43"/>
      <c r="DI506" s="43"/>
      <c r="DJ506" s="43"/>
      <c r="DK506" s="43"/>
      <c r="DL506" s="43"/>
      <c r="DM506" s="43"/>
      <c r="DN506" s="43"/>
      <c r="DO506" s="43"/>
      <c r="DP506" s="43"/>
      <c r="DQ506" s="43"/>
      <c r="DR506" s="43"/>
      <c r="DS506" s="43"/>
      <c r="DT506" s="43"/>
      <c r="DU506" s="43"/>
      <c r="DV506" s="43"/>
      <c r="DW506" s="43"/>
      <c r="DX506" s="43"/>
      <c r="DY506" s="43"/>
      <c r="DZ506" s="43"/>
      <c r="EA506" s="43"/>
      <c r="EB506" s="43"/>
      <c r="EC506" s="43"/>
      <c r="ED506" s="43"/>
      <c r="EE506" s="43"/>
      <c r="EF506" s="43"/>
      <c r="EG506" s="43"/>
      <c r="EH506" s="43"/>
      <c r="EI506" s="43"/>
      <c r="EJ506" s="43"/>
      <c r="EK506" s="43"/>
      <c r="EL506" s="43"/>
      <c r="EM506" s="43"/>
      <c r="EN506" s="43"/>
      <c r="EO506" s="43"/>
      <c r="EP506" s="43"/>
      <c r="EQ506" s="43"/>
      <c r="ER506" s="43"/>
      <c r="ES506" s="43"/>
      <c r="ET506" s="50"/>
      <c r="EU506" s="50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43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43"/>
      <c r="CF507" s="43"/>
      <c r="CG507" s="43"/>
      <c r="CH507" s="43"/>
      <c r="CI507" s="43"/>
      <c r="CJ507" s="43"/>
      <c r="CK507" s="43"/>
      <c r="CL507" s="43"/>
      <c r="CM507" s="43"/>
      <c r="CN507" s="43"/>
      <c r="CO507" s="43"/>
      <c r="CP507" s="43"/>
      <c r="CQ507" s="43"/>
      <c r="CR507" s="43"/>
      <c r="CS507" s="43"/>
      <c r="CT507" s="43"/>
      <c r="CU507" s="43"/>
      <c r="CV507" s="43"/>
      <c r="CW507" s="43"/>
      <c r="CX507" s="43"/>
      <c r="CY507" s="43"/>
      <c r="CZ507" s="43"/>
      <c r="DA507" s="43"/>
      <c r="DB507" s="43"/>
      <c r="DC507" s="43"/>
      <c r="DD507" s="43"/>
      <c r="DE507" s="43"/>
      <c r="DF507" s="43"/>
      <c r="DG507" s="43"/>
      <c r="DH507" s="43"/>
      <c r="DI507" s="43"/>
      <c r="DJ507" s="43"/>
      <c r="DK507" s="43"/>
      <c r="DL507" s="43"/>
      <c r="DM507" s="43"/>
      <c r="DN507" s="43"/>
      <c r="DO507" s="43"/>
      <c r="DP507" s="43"/>
      <c r="DQ507" s="43"/>
      <c r="DR507" s="43"/>
      <c r="DS507" s="43"/>
      <c r="DT507" s="43"/>
      <c r="DU507" s="43"/>
      <c r="DV507" s="43"/>
      <c r="DW507" s="43"/>
      <c r="DX507" s="43"/>
      <c r="DY507" s="43"/>
      <c r="DZ507" s="43"/>
      <c r="EA507" s="43"/>
      <c r="EB507" s="43"/>
      <c r="EC507" s="43"/>
      <c r="ED507" s="43"/>
      <c r="EE507" s="43"/>
      <c r="EF507" s="43"/>
      <c r="EG507" s="43"/>
      <c r="EH507" s="43"/>
      <c r="EI507" s="43"/>
      <c r="EJ507" s="43"/>
      <c r="EK507" s="43"/>
      <c r="EL507" s="43"/>
      <c r="EM507" s="43"/>
      <c r="EN507" s="43"/>
      <c r="EO507" s="43"/>
      <c r="EP507" s="43"/>
      <c r="EQ507" s="43"/>
      <c r="ER507" s="43"/>
      <c r="ES507" s="43"/>
      <c r="ET507" s="50"/>
      <c r="EU507" s="50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43"/>
      <c r="CF508" s="43"/>
      <c r="CG508" s="43"/>
      <c r="CH508" s="43"/>
      <c r="CI508" s="43"/>
      <c r="CJ508" s="43"/>
      <c r="CK508" s="43"/>
      <c r="CL508" s="43"/>
      <c r="CM508" s="43"/>
      <c r="CN508" s="43"/>
      <c r="CO508" s="43"/>
      <c r="CP508" s="43"/>
      <c r="CQ508" s="43"/>
      <c r="CR508" s="43"/>
      <c r="CS508" s="43"/>
      <c r="CT508" s="43"/>
      <c r="CU508" s="43"/>
      <c r="CV508" s="43"/>
      <c r="CW508" s="43"/>
      <c r="CX508" s="43"/>
      <c r="CY508" s="43"/>
      <c r="CZ508" s="43"/>
      <c r="DA508" s="43"/>
      <c r="DB508" s="43"/>
      <c r="DC508" s="43"/>
      <c r="DD508" s="43"/>
      <c r="DE508" s="43"/>
      <c r="DF508" s="43"/>
      <c r="DG508" s="43"/>
      <c r="DH508" s="43"/>
      <c r="DI508" s="43"/>
      <c r="DJ508" s="43"/>
      <c r="DK508" s="43"/>
      <c r="DL508" s="43"/>
      <c r="DM508" s="43"/>
      <c r="DN508" s="43"/>
      <c r="DO508" s="43"/>
      <c r="DP508" s="43"/>
      <c r="DQ508" s="43"/>
      <c r="DR508" s="43"/>
      <c r="DS508" s="43"/>
      <c r="DT508" s="43"/>
      <c r="DU508" s="43"/>
      <c r="DV508" s="43"/>
      <c r="DW508" s="43"/>
      <c r="DX508" s="43"/>
      <c r="DY508" s="43"/>
      <c r="DZ508" s="43"/>
      <c r="EA508" s="43"/>
      <c r="EB508" s="43"/>
      <c r="EC508" s="43"/>
      <c r="ED508" s="43"/>
      <c r="EE508" s="43"/>
      <c r="EF508" s="43"/>
      <c r="EG508" s="43"/>
      <c r="EH508" s="43"/>
      <c r="EI508" s="43"/>
      <c r="EJ508" s="43"/>
      <c r="EK508" s="43"/>
      <c r="EL508" s="43"/>
      <c r="EM508" s="43"/>
      <c r="EN508" s="43"/>
      <c r="EO508" s="43"/>
      <c r="EP508" s="43"/>
      <c r="EQ508" s="43"/>
      <c r="ER508" s="43"/>
      <c r="ES508" s="43"/>
      <c r="ET508" s="50"/>
      <c r="EU508" s="50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  <c r="CS509" s="43"/>
      <c r="CT509" s="43"/>
      <c r="CU509" s="43"/>
      <c r="CV509" s="43"/>
      <c r="CW509" s="43"/>
      <c r="CX509" s="43"/>
      <c r="CY509" s="43"/>
      <c r="CZ509" s="43"/>
      <c r="DA509" s="43"/>
      <c r="DB509" s="43"/>
      <c r="DC509" s="43"/>
      <c r="DD509" s="43"/>
      <c r="DE509" s="43"/>
      <c r="DF509" s="43"/>
      <c r="DG509" s="43"/>
      <c r="DH509" s="43"/>
      <c r="DI509" s="43"/>
      <c r="DJ509" s="43"/>
      <c r="DK509" s="43"/>
      <c r="DL509" s="43"/>
      <c r="DM509" s="43"/>
      <c r="DN509" s="43"/>
      <c r="DO509" s="43"/>
      <c r="DP509" s="43"/>
      <c r="DQ509" s="43"/>
      <c r="DR509" s="43"/>
      <c r="DS509" s="43"/>
      <c r="DT509" s="43"/>
      <c r="DU509" s="43"/>
      <c r="DV509" s="43"/>
      <c r="DW509" s="43"/>
      <c r="DX509" s="43"/>
      <c r="DY509" s="43"/>
      <c r="DZ509" s="43"/>
      <c r="EA509" s="43"/>
      <c r="EB509" s="43"/>
      <c r="EC509" s="43"/>
      <c r="ED509" s="43"/>
      <c r="EE509" s="43"/>
      <c r="EF509" s="43"/>
      <c r="EG509" s="43"/>
      <c r="EH509" s="43"/>
      <c r="EI509" s="43"/>
      <c r="EJ509" s="43"/>
      <c r="EK509" s="43"/>
      <c r="EL509" s="43"/>
      <c r="EM509" s="43"/>
      <c r="EN509" s="43"/>
      <c r="EO509" s="43"/>
      <c r="EP509" s="43"/>
      <c r="EQ509" s="43"/>
      <c r="ER509" s="43"/>
      <c r="ES509" s="43"/>
      <c r="ET509" s="50"/>
      <c r="EU509" s="50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43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43"/>
      <c r="CF510" s="43"/>
      <c r="CG510" s="43"/>
      <c r="CH510" s="43"/>
      <c r="CI510" s="43"/>
      <c r="CJ510" s="43"/>
      <c r="CK510" s="43"/>
      <c r="CL510" s="43"/>
      <c r="CM510" s="43"/>
      <c r="CN510" s="43"/>
      <c r="CO510" s="43"/>
      <c r="CP510" s="43"/>
      <c r="CQ510" s="43"/>
      <c r="CR510" s="43"/>
      <c r="CS510" s="43"/>
      <c r="CT510" s="43"/>
      <c r="CU510" s="43"/>
      <c r="CV510" s="43"/>
      <c r="CW510" s="43"/>
      <c r="CX510" s="43"/>
      <c r="CY510" s="43"/>
      <c r="CZ510" s="43"/>
      <c r="DA510" s="43"/>
      <c r="DB510" s="43"/>
      <c r="DC510" s="43"/>
      <c r="DD510" s="43"/>
      <c r="DE510" s="43"/>
      <c r="DF510" s="43"/>
      <c r="DG510" s="43"/>
      <c r="DH510" s="43"/>
      <c r="DI510" s="43"/>
      <c r="DJ510" s="43"/>
      <c r="DK510" s="43"/>
      <c r="DL510" s="43"/>
      <c r="DM510" s="43"/>
      <c r="DN510" s="43"/>
      <c r="DO510" s="43"/>
      <c r="DP510" s="43"/>
      <c r="DQ510" s="43"/>
      <c r="DR510" s="43"/>
      <c r="DS510" s="43"/>
      <c r="DT510" s="43"/>
      <c r="DU510" s="43"/>
      <c r="DV510" s="43"/>
      <c r="DW510" s="43"/>
      <c r="DX510" s="43"/>
      <c r="DY510" s="43"/>
      <c r="DZ510" s="43"/>
      <c r="EA510" s="43"/>
      <c r="EB510" s="43"/>
      <c r="EC510" s="43"/>
      <c r="ED510" s="43"/>
      <c r="EE510" s="43"/>
      <c r="EF510" s="43"/>
      <c r="EG510" s="43"/>
      <c r="EH510" s="43"/>
      <c r="EI510" s="43"/>
      <c r="EJ510" s="43"/>
      <c r="EK510" s="43"/>
      <c r="EL510" s="43"/>
      <c r="EM510" s="43"/>
      <c r="EN510" s="43"/>
      <c r="EO510" s="43"/>
      <c r="EP510" s="43"/>
      <c r="EQ510" s="43"/>
      <c r="ER510" s="43"/>
      <c r="ES510" s="43"/>
      <c r="ET510" s="50"/>
      <c r="EU510" s="50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43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43"/>
      <c r="CF511" s="43"/>
      <c r="CG511" s="43"/>
      <c r="CH511" s="43"/>
      <c r="CI511" s="43"/>
      <c r="CJ511" s="43"/>
      <c r="CK511" s="43"/>
      <c r="CL511" s="43"/>
      <c r="CM511" s="43"/>
      <c r="CN511" s="43"/>
      <c r="CO511" s="43"/>
      <c r="CP511" s="43"/>
      <c r="CQ511" s="43"/>
      <c r="CR511" s="43"/>
      <c r="CS511" s="43"/>
      <c r="CT511" s="43"/>
      <c r="CU511" s="43"/>
      <c r="CV511" s="43"/>
      <c r="CW511" s="43"/>
      <c r="CX511" s="43"/>
      <c r="CY511" s="43"/>
      <c r="CZ511" s="43"/>
      <c r="DA511" s="43"/>
      <c r="DB511" s="43"/>
      <c r="DC511" s="43"/>
      <c r="DD511" s="43"/>
      <c r="DE511" s="43"/>
      <c r="DF511" s="43"/>
      <c r="DG511" s="43"/>
      <c r="DH511" s="43"/>
      <c r="DI511" s="43"/>
      <c r="DJ511" s="43"/>
      <c r="DK511" s="43"/>
      <c r="DL511" s="43"/>
      <c r="DM511" s="43"/>
      <c r="DN511" s="43"/>
      <c r="DO511" s="43"/>
      <c r="DP511" s="43"/>
      <c r="DQ511" s="43"/>
      <c r="DR511" s="43"/>
      <c r="DS511" s="43"/>
      <c r="DT511" s="43"/>
      <c r="DU511" s="43"/>
      <c r="DV511" s="43"/>
      <c r="DW511" s="43"/>
      <c r="DX511" s="43"/>
      <c r="DY511" s="43"/>
      <c r="DZ511" s="43"/>
      <c r="EA511" s="43"/>
      <c r="EB511" s="43"/>
      <c r="EC511" s="43"/>
      <c r="ED511" s="43"/>
      <c r="EE511" s="43"/>
      <c r="EF511" s="43"/>
      <c r="EG511" s="43"/>
      <c r="EH511" s="43"/>
      <c r="EI511" s="43"/>
      <c r="EJ511" s="43"/>
      <c r="EK511" s="43"/>
      <c r="EL511" s="43"/>
      <c r="EM511" s="43"/>
      <c r="EN511" s="43"/>
      <c r="EO511" s="43"/>
      <c r="EP511" s="43"/>
      <c r="EQ511" s="43"/>
      <c r="ER511" s="43"/>
      <c r="ES511" s="43"/>
      <c r="ET511" s="50"/>
      <c r="EU511" s="50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  <c r="CS512" s="43"/>
      <c r="CT512" s="43"/>
      <c r="CU512" s="43"/>
      <c r="CV512" s="43"/>
      <c r="CW512" s="43"/>
      <c r="CX512" s="43"/>
      <c r="CY512" s="43"/>
      <c r="CZ512" s="43"/>
      <c r="DA512" s="43"/>
      <c r="DB512" s="43"/>
      <c r="DC512" s="43"/>
      <c r="DD512" s="43"/>
      <c r="DE512" s="43"/>
      <c r="DF512" s="43"/>
      <c r="DG512" s="43"/>
      <c r="DH512" s="43"/>
      <c r="DI512" s="43"/>
      <c r="DJ512" s="43"/>
      <c r="DK512" s="43"/>
      <c r="DL512" s="43"/>
      <c r="DM512" s="43"/>
      <c r="DN512" s="43"/>
      <c r="DO512" s="43"/>
      <c r="DP512" s="43"/>
      <c r="DQ512" s="43"/>
      <c r="DR512" s="43"/>
      <c r="DS512" s="43"/>
      <c r="DT512" s="43"/>
      <c r="DU512" s="43"/>
      <c r="DV512" s="43"/>
      <c r="DW512" s="43"/>
      <c r="DX512" s="43"/>
      <c r="DY512" s="43"/>
      <c r="DZ512" s="43"/>
      <c r="EA512" s="43"/>
      <c r="EB512" s="43"/>
      <c r="EC512" s="43"/>
      <c r="ED512" s="43"/>
      <c r="EE512" s="43"/>
      <c r="EF512" s="43"/>
      <c r="EG512" s="43"/>
      <c r="EH512" s="43"/>
      <c r="EI512" s="43"/>
      <c r="EJ512" s="43"/>
      <c r="EK512" s="43"/>
      <c r="EL512" s="43"/>
      <c r="EM512" s="43"/>
      <c r="EN512" s="43"/>
      <c r="EO512" s="43"/>
      <c r="EP512" s="43"/>
      <c r="EQ512" s="43"/>
      <c r="ER512" s="43"/>
      <c r="ES512" s="43"/>
      <c r="ET512" s="50"/>
      <c r="EU512" s="50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43"/>
      <c r="CF513" s="43"/>
      <c r="CG513" s="43"/>
      <c r="CH513" s="43"/>
      <c r="CI513" s="43"/>
      <c r="CJ513" s="43"/>
      <c r="CK513" s="43"/>
      <c r="CL513" s="43"/>
      <c r="CM513" s="43"/>
      <c r="CN513" s="43"/>
      <c r="CO513" s="43"/>
      <c r="CP513" s="43"/>
      <c r="CQ513" s="43"/>
      <c r="CR513" s="43"/>
      <c r="CS513" s="43"/>
      <c r="CT513" s="43"/>
      <c r="CU513" s="43"/>
      <c r="CV513" s="43"/>
      <c r="CW513" s="43"/>
      <c r="CX513" s="43"/>
      <c r="CY513" s="43"/>
      <c r="CZ513" s="43"/>
      <c r="DA513" s="43"/>
      <c r="DB513" s="43"/>
      <c r="DC513" s="43"/>
      <c r="DD513" s="43"/>
      <c r="DE513" s="43"/>
      <c r="DF513" s="43"/>
      <c r="DG513" s="43"/>
      <c r="DH513" s="43"/>
      <c r="DI513" s="43"/>
      <c r="DJ513" s="43"/>
      <c r="DK513" s="43"/>
      <c r="DL513" s="43"/>
      <c r="DM513" s="43"/>
      <c r="DN513" s="43"/>
      <c r="DO513" s="43"/>
      <c r="DP513" s="43"/>
      <c r="DQ513" s="43"/>
      <c r="DR513" s="43"/>
      <c r="DS513" s="43"/>
      <c r="DT513" s="43"/>
      <c r="DU513" s="43"/>
      <c r="DV513" s="43"/>
      <c r="DW513" s="43"/>
      <c r="DX513" s="43"/>
      <c r="DY513" s="43"/>
      <c r="DZ513" s="43"/>
      <c r="EA513" s="43"/>
      <c r="EB513" s="43"/>
      <c r="EC513" s="43"/>
      <c r="ED513" s="43"/>
      <c r="EE513" s="43"/>
      <c r="EF513" s="43"/>
      <c r="EG513" s="43"/>
      <c r="EH513" s="43"/>
      <c r="EI513" s="43"/>
      <c r="EJ513" s="43"/>
      <c r="EK513" s="43"/>
      <c r="EL513" s="43"/>
      <c r="EM513" s="43"/>
      <c r="EN513" s="43"/>
      <c r="EO513" s="43"/>
      <c r="EP513" s="43"/>
      <c r="EQ513" s="43"/>
      <c r="ER513" s="43"/>
      <c r="ES513" s="43"/>
      <c r="ET513" s="50"/>
      <c r="EU513" s="50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  <c r="CS514" s="43"/>
      <c r="CT514" s="43"/>
      <c r="CU514" s="43"/>
      <c r="CV514" s="43"/>
      <c r="CW514" s="43"/>
      <c r="CX514" s="43"/>
      <c r="CY514" s="43"/>
      <c r="CZ514" s="43"/>
      <c r="DA514" s="43"/>
      <c r="DB514" s="43"/>
      <c r="DC514" s="43"/>
      <c r="DD514" s="43"/>
      <c r="DE514" s="43"/>
      <c r="DF514" s="43"/>
      <c r="DG514" s="43"/>
      <c r="DH514" s="43"/>
      <c r="DI514" s="43"/>
      <c r="DJ514" s="43"/>
      <c r="DK514" s="43"/>
      <c r="DL514" s="43"/>
      <c r="DM514" s="43"/>
      <c r="DN514" s="43"/>
      <c r="DO514" s="43"/>
      <c r="DP514" s="43"/>
      <c r="DQ514" s="43"/>
      <c r="DR514" s="43"/>
      <c r="DS514" s="43"/>
      <c r="DT514" s="43"/>
      <c r="DU514" s="43"/>
      <c r="DV514" s="43"/>
      <c r="DW514" s="43"/>
      <c r="DX514" s="43"/>
      <c r="DY514" s="43"/>
      <c r="DZ514" s="43"/>
      <c r="EA514" s="43"/>
      <c r="EB514" s="43"/>
      <c r="EC514" s="43"/>
      <c r="ED514" s="43"/>
      <c r="EE514" s="43"/>
      <c r="EF514" s="43"/>
      <c r="EG514" s="43"/>
      <c r="EH514" s="43"/>
      <c r="EI514" s="43"/>
      <c r="EJ514" s="43"/>
      <c r="EK514" s="43"/>
      <c r="EL514" s="43"/>
      <c r="EM514" s="43"/>
      <c r="EN514" s="43"/>
      <c r="EO514" s="43"/>
      <c r="EP514" s="43"/>
      <c r="EQ514" s="43"/>
      <c r="ER514" s="43"/>
      <c r="ES514" s="43"/>
      <c r="ET514" s="50"/>
      <c r="EU514" s="50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  <c r="CS515" s="43"/>
      <c r="CT515" s="43"/>
      <c r="CU515" s="43"/>
      <c r="CV515" s="43"/>
      <c r="CW515" s="43"/>
      <c r="CX515" s="43"/>
      <c r="CY515" s="43"/>
      <c r="CZ515" s="43"/>
      <c r="DA515" s="43"/>
      <c r="DB515" s="43"/>
      <c r="DC515" s="43"/>
      <c r="DD515" s="43"/>
      <c r="DE515" s="43"/>
      <c r="DF515" s="43"/>
      <c r="DG515" s="43"/>
      <c r="DH515" s="43"/>
      <c r="DI515" s="43"/>
      <c r="DJ515" s="43"/>
      <c r="DK515" s="43"/>
      <c r="DL515" s="43"/>
      <c r="DM515" s="43"/>
      <c r="DN515" s="43"/>
      <c r="DO515" s="43"/>
      <c r="DP515" s="43"/>
      <c r="DQ515" s="43"/>
      <c r="DR515" s="43"/>
      <c r="DS515" s="43"/>
      <c r="DT515" s="43"/>
      <c r="DU515" s="43"/>
      <c r="DV515" s="43"/>
      <c r="DW515" s="43"/>
      <c r="DX515" s="43"/>
      <c r="DY515" s="43"/>
      <c r="DZ515" s="43"/>
      <c r="EA515" s="43"/>
      <c r="EB515" s="43"/>
      <c r="EC515" s="43"/>
      <c r="ED515" s="43"/>
      <c r="EE515" s="43"/>
      <c r="EF515" s="43"/>
      <c r="EG515" s="43"/>
      <c r="EH515" s="43"/>
      <c r="EI515" s="43"/>
      <c r="EJ515" s="43"/>
      <c r="EK515" s="43"/>
      <c r="EL515" s="43"/>
      <c r="EM515" s="43"/>
      <c r="EN515" s="43"/>
      <c r="EO515" s="43"/>
      <c r="EP515" s="43"/>
      <c r="EQ515" s="43"/>
      <c r="ER515" s="43"/>
      <c r="ES515" s="43"/>
      <c r="ET515" s="50"/>
      <c r="EU515" s="50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43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43"/>
      <c r="CF516" s="43"/>
      <c r="CG516" s="43"/>
      <c r="CH516" s="43"/>
      <c r="CI516" s="43"/>
      <c r="CJ516" s="43"/>
      <c r="CK516" s="43"/>
      <c r="CL516" s="43"/>
      <c r="CM516" s="43"/>
      <c r="CN516" s="43"/>
      <c r="CO516" s="43"/>
      <c r="CP516" s="43"/>
      <c r="CQ516" s="43"/>
      <c r="CR516" s="43"/>
      <c r="CS516" s="43"/>
      <c r="CT516" s="43"/>
      <c r="CU516" s="43"/>
      <c r="CV516" s="43"/>
      <c r="CW516" s="43"/>
      <c r="CX516" s="43"/>
      <c r="CY516" s="43"/>
      <c r="CZ516" s="43"/>
      <c r="DA516" s="43"/>
      <c r="DB516" s="43"/>
      <c r="DC516" s="43"/>
      <c r="DD516" s="43"/>
      <c r="DE516" s="43"/>
      <c r="DF516" s="43"/>
      <c r="DG516" s="43"/>
      <c r="DH516" s="43"/>
      <c r="DI516" s="43"/>
      <c r="DJ516" s="43"/>
      <c r="DK516" s="43"/>
      <c r="DL516" s="43"/>
      <c r="DM516" s="43"/>
      <c r="DN516" s="43"/>
      <c r="DO516" s="43"/>
      <c r="DP516" s="43"/>
      <c r="DQ516" s="43"/>
      <c r="DR516" s="43"/>
      <c r="DS516" s="43"/>
      <c r="DT516" s="43"/>
      <c r="DU516" s="43"/>
      <c r="DV516" s="43"/>
      <c r="DW516" s="43"/>
      <c r="DX516" s="43"/>
      <c r="DY516" s="43"/>
      <c r="DZ516" s="43"/>
      <c r="EA516" s="43"/>
      <c r="EB516" s="43"/>
      <c r="EC516" s="43"/>
      <c r="ED516" s="43"/>
      <c r="EE516" s="43"/>
      <c r="EF516" s="43"/>
      <c r="EG516" s="43"/>
      <c r="EH516" s="43"/>
      <c r="EI516" s="43"/>
      <c r="EJ516" s="43"/>
      <c r="EK516" s="43"/>
      <c r="EL516" s="43"/>
      <c r="EM516" s="43"/>
      <c r="EN516" s="43"/>
      <c r="EO516" s="43"/>
      <c r="EP516" s="43"/>
      <c r="EQ516" s="43"/>
      <c r="ER516" s="43"/>
      <c r="ES516" s="43"/>
      <c r="ET516" s="50"/>
      <c r="EU516" s="50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43"/>
      <c r="CF517" s="43"/>
      <c r="CG517" s="43"/>
      <c r="CH517" s="43"/>
      <c r="CI517" s="43"/>
      <c r="CJ517" s="43"/>
      <c r="CK517" s="43"/>
      <c r="CL517" s="43"/>
      <c r="CM517" s="43"/>
      <c r="CN517" s="43"/>
      <c r="CO517" s="43"/>
      <c r="CP517" s="43"/>
      <c r="CQ517" s="43"/>
      <c r="CR517" s="43"/>
      <c r="CS517" s="43"/>
      <c r="CT517" s="43"/>
      <c r="CU517" s="43"/>
      <c r="CV517" s="43"/>
      <c r="CW517" s="43"/>
      <c r="CX517" s="43"/>
      <c r="CY517" s="43"/>
      <c r="CZ517" s="43"/>
      <c r="DA517" s="43"/>
      <c r="DB517" s="43"/>
      <c r="DC517" s="43"/>
      <c r="DD517" s="43"/>
      <c r="DE517" s="43"/>
      <c r="DF517" s="43"/>
      <c r="DG517" s="43"/>
      <c r="DH517" s="43"/>
      <c r="DI517" s="43"/>
      <c r="DJ517" s="43"/>
      <c r="DK517" s="43"/>
      <c r="DL517" s="43"/>
      <c r="DM517" s="43"/>
      <c r="DN517" s="43"/>
      <c r="DO517" s="43"/>
      <c r="DP517" s="43"/>
      <c r="DQ517" s="43"/>
      <c r="DR517" s="43"/>
      <c r="DS517" s="43"/>
      <c r="DT517" s="43"/>
      <c r="DU517" s="43"/>
      <c r="DV517" s="43"/>
      <c r="DW517" s="43"/>
      <c r="DX517" s="43"/>
      <c r="DY517" s="43"/>
      <c r="DZ517" s="43"/>
      <c r="EA517" s="43"/>
      <c r="EB517" s="43"/>
      <c r="EC517" s="43"/>
      <c r="ED517" s="43"/>
      <c r="EE517" s="43"/>
      <c r="EF517" s="43"/>
      <c r="EG517" s="43"/>
      <c r="EH517" s="43"/>
      <c r="EI517" s="43"/>
      <c r="EJ517" s="43"/>
      <c r="EK517" s="43"/>
      <c r="EL517" s="43"/>
      <c r="EM517" s="43"/>
      <c r="EN517" s="43"/>
      <c r="EO517" s="43"/>
      <c r="EP517" s="43"/>
      <c r="EQ517" s="43"/>
      <c r="ER517" s="43"/>
      <c r="ES517" s="43"/>
      <c r="ET517" s="50"/>
      <c r="EU517" s="50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  <c r="CS518" s="43"/>
      <c r="CT518" s="43"/>
      <c r="CU518" s="43"/>
      <c r="CV518" s="43"/>
      <c r="CW518" s="43"/>
      <c r="CX518" s="43"/>
      <c r="CY518" s="43"/>
      <c r="CZ518" s="43"/>
      <c r="DA518" s="43"/>
      <c r="DB518" s="43"/>
      <c r="DC518" s="43"/>
      <c r="DD518" s="43"/>
      <c r="DE518" s="43"/>
      <c r="DF518" s="43"/>
      <c r="DG518" s="43"/>
      <c r="DH518" s="43"/>
      <c r="DI518" s="43"/>
      <c r="DJ518" s="43"/>
      <c r="DK518" s="43"/>
      <c r="DL518" s="43"/>
      <c r="DM518" s="43"/>
      <c r="DN518" s="43"/>
      <c r="DO518" s="43"/>
      <c r="DP518" s="43"/>
      <c r="DQ518" s="43"/>
      <c r="DR518" s="43"/>
      <c r="DS518" s="43"/>
      <c r="DT518" s="43"/>
      <c r="DU518" s="43"/>
      <c r="DV518" s="43"/>
      <c r="DW518" s="43"/>
      <c r="DX518" s="43"/>
      <c r="DY518" s="43"/>
      <c r="DZ518" s="43"/>
      <c r="EA518" s="43"/>
      <c r="EB518" s="43"/>
      <c r="EC518" s="43"/>
      <c r="ED518" s="43"/>
      <c r="EE518" s="43"/>
      <c r="EF518" s="43"/>
      <c r="EG518" s="43"/>
      <c r="EH518" s="43"/>
      <c r="EI518" s="43"/>
      <c r="EJ518" s="43"/>
      <c r="EK518" s="43"/>
      <c r="EL518" s="43"/>
      <c r="EM518" s="43"/>
      <c r="EN518" s="43"/>
      <c r="EO518" s="43"/>
      <c r="EP518" s="43"/>
      <c r="EQ518" s="43"/>
      <c r="ER518" s="43"/>
      <c r="ES518" s="43"/>
      <c r="ET518" s="50"/>
      <c r="EU518" s="50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43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43"/>
      <c r="CF519" s="43"/>
      <c r="CG519" s="43"/>
      <c r="CH519" s="43"/>
      <c r="CI519" s="43"/>
      <c r="CJ519" s="43"/>
      <c r="CK519" s="43"/>
      <c r="CL519" s="43"/>
      <c r="CM519" s="43"/>
      <c r="CN519" s="43"/>
      <c r="CO519" s="43"/>
      <c r="CP519" s="43"/>
      <c r="CQ519" s="43"/>
      <c r="CR519" s="43"/>
      <c r="CS519" s="43"/>
      <c r="CT519" s="43"/>
      <c r="CU519" s="43"/>
      <c r="CV519" s="43"/>
      <c r="CW519" s="43"/>
      <c r="CX519" s="43"/>
      <c r="CY519" s="43"/>
      <c r="CZ519" s="43"/>
      <c r="DA519" s="43"/>
      <c r="DB519" s="43"/>
      <c r="DC519" s="43"/>
      <c r="DD519" s="43"/>
      <c r="DE519" s="43"/>
      <c r="DF519" s="43"/>
      <c r="DG519" s="43"/>
      <c r="DH519" s="43"/>
      <c r="DI519" s="43"/>
      <c r="DJ519" s="43"/>
      <c r="DK519" s="43"/>
      <c r="DL519" s="43"/>
      <c r="DM519" s="43"/>
      <c r="DN519" s="43"/>
      <c r="DO519" s="43"/>
      <c r="DP519" s="43"/>
      <c r="DQ519" s="43"/>
      <c r="DR519" s="43"/>
      <c r="DS519" s="43"/>
      <c r="DT519" s="43"/>
      <c r="DU519" s="43"/>
      <c r="DV519" s="43"/>
      <c r="DW519" s="43"/>
      <c r="DX519" s="43"/>
      <c r="DY519" s="43"/>
      <c r="DZ519" s="43"/>
      <c r="EA519" s="43"/>
      <c r="EB519" s="43"/>
      <c r="EC519" s="43"/>
      <c r="ED519" s="43"/>
      <c r="EE519" s="43"/>
      <c r="EF519" s="43"/>
      <c r="EG519" s="43"/>
      <c r="EH519" s="43"/>
      <c r="EI519" s="43"/>
      <c r="EJ519" s="43"/>
      <c r="EK519" s="43"/>
      <c r="EL519" s="43"/>
      <c r="EM519" s="43"/>
      <c r="EN519" s="43"/>
      <c r="EO519" s="43"/>
      <c r="EP519" s="43"/>
      <c r="EQ519" s="43"/>
      <c r="ER519" s="43"/>
      <c r="ES519" s="43"/>
      <c r="ET519" s="50"/>
      <c r="EU519" s="50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43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43"/>
      <c r="CF520" s="43"/>
      <c r="CG520" s="43"/>
      <c r="CH520" s="43"/>
      <c r="CI520" s="43"/>
      <c r="CJ520" s="43"/>
      <c r="CK520" s="43"/>
      <c r="CL520" s="43"/>
      <c r="CM520" s="43"/>
      <c r="CN520" s="43"/>
      <c r="CO520" s="43"/>
      <c r="CP520" s="43"/>
      <c r="CQ520" s="43"/>
      <c r="CR520" s="43"/>
      <c r="CS520" s="43"/>
      <c r="CT520" s="43"/>
      <c r="CU520" s="43"/>
      <c r="CV520" s="43"/>
      <c r="CW520" s="43"/>
      <c r="CX520" s="43"/>
      <c r="CY520" s="43"/>
      <c r="CZ520" s="43"/>
      <c r="DA520" s="43"/>
      <c r="DB520" s="43"/>
      <c r="DC520" s="43"/>
      <c r="DD520" s="43"/>
      <c r="DE520" s="43"/>
      <c r="DF520" s="43"/>
      <c r="DG520" s="43"/>
      <c r="DH520" s="43"/>
      <c r="DI520" s="43"/>
      <c r="DJ520" s="43"/>
      <c r="DK520" s="43"/>
      <c r="DL520" s="43"/>
      <c r="DM520" s="43"/>
      <c r="DN520" s="43"/>
      <c r="DO520" s="43"/>
      <c r="DP520" s="43"/>
      <c r="DQ520" s="43"/>
      <c r="DR520" s="43"/>
      <c r="DS520" s="43"/>
      <c r="DT520" s="43"/>
      <c r="DU520" s="43"/>
      <c r="DV520" s="43"/>
      <c r="DW520" s="43"/>
      <c r="DX520" s="43"/>
      <c r="DY520" s="43"/>
      <c r="DZ520" s="43"/>
      <c r="EA520" s="43"/>
      <c r="EB520" s="43"/>
      <c r="EC520" s="43"/>
      <c r="ED520" s="43"/>
      <c r="EE520" s="43"/>
      <c r="EF520" s="43"/>
      <c r="EG520" s="43"/>
      <c r="EH520" s="43"/>
      <c r="EI520" s="43"/>
      <c r="EJ520" s="43"/>
      <c r="EK520" s="43"/>
      <c r="EL520" s="43"/>
      <c r="EM520" s="43"/>
      <c r="EN520" s="43"/>
      <c r="EO520" s="43"/>
      <c r="EP520" s="43"/>
      <c r="EQ520" s="43"/>
      <c r="ER520" s="43"/>
      <c r="ES520" s="43"/>
      <c r="ET520" s="50"/>
      <c r="EU520" s="50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43"/>
      <c r="BO521" s="43"/>
      <c r="BP521" s="43"/>
      <c r="BQ521" s="43"/>
      <c r="BR521" s="43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43"/>
      <c r="CF521" s="43"/>
      <c r="CG521" s="43"/>
      <c r="CH521" s="43"/>
      <c r="CI521" s="43"/>
      <c r="CJ521" s="43"/>
      <c r="CK521" s="43"/>
      <c r="CL521" s="43"/>
      <c r="CM521" s="43"/>
      <c r="CN521" s="43"/>
      <c r="CO521" s="43"/>
      <c r="CP521" s="43"/>
      <c r="CQ521" s="43"/>
      <c r="CR521" s="43"/>
      <c r="CS521" s="43"/>
      <c r="CT521" s="43"/>
      <c r="CU521" s="43"/>
      <c r="CV521" s="43"/>
      <c r="CW521" s="43"/>
      <c r="CX521" s="43"/>
      <c r="CY521" s="43"/>
      <c r="CZ521" s="43"/>
      <c r="DA521" s="43"/>
      <c r="DB521" s="43"/>
      <c r="DC521" s="43"/>
      <c r="DD521" s="43"/>
      <c r="DE521" s="43"/>
      <c r="DF521" s="43"/>
      <c r="DG521" s="43"/>
      <c r="DH521" s="43"/>
      <c r="DI521" s="43"/>
      <c r="DJ521" s="43"/>
      <c r="DK521" s="43"/>
      <c r="DL521" s="43"/>
      <c r="DM521" s="43"/>
      <c r="DN521" s="43"/>
      <c r="DO521" s="43"/>
      <c r="DP521" s="43"/>
      <c r="DQ521" s="43"/>
      <c r="DR521" s="43"/>
      <c r="DS521" s="43"/>
      <c r="DT521" s="43"/>
      <c r="DU521" s="43"/>
      <c r="DV521" s="43"/>
      <c r="DW521" s="43"/>
      <c r="DX521" s="43"/>
      <c r="DY521" s="43"/>
      <c r="DZ521" s="43"/>
      <c r="EA521" s="43"/>
      <c r="EB521" s="43"/>
      <c r="EC521" s="43"/>
      <c r="ED521" s="43"/>
      <c r="EE521" s="43"/>
      <c r="EF521" s="43"/>
      <c r="EG521" s="43"/>
      <c r="EH521" s="43"/>
      <c r="EI521" s="43"/>
      <c r="EJ521" s="43"/>
      <c r="EK521" s="43"/>
      <c r="EL521" s="43"/>
      <c r="EM521" s="43"/>
      <c r="EN521" s="43"/>
      <c r="EO521" s="43"/>
      <c r="EP521" s="43"/>
      <c r="EQ521" s="43"/>
      <c r="ER521" s="43"/>
      <c r="ES521" s="43"/>
      <c r="ET521" s="50"/>
      <c r="EU521" s="50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43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43"/>
      <c r="CF522" s="43"/>
      <c r="CG522" s="43"/>
      <c r="CH522" s="43"/>
      <c r="CI522" s="43"/>
      <c r="CJ522" s="43"/>
      <c r="CK522" s="43"/>
      <c r="CL522" s="43"/>
      <c r="CM522" s="43"/>
      <c r="CN522" s="43"/>
      <c r="CO522" s="43"/>
      <c r="CP522" s="43"/>
      <c r="CQ522" s="43"/>
      <c r="CR522" s="43"/>
      <c r="CS522" s="43"/>
      <c r="CT522" s="43"/>
      <c r="CU522" s="43"/>
      <c r="CV522" s="43"/>
      <c r="CW522" s="43"/>
      <c r="CX522" s="43"/>
      <c r="CY522" s="43"/>
      <c r="CZ522" s="43"/>
      <c r="DA522" s="43"/>
      <c r="DB522" s="43"/>
      <c r="DC522" s="43"/>
      <c r="DD522" s="43"/>
      <c r="DE522" s="43"/>
      <c r="DF522" s="43"/>
      <c r="DG522" s="43"/>
      <c r="DH522" s="43"/>
      <c r="DI522" s="43"/>
      <c r="DJ522" s="43"/>
      <c r="DK522" s="43"/>
      <c r="DL522" s="43"/>
      <c r="DM522" s="43"/>
      <c r="DN522" s="43"/>
      <c r="DO522" s="43"/>
      <c r="DP522" s="43"/>
      <c r="DQ522" s="43"/>
      <c r="DR522" s="43"/>
      <c r="DS522" s="43"/>
      <c r="DT522" s="43"/>
      <c r="DU522" s="43"/>
      <c r="DV522" s="43"/>
      <c r="DW522" s="43"/>
      <c r="DX522" s="43"/>
      <c r="DY522" s="43"/>
      <c r="DZ522" s="43"/>
      <c r="EA522" s="43"/>
      <c r="EB522" s="43"/>
      <c r="EC522" s="43"/>
      <c r="ED522" s="43"/>
      <c r="EE522" s="43"/>
      <c r="EF522" s="43"/>
      <c r="EG522" s="43"/>
      <c r="EH522" s="43"/>
      <c r="EI522" s="43"/>
      <c r="EJ522" s="43"/>
      <c r="EK522" s="43"/>
      <c r="EL522" s="43"/>
      <c r="EM522" s="43"/>
      <c r="EN522" s="43"/>
      <c r="EO522" s="43"/>
      <c r="EP522" s="43"/>
      <c r="EQ522" s="43"/>
      <c r="ER522" s="43"/>
      <c r="ES522" s="43"/>
      <c r="ET522" s="50"/>
      <c r="EU522" s="50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43"/>
      <c r="BO523" s="43"/>
      <c r="BP523" s="43"/>
      <c r="BQ523" s="43"/>
      <c r="BR523" s="43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43"/>
      <c r="CF523" s="43"/>
      <c r="CG523" s="43"/>
      <c r="CH523" s="43"/>
      <c r="CI523" s="43"/>
      <c r="CJ523" s="43"/>
      <c r="CK523" s="43"/>
      <c r="CL523" s="43"/>
      <c r="CM523" s="43"/>
      <c r="CN523" s="43"/>
      <c r="CO523" s="43"/>
      <c r="CP523" s="43"/>
      <c r="CQ523" s="43"/>
      <c r="CR523" s="43"/>
      <c r="CS523" s="43"/>
      <c r="CT523" s="43"/>
      <c r="CU523" s="43"/>
      <c r="CV523" s="43"/>
      <c r="CW523" s="43"/>
      <c r="CX523" s="43"/>
      <c r="CY523" s="43"/>
      <c r="CZ523" s="43"/>
      <c r="DA523" s="43"/>
      <c r="DB523" s="43"/>
      <c r="DC523" s="43"/>
      <c r="DD523" s="43"/>
      <c r="DE523" s="43"/>
      <c r="DF523" s="43"/>
      <c r="DG523" s="43"/>
      <c r="DH523" s="43"/>
      <c r="DI523" s="43"/>
      <c r="DJ523" s="43"/>
      <c r="DK523" s="43"/>
      <c r="DL523" s="43"/>
      <c r="DM523" s="43"/>
      <c r="DN523" s="43"/>
      <c r="DO523" s="43"/>
      <c r="DP523" s="43"/>
      <c r="DQ523" s="43"/>
      <c r="DR523" s="43"/>
      <c r="DS523" s="43"/>
      <c r="DT523" s="43"/>
      <c r="DU523" s="43"/>
      <c r="DV523" s="43"/>
      <c r="DW523" s="43"/>
      <c r="DX523" s="43"/>
      <c r="DY523" s="43"/>
      <c r="DZ523" s="43"/>
      <c r="EA523" s="43"/>
      <c r="EB523" s="43"/>
      <c r="EC523" s="43"/>
      <c r="ED523" s="43"/>
      <c r="EE523" s="43"/>
      <c r="EF523" s="43"/>
      <c r="EG523" s="43"/>
      <c r="EH523" s="43"/>
      <c r="EI523" s="43"/>
      <c r="EJ523" s="43"/>
      <c r="EK523" s="43"/>
      <c r="EL523" s="43"/>
      <c r="EM523" s="43"/>
      <c r="EN523" s="43"/>
      <c r="EO523" s="43"/>
      <c r="EP523" s="43"/>
      <c r="EQ523" s="43"/>
      <c r="ER523" s="43"/>
      <c r="ES523" s="43"/>
      <c r="ET523" s="50"/>
      <c r="EU523" s="50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43"/>
      <c r="BO524" s="43"/>
      <c r="BP524" s="43"/>
      <c r="BQ524" s="43"/>
      <c r="BR524" s="43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43"/>
      <c r="CF524" s="43"/>
      <c r="CG524" s="43"/>
      <c r="CH524" s="43"/>
      <c r="CI524" s="43"/>
      <c r="CJ524" s="43"/>
      <c r="CK524" s="43"/>
      <c r="CL524" s="43"/>
      <c r="CM524" s="43"/>
      <c r="CN524" s="43"/>
      <c r="CO524" s="43"/>
      <c r="CP524" s="43"/>
      <c r="CQ524" s="43"/>
      <c r="CR524" s="43"/>
      <c r="CS524" s="43"/>
      <c r="CT524" s="43"/>
      <c r="CU524" s="43"/>
      <c r="CV524" s="43"/>
      <c r="CW524" s="43"/>
      <c r="CX524" s="43"/>
      <c r="CY524" s="43"/>
      <c r="CZ524" s="43"/>
      <c r="DA524" s="43"/>
      <c r="DB524" s="43"/>
      <c r="DC524" s="43"/>
      <c r="DD524" s="43"/>
      <c r="DE524" s="43"/>
      <c r="DF524" s="43"/>
      <c r="DG524" s="43"/>
      <c r="DH524" s="43"/>
      <c r="DI524" s="43"/>
      <c r="DJ524" s="43"/>
      <c r="DK524" s="43"/>
      <c r="DL524" s="43"/>
      <c r="DM524" s="43"/>
      <c r="DN524" s="43"/>
      <c r="DO524" s="43"/>
      <c r="DP524" s="43"/>
      <c r="DQ524" s="43"/>
      <c r="DR524" s="43"/>
      <c r="DS524" s="43"/>
      <c r="DT524" s="43"/>
      <c r="DU524" s="43"/>
      <c r="DV524" s="43"/>
      <c r="DW524" s="43"/>
      <c r="DX524" s="43"/>
      <c r="DY524" s="43"/>
      <c r="DZ524" s="43"/>
      <c r="EA524" s="43"/>
      <c r="EB524" s="43"/>
      <c r="EC524" s="43"/>
      <c r="ED524" s="43"/>
      <c r="EE524" s="43"/>
      <c r="EF524" s="43"/>
      <c r="EG524" s="43"/>
      <c r="EH524" s="43"/>
      <c r="EI524" s="43"/>
      <c r="EJ524" s="43"/>
      <c r="EK524" s="43"/>
      <c r="EL524" s="43"/>
      <c r="EM524" s="43"/>
      <c r="EN524" s="43"/>
      <c r="EO524" s="43"/>
      <c r="EP524" s="43"/>
      <c r="EQ524" s="43"/>
      <c r="ER524" s="43"/>
      <c r="ES524" s="43"/>
      <c r="ET524" s="50"/>
      <c r="EU524" s="50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R525" s="43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43"/>
      <c r="CF525" s="43"/>
      <c r="CG525" s="43"/>
      <c r="CH525" s="43"/>
      <c r="CI525" s="43"/>
      <c r="CJ525" s="43"/>
      <c r="CK525" s="43"/>
      <c r="CL525" s="43"/>
      <c r="CM525" s="43"/>
      <c r="CN525" s="43"/>
      <c r="CO525" s="43"/>
      <c r="CP525" s="43"/>
      <c r="CQ525" s="43"/>
      <c r="CR525" s="43"/>
      <c r="CS525" s="43"/>
      <c r="CT525" s="43"/>
      <c r="CU525" s="43"/>
      <c r="CV525" s="43"/>
      <c r="CW525" s="43"/>
      <c r="CX525" s="43"/>
      <c r="CY525" s="43"/>
      <c r="CZ525" s="43"/>
      <c r="DA525" s="43"/>
      <c r="DB525" s="43"/>
      <c r="DC525" s="43"/>
      <c r="DD525" s="43"/>
      <c r="DE525" s="43"/>
      <c r="DF525" s="43"/>
      <c r="DG525" s="43"/>
      <c r="DH525" s="43"/>
      <c r="DI525" s="43"/>
      <c r="DJ525" s="43"/>
      <c r="DK525" s="43"/>
      <c r="DL525" s="43"/>
      <c r="DM525" s="43"/>
      <c r="DN525" s="43"/>
      <c r="DO525" s="43"/>
      <c r="DP525" s="43"/>
      <c r="DQ525" s="43"/>
      <c r="DR525" s="43"/>
      <c r="DS525" s="43"/>
      <c r="DT525" s="43"/>
      <c r="DU525" s="43"/>
      <c r="DV525" s="43"/>
      <c r="DW525" s="43"/>
      <c r="DX525" s="43"/>
      <c r="DY525" s="43"/>
      <c r="DZ525" s="43"/>
      <c r="EA525" s="43"/>
      <c r="EB525" s="43"/>
      <c r="EC525" s="43"/>
      <c r="ED525" s="43"/>
      <c r="EE525" s="43"/>
      <c r="EF525" s="43"/>
      <c r="EG525" s="43"/>
      <c r="EH525" s="43"/>
      <c r="EI525" s="43"/>
      <c r="EJ525" s="43"/>
      <c r="EK525" s="43"/>
      <c r="EL525" s="43"/>
      <c r="EM525" s="43"/>
      <c r="EN525" s="43"/>
      <c r="EO525" s="43"/>
      <c r="EP525" s="43"/>
      <c r="EQ525" s="43"/>
      <c r="ER525" s="43"/>
      <c r="ES525" s="43"/>
      <c r="ET525" s="50"/>
      <c r="EU525" s="50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  <c r="BL526" s="43"/>
      <c r="BM526" s="43"/>
      <c r="BN526" s="43"/>
      <c r="BO526" s="43"/>
      <c r="BP526" s="43"/>
      <c r="BQ526" s="43"/>
      <c r="BR526" s="43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43"/>
      <c r="CF526" s="43"/>
      <c r="CG526" s="43"/>
      <c r="CH526" s="43"/>
      <c r="CI526" s="43"/>
      <c r="CJ526" s="43"/>
      <c r="CK526" s="43"/>
      <c r="CL526" s="43"/>
      <c r="CM526" s="43"/>
      <c r="CN526" s="43"/>
      <c r="CO526" s="43"/>
      <c r="CP526" s="43"/>
      <c r="CQ526" s="43"/>
      <c r="CR526" s="43"/>
      <c r="CS526" s="43"/>
      <c r="CT526" s="43"/>
      <c r="CU526" s="43"/>
      <c r="CV526" s="43"/>
      <c r="CW526" s="43"/>
      <c r="CX526" s="43"/>
      <c r="CY526" s="43"/>
      <c r="CZ526" s="43"/>
      <c r="DA526" s="43"/>
      <c r="DB526" s="43"/>
      <c r="DC526" s="43"/>
      <c r="DD526" s="43"/>
      <c r="DE526" s="43"/>
      <c r="DF526" s="43"/>
      <c r="DG526" s="43"/>
      <c r="DH526" s="43"/>
      <c r="DI526" s="43"/>
      <c r="DJ526" s="43"/>
      <c r="DK526" s="43"/>
      <c r="DL526" s="43"/>
      <c r="DM526" s="43"/>
      <c r="DN526" s="43"/>
      <c r="DO526" s="43"/>
      <c r="DP526" s="43"/>
      <c r="DQ526" s="43"/>
      <c r="DR526" s="43"/>
      <c r="DS526" s="43"/>
      <c r="DT526" s="43"/>
      <c r="DU526" s="43"/>
      <c r="DV526" s="43"/>
      <c r="DW526" s="43"/>
      <c r="DX526" s="43"/>
      <c r="DY526" s="43"/>
      <c r="DZ526" s="43"/>
      <c r="EA526" s="43"/>
      <c r="EB526" s="43"/>
      <c r="EC526" s="43"/>
      <c r="ED526" s="43"/>
      <c r="EE526" s="43"/>
      <c r="EF526" s="43"/>
      <c r="EG526" s="43"/>
      <c r="EH526" s="43"/>
      <c r="EI526" s="43"/>
      <c r="EJ526" s="43"/>
      <c r="EK526" s="43"/>
      <c r="EL526" s="43"/>
      <c r="EM526" s="43"/>
      <c r="EN526" s="43"/>
      <c r="EO526" s="43"/>
      <c r="EP526" s="43"/>
      <c r="EQ526" s="43"/>
      <c r="ER526" s="43"/>
      <c r="ES526" s="43"/>
      <c r="ET526" s="50"/>
      <c r="EU526" s="50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43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43"/>
      <c r="CF527" s="43"/>
      <c r="CG527" s="43"/>
      <c r="CH527" s="43"/>
      <c r="CI527" s="43"/>
      <c r="CJ527" s="43"/>
      <c r="CK527" s="43"/>
      <c r="CL527" s="43"/>
      <c r="CM527" s="43"/>
      <c r="CN527" s="43"/>
      <c r="CO527" s="43"/>
      <c r="CP527" s="43"/>
      <c r="CQ527" s="43"/>
      <c r="CR527" s="43"/>
      <c r="CS527" s="43"/>
      <c r="CT527" s="43"/>
      <c r="CU527" s="43"/>
      <c r="CV527" s="43"/>
      <c r="CW527" s="43"/>
      <c r="CX527" s="43"/>
      <c r="CY527" s="43"/>
      <c r="CZ527" s="43"/>
      <c r="DA527" s="43"/>
      <c r="DB527" s="43"/>
      <c r="DC527" s="43"/>
      <c r="DD527" s="43"/>
      <c r="DE527" s="43"/>
      <c r="DF527" s="43"/>
      <c r="DG527" s="43"/>
      <c r="DH527" s="43"/>
      <c r="DI527" s="43"/>
      <c r="DJ527" s="43"/>
      <c r="DK527" s="43"/>
      <c r="DL527" s="43"/>
      <c r="DM527" s="43"/>
      <c r="DN527" s="43"/>
      <c r="DO527" s="43"/>
      <c r="DP527" s="43"/>
      <c r="DQ527" s="43"/>
      <c r="DR527" s="43"/>
      <c r="DS527" s="43"/>
      <c r="DT527" s="43"/>
      <c r="DU527" s="43"/>
      <c r="DV527" s="43"/>
      <c r="DW527" s="43"/>
      <c r="DX527" s="43"/>
      <c r="DY527" s="43"/>
      <c r="DZ527" s="43"/>
      <c r="EA527" s="43"/>
      <c r="EB527" s="43"/>
      <c r="EC527" s="43"/>
      <c r="ED527" s="43"/>
      <c r="EE527" s="43"/>
      <c r="EF527" s="43"/>
      <c r="EG527" s="43"/>
      <c r="EH527" s="43"/>
      <c r="EI527" s="43"/>
      <c r="EJ527" s="43"/>
      <c r="EK527" s="43"/>
      <c r="EL527" s="43"/>
      <c r="EM527" s="43"/>
      <c r="EN527" s="43"/>
      <c r="EO527" s="43"/>
      <c r="EP527" s="43"/>
      <c r="EQ527" s="43"/>
      <c r="ER527" s="43"/>
      <c r="ES527" s="43"/>
      <c r="ET527" s="50"/>
      <c r="EU527" s="50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R528" s="43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43"/>
      <c r="CF528" s="43"/>
      <c r="CG528" s="43"/>
      <c r="CH528" s="43"/>
      <c r="CI528" s="43"/>
      <c r="CJ528" s="43"/>
      <c r="CK528" s="43"/>
      <c r="CL528" s="43"/>
      <c r="CM528" s="43"/>
      <c r="CN528" s="43"/>
      <c r="CO528" s="43"/>
      <c r="CP528" s="43"/>
      <c r="CQ528" s="43"/>
      <c r="CR528" s="43"/>
      <c r="CS528" s="43"/>
      <c r="CT528" s="43"/>
      <c r="CU528" s="43"/>
      <c r="CV528" s="43"/>
      <c r="CW528" s="43"/>
      <c r="CX528" s="43"/>
      <c r="CY528" s="43"/>
      <c r="CZ528" s="43"/>
      <c r="DA528" s="43"/>
      <c r="DB528" s="43"/>
      <c r="DC528" s="43"/>
      <c r="DD528" s="43"/>
      <c r="DE528" s="43"/>
      <c r="DF528" s="43"/>
      <c r="DG528" s="43"/>
      <c r="DH528" s="43"/>
      <c r="DI528" s="43"/>
      <c r="DJ528" s="43"/>
      <c r="DK528" s="43"/>
      <c r="DL528" s="43"/>
      <c r="DM528" s="43"/>
      <c r="DN528" s="43"/>
      <c r="DO528" s="43"/>
      <c r="DP528" s="43"/>
      <c r="DQ528" s="43"/>
      <c r="DR528" s="43"/>
      <c r="DS528" s="43"/>
      <c r="DT528" s="43"/>
      <c r="DU528" s="43"/>
      <c r="DV528" s="43"/>
      <c r="DW528" s="43"/>
      <c r="DX528" s="43"/>
      <c r="DY528" s="43"/>
      <c r="DZ528" s="43"/>
      <c r="EA528" s="43"/>
      <c r="EB528" s="43"/>
      <c r="EC528" s="43"/>
      <c r="ED528" s="43"/>
      <c r="EE528" s="43"/>
      <c r="EF528" s="43"/>
      <c r="EG528" s="43"/>
      <c r="EH528" s="43"/>
      <c r="EI528" s="43"/>
      <c r="EJ528" s="43"/>
      <c r="EK528" s="43"/>
      <c r="EL528" s="43"/>
      <c r="EM528" s="43"/>
      <c r="EN528" s="43"/>
      <c r="EO528" s="43"/>
      <c r="EP528" s="43"/>
      <c r="EQ528" s="43"/>
      <c r="ER528" s="43"/>
      <c r="ES528" s="43"/>
      <c r="ET528" s="50"/>
      <c r="EU528" s="50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  <c r="BL529" s="43"/>
      <c r="BM529" s="43"/>
      <c r="BN529" s="43"/>
      <c r="BO529" s="43"/>
      <c r="BP529" s="43"/>
      <c r="BQ529" s="43"/>
      <c r="BR529" s="43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43"/>
      <c r="CF529" s="43"/>
      <c r="CG529" s="43"/>
      <c r="CH529" s="43"/>
      <c r="CI529" s="43"/>
      <c r="CJ529" s="43"/>
      <c r="CK529" s="43"/>
      <c r="CL529" s="43"/>
      <c r="CM529" s="43"/>
      <c r="CN529" s="43"/>
      <c r="CO529" s="43"/>
      <c r="CP529" s="43"/>
      <c r="CQ529" s="43"/>
      <c r="CR529" s="43"/>
      <c r="CS529" s="43"/>
      <c r="CT529" s="43"/>
      <c r="CU529" s="43"/>
      <c r="CV529" s="43"/>
      <c r="CW529" s="43"/>
      <c r="CX529" s="43"/>
      <c r="CY529" s="43"/>
      <c r="CZ529" s="43"/>
      <c r="DA529" s="43"/>
      <c r="DB529" s="43"/>
      <c r="DC529" s="43"/>
      <c r="DD529" s="43"/>
      <c r="DE529" s="43"/>
      <c r="DF529" s="43"/>
      <c r="DG529" s="43"/>
      <c r="DH529" s="43"/>
      <c r="DI529" s="43"/>
      <c r="DJ529" s="43"/>
      <c r="DK529" s="43"/>
      <c r="DL529" s="43"/>
      <c r="DM529" s="43"/>
      <c r="DN529" s="43"/>
      <c r="DO529" s="43"/>
      <c r="DP529" s="43"/>
      <c r="DQ529" s="43"/>
      <c r="DR529" s="43"/>
      <c r="DS529" s="43"/>
      <c r="DT529" s="43"/>
      <c r="DU529" s="43"/>
      <c r="DV529" s="43"/>
      <c r="DW529" s="43"/>
      <c r="DX529" s="43"/>
      <c r="DY529" s="43"/>
      <c r="DZ529" s="43"/>
      <c r="EA529" s="43"/>
      <c r="EB529" s="43"/>
      <c r="EC529" s="43"/>
      <c r="ED529" s="43"/>
      <c r="EE529" s="43"/>
      <c r="EF529" s="43"/>
      <c r="EG529" s="43"/>
      <c r="EH529" s="43"/>
      <c r="EI529" s="43"/>
      <c r="EJ529" s="43"/>
      <c r="EK529" s="43"/>
      <c r="EL529" s="43"/>
      <c r="EM529" s="43"/>
      <c r="EN529" s="43"/>
      <c r="EO529" s="43"/>
      <c r="EP529" s="43"/>
      <c r="EQ529" s="43"/>
      <c r="ER529" s="43"/>
      <c r="ES529" s="43"/>
      <c r="ET529" s="50"/>
      <c r="EU529" s="50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43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43"/>
      <c r="CF530" s="43"/>
      <c r="CG530" s="43"/>
      <c r="CH530" s="43"/>
      <c r="CI530" s="43"/>
      <c r="CJ530" s="43"/>
      <c r="CK530" s="43"/>
      <c r="CL530" s="43"/>
      <c r="CM530" s="43"/>
      <c r="CN530" s="43"/>
      <c r="CO530" s="43"/>
      <c r="CP530" s="43"/>
      <c r="CQ530" s="43"/>
      <c r="CR530" s="43"/>
      <c r="CS530" s="43"/>
      <c r="CT530" s="43"/>
      <c r="CU530" s="43"/>
      <c r="CV530" s="43"/>
      <c r="CW530" s="43"/>
      <c r="CX530" s="43"/>
      <c r="CY530" s="43"/>
      <c r="CZ530" s="43"/>
      <c r="DA530" s="43"/>
      <c r="DB530" s="43"/>
      <c r="DC530" s="43"/>
      <c r="DD530" s="43"/>
      <c r="DE530" s="43"/>
      <c r="DF530" s="43"/>
      <c r="DG530" s="43"/>
      <c r="DH530" s="43"/>
      <c r="DI530" s="43"/>
      <c r="DJ530" s="43"/>
      <c r="DK530" s="43"/>
      <c r="DL530" s="43"/>
      <c r="DM530" s="43"/>
      <c r="DN530" s="43"/>
      <c r="DO530" s="43"/>
      <c r="DP530" s="43"/>
      <c r="DQ530" s="43"/>
      <c r="DR530" s="43"/>
      <c r="DS530" s="43"/>
      <c r="DT530" s="43"/>
      <c r="DU530" s="43"/>
      <c r="DV530" s="43"/>
      <c r="DW530" s="43"/>
      <c r="DX530" s="43"/>
      <c r="DY530" s="43"/>
      <c r="DZ530" s="43"/>
      <c r="EA530" s="43"/>
      <c r="EB530" s="43"/>
      <c r="EC530" s="43"/>
      <c r="ED530" s="43"/>
      <c r="EE530" s="43"/>
      <c r="EF530" s="43"/>
      <c r="EG530" s="43"/>
      <c r="EH530" s="43"/>
      <c r="EI530" s="43"/>
      <c r="EJ530" s="43"/>
      <c r="EK530" s="43"/>
      <c r="EL530" s="43"/>
      <c r="EM530" s="43"/>
      <c r="EN530" s="43"/>
      <c r="EO530" s="43"/>
      <c r="EP530" s="43"/>
      <c r="EQ530" s="43"/>
      <c r="ER530" s="43"/>
      <c r="ES530" s="43"/>
      <c r="ET530" s="50"/>
      <c r="EU530" s="50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R531" s="43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43"/>
      <c r="CF531" s="43"/>
      <c r="CG531" s="43"/>
      <c r="CH531" s="43"/>
      <c r="CI531" s="43"/>
      <c r="CJ531" s="43"/>
      <c r="CK531" s="43"/>
      <c r="CL531" s="43"/>
      <c r="CM531" s="43"/>
      <c r="CN531" s="43"/>
      <c r="CO531" s="43"/>
      <c r="CP531" s="43"/>
      <c r="CQ531" s="43"/>
      <c r="CR531" s="43"/>
      <c r="CS531" s="43"/>
      <c r="CT531" s="43"/>
      <c r="CU531" s="43"/>
      <c r="CV531" s="43"/>
      <c r="CW531" s="43"/>
      <c r="CX531" s="43"/>
      <c r="CY531" s="43"/>
      <c r="CZ531" s="43"/>
      <c r="DA531" s="43"/>
      <c r="DB531" s="43"/>
      <c r="DC531" s="43"/>
      <c r="DD531" s="43"/>
      <c r="DE531" s="43"/>
      <c r="DF531" s="43"/>
      <c r="DG531" s="43"/>
      <c r="DH531" s="43"/>
      <c r="DI531" s="43"/>
      <c r="DJ531" s="43"/>
      <c r="DK531" s="43"/>
      <c r="DL531" s="43"/>
      <c r="DM531" s="43"/>
      <c r="DN531" s="43"/>
      <c r="DO531" s="43"/>
      <c r="DP531" s="43"/>
      <c r="DQ531" s="43"/>
      <c r="DR531" s="43"/>
      <c r="DS531" s="43"/>
      <c r="DT531" s="43"/>
      <c r="DU531" s="43"/>
      <c r="DV531" s="43"/>
      <c r="DW531" s="43"/>
      <c r="DX531" s="43"/>
      <c r="DY531" s="43"/>
      <c r="DZ531" s="43"/>
      <c r="EA531" s="43"/>
      <c r="EB531" s="43"/>
      <c r="EC531" s="43"/>
      <c r="ED531" s="43"/>
      <c r="EE531" s="43"/>
      <c r="EF531" s="43"/>
      <c r="EG531" s="43"/>
      <c r="EH531" s="43"/>
      <c r="EI531" s="43"/>
      <c r="EJ531" s="43"/>
      <c r="EK531" s="43"/>
      <c r="EL531" s="43"/>
      <c r="EM531" s="43"/>
      <c r="EN531" s="43"/>
      <c r="EO531" s="43"/>
      <c r="EP531" s="43"/>
      <c r="EQ531" s="43"/>
      <c r="ER531" s="43"/>
      <c r="ES531" s="43"/>
      <c r="ET531" s="50"/>
      <c r="EU531" s="50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  <c r="BL532" s="43"/>
      <c r="BM532" s="43"/>
      <c r="BN532" s="43"/>
      <c r="BO532" s="43"/>
      <c r="BP532" s="43"/>
      <c r="BQ532" s="43"/>
      <c r="BR532" s="43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43"/>
      <c r="CF532" s="43"/>
      <c r="CG532" s="43"/>
      <c r="CH532" s="43"/>
      <c r="CI532" s="43"/>
      <c r="CJ532" s="43"/>
      <c r="CK532" s="43"/>
      <c r="CL532" s="43"/>
      <c r="CM532" s="43"/>
      <c r="CN532" s="43"/>
      <c r="CO532" s="43"/>
      <c r="CP532" s="43"/>
      <c r="CQ532" s="43"/>
      <c r="CR532" s="43"/>
      <c r="CS532" s="43"/>
      <c r="CT532" s="43"/>
      <c r="CU532" s="43"/>
      <c r="CV532" s="43"/>
      <c r="CW532" s="43"/>
      <c r="CX532" s="43"/>
      <c r="CY532" s="43"/>
      <c r="CZ532" s="43"/>
      <c r="DA532" s="43"/>
      <c r="DB532" s="43"/>
      <c r="DC532" s="43"/>
      <c r="DD532" s="43"/>
      <c r="DE532" s="43"/>
      <c r="DF532" s="43"/>
      <c r="DG532" s="43"/>
      <c r="DH532" s="43"/>
      <c r="DI532" s="43"/>
      <c r="DJ532" s="43"/>
      <c r="DK532" s="43"/>
      <c r="DL532" s="43"/>
      <c r="DM532" s="43"/>
      <c r="DN532" s="43"/>
      <c r="DO532" s="43"/>
      <c r="DP532" s="43"/>
      <c r="DQ532" s="43"/>
      <c r="DR532" s="43"/>
      <c r="DS532" s="43"/>
      <c r="DT532" s="43"/>
      <c r="DU532" s="43"/>
      <c r="DV532" s="43"/>
      <c r="DW532" s="43"/>
      <c r="DX532" s="43"/>
      <c r="DY532" s="43"/>
      <c r="DZ532" s="43"/>
      <c r="EA532" s="43"/>
      <c r="EB532" s="43"/>
      <c r="EC532" s="43"/>
      <c r="ED532" s="43"/>
      <c r="EE532" s="43"/>
      <c r="EF532" s="43"/>
      <c r="EG532" s="43"/>
      <c r="EH532" s="43"/>
      <c r="EI532" s="43"/>
      <c r="EJ532" s="43"/>
      <c r="EK532" s="43"/>
      <c r="EL532" s="43"/>
      <c r="EM532" s="43"/>
      <c r="EN532" s="43"/>
      <c r="EO532" s="43"/>
      <c r="EP532" s="43"/>
      <c r="EQ532" s="43"/>
      <c r="ER532" s="43"/>
      <c r="ES532" s="43"/>
      <c r="ET532" s="50"/>
      <c r="EU532" s="50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  <c r="BL533" s="43"/>
      <c r="BM533" s="43"/>
      <c r="BN533" s="43"/>
      <c r="BO533" s="43"/>
      <c r="BP533" s="43"/>
      <c r="BQ533" s="43"/>
      <c r="BR533" s="43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43"/>
      <c r="CF533" s="43"/>
      <c r="CG533" s="43"/>
      <c r="CH533" s="43"/>
      <c r="CI533" s="43"/>
      <c r="CJ533" s="43"/>
      <c r="CK533" s="43"/>
      <c r="CL533" s="43"/>
      <c r="CM533" s="43"/>
      <c r="CN533" s="43"/>
      <c r="CO533" s="43"/>
      <c r="CP533" s="43"/>
      <c r="CQ533" s="43"/>
      <c r="CR533" s="43"/>
      <c r="CS533" s="43"/>
      <c r="CT533" s="43"/>
      <c r="CU533" s="43"/>
      <c r="CV533" s="43"/>
      <c r="CW533" s="43"/>
      <c r="CX533" s="43"/>
      <c r="CY533" s="43"/>
      <c r="CZ533" s="43"/>
      <c r="DA533" s="43"/>
      <c r="DB533" s="43"/>
      <c r="DC533" s="43"/>
      <c r="DD533" s="43"/>
      <c r="DE533" s="43"/>
      <c r="DF533" s="43"/>
      <c r="DG533" s="43"/>
      <c r="DH533" s="43"/>
      <c r="DI533" s="43"/>
      <c r="DJ533" s="43"/>
      <c r="DK533" s="43"/>
      <c r="DL533" s="43"/>
      <c r="DM533" s="43"/>
      <c r="DN533" s="43"/>
      <c r="DO533" s="43"/>
      <c r="DP533" s="43"/>
      <c r="DQ533" s="43"/>
      <c r="DR533" s="43"/>
      <c r="DS533" s="43"/>
      <c r="DT533" s="43"/>
      <c r="DU533" s="43"/>
      <c r="DV533" s="43"/>
      <c r="DW533" s="43"/>
      <c r="DX533" s="43"/>
      <c r="DY533" s="43"/>
      <c r="DZ533" s="43"/>
      <c r="EA533" s="43"/>
      <c r="EB533" s="43"/>
      <c r="EC533" s="43"/>
      <c r="ED533" s="43"/>
      <c r="EE533" s="43"/>
      <c r="EF533" s="43"/>
      <c r="EG533" s="43"/>
      <c r="EH533" s="43"/>
      <c r="EI533" s="43"/>
      <c r="EJ533" s="43"/>
      <c r="EK533" s="43"/>
      <c r="EL533" s="43"/>
      <c r="EM533" s="43"/>
      <c r="EN533" s="43"/>
      <c r="EO533" s="43"/>
      <c r="EP533" s="43"/>
      <c r="EQ533" s="43"/>
      <c r="ER533" s="43"/>
      <c r="ES533" s="43"/>
      <c r="ET533" s="50"/>
      <c r="EU533" s="50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R534" s="43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43"/>
      <c r="CF534" s="43"/>
      <c r="CG534" s="43"/>
      <c r="CH534" s="43"/>
      <c r="CI534" s="43"/>
      <c r="CJ534" s="43"/>
      <c r="CK534" s="43"/>
      <c r="CL534" s="43"/>
      <c r="CM534" s="43"/>
      <c r="CN534" s="43"/>
      <c r="CO534" s="43"/>
      <c r="CP534" s="43"/>
      <c r="CQ534" s="43"/>
      <c r="CR534" s="43"/>
      <c r="CS534" s="43"/>
      <c r="CT534" s="43"/>
      <c r="CU534" s="43"/>
      <c r="CV534" s="43"/>
      <c r="CW534" s="43"/>
      <c r="CX534" s="43"/>
      <c r="CY534" s="43"/>
      <c r="CZ534" s="43"/>
      <c r="DA534" s="43"/>
      <c r="DB534" s="43"/>
      <c r="DC534" s="43"/>
      <c r="DD534" s="43"/>
      <c r="DE534" s="43"/>
      <c r="DF534" s="43"/>
      <c r="DG534" s="43"/>
      <c r="DH534" s="43"/>
      <c r="DI534" s="43"/>
      <c r="DJ534" s="43"/>
      <c r="DK534" s="43"/>
      <c r="DL534" s="43"/>
      <c r="DM534" s="43"/>
      <c r="DN534" s="43"/>
      <c r="DO534" s="43"/>
      <c r="DP534" s="43"/>
      <c r="DQ534" s="43"/>
      <c r="DR534" s="43"/>
      <c r="DS534" s="43"/>
      <c r="DT534" s="43"/>
      <c r="DU534" s="43"/>
      <c r="DV534" s="43"/>
      <c r="DW534" s="43"/>
      <c r="DX534" s="43"/>
      <c r="DY534" s="43"/>
      <c r="DZ534" s="43"/>
      <c r="EA534" s="43"/>
      <c r="EB534" s="43"/>
      <c r="EC534" s="43"/>
      <c r="ED534" s="43"/>
      <c r="EE534" s="43"/>
      <c r="EF534" s="43"/>
      <c r="EG534" s="43"/>
      <c r="EH534" s="43"/>
      <c r="EI534" s="43"/>
      <c r="EJ534" s="43"/>
      <c r="EK534" s="43"/>
      <c r="EL534" s="43"/>
      <c r="EM534" s="43"/>
      <c r="EN534" s="43"/>
      <c r="EO534" s="43"/>
      <c r="EP534" s="43"/>
      <c r="EQ534" s="43"/>
      <c r="ER534" s="43"/>
      <c r="ES534" s="43"/>
      <c r="ET534" s="50"/>
      <c r="EU534" s="50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43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43"/>
      <c r="CF535" s="43"/>
      <c r="CG535" s="43"/>
      <c r="CH535" s="43"/>
      <c r="CI535" s="43"/>
      <c r="CJ535" s="43"/>
      <c r="CK535" s="43"/>
      <c r="CL535" s="43"/>
      <c r="CM535" s="43"/>
      <c r="CN535" s="43"/>
      <c r="CO535" s="43"/>
      <c r="CP535" s="43"/>
      <c r="CQ535" s="43"/>
      <c r="CR535" s="43"/>
      <c r="CS535" s="43"/>
      <c r="CT535" s="43"/>
      <c r="CU535" s="43"/>
      <c r="CV535" s="43"/>
      <c r="CW535" s="43"/>
      <c r="CX535" s="43"/>
      <c r="CY535" s="43"/>
      <c r="CZ535" s="43"/>
      <c r="DA535" s="43"/>
      <c r="DB535" s="43"/>
      <c r="DC535" s="43"/>
      <c r="DD535" s="43"/>
      <c r="DE535" s="43"/>
      <c r="DF535" s="43"/>
      <c r="DG535" s="43"/>
      <c r="DH535" s="43"/>
      <c r="DI535" s="43"/>
      <c r="DJ535" s="43"/>
      <c r="DK535" s="43"/>
      <c r="DL535" s="43"/>
      <c r="DM535" s="43"/>
      <c r="DN535" s="43"/>
      <c r="DO535" s="43"/>
      <c r="DP535" s="43"/>
      <c r="DQ535" s="43"/>
      <c r="DR535" s="43"/>
      <c r="DS535" s="43"/>
      <c r="DT535" s="43"/>
      <c r="DU535" s="43"/>
      <c r="DV535" s="43"/>
      <c r="DW535" s="43"/>
      <c r="DX535" s="43"/>
      <c r="DY535" s="43"/>
      <c r="DZ535" s="43"/>
      <c r="EA535" s="43"/>
      <c r="EB535" s="43"/>
      <c r="EC535" s="43"/>
      <c r="ED535" s="43"/>
      <c r="EE535" s="43"/>
      <c r="EF535" s="43"/>
      <c r="EG535" s="43"/>
      <c r="EH535" s="43"/>
      <c r="EI535" s="43"/>
      <c r="EJ535" s="43"/>
      <c r="EK535" s="43"/>
      <c r="EL535" s="43"/>
      <c r="EM535" s="43"/>
      <c r="EN535" s="43"/>
      <c r="EO535" s="43"/>
      <c r="EP535" s="43"/>
      <c r="EQ535" s="43"/>
      <c r="ER535" s="43"/>
      <c r="ES535" s="43"/>
      <c r="ET535" s="50"/>
      <c r="EU535" s="50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43"/>
      <c r="BO536" s="43"/>
      <c r="BP536" s="43"/>
      <c r="BQ536" s="43"/>
      <c r="BR536" s="43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43"/>
      <c r="CF536" s="43"/>
      <c r="CG536" s="43"/>
      <c r="CH536" s="43"/>
      <c r="CI536" s="43"/>
      <c r="CJ536" s="43"/>
      <c r="CK536" s="43"/>
      <c r="CL536" s="43"/>
      <c r="CM536" s="43"/>
      <c r="CN536" s="43"/>
      <c r="CO536" s="43"/>
      <c r="CP536" s="43"/>
      <c r="CQ536" s="43"/>
      <c r="CR536" s="43"/>
      <c r="CS536" s="43"/>
      <c r="CT536" s="43"/>
      <c r="CU536" s="43"/>
      <c r="CV536" s="43"/>
      <c r="CW536" s="43"/>
      <c r="CX536" s="43"/>
      <c r="CY536" s="43"/>
      <c r="CZ536" s="43"/>
      <c r="DA536" s="43"/>
      <c r="DB536" s="43"/>
      <c r="DC536" s="43"/>
      <c r="DD536" s="43"/>
      <c r="DE536" s="43"/>
      <c r="DF536" s="43"/>
      <c r="DG536" s="43"/>
      <c r="DH536" s="43"/>
      <c r="DI536" s="43"/>
      <c r="DJ536" s="43"/>
      <c r="DK536" s="43"/>
      <c r="DL536" s="43"/>
      <c r="DM536" s="43"/>
      <c r="DN536" s="43"/>
      <c r="DO536" s="43"/>
      <c r="DP536" s="43"/>
      <c r="DQ536" s="43"/>
      <c r="DR536" s="43"/>
      <c r="DS536" s="43"/>
      <c r="DT536" s="43"/>
      <c r="DU536" s="43"/>
      <c r="DV536" s="43"/>
      <c r="DW536" s="43"/>
      <c r="DX536" s="43"/>
      <c r="DY536" s="43"/>
      <c r="DZ536" s="43"/>
      <c r="EA536" s="43"/>
      <c r="EB536" s="43"/>
      <c r="EC536" s="43"/>
      <c r="ED536" s="43"/>
      <c r="EE536" s="43"/>
      <c r="EF536" s="43"/>
      <c r="EG536" s="43"/>
      <c r="EH536" s="43"/>
      <c r="EI536" s="43"/>
      <c r="EJ536" s="43"/>
      <c r="EK536" s="43"/>
      <c r="EL536" s="43"/>
      <c r="EM536" s="43"/>
      <c r="EN536" s="43"/>
      <c r="EO536" s="43"/>
      <c r="EP536" s="43"/>
      <c r="EQ536" s="43"/>
      <c r="ER536" s="43"/>
      <c r="ES536" s="43"/>
      <c r="ET536" s="50"/>
      <c r="EU536" s="50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R537" s="43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43"/>
      <c r="CF537" s="43"/>
      <c r="CG537" s="43"/>
      <c r="CH537" s="43"/>
      <c r="CI537" s="43"/>
      <c r="CJ537" s="43"/>
      <c r="CK537" s="43"/>
      <c r="CL537" s="43"/>
      <c r="CM537" s="43"/>
      <c r="CN537" s="43"/>
      <c r="CO537" s="43"/>
      <c r="CP537" s="43"/>
      <c r="CQ537" s="43"/>
      <c r="CR537" s="43"/>
      <c r="CS537" s="43"/>
      <c r="CT537" s="43"/>
      <c r="CU537" s="43"/>
      <c r="CV537" s="43"/>
      <c r="CW537" s="43"/>
      <c r="CX537" s="43"/>
      <c r="CY537" s="43"/>
      <c r="CZ537" s="43"/>
      <c r="DA537" s="43"/>
      <c r="DB537" s="43"/>
      <c r="DC537" s="43"/>
      <c r="DD537" s="43"/>
      <c r="DE537" s="43"/>
      <c r="DF537" s="43"/>
      <c r="DG537" s="43"/>
      <c r="DH537" s="43"/>
      <c r="DI537" s="43"/>
      <c r="DJ537" s="43"/>
      <c r="DK537" s="43"/>
      <c r="DL537" s="43"/>
      <c r="DM537" s="43"/>
      <c r="DN537" s="43"/>
      <c r="DO537" s="43"/>
      <c r="DP537" s="43"/>
      <c r="DQ537" s="43"/>
      <c r="DR537" s="43"/>
      <c r="DS537" s="43"/>
      <c r="DT537" s="43"/>
      <c r="DU537" s="43"/>
      <c r="DV537" s="43"/>
      <c r="DW537" s="43"/>
      <c r="DX537" s="43"/>
      <c r="DY537" s="43"/>
      <c r="DZ537" s="43"/>
      <c r="EA537" s="43"/>
      <c r="EB537" s="43"/>
      <c r="EC537" s="43"/>
      <c r="ED537" s="43"/>
      <c r="EE537" s="43"/>
      <c r="EF537" s="43"/>
      <c r="EG537" s="43"/>
      <c r="EH537" s="43"/>
      <c r="EI537" s="43"/>
      <c r="EJ537" s="43"/>
      <c r="EK537" s="43"/>
      <c r="EL537" s="43"/>
      <c r="EM537" s="43"/>
      <c r="EN537" s="43"/>
      <c r="EO537" s="43"/>
      <c r="EP537" s="43"/>
      <c r="EQ537" s="43"/>
      <c r="ER537" s="43"/>
      <c r="ES537" s="43"/>
      <c r="ET537" s="50"/>
      <c r="EU537" s="50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43"/>
      <c r="BO538" s="43"/>
      <c r="BP538" s="43"/>
      <c r="BQ538" s="43"/>
      <c r="BR538" s="43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43"/>
      <c r="CF538" s="43"/>
      <c r="CG538" s="43"/>
      <c r="CH538" s="43"/>
      <c r="CI538" s="43"/>
      <c r="CJ538" s="43"/>
      <c r="CK538" s="43"/>
      <c r="CL538" s="43"/>
      <c r="CM538" s="43"/>
      <c r="CN538" s="43"/>
      <c r="CO538" s="43"/>
      <c r="CP538" s="43"/>
      <c r="CQ538" s="43"/>
      <c r="CR538" s="43"/>
      <c r="CS538" s="43"/>
      <c r="CT538" s="43"/>
      <c r="CU538" s="43"/>
      <c r="CV538" s="43"/>
      <c r="CW538" s="43"/>
      <c r="CX538" s="43"/>
      <c r="CY538" s="43"/>
      <c r="CZ538" s="43"/>
      <c r="DA538" s="43"/>
      <c r="DB538" s="43"/>
      <c r="DC538" s="43"/>
      <c r="DD538" s="43"/>
      <c r="DE538" s="43"/>
      <c r="DF538" s="43"/>
      <c r="DG538" s="43"/>
      <c r="DH538" s="43"/>
      <c r="DI538" s="43"/>
      <c r="DJ538" s="43"/>
      <c r="DK538" s="43"/>
      <c r="DL538" s="43"/>
      <c r="DM538" s="43"/>
      <c r="DN538" s="43"/>
      <c r="DO538" s="43"/>
      <c r="DP538" s="43"/>
      <c r="DQ538" s="43"/>
      <c r="DR538" s="43"/>
      <c r="DS538" s="43"/>
      <c r="DT538" s="43"/>
      <c r="DU538" s="43"/>
      <c r="DV538" s="43"/>
      <c r="DW538" s="43"/>
      <c r="DX538" s="43"/>
      <c r="DY538" s="43"/>
      <c r="DZ538" s="43"/>
      <c r="EA538" s="43"/>
      <c r="EB538" s="43"/>
      <c r="EC538" s="43"/>
      <c r="ED538" s="43"/>
      <c r="EE538" s="43"/>
      <c r="EF538" s="43"/>
      <c r="EG538" s="43"/>
      <c r="EH538" s="43"/>
      <c r="EI538" s="43"/>
      <c r="EJ538" s="43"/>
      <c r="EK538" s="43"/>
      <c r="EL538" s="43"/>
      <c r="EM538" s="43"/>
      <c r="EN538" s="43"/>
      <c r="EO538" s="43"/>
      <c r="EP538" s="43"/>
      <c r="EQ538" s="43"/>
      <c r="ER538" s="43"/>
      <c r="ES538" s="43"/>
      <c r="ET538" s="50"/>
      <c r="EU538" s="50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43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43"/>
      <c r="CF539" s="43"/>
      <c r="CG539" s="43"/>
      <c r="CH539" s="43"/>
      <c r="CI539" s="43"/>
      <c r="CJ539" s="43"/>
      <c r="CK539" s="43"/>
      <c r="CL539" s="43"/>
      <c r="CM539" s="43"/>
      <c r="CN539" s="43"/>
      <c r="CO539" s="43"/>
      <c r="CP539" s="43"/>
      <c r="CQ539" s="43"/>
      <c r="CR539" s="43"/>
      <c r="CS539" s="43"/>
      <c r="CT539" s="43"/>
      <c r="CU539" s="43"/>
      <c r="CV539" s="43"/>
      <c r="CW539" s="43"/>
      <c r="CX539" s="43"/>
      <c r="CY539" s="43"/>
      <c r="CZ539" s="43"/>
      <c r="DA539" s="43"/>
      <c r="DB539" s="43"/>
      <c r="DC539" s="43"/>
      <c r="DD539" s="43"/>
      <c r="DE539" s="43"/>
      <c r="DF539" s="43"/>
      <c r="DG539" s="43"/>
      <c r="DH539" s="43"/>
      <c r="DI539" s="43"/>
      <c r="DJ539" s="43"/>
      <c r="DK539" s="43"/>
      <c r="DL539" s="43"/>
      <c r="DM539" s="43"/>
      <c r="DN539" s="43"/>
      <c r="DO539" s="43"/>
      <c r="DP539" s="43"/>
      <c r="DQ539" s="43"/>
      <c r="DR539" s="43"/>
      <c r="DS539" s="43"/>
      <c r="DT539" s="43"/>
      <c r="DU539" s="43"/>
      <c r="DV539" s="43"/>
      <c r="DW539" s="43"/>
      <c r="DX539" s="43"/>
      <c r="DY539" s="43"/>
      <c r="DZ539" s="43"/>
      <c r="EA539" s="43"/>
      <c r="EB539" s="43"/>
      <c r="EC539" s="43"/>
      <c r="ED539" s="43"/>
      <c r="EE539" s="43"/>
      <c r="EF539" s="43"/>
      <c r="EG539" s="43"/>
      <c r="EH539" s="43"/>
      <c r="EI539" s="43"/>
      <c r="EJ539" s="43"/>
      <c r="EK539" s="43"/>
      <c r="EL539" s="43"/>
      <c r="EM539" s="43"/>
      <c r="EN539" s="43"/>
      <c r="EO539" s="43"/>
      <c r="EP539" s="43"/>
      <c r="EQ539" s="43"/>
      <c r="ER539" s="43"/>
      <c r="ES539" s="43"/>
      <c r="ET539" s="50"/>
      <c r="EU539" s="50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43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43"/>
      <c r="CF540" s="43"/>
      <c r="CG540" s="43"/>
      <c r="CH540" s="43"/>
      <c r="CI540" s="43"/>
      <c r="CJ540" s="43"/>
      <c r="CK540" s="43"/>
      <c r="CL540" s="43"/>
      <c r="CM540" s="43"/>
      <c r="CN540" s="43"/>
      <c r="CO540" s="43"/>
      <c r="CP540" s="43"/>
      <c r="CQ540" s="43"/>
      <c r="CR540" s="43"/>
      <c r="CS540" s="43"/>
      <c r="CT540" s="43"/>
      <c r="CU540" s="43"/>
      <c r="CV540" s="43"/>
      <c r="CW540" s="43"/>
      <c r="CX540" s="43"/>
      <c r="CY540" s="43"/>
      <c r="CZ540" s="43"/>
      <c r="DA540" s="43"/>
      <c r="DB540" s="43"/>
      <c r="DC540" s="43"/>
      <c r="DD540" s="43"/>
      <c r="DE540" s="43"/>
      <c r="DF540" s="43"/>
      <c r="DG540" s="43"/>
      <c r="DH540" s="43"/>
      <c r="DI540" s="43"/>
      <c r="DJ540" s="43"/>
      <c r="DK540" s="43"/>
      <c r="DL540" s="43"/>
      <c r="DM540" s="43"/>
      <c r="DN540" s="43"/>
      <c r="DO540" s="43"/>
      <c r="DP540" s="43"/>
      <c r="DQ540" s="43"/>
      <c r="DR540" s="43"/>
      <c r="DS540" s="43"/>
      <c r="DT540" s="43"/>
      <c r="DU540" s="43"/>
      <c r="DV540" s="43"/>
      <c r="DW540" s="43"/>
      <c r="DX540" s="43"/>
      <c r="DY540" s="43"/>
      <c r="DZ540" s="43"/>
      <c r="EA540" s="43"/>
      <c r="EB540" s="43"/>
      <c r="EC540" s="43"/>
      <c r="ED540" s="43"/>
      <c r="EE540" s="43"/>
      <c r="EF540" s="43"/>
      <c r="EG540" s="43"/>
      <c r="EH540" s="43"/>
      <c r="EI540" s="43"/>
      <c r="EJ540" s="43"/>
      <c r="EK540" s="43"/>
      <c r="EL540" s="43"/>
      <c r="EM540" s="43"/>
      <c r="EN540" s="43"/>
      <c r="EO540" s="43"/>
      <c r="EP540" s="43"/>
      <c r="EQ540" s="43"/>
      <c r="ER540" s="43"/>
      <c r="ES540" s="43"/>
      <c r="ET540" s="50"/>
      <c r="EU540" s="50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  <c r="BL541" s="43"/>
      <c r="BM541" s="43"/>
      <c r="BN541" s="43"/>
      <c r="BO541" s="43"/>
      <c r="BP541" s="43"/>
      <c r="BQ541" s="43"/>
      <c r="BR541" s="43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43"/>
      <c r="CF541" s="43"/>
      <c r="CG541" s="43"/>
      <c r="CH541" s="43"/>
      <c r="CI541" s="43"/>
      <c r="CJ541" s="43"/>
      <c r="CK541" s="43"/>
      <c r="CL541" s="43"/>
      <c r="CM541" s="43"/>
      <c r="CN541" s="43"/>
      <c r="CO541" s="43"/>
      <c r="CP541" s="43"/>
      <c r="CQ541" s="43"/>
      <c r="CR541" s="43"/>
      <c r="CS541" s="43"/>
      <c r="CT541" s="43"/>
      <c r="CU541" s="43"/>
      <c r="CV541" s="43"/>
      <c r="CW541" s="43"/>
      <c r="CX541" s="43"/>
      <c r="CY541" s="43"/>
      <c r="CZ541" s="43"/>
      <c r="DA541" s="43"/>
      <c r="DB541" s="43"/>
      <c r="DC541" s="43"/>
      <c r="DD541" s="43"/>
      <c r="DE541" s="43"/>
      <c r="DF541" s="43"/>
      <c r="DG541" s="43"/>
      <c r="DH541" s="43"/>
      <c r="DI541" s="43"/>
      <c r="DJ541" s="43"/>
      <c r="DK541" s="43"/>
      <c r="DL541" s="43"/>
      <c r="DM541" s="43"/>
      <c r="DN541" s="43"/>
      <c r="DO541" s="43"/>
      <c r="DP541" s="43"/>
      <c r="DQ541" s="43"/>
      <c r="DR541" s="43"/>
      <c r="DS541" s="43"/>
      <c r="DT541" s="43"/>
      <c r="DU541" s="43"/>
      <c r="DV541" s="43"/>
      <c r="DW541" s="43"/>
      <c r="DX541" s="43"/>
      <c r="DY541" s="43"/>
      <c r="DZ541" s="43"/>
      <c r="EA541" s="43"/>
      <c r="EB541" s="43"/>
      <c r="EC541" s="43"/>
      <c r="ED541" s="43"/>
      <c r="EE541" s="43"/>
      <c r="EF541" s="43"/>
      <c r="EG541" s="43"/>
      <c r="EH541" s="43"/>
      <c r="EI541" s="43"/>
      <c r="EJ541" s="43"/>
      <c r="EK541" s="43"/>
      <c r="EL541" s="43"/>
      <c r="EM541" s="43"/>
      <c r="EN541" s="43"/>
      <c r="EO541" s="43"/>
      <c r="EP541" s="43"/>
      <c r="EQ541" s="43"/>
      <c r="ER541" s="43"/>
      <c r="ES541" s="43"/>
      <c r="ET541" s="50"/>
      <c r="EU541" s="50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43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43"/>
      <c r="CF542" s="43"/>
      <c r="CG542" s="43"/>
      <c r="CH542" s="43"/>
      <c r="CI542" s="43"/>
      <c r="CJ542" s="43"/>
      <c r="CK542" s="43"/>
      <c r="CL542" s="43"/>
      <c r="CM542" s="43"/>
      <c r="CN542" s="43"/>
      <c r="CO542" s="43"/>
      <c r="CP542" s="43"/>
      <c r="CQ542" s="43"/>
      <c r="CR542" s="43"/>
      <c r="CS542" s="43"/>
      <c r="CT542" s="43"/>
      <c r="CU542" s="43"/>
      <c r="CV542" s="43"/>
      <c r="CW542" s="43"/>
      <c r="CX542" s="43"/>
      <c r="CY542" s="43"/>
      <c r="CZ542" s="43"/>
      <c r="DA542" s="43"/>
      <c r="DB542" s="43"/>
      <c r="DC542" s="43"/>
      <c r="DD542" s="43"/>
      <c r="DE542" s="43"/>
      <c r="DF542" s="43"/>
      <c r="DG542" s="43"/>
      <c r="DH542" s="43"/>
      <c r="DI542" s="43"/>
      <c r="DJ542" s="43"/>
      <c r="DK542" s="43"/>
      <c r="DL542" s="43"/>
      <c r="DM542" s="43"/>
      <c r="DN542" s="43"/>
      <c r="DO542" s="43"/>
      <c r="DP542" s="43"/>
      <c r="DQ542" s="43"/>
      <c r="DR542" s="43"/>
      <c r="DS542" s="43"/>
      <c r="DT542" s="43"/>
      <c r="DU542" s="43"/>
      <c r="DV542" s="43"/>
      <c r="DW542" s="43"/>
      <c r="DX542" s="43"/>
      <c r="DY542" s="43"/>
      <c r="DZ542" s="43"/>
      <c r="EA542" s="43"/>
      <c r="EB542" s="43"/>
      <c r="EC542" s="43"/>
      <c r="ED542" s="43"/>
      <c r="EE542" s="43"/>
      <c r="EF542" s="43"/>
      <c r="EG542" s="43"/>
      <c r="EH542" s="43"/>
      <c r="EI542" s="43"/>
      <c r="EJ542" s="43"/>
      <c r="EK542" s="43"/>
      <c r="EL542" s="43"/>
      <c r="EM542" s="43"/>
      <c r="EN542" s="43"/>
      <c r="EO542" s="43"/>
      <c r="EP542" s="43"/>
      <c r="EQ542" s="43"/>
      <c r="ER542" s="43"/>
      <c r="ES542" s="43"/>
      <c r="ET542" s="50"/>
      <c r="EU542" s="50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43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43"/>
      <c r="CF543" s="43"/>
      <c r="CG543" s="43"/>
      <c r="CH543" s="43"/>
      <c r="CI543" s="43"/>
      <c r="CJ543" s="43"/>
      <c r="CK543" s="43"/>
      <c r="CL543" s="43"/>
      <c r="CM543" s="43"/>
      <c r="CN543" s="43"/>
      <c r="CO543" s="43"/>
      <c r="CP543" s="43"/>
      <c r="CQ543" s="43"/>
      <c r="CR543" s="43"/>
      <c r="CS543" s="43"/>
      <c r="CT543" s="43"/>
      <c r="CU543" s="43"/>
      <c r="CV543" s="43"/>
      <c r="CW543" s="43"/>
      <c r="CX543" s="43"/>
      <c r="CY543" s="43"/>
      <c r="CZ543" s="43"/>
      <c r="DA543" s="43"/>
      <c r="DB543" s="43"/>
      <c r="DC543" s="43"/>
      <c r="DD543" s="43"/>
      <c r="DE543" s="43"/>
      <c r="DF543" s="43"/>
      <c r="DG543" s="43"/>
      <c r="DH543" s="43"/>
      <c r="DI543" s="43"/>
      <c r="DJ543" s="43"/>
      <c r="DK543" s="43"/>
      <c r="DL543" s="43"/>
      <c r="DM543" s="43"/>
      <c r="DN543" s="43"/>
      <c r="DO543" s="43"/>
      <c r="DP543" s="43"/>
      <c r="DQ543" s="43"/>
      <c r="DR543" s="43"/>
      <c r="DS543" s="43"/>
      <c r="DT543" s="43"/>
      <c r="DU543" s="43"/>
      <c r="DV543" s="43"/>
      <c r="DW543" s="43"/>
      <c r="DX543" s="43"/>
      <c r="DY543" s="43"/>
      <c r="DZ543" s="43"/>
      <c r="EA543" s="43"/>
      <c r="EB543" s="43"/>
      <c r="EC543" s="43"/>
      <c r="ED543" s="43"/>
      <c r="EE543" s="43"/>
      <c r="EF543" s="43"/>
      <c r="EG543" s="43"/>
      <c r="EH543" s="43"/>
      <c r="EI543" s="43"/>
      <c r="EJ543" s="43"/>
      <c r="EK543" s="43"/>
      <c r="EL543" s="43"/>
      <c r="EM543" s="43"/>
      <c r="EN543" s="43"/>
      <c r="EO543" s="43"/>
      <c r="EP543" s="43"/>
      <c r="EQ543" s="43"/>
      <c r="ER543" s="43"/>
      <c r="ES543" s="43"/>
      <c r="ET543" s="50"/>
      <c r="EU543" s="50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43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43"/>
      <c r="CF544" s="43"/>
      <c r="CG544" s="43"/>
      <c r="CH544" s="43"/>
      <c r="CI544" s="43"/>
      <c r="CJ544" s="43"/>
      <c r="CK544" s="43"/>
      <c r="CL544" s="43"/>
      <c r="CM544" s="43"/>
      <c r="CN544" s="43"/>
      <c r="CO544" s="43"/>
      <c r="CP544" s="43"/>
      <c r="CQ544" s="43"/>
      <c r="CR544" s="43"/>
      <c r="CS544" s="43"/>
      <c r="CT544" s="43"/>
      <c r="CU544" s="43"/>
      <c r="CV544" s="43"/>
      <c r="CW544" s="43"/>
      <c r="CX544" s="43"/>
      <c r="CY544" s="43"/>
      <c r="CZ544" s="43"/>
      <c r="DA544" s="43"/>
      <c r="DB544" s="43"/>
      <c r="DC544" s="43"/>
      <c r="DD544" s="43"/>
      <c r="DE544" s="43"/>
      <c r="DF544" s="43"/>
      <c r="DG544" s="43"/>
      <c r="DH544" s="43"/>
      <c r="DI544" s="43"/>
      <c r="DJ544" s="43"/>
      <c r="DK544" s="43"/>
      <c r="DL544" s="43"/>
      <c r="DM544" s="43"/>
      <c r="DN544" s="43"/>
      <c r="DO544" s="43"/>
      <c r="DP544" s="43"/>
      <c r="DQ544" s="43"/>
      <c r="DR544" s="43"/>
      <c r="DS544" s="43"/>
      <c r="DT544" s="43"/>
      <c r="DU544" s="43"/>
      <c r="DV544" s="43"/>
      <c r="DW544" s="43"/>
      <c r="DX544" s="43"/>
      <c r="DY544" s="43"/>
      <c r="DZ544" s="43"/>
      <c r="EA544" s="43"/>
      <c r="EB544" s="43"/>
      <c r="EC544" s="43"/>
      <c r="ED544" s="43"/>
      <c r="EE544" s="43"/>
      <c r="EF544" s="43"/>
      <c r="EG544" s="43"/>
      <c r="EH544" s="43"/>
      <c r="EI544" s="43"/>
      <c r="EJ544" s="43"/>
      <c r="EK544" s="43"/>
      <c r="EL544" s="43"/>
      <c r="EM544" s="43"/>
      <c r="EN544" s="43"/>
      <c r="EO544" s="43"/>
      <c r="EP544" s="43"/>
      <c r="EQ544" s="43"/>
      <c r="ER544" s="43"/>
      <c r="ES544" s="43"/>
      <c r="ET544" s="50"/>
      <c r="EU544" s="50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43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43"/>
      <c r="CF545" s="43"/>
      <c r="CG545" s="43"/>
      <c r="CH545" s="43"/>
      <c r="CI545" s="43"/>
      <c r="CJ545" s="43"/>
      <c r="CK545" s="43"/>
      <c r="CL545" s="43"/>
      <c r="CM545" s="43"/>
      <c r="CN545" s="43"/>
      <c r="CO545" s="43"/>
      <c r="CP545" s="43"/>
      <c r="CQ545" s="43"/>
      <c r="CR545" s="43"/>
      <c r="CS545" s="43"/>
      <c r="CT545" s="43"/>
      <c r="CU545" s="43"/>
      <c r="CV545" s="43"/>
      <c r="CW545" s="43"/>
      <c r="CX545" s="43"/>
      <c r="CY545" s="43"/>
      <c r="CZ545" s="43"/>
      <c r="DA545" s="43"/>
      <c r="DB545" s="43"/>
      <c r="DC545" s="43"/>
      <c r="DD545" s="43"/>
      <c r="DE545" s="43"/>
      <c r="DF545" s="43"/>
      <c r="DG545" s="43"/>
      <c r="DH545" s="43"/>
      <c r="DI545" s="43"/>
      <c r="DJ545" s="43"/>
      <c r="DK545" s="43"/>
      <c r="DL545" s="43"/>
      <c r="DM545" s="43"/>
      <c r="DN545" s="43"/>
      <c r="DO545" s="43"/>
      <c r="DP545" s="43"/>
      <c r="DQ545" s="43"/>
      <c r="DR545" s="43"/>
      <c r="DS545" s="43"/>
      <c r="DT545" s="43"/>
      <c r="DU545" s="43"/>
      <c r="DV545" s="43"/>
      <c r="DW545" s="43"/>
      <c r="DX545" s="43"/>
      <c r="DY545" s="43"/>
      <c r="DZ545" s="43"/>
      <c r="EA545" s="43"/>
      <c r="EB545" s="43"/>
      <c r="EC545" s="43"/>
      <c r="ED545" s="43"/>
      <c r="EE545" s="43"/>
      <c r="EF545" s="43"/>
      <c r="EG545" s="43"/>
      <c r="EH545" s="43"/>
      <c r="EI545" s="43"/>
      <c r="EJ545" s="43"/>
      <c r="EK545" s="43"/>
      <c r="EL545" s="43"/>
      <c r="EM545" s="43"/>
      <c r="EN545" s="43"/>
      <c r="EO545" s="43"/>
      <c r="EP545" s="43"/>
      <c r="EQ545" s="43"/>
      <c r="ER545" s="43"/>
      <c r="ES545" s="43"/>
      <c r="ET545" s="50"/>
      <c r="EU545" s="50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43"/>
      <c r="CF546" s="43"/>
      <c r="CG546" s="43"/>
      <c r="CH546" s="43"/>
      <c r="CI546" s="43"/>
      <c r="CJ546" s="43"/>
      <c r="CK546" s="43"/>
      <c r="CL546" s="43"/>
      <c r="CM546" s="43"/>
      <c r="CN546" s="43"/>
      <c r="CO546" s="43"/>
      <c r="CP546" s="43"/>
      <c r="CQ546" s="43"/>
      <c r="CR546" s="43"/>
      <c r="CS546" s="43"/>
      <c r="CT546" s="43"/>
      <c r="CU546" s="43"/>
      <c r="CV546" s="43"/>
      <c r="CW546" s="43"/>
      <c r="CX546" s="43"/>
      <c r="CY546" s="43"/>
      <c r="CZ546" s="43"/>
      <c r="DA546" s="43"/>
      <c r="DB546" s="43"/>
      <c r="DC546" s="43"/>
      <c r="DD546" s="43"/>
      <c r="DE546" s="43"/>
      <c r="DF546" s="43"/>
      <c r="DG546" s="43"/>
      <c r="DH546" s="43"/>
      <c r="DI546" s="43"/>
      <c r="DJ546" s="43"/>
      <c r="DK546" s="43"/>
      <c r="DL546" s="43"/>
      <c r="DM546" s="43"/>
      <c r="DN546" s="43"/>
      <c r="DO546" s="43"/>
      <c r="DP546" s="43"/>
      <c r="DQ546" s="43"/>
      <c r="DR546" s="43"/>
      <c r="DS546" s="43"/>
      <c r="DT546" s="43"/>
      <c r="DU546" s="43"/>
      <c r="DV546" s="43"/>
      <c r="DW546" s="43"/>
      <c r="DX546" s="43"/>
      <c r="DY546" s="43"/>
      <c r="DZ546" s="43"/>
      <c r="EA546" s="43"/>
      <c r="EB546" s="43"/>
      <c r="EC546" s="43"/>
      <c r="ED546" s="43"/>
      <c r="EE546" s="43"/>
      <c r="EF546" s="43"/>
      <c r="EG546" s="43"/>
      <c r="EH546" s="43"/>
      <c r="EI546" s="43"/>
      <c r="EJ546" s="43"/>
      <c r="EK546" s="43"/>
      <c r="EL546" s="43"/>
      <c r="EM546" s="43"/>
      <c r="EN546" s="43"/>
      <c r="EO546" s="43"/>
      <c r="EP546" s="43"/>
      <c r="EQ546" s="43"/>
      <c r="ER546" s="43"/>
      <c r="ES546" s="43"/>
      <c r="ET546" s="50"/>
      <c r="EU546" s="50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43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43"/>
      <c r="CF547" s="43"/>
      <c r="CG547" s="43"/>
      <c r="CH547" s="43"/>
      <c r="CI547" s="43"/>
      <c r="CJ547" s="43"/>
      <c r="CK547" s="43"/>
      <c r="CL547" s="43"/>
      <c r="CM547" s="43"/>
      <c r="CN547" s="43"/>
      <c r="CO547" s="43"/>
      <c r="CP547" s="43"/>
      <c r="CQ547" s="43"/>
      <c r="CR547" s="43"/>
      <c r="CS547" s="43"/>
      <c r="CT547" s="43"/>
      <c r="CU547" s="43"/>
      <c r="CV547" s="43"/>
      <c r="CW547" s="43"/>
      <c r="CX547" s="43"/>
      <c r="CY547" s="43"/>
      <c r="CZ547" s="43"/>
      <c r="DA547" s="43"/>
      <c r="DB547" s="43"/>
      <c r="DC547" s="43"/>
      <c r="DD547" s="43"/>
      <c r="DE547" s="43"/>
      <c r="DF547" s="43"/>
      <c r="DG547" s="43"/>
      <c r="DH547" s="43"/>
      <c r="DI547" s="43"/>
      <c r="DJ547" s="43"/>
      <c r="DK547" s="43"/>
      <c r="DL547" s="43"/>
      <c r="DM547" s="43"/>
      <c r="DN547" s="43"/>
      <c r="DO547" s="43"/>
      <c r="DP547" s="43"/>
      <c r="DQ547" s="43"/>
      <c r="DR547" s="43"/>
      <c r="DS547" s="43"/>
      <c r="DT547" s="43"/>
      <c r="DU547" s="43"/>
      <c r="DV547" s="43"/>
      <c r="DW547" s="43"/>
      <c r="DX547" s="43"/>
      <c r="DY547" s="43"/>
      <c r="DZ547" s="43"/>
      <c r="EA547" s="43"/>
      <c r="EB547" s="43"/>
      <c r="EC547" s="43"/>
      <c r="ED547" s="43"/>
      <c r="EE547" s="43"/>
      <c r="EF547" s="43"/>
      <c r="EG547" s="43"/>
      <c r="EH547" s="43"/>
      <c r="EI547" s="43"/>
      <c r="EJ547" s="43"/>
      <c r="EK547" s="43"/>
      <c r="EL547" s="43"/>
      <c r="EM547" s="43"/>
      <c r="EN547" s="43"/>
      <c r="EO547" s="43"/>
      <c r="EP547" s="43"/>
      <c r="EQ547" s="43"/>
      <c r="ER547" s="43"/>
      <c r="ES547" s="43"/>
      <c r="ET547" s="50"/>
      <c r="EU547" s="50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43"/>
      <c r="CF548" s="43"/>
      <c r="CG548" s="43"/>
      <c r="CH548" s="43"/>
      <c r="CI548" s="43"/>
      <c r="CJ548" s="43"/>
      <c r="CK548" s="43"/>
      <c r="CL548" s="43"/>
      <c r="CM548" s="43"/>
      <c r="CN548" s="43"/>
      <c r="CO548" s="43"/>
      <c r="CP548" s="43"/>
      <c r="CQ548" s="43"/>
      <c r="CR548" s="43"/>
      <c r="CS548" s="43"/>
      <c r="CT548" s="43"/>
      <c r="CU548" s="43"/>
      <c r="CV548" s="43"/>
      <c r="CW548" s="43"/>
      <c r="CX548" s="43"/>
      <c r="CY548" s="43"/>
      <c r="CZ548" s="43"/>
      <c r="DA548" s="43"/>
      <c r="DB548" s="43"/>
      <c r="DC548" s="43"/>
      <c r="DD548" s="43"/>
      <c r="DE548" s="43"/>
      <c r="DF548" s="43"/>
      <c r="DG548" s="43"/>
      <c r="DH548" s="43"/>
      <c r="DI548" s="43"/>
      <c r="DJ548" s="43"/>
      <c r="DK548" s="43"/>
      <c r="DL548" s="43"/>
      <c r="DM548" s="43"/>
      <c r="DN548" s="43"/>
      <c r="DO548" s="43"/>
      <c r="DP548" s="43"/>
      <c r="DQ548" s="43"/>
      <c r="DR548" s="43"/>
      <c r="DS548" s="43"/>
      <c r="DT548" s="43"/>
      <c r="DU548" s="43"/>
      <c r="DV548" s="43"/>
      <c r="DW548" s="43"/>
      <c r="DX548" s="43"/>
      <c r="DY548" s="43"/>
      <c r="DZ548" s="43"/>
      <c r="EA548" s="43"/>
      <c r="EB548" s="43"/>
      <c r="EC548" s="43"/>
      <c r="ED548" s="43"/>
      <c r="EE548" s="43"/>
      <c r="EF548" s="43"/>
      <c r="EG548" s="43"/>
      <c r="EH548" s="43"/>
      <c r="EI548" s="43"/>
      <c r="EJ548" s="43"/>
      <c r="EK548" s="43"/>
      <c r="EL548" s="43"/>
      <c r="EM548" s="43"/>
      <c r="EN548" s="43"/>
      <c r="EO548" s="43"/>
      <c r="EP548" s="43"/>
      <c r="EQ548" s="43"/>
      <c r="ER548" s="43"/>
      <c r="ES548" s="43"/>
      <c r="ET548" s="50"/>
      <c r="EU548" s="50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43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43"/>
      <c r="CF549" s="43"/>
      <c r="CG549" s="43"/>
      <c r="CH549" s="43"/>
      <c r="CI549" s="43"/>
      <c r="CJ549" s="43"/>
      <c r="CK549" s="43"/>
      <c r="CL549" s="43"/>
      <c r="CM549" s="43"/>
      <c r="CN549" s="43"/>
      <c r="CO549" s="43"/>
      <c r="CP549" s="43"/>
      <c r="CQ549" s="43"/>
      <c r="CR549" s="43"/>
      <c r="CS549" s="43"/>
      <c r="CT549" s="43"/>
      <c r="CU549" s="43"/>
      <c r="CV549" s="43"/>
      <c r="CW549" s="43"/>
      <c r="CX549" s="43"/>
      <c r="CY549" s="43"/>
      <c r="CZ549" s="43"/>
      <c r="DA549" s="43"/>
      <c r="DB549" s="43"/>
      <c r="DC549" s="43"/>
      <c r="DD549" s="43"/>
      <c r="DE549" s="43"/>
      <c r="DF549" s="43"/>
      <c r="DG549" s="43"/>
      <c r="DH549" s="43"/>
      <c r="DI549" s="43"/>
      <c r="DJ549" s="43"/>
      <c r="DK549" s="43"/>
      <c r="DL549" s="43"/>
      <c r="DM549" s="43"/>
      <c r="DN549" s="43"/>
      <c r="DO549" s="43"/>
      <c r="DP549" s="43"/>
      <c r="DQ549" s="43"/>
      <c r="DR549" s="43"/>
      <c r="DS549" s="43"/>
      <c r="DT549" s="43"/>
      <c r="DU549" s="43"/>
      <c r="DV549" s="43"/>
      <c r="DW549" s="43"/>
      <c r="DX549" s="43"/>
      <c r="DY549" s="43"/>
      <c r="DZ549" s="43"/>
      <c r="EA549" s="43"/>
      <c r="EB549" s="43"/>
      <c r="EC549" s="43"/>
      <c r="ED549" s="43"/>
      <c r="EE549" s="43"/>
      <c r="EF549" s="43"/>
      <c r="EG549" s="43"/>
      <c r="EH549" s="43"/>
      <c r="EI549" s="43"/>
      <c r="EJ549" s="43"/>
      <c r="EK549" s="43"/>
      <c r="EL549" s="43"/>
      <c r="EM549" s="43"/>
      <c r="EN549" s="43"/>
      <c r="EO549" s="43"/>
      <c r="EP549" s="43"/>
      <c r="EQ549" s="43"/>
      <c r="ER549" s="43"/>
      <c r="ES549" s="43"/>
      <c r="ET549" s="50"/>
      <c r="EU549" s="50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43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43"/>
      <c r="CF550" s="43"/>
      <c r="CG550" s="43"/>
      <c r="CH550" s="43"/>
      <c r="CI550" s="43"/>
      <c r="CJ550" s="43"/>
      <c r="CK550" s="43"/>
      <c r="CL550" s="43"/>
      <c r="CM550" s="43"/>
      <c r="CN550" s="43"/>
      <c r="CO550" s="43"/>
      <c r="CP550" s="43"/>
      <c r="CQ550" s="43"/>
      <c r="CR550" s="43"/>
      <c r="CS550" s="43"/>
      <c r="CT550" s="43"/>
      <c r="CU550" s="43"/>
      <c r="CV550" s="43"/>
      <c r="CW550" s="43"/>
      <c r="CX550" s="43"/>
      <c r="CY550" s="43"/>
      <c r="CZ550" s="43"/>
      <c r="DA550" s="43"/>
      <c r="DB550" s="43"/>
      <c r="DC550" s="43"/>
      <c r="DD550" s="43"/>
      <c r="DE550" s="43"/>
      <c r="DF550" s="43"/>
      <c r="DG550" s="43"/>
      <c r="DH550" s="43"/>
      <c r="DI550" s="43"/>
      <c r="DJ550" s="43"/>
      <c r="DK550" s="43"/>
      <c r="DL550" s="43"/>
      <c r="DM550" s="43"/>
      <c r="DN550" s="43"/>
      <c r="DO550" s="43"/>
      <c r="DP550" s="43"/>
      <c r="DQ550" s="43"/>
      <c r="DR550" s="43"/>
      <c r="DS550" s="43"/>
      <c r="DT550" s="43"/>
      <c r="DU550" s="43"/>
      <c r="DV550" s="43"/>
      <c r="DW550" s="43"/>
      <c r="DX550" s="43"/>
      <c r="DY550" s="43"/>
      <c r="DZ550" s="43"/>
      <c r="EA550" s="43"/>
      <c r="EB550" s="43"/>
      <c r="EC550" s="43"/>
      <c r="ED550" s="43"/>
      <c r="EE550" s="43"/>
      <c r="EF550" s="43"/>
      <c r="EG550" s="43"/>
      <c r="EH550" s="43"/>
      <c r="EI550" s="43"/>
      <c r="EJ550" s="43"/>
      <c r="EK550" s="43"/>
      <c r="EL550" s="43"/>
      <c r="EM550" s="43"/>
      <c r="EN550" s="43"/>
      <c r="EO550" s="43"/>
      <c r="EP550" s="43"/>
      <c r="EQ550" s="43"/>
      <c r="ER550" s="43"/>
      <c r="ES550" s="43"/>
      <c r="ET550" s="50"/>
      <c r="EU550" s="50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43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43"/>
      <c r="CF551" s="43"/>
      <c r="CG551" s="43"/>
      <c r="CH551" s="43"/>
      <c r="CI551" s="43"/>
      <c r="CJ551" s="43"/>
      <c r="CK551" s="43"/>
      <c r="CL551" s="43"/>
      <c r="CM551" s="43"/>
      <c r="CN551" s="43"/>
      <c r="CO551" s="43"/>
      <c r="CP551" s="43"/>
      <c r="CQ551" s="43"/>
      <c r="CR551" s="43"/>
      <c r="CS551" s="43"/>
      <c r="CT551" s="43"/>
      <c r="CU551" s="43"/>
      <c r="CV551" s="43"/>
      <c r="CW551" s="43"/>
      <c r="CX551" s="43"/>
      <c r="CY551" s="43"/>
      <c r="CZ551" s="43"/>
      <c r="DA551" s="43"/>
      <c r="DB551" s="43"/>
      <c r="DC551" s="43"/>
      <c r="DD551" s="43"/>
      <c r="DE551" s="43"/>
      <c r="DF551" s="43"/>
      <c r="DG551" s="43"/>
      <c r="DH551" s="43"/>
      <c r="DI551" s="43"/>
      <c r="DJ551" s="43"/>
      <c r="DK551" s="43"/>
      <c r="DL551" s="43"/>
      <c r="DM551" s="43"/>
      <c r="DN551" s="43"/>
      <c r="DO551" s="43"/>
      <c r="DP551" s="43"/>
      <c r="DQ551" s="43"/>
      <c r="DR551" s="43"/>
      <c r="DS551" s="43"/>
      <c r="DT551" s="43"/>
      <c r="DU551" s="43"/>
      <c r="DV551" s="43"/>
      <c r="DW551" s="43"/>
      <c r="DX551" s="43"/>
      <c r="DY551" s="43"/>
      <c r="DZ551" s="43"/>
      <c r="EA551" s="43"/>
      <c r="EB551" s="43"/>
      <c r="EC551" s="43"/>
      <c r="ED551" s="43"/>
      <c r="EE551" s="43"/>
      <c r="EF551" s="43"/>
      <c r="EG551" s="43"/>
      <c r="EH551" s="43"/>
      <c r="EI551" s="43"/>
      <c r="EJ551" s="43"/>
      <c r="EK551" s="43"/>
      <c r="EL551" s="43"/>
      <c r="EM551" s="43"/>
      <c r="EN551" s="43"/>
      <c r="EO551" s="43"/>
      <c r="EP551" s="43"/>
      <c r="EQ551" s="43"/>
      <c r="ER551" s="43"/>
      <c r="ES551" s="43"/>
      <c r="ET551" s="50"/>
      <c r="EU551" s="50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43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43"/>
      <c r="CF552" s="43"/>
      <c r="CG552" s="43"/>
      <c r="CH552" s="43"/>
      <c r="CI552" s="43"/>
      <c r="CJ552" s="43"/>
      <c r="CK552" s="43"/>
      <c r="CL552" s="43"/>
      <c r="CM552" s="43"/>
      <c r="CN552" s="43"/>
      <c r="CO552" s="43"/>
      <c r="CP552" s="43"/>
      <c r="CQ552" s="43"/>
      <c r="CR552" s="43"/>
      <c r="CS552" s="43"/>
      <c r="CT552" s="43"/>
      <c r="CU552" s="43"/>
      <c r="CV552" s="43"/>
      <c r="CW552" s="43"/>
      <c r="CX552" s="43"/>
      <c r="CY552" s="43"/>
      <c r="CZ552" s="43"/>
      <c r="DA552" s="43"/>
      <c r="DB552" s="43"/>
      <c r="DC552" s="43"/>
      <c r="DD552" s="43"/>
      <c r="DE552" s="43"/>
      <c r="DF552" s="43"/>
      <c r="DG552" s="43"/>
      <c r="DH552" s="43"/>
      <c r="DI552" s="43"/>
      <c r="DJ552" s="43"/>
      <c r="DK552" s="43"/>
      <c r="DL552" s="43"/>
      <c r="DM552" s="43"/>
      <c r="DN552" s="43"/>
      <c r="DO552" s="43"/>
      <c r="DP552" s="43"/>
      <c r="DQ552" s="43"/>
      <c r="DR552" s="43"/>
      <c r="DS552" s="43"/>
      <c r="DT552" s="43"/>
      <c r="DU552" s="43"/>
      <c r="DV552" s="43"/>
      <c r="DW552" s="43"/>
      <c r="DX552" s="43"/>
      <c r="DY552" s="43"/>
      <c r="DZ552" s="43"/>
      <c r="EA552" s="43"/>
      <c r="EB552" s="43"/>
      <c r="EC552" s="43"/>
      <c r="ED552" s="43"/>
      <c r="EE552" s="43"/>
      <c r="EF552" s="43"/>
      <c r="EG552" s="43"/>
      <c r="EH552" s="43"/>
      <c r="EI552" s="43"/>
      <c r="EJ552" s="43"/>
      <c r="EK552" s="43"/>
      <c r="EL552" s="43"/>
      <c r="EM552" s="43"/>
      <c r="EN552" s="43"/>
      <c r="EO552" s="43"/>
      <c r="EP552" s="43"/>
      <c r="EQ552" s="43"/>
      <c r="ER552" s="43"/>
      <c r="ES552" s="43"/>
      <c r="ET552" s="50"/>
      <c r="EU552" s="50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43"/>
      <c r="CF553" s="43"/>
      <c r="CG553" s="43"/>
      <c r="CH553" s="43"/>
      <c r="CI553" s="43"/>
      <c r="CJ553" s="43"/>
      <c r="CK553" s="43"/>
      <c r="CL553" s="43"/>
      <c r="CM553" s="43"/>
      <c r="CN553" s="43"/>
      <c r="CO553" s="43"/>
      <c r="CP553" s="43"/>
      <c r="CQ553" s="43"/>
      <c r="CR553" s="43"/>
      <c r="CS553" s="43"/>
      <c r="CT553" s="43"/>
      <c r="CU553" s="43"/>
      <c r="CV553" s="43"/>
      <c r="CW553" s="43"/>
      <c r="CX553" s="43"/>
      <c r="CY553" s="43"/>
      <c r="CZ553" s="43"/>
      <c r="DA553" s="43"/>
      <c r="DB553" s="43"/>
      <c r="DC553" s="43"/>
      <c r="DD553" s="43"/>
      <c r="DE553" s="43"/>
      <c r="DF553" s="43"/>
      <c r="DG553" s="43"/>
      <c r="DH553" s="43"/>
      <c r="DI553" s="43"/>
      <c r="DJ553" s="43"/>
      <c r="DK553" s="43"/>
      <c r="DL553" s="43"/>
      <c r="DM553" s="43"/>
      <c r="DN553" s="43"/>
      <c r="DO553" s="43"/>
      <c r="DP553" s="43"/>
      <c r="DQ553" s="43"/>
      <c r="DR553" s="43"/>
      <c r="DS553" s="43"/>
      <c r="DT553" s="43"/>
      <c r="DU553" s="43"/>
      <c r="DV553" s="43"/>
      <c r="DW553" s="43"/>
      <c r="DX553" s="43"/>
      <c r="DY553" s="43"/>
      <c r="DZ553" s="43"/>
      <c r="EA553" s="43"/>
      <c r="EB553" s="43"/>
      <c r="EC553" s="43"/>
      <c r="ED553" s="43"/>
      <c r="EE553" s="43"/>
      <c r="EF553" s="43"/>
      <c r="EG553" s="43"/>
      <c r="EH553" s="43"/>
      <c r="EI553" s="43"/>
      <c r="EJ553" s="43"/>
      <c r="EK553" s="43"/>
      <c r="EL553" s="43"/>
      <c r="EM553" s="43"/>
      <c r="EN553" s="43"/>
      <c r="EO553" s="43"/>
      <c r="EP553" s="43"/>
      <c r="EQ553" s="43"/>
      <c r="ER553" s="43"/>
      <c r="ES553" s="43"/>
      <c r="ET553" s="50"/>
      <c r="EU553" s="50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43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43"/>
      <c r="CF554" s="43"/>
      <c r="CG554" s="43"/>
      <c r="CH554" s="43"/>
      <c r="CI554" s="43"/>
      <c r="CJ554" s="43"/>
      <c r="CK554" s="43"/>
      <c r="CL554" s="43"/>
      <c r="CM554" s="43"/>
      <c r="CN554" s="43"/>
      <c r="CO554" s="43"/>
      <c r="CP554" s="43"/>
      <c r="CQ554" s="43"/>
      <c r="CR554" s="43"/>
      <c r="CS554" s="43"/>
      <c r="CT554" s="43"/>
      <c r="CU554" s="43"/>
      <c r="CV554" s="43"/>
      <c r="CW554" s="43"/>
      <c r="CX554" s="43"/>
      <c r="CY554" s="43"/>
      <c r="CZ554" s="43"/>
      <c r="DA554" s="43"/>
      <c r="DB554" s="43"/>
      <c r="DC554" s="43"/>
      <c r="DD554" s="43"/>
      <c r="DE554" s="43"/>
      <c r="DF554" s="43"/>
      <c r="DG554" s="43"/>
      <c r="DH554" s="43"/>
      <c r="DI554" s="43"/>
      <c r="DJ554" s="43"/>
      <c r="DK554" s="43"/>
      <c r="DL554" s="43"/>
      <c r="DM554" s="43"/>
      <c r="DN554" s="43"/>
      <c r="DO554" s="43"/>
      <c r="DP554" s="43"/>
      <c r="DQ554" s="43"/>
      <c r="DR554" s="43"/>
      <c r="DS554" s="43"/>
      <c r="DT554" s="43"/>
      <c r="DU554" s="43"/>
      <c r="DV554" s="43"/>
      <c r="DW554" s="43"/>
      <c r="DX554" s="43"/>
      <c r="DY554" s="43"/>
      <c r="DZ554" s="43"/>
      <c r="EA554" s="43"/>
      <c r="EB554" s="43"/>
      <c r="EC554" s="43"/>
      <c r="ED554" s="43"/>
      <c r="EE554" s="43"/>
      <c r="EF554" s="43"/>
      <c r="EG554" s="43"/>
      <c r="EH554" s="43"/>
      <c r="EI554" s="43"/>
      <c r="EJ554" s="43"/>
      <c r="EK554" s="43"/>
      <c r="EL554" s="43"/>
      <c r="EM554" s="43"/>
      <c r="EN554" s="43"/>
      <c r="EO554" s="43"/>
      <c r="EP554" s="43"/>
      <c r="EQ554" s="43"/>
      <c r="ER554" s="43"/>
      <c r="ES554" s="43"/>
      <c r="ET554" s="50"/>
      <c r="EU554" s="50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43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43"/>
      <c r="CF555" s="43"/>
      <c r="CG555" s="43"/>
      <c r="CH555" s="43"/>
      <c r="CI555" s="43"/>
      <c r="CJ555" s="43"/>
      <c r="CK555" s="43"/>
      <c r="CL555" s="43"/>
      <c r="CM555" s="43"/>
      <c r="CN555" s="43"/>
      <c r="CO555" s="43"/>
      <c r="CP555" s="43"/>
      <c r="CQ555" s="43"/>
      <c r="CR555" s="43"/>
      <c r="CS555" s="43"/>
      <c r="CT555" s="43"/>
      <c r="CU555" s="43"/>
      <c r="CV555" s="43"/>
      <c r="CW555" s="43"/>
      <c r="CX555" s="43"/>
      <c r="CY555" s="43"/>
      <c r="CZ555" s="43"/>
      <c r="DA555" s="43"/>
      <c r="DB555" s="43"/>
      <c r="DC555" s="43"/>
      <c r="DD555" s="43"/>
      <c r="DE555" s="43"/>
      <c r="DF555" s="43"/>
      <c r="DG555" s="43"/>
      <c r="DH555" s="43"/>
      <c r="DI555" s="43"/>
      <c r="DJ555" s="43"/>
      <c r="DK555" s="43"/>
      <c r="DL555" s="43"/>
      <c r="DM555" s="43"/>
      <c r="DN555" s="43"/>
      <c r="DO555" s="43"/>
      <c r="DP555" s="43"/>
      <c r="DQ555" s="43"/>
      <c r="DR555" s="43"/>
      <c r="DS555" s="43"/>
      <c r="DT555" s="43"/>
      <c r="DU555" s="43"/>
      <c r="DV555" s="43"/>
      <c r="DW555" s="43"/>
      <c r="DX555" s="43"/>
      <c r="DY555" s="43"/>
      <c r="DZ555" s="43"/>
      <c r="EA555" s="43"/>
      <c r="EB555" s="43"/>
      <c r="EC555" s="43"/>
      <c r="ED555" s="43"/>
      <c r="EE555" s="43"/>
      <c r="EF555" s="43"/>
      <c r="EG555" s="43"/>
      <c r="EH555" s="43"/>
      <c r="EI555" s="43"/>
      <c r="EJ555" s="43"/>
      <c r="EK555" s="43"/>
      <c r="EL555" s="43"/>
      <c r="EM555" s="43"/>
      <c r="EN555" s="43"/>
      <c r="EO555" s="43"/>
      <c r="EP555" s="43"/>
      <c r="EQ555" s="43"/>
      <c r="ER555" s="43"/>
      <c r="ES555" s="43"/>
      <c r="ET555" s="50"/>
      <c r="EU555" s="50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43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43"/>
      <c r="CF556" s="43"/>
      <c r="CG556" s="43"/>
      <c r="CH556" s="43"/>
      <c r="CI556" s="43"/>
      <c r="CJ556" s="43"/>
      <c r="CK556" s="43"/>
      <c r="CL556" s="43"/>
      <c r="CM556" s="43"/>
      <c r="CN556" s="43"/>
      <c r="CO556" s="43"/>
      <c r="CP556" s="43"/>
      <c r="CQ556" s="43"/>
      <c r="CR556" s="43"/>
      <c r="CS556" s="43"/>
      <c r="CT556" s="43"/>
      <c r="CU556" s="43"/>
      <c r="CV556" s="43"/>
      <c r="CW556" s="43"/>
      <c r="CX556" s="43"/>
      <c r="CY556" s="43"/>
      <c r="CZ556" s="43"/>
      <c r="DA556" s="43"/>
      <c r="DB556" s="43"/>
      <c r="DC556" s="43"/>
      <c r="DD556" s="43"/>
      <c r="DE556" s="43"/>
      <c r="DF556" s="43"/>
      <c r="DG556" s="43"/>
      <c r="DH556" s="43"/>
      <c r="DI556" s="43"/>
      <c r="DJ556" s="43"/>
      <c r="DK556" s="43"/>
      <c r="DL556" s="43"/>
      <c r="DM556" s="43"/>
      <c r="DN556" s="43"/>
      <c r="DO556" s="43"/>
      <c r="DP556" s="43"/>
      <c r="DQ556" s="43"/>
      <c r="DR556" s="43"/>
      <c r="DS556" s="43"/>
      <c r="DT556" s="43"/>
      <c r="DU556" s="43"/>
      <c r="DV556" s="43"/>
      <c r="DW556" s="43"/>
      <c r="DX556" s="43"/>
      <c r="DY556" s="43"/>
      <c r="DZ556" s="43"/>
      <c r="EA556" s="43"/>
      <c r="EB556" s="43"/>
      <c r="EC556" s="43"/>
      <c r="ED556" s="43"/>
      <c r="EE556" s="43"/>
      <c r="EF556" s="43"/>
      <c r="EG556" s="43"/>
      <c r="EH556" s="43"/>
      <c r="EI556" s="43"/>
      <c r="EJ556" s="43"/>
      <c r="EK556" s="43"/>
      <c r="EL556" s="43"/>
      <c r="EM556" s="43"/>
      <c r="EN556" s="43"/>
      <c r="EO556" s="43"/>
      <c r="EP556" s="43"/>
      <c r="EQ556" s="43"/>
      <c r="ER556" s="43"/>
      <c r="ES556" s="43"/>
      <c r="ET556" s="50"/>
      <c r="EU556" s="50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43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43"/>
      <c r="CF557" s="43"/>
      <c r="CG557" s="43"/>
      <c r="CH557" s="43"/>
      <c r="CI557" s="43"/>
      <c r="CJ557" s="43"/>
      <c r="CK557" s="43"/>
      <c r="CL557" s="43"/>
      <c r="CM557" s="43"/>
      <c r="CN557" s="43"/>
      <c r="CO557" s="43"/>
      <c r="CP557" s="43"/>
      <c r="CQ557" s="43"/>
      <c r="CR557" s="43"/>
      <c r="CS557" s="43"/>
      <c r="CT557" s="43"/>
      <c r="CU557" s="43"/>
      <c r="CV557" s="43"/>
      <c r="CW557" s="43"/>
      <c r="CX557" s="43"/>
      <c r="CY557" s="43"/>
      <c r="CZ557" s="43"/>
      <c r="DA557" s="43"/>
      <c r="DB557" s="43"/>
      <c r="DC557" s="43"/>
      <c r="DD557" s="43"/>
      <c r="DE557" s="43"/>
      <c r="DF557" s="43"/>
      <c r="DG557" s="43"/>
      <c r="DH557" s="43"/>
      <c r="DI557" s="43"/>
      <c r="DJ557" s="43"/>
      <c r="DK557" s="43"/>
      <c r="DL557" s="43"/>
      <c r="DM557" s="43"/>
      <c r="DN557" s="43"/>
      <c r="DO557" s="43"/>
      <c r="DP557" s="43"/>
      <c r="DQ557" s="43"/>
      <c r="DR557" s="43"/>
      <c r="DS557" s="43"/>
      <c r="DT557" s="43"/>
      <c r="DU557" s="43"/>
      <c r="DV557" s="43"/>
      <c r="DW557" s="43"/>
      <c r="DX557" s="43"/>
      <c r="DY557" s="43"/>
      <c r="DZ557" s="43"/>
      <c r="EA557" s="43"/>
      <c r="EB557" s="43"/>
      <c r="EC557" s="43"/>
      <c r="ED557" s="43"/>
      <c r="EE557" s="43"/>
      <c r="EF557" s="43"/>
      <c r="EG557" s="43"/>
      <c r="EH557" s="43"/>
      <c r="EI557" s="43"/>
      <c r="EJ557" s="43"/>
      <c r="EK557" s="43"/>
      <c r="EL557" s="43"/>
      <c r="EM557" s="43"/>
      <c r="EN557" s="43"/>
      <c r="EO557" s="43"/>
      <c r="EP557" s="43"/>
      <c r="EQ557" s="43"/>
      <c r="ER557" s="43"/>
      <c r="ES557" s="43"/>
      <c r="ET557" s="50"/>
      <c r="EU557" s="50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43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43"/>
      <c r="CF558" s="43"/>
      <c r="CG558" s="43"/>
      <c r="CH558" s="43"/>
      <c r="CI558" s="43"/>
      <c r="CJ558" s="43"/>
      <c r="CK558" s="43"/>
      <c r="CL558" s="43"/>
      <c r="CM558" s="43"/>
      <c r="CN558" s="43"/>
      <c r="CO558" s="43"/>
      <c r="CP558" s="43"/>
      <c r="CQ558" s="43"/>
      <c r="CR558" s="43"/>
      <c r="CS558" s="43"/>
      <c r="CT558" s="43"/>
      <c r="CU558" s="43"/>
      <c r="CV558" s="43"/>
      <c r="CW558" s="43"/>
      <c r="CX558" s="43"/>
      <c r="CY558" s="43"/>
      <c r="CZ558" s="43"/>
      <c r="DA558" s="43"/>
      <c r="DB558" s="43"/>
      <c r="DC558" s="43"/>
      <c r="DD558" s="43"/>
      <c r="DE558" s="43"/>
      <c r="DF558" s="43"/>
      <c r="DG558" s="43"/>
      <c r="DH558" s="43"/>
      <c r="DI558" s="43"/>
      <c r="DJ558" s="43"/>
      <c r="DK558" s="43"/>
      <c r="DL558" s="43"/>
      <c r="DM558" s="43"/>
      <c r="DN558" s="43"/>
      <c r="DO558" s="43"/>
      <c r="DP558" s="43"/>
      <c r="DQ558" s="43"/>
      <c r="DR558" s="43"/>
      <c r="DS558" s="43"/>
      <c r="DT558" s="43"/>
      <c r="DU558" s="43"/>
      <c r="DV558" s="43"/>
      <c r="DW558" s="43"/>
      <c r="DX558" s="43"/>
      <c r="DY558" s="43"/>
      <c r="DZ558" s="43"/>
      <c r="EA558" s="43"/>
      <c r="EB558" s="43"/>
      <c r="EC558" s="43"/>
      <c r="ED558" s="43"/>
      <c r="EE558" s="43"/>
      <c r="EF558" s="43"/>
      <c r="EG558" s="43"/>
      <c r="EH558" s="43"/>
      <c r="EI558" s="43"/>
      <c r="EJ558" s="43"/>
      <c r="EK558" s="43"/>
      <c r="EL558" s="43"/>
      <c r="EM558" s="43"/>
      <c r="EN558" s="43"/>
      <c r="EO558" s="43"/>
      <c r="EP558" s="43"/>
      <c r="EQ558" s="43"/>
      <c r="ER558" s="43"/>
      <c r="ES558" s="43"/>
      <c r="ET558" s="50"/>
      <c r="EU558" s="50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43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43"/>
      <c r="CF559" s="43"/>
      <c r="CG559" s="43"/>
      <c r="CH559" s="43"/>
      <c r="CI559" s="43"/>
      <c r="CJ559" s="43"/>
      <c r="CK559" s="43"/>
      <c r="CL559" s="43"/>
      <c r="CM559" s="43"/>
      <c r="CN559" s="43"/>
      <c r="CO559" s="43"/>
      <c r="CP559" s="43"/>
      <c r="CQ559" s="43"/>
      <c r="CR559" s="43"/>
      <c r="CS559" s="43"/>
      <c r="CT559" s="43"/>
      <c r="CU559" s="43"/>
      <c r="CV559" s="43"/>
      <c r="CW559" s="43"/>
      <c r="CX559" s="43"/>
      <c r="CY559" s="43"/>
      <c r="CZ559" s="43"/>
      <c r="DA559" s="43"/>
      <c r="DB559" s="43"/>
      <c r="DC559" s="43"/>
      <c r="DD559" s="43"/>
      <c r="DE559" s="43"/>
      <c r="DF559" s="43"/>
      <c r="DG559" s="43"/>
      <c r="DH559" s="43"/>
      <c r="DI559" s="43"/>
      <c r="DJ559" s="43"/>
      <c r="DK559" s="43"/>
      <c r="DL559" s="43"/>
      <c r="DM559" s="43"/>
      <c r="DN559" s="43"/>
      <c r="DO559" s="43"/>
      <c r="DP559" s="43"/>
      <c r="DQ559" s="43"/>
      <c r="DR559" s="43"/>
      <c r="DS559" s="43"/>
      <c r="DT559" s="43"/>
      <c r="DU559" s="43"/>
      <c r="DV559" s="43"/>
      <c r="DW559" s="43"/>
      <c r="DX559" s="43"/>
      <c r="DY559" s="43"/>
      <c r="DZ559" s="43"/>
      <c r="EA559" s="43"/>
      <c r="EB559" s="43"/>
      <c r="EC559" s="43"/>
      <c r="ED559" s="43"/>
      <c r="EE559" s="43"/>
      <c r="EF559" s="43"/>
      <c r="EG559" s="43"/>
      <c r="EH559" s="43"/>
      <c r="EI559" s="43"/>
      <c r="EJ559" s="43"/>
      <c r="EK559" s="43"/>
      <c r="EL559" s="43"/>
      <c r="EM559" s="43"/>
      <c r="EN559" s="43"/>
      <c r="EO559" s="43"/>
      <c r="EP559" s="43"/>
      <c r="EQ559" s="43"/>
      <c r="ER559" s="43"/>
      <c r="ES559" s="43"/>
      <c r="ET559" s="50"/>
      <c r="EU559" s="50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43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43"/>
      <c r="CF560" s="43"/>
      <c r="CG560" s="43"/>
      <c r="CH560" s="43"/>
      <c r="CI560" s="43"/>
      <c r="CJ560" s="43"/>
      <c r="CK560" s="43"/>
      <c r="CL560" s="43"/>
      <c r="CM560" s="43"/>
      <c r="CN560" s="43"/>
      <c r="CO560" s="43"/>
      <c r="CP560" s="43"/>
      <c r="CQ560" s="43"/>
      <c r="CR560" s="43"/>
      <c r="CS560" s="43"/>
      <c r="CT560" s="43"/>
      <c r="CU560" s="43"/>
      <c r="CV560" s="43"/>
      <c r="CW560" s="43"/>
      <c r="CX560" s="43"/>
      <c r="CY560" s="43"/>
      <c r="CZ560" s="43"/>
      <c r="DA560" s="43"/>
      <c r="DB560" s="43"/>
      <c r="DC560" s="43"/>
      <c r="DD560" s="43"/>
      <c r="DE560" s="43"/>
      <c r="DF560" s="43"/>
      <c r="DG560" s="43"/>
      <c r="DH560" s="43"/>
      <c r="DI560" s="43"/>
      <c r="DJ560" s="43"/>
      <c r="DK560" s="43"/>
      <c r="DL560" s="43"/>
      <c r="DM560" s="43"/>
      <c r="DN560" s="43"/>
      <c r="DO560" s="43"/>
      <c r="DP560" s="43"/>
      <c r="DQ560" s="43"/>
      <c r="DR560" s="43"/>
      <c r="DS560" s="43"/>
      <c r="DT560" s="43"/>
      <c r="DU560" s="43"/>
      <c r="DV560" s="43"/>
      <c r="DW560" s="43"/>
      <c r="DX560" s="43"/>
      <c r="DY560" s="43"/>
      <c r="DZ560" s="43"/>
      <c r="EA560" s="43"/>
      <c r="EB560" s="43"/>
      <c r="EC560" s="43"/>
      <c r="ED560" s="43"/>
      <c r="EE560" s="43"/>
      <c r="EF560" s="43"/>
      <c r="EG560" s="43"/>
      <c r="EH560" s="43"/>
      <c r="EI560" s="43"/>
      <c r="EJ560" s="43"/>
      <c r="EK560" s="43"/>
      <c r="EL560" s="43"/>
      <c r="EM560" s="43"/>
      <c r="EN560" s="43"/>
      <c r="EO560" s="43"/>
      <c r="EP560" s="43"/>
      <c r="EQ560" s="43"/>
      <c r="ER560" s="43"/>
      <c r="ES560" s="43"/>
      <c r="ET560" s="50"/>
      <c r="EU560" s="50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  <c r="CS561" s="43"/>
      <c r="CT561" s="43"/>
      <c r="CU561" s="43"/>
      <c r="CV561" s="43"/>
      <c r="CW561" s="43"/>
      <c r="CX561" s="43"/>
      <c r="CY561" s="43"/>
      <c r="CZ561" s="43"/>
      <c r="DA561" s="43"/>
      <c r="DB561" s="43"/>
      <c r="DC561" s="43"/>
      <c r="DD561" s="43"/>
      <c r="DE561" s="43"/>
      <c r="DF561" s="43"/>
      <c r="DG561" s="43"/>
      <c r="DH561" s="43"/>
      <c r="DI561" s="43"/>
      <c r="DJ561" s="43"/>
      <c r="DK561" s="43"/>
      <c r="DL561" s="43"/>
      <c r="DM561" s="43"/>
      <c r="DN561" s="43"/>
      <c r="DO561" s="43"/>
      <c r="DP561" s="43"/>
      <c r="DQ561" s="43"/>
      <c r="DR561" s="43"/>
      <c r="DS561" s="43"/>
      <c r="DT561" s="43"/>
      <c r="DU561" s="43"/>
      <c r="DV561" s="43"/>
      <c r="DW561" s="43"/>
      <c r="DX561" s="43"/>
      <c r="DY561" s="43"/>
      <c r="DZ561" s="43"/>
      <c r="EA561" s="43"/>
      <c r="EB561" s="43"/>
      <c r="EC561" s="43"/>
      <c r="ED561" s="43"/>
      <c r="EE561" s="43"/>
      <c r="EF561" s="43"/>
      <c r="EG561" s="43"/>
      <c r="EH561" s="43"/>
      <c r="EI561" s="43"/>
      <c r="EJ561" s="43"/>
      <c r="EK561" s="43"/>
      <c r="EL561" s="43"/>
      <c r="EM561" s="43"/>
      <c r="EN561" s="43"/>
      <c r="EO561" s="43"/>
      <c r="EP561" s="43"/>
      <c r="EQ561" s="43"/>
      <c r="ER561" s="43"/>
      <c r="ES561" s="43"/>
      <c r="ET561" s="50"/>
      <c r="EU561" s="50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43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43"/>
      <c r="CF562" s="43"/>
      <c r="CG562" s="43"/>
      <c r="CH562" s="43"/>
      <c r="CI562" s="43"/>
      <c r="CJ562" s="43"/>
      <c r="CK562" s="43"/>
      <c r="CL562" s="43"/>
      <c r="CM562" s="43"/>
      <c r="CN562" s="43"/>
      <c r="CO562" s="43"/>
      <c r="CP562" s="43"/>
      <c r="CQ562" s="43"/>
      <c r="CR562" s="43"/>
      <c r="CS562" s="43"/>
      <c r="CT562" s="43"/>
      <c r="CU562" s="43"/>
      <c r="CV562" s="43"/>
      <c r="CW562" s="43"/>
      <c r="CX562" s="43"/>
      <c r="CY562" s="43"/>
      <c r="CZ562" s="43"/>
      <c r="DA562" s="43"/>
      <c r="DB562" s="43"/>
      <c r="DC562" s="43"/>
      <c r="DD562" s="43"/>
      <c r="DE562" s="43"/>
      <c r="DF562" s="43"/>
      <c r="DG562" s="43"/>
      <c r="DH562" s="43"/>
      <c r="DI562" s="43"/>
      <c r="DJ562" s="43"/>
      <c r="DK562" s="43"/>
      <c r="DL562" s="43"/>
      <c r="DM562" s="43"/>
      <c r="DN562" s="43"/>
      <c r="DO562" s="43"/>
      <c r="DP562" s="43"/>
      <c r="DQ562" s="43"/>
      <c r="DR562" s="43"/>
      <c r="DS562" s="43"/>
      <c r="DT562" s="43"/>
      <c r="DU562" s="43"/>
      <c r="DV562" s="43"/>
      <c r="DW562" s="43"/>
      <c r="DX562" s="43"/>
      <c r="DY562" s="43"/>
      <c r="DZ562" s="43"/>
      <c r="EA562" s="43"/>
      <c r="EB562" s="43"/>
      <c r="EC562" s="43"/>
      <c r="ED562" s="43"/>
      <c r="EE562" s="43"/>
      <c r="EF562" s="43"/>
      <c r="EG562" s="43"/>
      <c r="EH562" s="43"/>
      <c r="EI562" s="43"/>
      <c r="EJ562" s="43"/>
      <c r="EK562" s="43"/>
      <c r="EL562" s="43"/>
      <c r="EM562" s="43"/>
      <c r="EN562" s="43"/>
      <c r="EO562" s="43"/>
      <c r="EP562" s="43"/>
      <c r="EQ562" s="43"/>
      <c r="ER562" s="43"/>
      <c r="ES562" s="43"/>
      <c r="ET562" s="50"/>
      <c r="EU562" s="50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43"/>
      <c r="CF563" s="43"/>
      <c r="CG563" s="43"/>
      <c r="CH563" s="43"/>
      <c r="CI563" s="43"/>
      <c r="CJ563" s="43"/>
      <c r="CK563" s="43"/>
      <c r="CL563" s="43"/>
      <c r="CM563" s="43"/>
      <c r="CN563" s="43"/>
      <c r="CO563" s="43"/>
      <c r="CP563" s="43"/>
      <c r="CQ563" s="43"/>
      <c r="CR563" s="43"/>
      <c r="CS563" s="43"/>
      <c r="CT563" s="43"/>
      <c r="CU563" s="43"/>
      <c r="CV563" s="43"/>
      <c r="CW563" s="43"/>
      <c r="CX563" s="43"/>
      <c r="CY563" s="43"/>
      <c r="CZ563" s="43"/>
      <c r="DA563" s="43"/>
      <c r="DB563" s="43"/>
      <c r="DC563" s="43"/>
      <c r="DD563" s="43"/>
      <c r="DE563" s="43"/>
      <c r="DF563" s="43"/>
      <c r="DG563" s="43"/>
      <c r="DH563" s="43"/>
      <c r="DI563" s="43"/>
      <c r="DJ563" s="43"/>
      <c r="DK563" s="43"/>
      <c r="DL563" s="43"/>
      <c r="DM563" s="43"/>
      <c r="DN563" s="43"/>
      <c r="DO563" s="43"/>
      <c r="DP563" s="43"/>
      <c r="DQ563" s="43"/>
      <c r="DR563" s="43"/>
      <c r="DS563" s="43"/>
      <c r="DT563" s="43"/>
      <c r="DU563" s="43"/>
      <c r="DV563" s="43"/>
      <c r="DW563" s="43"/>
      <c r="DX563" s="43"/>
      <c r="DY563" s="43"/>
      <c r="DZ563" s="43"/>
      <c r="EA563" s="43"/>
      <c r="EB563" s="43"/>
      <c r="EC563" s="43"/>
      <c r="ED563" s="43"/>
      <c r="EE563" s="43"/>
      <c r="EF563" s="43"/>
      <c r="EG563" s="43"/>
      <c r="EH563" s="43"/>
      <c r="EI563" s="43"/>
      <c r="EJ563" s="43"/>
      <c r="EK563" s="43"/>
      <c r="EL563" s="43"/>
      <c r="EM563" s="43"/>
      <c r="EN563" s="43"/>
      <c r="EO563" s="43"/>
      <c r="EP563" s="43"/>
      <c r="EQ563" s="43"/>
      <c r="ER563" s="43"/>
      <c r="ES563" s="43"/>
      <c r="ET563" s="50"/>
      <c r="EU563" s="50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43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43"/>
      <c r="CF564" s="43"/>
      <c r="CG564" s="43"/>
      <c r="CH564" s="43"/>
      <c r="CI564" s="43"/>
      <c r="CJ564" s="43"/>
      <c r="CK564" s="43"/>
      <c r="CL564" s="43"/>
      <c r="CM564" s="43"/>
      <c r="CN564" s="43"/>
      <c r="CO564" s="43"/>
      <c r="CP564" s="43"/>
      <c r="CQ564" s="43"/>
      <c r="CR564" s="43"/>
      <c r="CS564" s="43"/>
      <c r="CT564" s="43"/>
      <c r="CU564" s="43"/>
      <c r="CV564" s="43"/>
      <c r="CW564" s="43"/>
      <c r="CX564" s="43"/>
      <c r="CY564" s="43"/>
      <c r="CZ564" s="43"/>
      <c r="DA564" s="43"/>
      <c r="DB564" s="43"/>
      <c r="DC564" s="43"/>
      <c r="DD564" s="43"/>
      <c r="DE564" s="43"/>
      <c r="DF564" s="43"/>
      <c r="DG564" s="43"/>
      <c r="DH564" s="43"/>
      <c r="DI564" s="43"/>
      <c r="DJ564" s="43"/>
      <c r="DK564" s="43"/>
      <c r="DL564" s="43"/>
      <c r="DM564" s="43"/>
      <c r="DN564" s="43"/>
      <c r="DO564" s="43"/>
      <c r="DP564" s="43"/>
      <c r="DQ564" s="43"/>
      <c r="DR564" s="43"/>
      <c r="DS564" s="43"/>
      <c r="DT564" s="43"/>
      <c r="DU564" s="43"/>
      <c r="DV564" s="43"/>
      <c r="DW564" s="43"/>
      <c r="DX564" s="43"/>
      <c r="DY564" s="43"/>
      <c r="DZ564" s="43"/>
      <c r="EA564" s="43"/>
      <c r="EB564" s="43"/>
      <c r="EC564" s="43"/>
      <c r="ED564" s="43"/>
      <c r="EE564" s="43"/>
      <c r="EF564" s="43"/>
      <c r="EG564" s="43"/>
      <c r="EH564" s="43"/>
      <c r="EI564" s="43"/>
      <c r="EJ564" s="43"/>
      <c r="EK564" s="43"/>
      <c r="EL564" s="43"/>
      <c r="EM564" s="43"/>
      <c r="EN564" s="43"/>
      <c r="EO564" s="43"/>
      <c r="EP564" s="43"/>
      <c r="EQ564" s="43"/>
      <c r="ER564" s="43"/>
      <c r="ES564" s="43"/>
      <c r="ET564" s="50"/>
      <c r="EU564" s="50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43"/>
      <c r="CF565" s="43"/>
      <c r="CG565" s="43"/>
      <c r="CH565" s="43"/>
      <c r="CI565" s="43"/>
      <c r="CJ565" s="43"/>
      <c r="CK565" s="43"/>
      <c r="CL565" s="43"/>
      <c r="CM565" s="43"/>
      <c r="CN565" s="43"/>
      <c r="CO565" s="43"/>
      <c r="CP565" s="43"/>
      <c r="CQ565" s="43"/>
      <c r="CR565" s="43"/>
      <c r="CS565" s="43"/>
      <c r="CT565" s="43"/>
      <c r="CU565" s="43"/>
      <c r="CV565" s="43"/>
      <c r="CW565" s="43"/>
      <c r="CX565" s="43"/>
      <c r="CY565" s="43"/>
      <c r="CZ565" s="43"/>
      <c r="DA565" s="43"/>
      <c r="DB565" s="43"/>
      <c r="DC565" s="43"/>
      <c r="DD565" s="43"/>
      <c r="DE565" s="43"/>
      <c r="DF565" s="43"/>
      <c r="DG565" s="43"/>
      <c r="DH565" s="43"/>
      <c r="DI565" s="43"/>
      <c r="DJ565" s="43"/>
      <c r="DK565" s="43"/>
      <c r="DL565" s="43"/>
      <c r="DM565" s="43"/>
      <c r="DN565" s="43"/>
      <c r="DO565" s="43"/>
      <c r="DP565" s="43"/>
      <c r="DQ565" s="43"/>
      <c r="DR565" s="43"/>
      <c r="DS565" s="43"/>
      <c r="DT565" s="43"/>
      <c r="DU565" s="43"/>
      <c r="DV565" s="43"/>
      <c r="DW565" s="43"/>
      <c r="DX565" s="43"/>
      <c r="DY565" s="43"/>
      <c r="DZ565" s="43"/>
      <c r="EA565" s="43"/>
      <c r="EB565" s="43"/>
      <c r="EC565" s="43"/>
      <c r="ED565" s="43"/>
      <c r="EE565" s="43"/>
      <c r="EF565" s="43"/>
      <c r="EG565" s="43"/>
      <c r="EH565" s="43"/>
      <c r="EI565" s="43"/>
      <c r="EJ565" s="43"/>
      <c r="EK565" s="43"/>
      <c r="EL565" s="43"/>
      <c r="EM565" s="43"/>
      <c r="EN565" s="43"/>
      <c r="EO565" s="43"/>
      <c r="EP565" s="43"/>
      <c r="EQ565" s="43"/>
      <c r="ER565" s="43"/>
      <c r="ES565" s="43"/>
      <c r="ET565" s="50"/>
      <c r="EU565" s="50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43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43"/>
      <c r="CF566" s="43"/>
      <c r="CG566" s="43"/>
      <c r="CH566" s="43"/>
      <c r="CI566" s="43"/>
      <c r="CJ566" s="43"/>
      <c r="CK566" s="43"/>
      <c r="CL566" s="43"/>
      <c r="CM566" s="43"/>
      <c r="CN566" s="43"/>
      <c r="CO566" s="43"/>
      <c r="CP566" s="43"/>
      <c r="CQ566" s="43"/>
      <c r="CR566" s="43"/>
      <c r="CS566" s="43"/>
      <c r="CT566" s="43"/>
      <c r="CU566" s="43"/>
      <c r="CV566" s="43"/>
      <c r="CW566" s="43"/>
      <c r="CX566" s="43"/>
      <c r="CY566" s="43"/>
      <c r="CZ566" s="43"/>
      <c r="DA566" s="43"/>
      <c r="DB566" s="43"/>
      <c r="DC566" s="43"/>
      <c r="DD566" s="43"/>
      <c r="DE566" s="43"/>
      <c r="DF566" s="43"/>
      <c r="DG566" s="43"/>
      <c r="DH566" s="43"/>
      <c r="DI566" s="43"/>
      <c r="DJ566" s="43"/>
      <c r="DK566" s="43"/>
      <c r="DL566" s="43"/>
      <c r="DM566" s="43"/>
      <c r="DN566" s="43"/>
      <c r="DO566" s="43"/>
      <c r="DP566" s="43"/>
      <c r="DQ566" s="43"/>
      <c r="DR566" s="43"/>
      <c r="DS566" s="43"/>
      <c r="DT566" s="43"/>
      <c r="DU566" s="43"/>
      <c r="DV566" s="43"/>
      <c r="DW566" s="43"/>
      <c r="DX566" s="43"/>
      <c r="DY566" s="43"/>
      <c r="DZ566" s="43"/>
      <c r="EA566" s="43"/>
      <c r="EB566" s="43"/>
      <c r="EC566" s="43"/>
      <c r="ED566" s="43"/>
      <c r="EE566" s="43"/>
      <c r="EF566" s="43"/>
      <c r="EG566" s="43"/>
      <c r="EH566" s="43"/>
      <c r="EI566" s="43"/>
      <c r="EJ566" s="43"/>
      <c r="EK566" s="43"/>
      <c r="EL566" s="43"/>
      <c r="EM566" s="43"/>
      <c r="EN566" s="43"/>
      <c r="EO566" s="43"/>
      <c r="EP566" s="43"/>
      <c r="EQ566" s="43"/>
      <c r="ER566" s="43"/>
      <c r="ES566" s="43"/>
      <c r="ET566" s="50"/>
      <c r="EU566" s="50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43"/>
      <c r="CF567" s="43"/>
      <c r="CG567" s="43"/>
      <c r="CH567" s="43"/>
      <c r="CI567" s="43"/>
      <c r="CJ567" s="43"/>
      <c r="CK567" s="43"/>
      <c r="CL567" s="43"/>
      <c r="CM567" s="43"/>
      <c r="CN567" s="43"/>
      <c r="CO567" s="43"/>
      <c r="CP567" s="43"/>
      <c r="CQ567" s="43"/>
      <c r="CR567" s="43"/>
      <c r="CS567" s="43"/>
      <c r="CT567" s="43"/>
      <c r="CU567" s="43"/>
      <c r="CV567" s="43"/>
      <c r="CW567" s="43"/>
      <c r="CX567" s="43"/>
      <c r="CY567" s="43"/>
      <c r="CZ567" s="43"/>
      <c r="DA567" s="43"/>
      <c r="DB567" s="43"/>
      <c r="DC567" s="43"/>
      <c r="DD567" s="43"/>
      <c r="DE567" s="43"/>
      <c r="DF567" s="43"/>
      <c r="DG567" s="43"/>
      <c r="DH567" s="43"/>
      <c r="DI567" s="43"/>
      <c r="DJ567" s="43"/>
      <c r="DK567" s="43"/>
      <c r="DL567" s="43"/>
      <c r="DM567" s="43"/>
      <c r="DN567" s="43"/>
      <c r="DO567" s="43"/>
      <c r="DP567" s="43"/>
      <c r="DQ567" s="43"/>
      <c r="DR567" s="43"/>
      <c r="DS567" s="43"/>
      <c r="DT567" s="43"/>
      <c r="DU567" s="43"/>
      <c r="DV567" s="43"/>
      <c r="DW567" s="43"/>
      <c r="DX567" s="43"/>
      <c r="DY567" s="43"/>
      <c r="DZ567" s="43"/>
      <c r="EA567" s="43"/>
      <c r="EB567" s="43"/>
      <c r="EC567" s="43"/>
      <c r="ED567" s="43"/>
      <c r="EE567" s="43"/>
      <c r="EF567" s="43"/>
      <c r="EG567" s="43"/>
      <c r="EH567" s="43"/>
      <c r="EI567" s="43"/>
      <c r="EJ567" s="43"/>
      <c r="EK567" s="43"/>
      <c r="EL567" s="43"/>
      <c r="EM567" s="43"/>
      <c r="EN567" s="43"/>
      <c r="EO567" s="43"/>
      <c r="EP567" s="43"/>
      <c r="EQ567" s="43"/>
      <c r="ER567" s="43"/>
      <c r="ES567" s="43"/>
      <c r="ET567" s="50"/>
      <c r="EU567" s="50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43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43"/>
      <c r="CF568" s="43"/>
      <c r="CG568" s="43"/>
      <c r="CH568" s="43"/>
      <c r="CI568" s="43"/>
      <c r="CJ568" s="43"/>
      <c r="CK568" s="43"/>
      <c r="CL568" s="43"/>
      <c r="CM568" s="43"/>
      <c r="CN568" s="43"/>
      <c r="CO568" s="43"/>
      <c r="CP568" s="43"/>
      <c r="CQ568" s="43"/>
      <c r="CR568" s="43"/>
      <c r="CS568" s="43"/>
      <c r="CT568" s="43"/>
      <c r="CU568" s="43"/>
      <c r="CV568" s="43"/>
      <c r="CW568" s="43"/>
      <c r="CX568" s="43"/>
      <c r="CY568" s="43"/>
      <c r="CZ568" s="43"/>
      <c r="DA568" s="43"/>
      <c r="DB568" s="43"/>
      <c r="DC568" s="43"/>
      <c r="DD568" s="43"/>
      <c r="DE568" s="43"/>
      <c r="DF568" s="43"/>
      <c r="DG568" s="43"/>
      <c r="DH568" s="43"/>
      <c r="DI568" s="43"/>
      <c r="DJ568" s="43"/>
      <c r="DK568" s="43"/>
      <c r="DL568" s="43"/>
      <c r="DM568" s="43"/>
      <c r="DN568" s="43"/>
      <c r="DO568" s="43"/>
      <c r="DP568" s="43"/>
      <c r="DQ568" s="43"/>
      <c r="DR568" s="43"/>
      <c r="DS568" s="43"/>
      <c r="DT568" s="43"/>
      <c r="DU568" s="43"/>
      <c r="DV568" s="43"/>
      <c r="DW568" s="43"/>
      <c r="DX568" s="43"/>
      <c r="DY568" s="43"/>
      <c r="DZ568" s="43"/>
      <c r="EA568" s="43"/>
      <c r="EB568" s="43"/>
      <c r="EC568" s="43"/>
      <c r="ED568" s="43"/>
      <c r="EE568" s="43"/>
      <c r="EF568" s="43"/>
      <c r="EG568" s="43"/>
      <c r="EH568" s="43"/>
      <c r="EI568" s="43"/>
      <c r="EJ568" s="43"/>
      <c r="EK568" s="43"/>
      <c r="EL568" s="43"/>
      <c r="EM568" s="43"/>
      <c r="EN568" s="43"/>
      <c r="EO568" s="43"/>
      <c r="EP568" s="43"/>
      <c r="EQ568" s="43"/>
      <c r="ER568" s="43"/>
      <c r="ES568" s="43"/>
      <c r="ET568" s="50"/>
      <c r="EU568" s="50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43"/>
      <c r="CF569" s="43"/>
      <c r="CG569" s="43"/>
      <c r="CH569" s="43"/>
      <c r="CI569" s="43"/>
      <c r="CJ569" s="43"/>
      <c r="CK569" s="43"/>
      <c r="CL569" s="43"/>
      <c r="CM569" s="43"/>
      <c r="CN569" s="43"/>
      <c r="CO569" s="43"/>
      <c r="CP569" s="43"/>
      <c r="CQ569" s="43"/>
      <c r="CR569" s="43"/>
      <c r="CS569" s="43"/>
      <c r="CT569" s="43"/>
      <c r="CU569" s="43"/>
      <c r="CV569" s="43"/>
      <c r="CW569" s="43"/>
      <c r="CX569" s="43"/>
      <c r="CY569" s="43"/>
      <c r="CZ569" s="43"/>
      <c r="DA569" s="43"/>
      <c r="DB569" s="43"/>
      <c r="DC569" s="43"/>
      <c r="DD569" s="43"/>
      <c r="DE569" s="43"/>
      <c r="DF569" s="43"/>
      <c r="DG569" s="43"/>
      <c r="DH569" s="43"/>
      <c r="DI569" s="43"/>
      <c r="DJ569" s="43"/>
      <c r="DK569" s="43"/>
      <c r="DL569" s="43"/>
      <c r="DM569" s="43"/>
      <c r="DN569" s="43"/>
      <c r="DO569" s="43"/>
      <c r="DP569" s="43"/>
      <c r="DQ569" s="43"/>
      <c r="DR569" s="43"/>
      <c r="DS569" s="43"/>
      <c r="DT569" s="43"/>
      <c r="DU569" s="43"/>
      <c r="DV569" s="43"/>
      <c r="DW569" s="43"/>
      <c r="DX569" s="43"/>
      <c r="DY569" s="43"/>
      <c r="DZ569" s="43"/>
      <c r="EA569" s="43"/>
      <c r="EB569" s="43"/>
      <c r="EC569" s="43"/>
      <c r="ED569" s="43"/>
      <c r="EE569" s="43"/>
      <c r="EF569" s="43"/>
      <c r="EG569" s="43"/>
      <c r="EH569" s="43"/>
      <c r="EI569" s="43"/>
      <c r="EJ569" s="43"/>
      <c r="EK569" s="43"/>
      <c r="EL569" s="43"/>
      <c r="EM569" s="43"/>
      <c r="EN569" s="43"/>
      <c r="EO569" s="43"/>
      <c r="EP569" s="43"/>
      <c r="EQ569" s="43"/>
      <c r="ER569" s="43"/>
      <c r="ES569" s="43"/>
      <c r="ET569" s="50"/>
      <c r="EU569" s="50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43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43"/>
      <c r="CF570" s="43"/>
      <c r="CG570" s="43"/>
      <c r="CH570" s="43"/>
      <c r="CI570" s="43"/>
      <c r="CJ570" s="43"/>
      <c r="CK570" s="43"/>
      <c r="CL570" s="43"/>
      <c r="CM570" s="43"/>
      <c r="CN570" s="43"/>
      <c r="CO570" s="43"/>
      <c r="CP570" s="43"/>
      <c r="CQ570" s="43"/>
      <c r="CR570" s="43"/>
      <c r="CS570" s="43"/>
      <c r="CT570" s="43"/>
      <c r="CU570" s="43"/>
      <c r="CV570" s="43"/>
      <c r="CW570" s="43"/>
      <c r="CX570" s="43"/>
      <c r="CY570" s="43"/>
      <c r="CZ570" s="43"/>
      <c r="DA570" s="43"/>
      <c r="DB570" s="43"/>
      <c r="DC570" s="43"/>
      <c r="DD570" s="43"/>
      <c r="DE570" s="43"/>
      <c r="DF570" s="43"/>
      <c r="DG570" s="43"/>
      <c r="DH570" s="43"/>
      <c r="DI570" s="43"/>
      <c r="DJ570" s="43"/>
      <c r="DK570" s="43"/>
      <c r="DL570" s="43"/>
      <c r="DM570" s="43"/>
      <c r="DN570" s="43"/>
      <c r="DO570" s="43"/>
      <c r="DP570" s="43"/>
      <c r="DQ570" s="43"/>
      <c r="DR570" s="43"/>
      <c r="DS570" s="43"/>
      <c r="DT570" s="43"/>
      <c r="DU570" s="43"/>
      <c r="DV570" s="43"/>
      <c r="DW570" s="43"/>
      <c r="DX570" s="43"/>
      <c r="DY570" s="43"/>
      <c r="DZ570" s="43"/>
      <c r="EA570" s="43"/>
      <c r="EB570" s="43"/>
      <c r="EC570" s="43"/>
      <c r="ED570" s="43"/>
      <c r="EE570" s="43"/>
      <c r="EF570" s="43"/>
      <c r="EG570" s="43"/>
      <c r="EH570" s="43"/>
      <c r="EI570" s="43"/>
      <c r="EJ570" s="43"/>
      <c r="EK570" s="43"/>
      <c r="EL570" s="43"/>
      <c r="EM570" s="43"/>
      <c r="EN570" s="43"/>
      <c r="EO570" s="43"/>
      <c r="EP570" s="43"/>
      <c r="EQ570" s="43"/>
      <c r="ER570" s="43"/>
      <c r="ES570" s="43"/>
      <c r="ET570" s="50"/>
      <c r="EU570" s="50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43"/>
      <c r="CF571" s="43"/>
      <c r="CG571" s="43"/>
      <c r="CH571" s="43"/>
      <c r="CI571" s="43"/>
      <c r="CJ571" s="43"/>
      <c r="CK571" s="43"/>
      <c r="CL571" s="43"/>
      <c r="CM571" s="43"/>
      <c r="CN571" s="43"/>
      <c r="CO571" s="43"/>
      <c r="CP571" s="43"/>
      <c r="CQ571" s="43"/>
      <c r="CR571" s="43"/>
      <c r="CS571" s="43"/>
      <c r="CT571" s="43"/>
      <c r="CU571" s="43"/>
      <c r="CV571" s="43"/>
      <c r="CW571" s="43"/>
      <c r="CX571" s="43"/>
      <c r="CY571" s="43"/>
      <c r="CZ571" s="43"/>
      <c r="DA571" s="43"/>
      <c r="DB571" s="43"/>
      <c r="DC571" s="43"/>
      <c r="DD571" s="43"/>
      <c r="DE571" s="43"/>
      <c r="DF571" s="43"/>
      <c r="DG571" s="43"/>
      <c r="DH571" s="43"/>
      <c r="DI571" s="43"/>
      <c r="DJ571" s="43"/>
      <c r="DK571" s="43"/>
      <c r="DL571" s="43"/>
      <c r="DM571" s="43"/>
      <c r="DN571" s="43"/>
      <c r="DO571" s="43"/>
      <c r="DP571" s="43"/>
      <c r="DQ571" s="43"/>
      <c r="DR571" s="43"/>
      <c r="DS571" s="43"/>
      <c r="DT571" s="43"/>
      <c r="DU571" s="43"/>
      <c r="DV571" s="43"/>
      <c r="DW571" s="43"/>
      <c r="DX571" s="43"/>
      <c r="DY571" s="43"/>
      <c r="DZ571" s="43"/>
      <c r="EA571" s="43"/>
      <c r="EB571" s="43"/>
      <c r="EC571" s="43"/>
      <c r="ED571" s="43"/>
      <c r="EE571" s="43"/>
      <c r="EF571" s="43"/>
      <c r="EG571" s="43"/>
      <c r="EH571" s="43"/>
      <c r="EI571" s="43"/>
      <c r="EJ571" s="43"/>
      <c r="EK571" s="43"/>
      <c r="EL571" s="43"/>
      <c r="EM571" s="43"/>
      <c r="EN571" s="43"/>
      <c r="EO571" s="43"/>
      <c r="EP571" s="43"/>
      <c r="EQ571" s="43"/>
      <c r="ER571" s="43"/>
      <c r="ES571" s="43"/>
      <c r="ET571" s="50"/>
      <c r="EU571" s="50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43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43"/>
      <c r="CF572" s="43"/>
      <c r="CG572" s="43"/>
      <c r="CH572" s="43"/>
      <c r="CI572" s="43"/>
      <c r="CJ572" s="43"/>
      <c r="CK572" s="43"/>
      <c r="CL572" s="43"/>
      <c r="CM572" s="43"/>
      <c r="CN572" s="43"/>
      <c r="CO572" s="43"/>
      <c r="CP572" s="43"/>
      <c r="CQ572" s="43"/>
      <c r="CR572" s="43"/>
      <c r="CS572" s="43"/>
      <c r="CT572" s="43"/>
      <c r="CU572" s="43"/>
      <c r="CV572" s="43"/>
      <c r="CW572" s="43"/>
      <c r="CX572" s="43"/>
      <c r="CY572" s="43"/>
      <c r="CZ572" s="43"/>
      <c r="DA572" s="43"/>
      <c r="DB572" s="43"/>
      <c r="DC572" s="43"/>
      <c r="DD572" s="43"/>
      <c r="DE572" s="43"/>
      <c r="DF572" s="43"/>
      <c r="DG572" s="43"/>
      <c r="DH572" s="43"/>
      <c r="DI572" s="43"/>
      <c r="DJ572" s="43"/>
      <c r="DK572" s="43"/>
      <c r="DL572" s="43"/>
      <c r="DM572" s="43"/>
      <c r="DN572" s="43"/>
      <c r="DO572" s="43"/>
      <c r="DP572" s="43"/>
      <c r="DQ572" s="43"/>
      <c r="DR572" s="43"/>
      <c r="DS572" s="43"/>
      <c r="DT572" s="43"/>
      <c r="DU572" s="43"/>
      <c r="DV572" s="43"/>
      <c r="DW572" s="43"/>
      <c r="DX572" s="43"/>
      <c r="DY572" s="43"/>
      <c r="DZ572" s="43"/>
      <c r="EA572" s="43"/>
      <c r="EB572" s="43"/>
      <c r="EC572" s="43"/>
      <c r="ED572" s="43"/>
      <c r="EE572" s="43"/>
      <c r="EF572" s="43"/>
      <c r="EG572" s="43"/>
      <c r="EH572" s="43"/>
      <c r="EI572" s="43"/>
      <c r="EJ572" s="43"/>
      <c r="EK572" s="43"/>
      <c r="EL572" s="43"/>
      <c r="EM572" s="43"/>
      <c r="EN572" s="43"/>
      <c r="EO572" s="43"/>
      <c r="EP572" s="43"/>
      <c r="EQ572" s="43"/>
      <c r="ER572" s="43"/>
      <c r="ES572" s="43"/>
      <c r="ET572" s="50"/>
      <c r="EU572" s="50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43"/>
      <c r="CF573" s="43"/>
      <c r="CG573" s="43"/>
      <c r="CH573" s="43"/>
      <c r="CI573" s="43"/>
      <c r="CJ573" s="43"/>
      <c r="CK573" s="43"/>
      <c r="CL573" s="43"/>
      <c r="CM573" s="43"/>
      <c r="CN573" s="43"/>
      <c r="CO573" s="43"/>
      <c r="CP573" s="43"/>
      <c r="CQ573" s="43"/>
      <c r="CR573" s="43"/>
      <c r="CS573" s="43"/>
      <c r="CT573" s="43"/>
      <c r="CU573" s="43"/>
      <c r="CV573" s="43"/>
      <c r="CW573" s="43"/>
      <c r="CX573" s="43"/>
      <c r="CY573" s="43"/>
      <c r="CZ573" s="43"/>
      <c r="DA573" s="43"/>
      <c r="DB573" s="43"/>
      <c r="DC573" s="43"/>
      <c r="DD573" s="43"/>
      <c r="DE573" s="43"/>
      <c r="DF573" s="43"/>
      <c r="DG573" s="43"/>
      <c r="DH573" s="43"/>
      <c r="DI573" s="43"/>
      <c r="DJ573" s="43"/>
      <c r="DK573" s="43"/>
      <c r="DL573" s="43"/>
      <c r="DM573" s="43"/>
      <c r="DN573" s="43"/>
      <c r="DO573" s="43"/>
      <c r="DP573" s="43"/>
      <c r="DQ573" s="43"/>
      <c r="DR573" s="43"/>
      <c r="DS573" s="43"/>
      <c r="DT573" s="43"/>
      <c r="DU573" s="43"/>
      <c r="DV573" s="43"/>
      <c r="DW573" s="43"/>
      <c r="DX573" s="43"/>
      <c r="DY573" s="43"/>
      <c r="DZ573" s="43"/>
      <c r="EA573" s="43"/>
      <c r="EB573" s="43"/>
      <c r="EC573" s="43"/>
      <c r="ED573" s="43"/>
      <c r="EE573" s="43"/>
      <c r="EF573" s="43"/>
      <c r="EG573" s="43"/>
      <c r="EH573" s="43"/>
      <c r="EI573" s="43"/>
      <c r="EJ573" s="43"/>
      <c r="EK573" s="43"/>
      <c r="EL573" s="43"/>
      <c r="EM573" s="43"/>
      <c r="EN573" s="43"/>
      <c r="EO573" s="43"/>
      <c r="EP573" s="43"/>
      <c r="EQ573" s="43"/>
      <c r="ER573" s="43"/>
      <c r="ES573" s="43"/>
      <c r="ET573" s="50"/>
      <c r="EU573" s="50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43"/>
      <c r="CH574" s="43"/>
      <c r="CI574" s="43"/>
      <c r="CJ574" s="43"/>
      <c r="CK574" s="43"/>
      <c r="CL574" s="43"/>
      <c r="CM574" s="43"/>
      <c r="CN574" s="43"/>
      <c r="CO574" s="43"/>
      <c r="CP574" s="43"/>
      <c r="CQ574" s="43"/>
      <c r="CR574" s="43"/>
      <c r="CS574" s="43"/>
      <c r="CT574" s="43"/>
      <c r="CU574" s="43"/>
      <c r="CV574" s="43"/>
      <c r="CW574" s="43"/>
      <c r="CX574" s="43"/>
      <c r="CY574" s="43"/>
      <c r="CZ574" s="43"/>
      <c r="DA574" s="43"/>
      <c r="DB574" s="43"/>
      <c r="DC574" s="43"/>
      <c r="DD574" s="43"/>
      <c r="DE574" s="43"/>
      <c r="DF574" s="43"/>
      <c r="DG574" s="43"/>
      <c r="DH574" s="43"/>
      <c r="DI574" s="43"/>
      <c r="DJ574" s="43"/>
      <c r="DK574" s="43"/>
      <c r="DL574" s="43"/>
      <c r="DM574" s="43"/>
      <c r="DN574" s="43"/>
      <c r="DO574" s="43"/>
      <c r="DP574" s="43"/>
      <c r="DQ574" s="43"/>
      <c r="DR574" s="43"/>
      <c r="DS574" s="43"/>
      <c r="DT574" s="43"/>
      <c r="DU574" s="43"/>
      <c r="DV574" s="43"/>
      <c r="DW574" s="43"/>
      <c r="DX574" s="43"/>
      <c r="DY574" s="43"/>
      <c r="DZ574" s="43"/>
      <c r="EA574" s="43"/>
      <c r="EB574" s="43"/>
      <c r="EC574" s="43"/>
      <c r="ED574" s="43"/>
      <c r="EE574" s="43"/>
      <c r="EF574" s="43"/>
      <c r="EG574" s="43"/>
      <c r="EH574" s="43"/>
      <c r="EI574" s="43"/>
      <c r="EJ574" s="43"/>
      <c r="EK574" s="43"/>
      <c r="EL574" s="43"/>
      <c r="EM574" s="43"/>
      <c r="EN574" s="43"/>
      <c r="EO574" s="43"/>
      <c r="EP574" s="43"/>
      <c r="EQ574" s="43"/>
      <c r="ER574" s="43"/>
      <c r="ES574" s="43"/>
      <c r="ET574" s="50"/>
      <c r="EU574" s="50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  <c r="CS575" s="43"/>
      <c r="CT575" s="43"/>
      <c r="CU575" s="43"/>
      <c r="CV575" s="43"/>
      <c r="CW575" s="43"/>
      <c r="CX575" s="43"/>
      <c r="CY575" s="43"/>
      <c r="CZ575" s="43"/>
      <c r="DA575" s="43"/>
      <c r="DB575" s="43"/>
      <c r="DC575" s="43"/>
      <c r="DD575" s="43"/>
      <c r="DE575" s="43"/>
      <c r="DF575" s="43"/>
      <c r="DG575" s="43"/>
      <c r="DH575" s="43"/>
      <c r="DI575" s="43"/>
      <c r="DJ575" s="43"/>
      <c r="DK575" s="43"/>
      <c r="DL575" s="43"/>
      <c r="DM575" s="43"/>
      <c r="DN575" s="43"/>
      <c r="DO575" s="43"/>
      <c r="DP575" s="43"/>
      <c r="DQ575" s="43"/>
      <c r="DR575" s="43"/>
      <c r="DS575" s="43"/>
      <c r="DT575" s="43"/>
      <c r="DU575" s="43"/>
      <c r="DV575" s="43"/>
      <c r="DW575" s="43"/>
      <c r="DX575" s="43"/>
      <c r="DY575" s="43"/>
      <c r="DZ575" s="43"/>
      <c r="EA575" s="43"/>
      <c r="EB575" s="43"/>
      <c r="EC575" s="43"/>
      <c r="ED575" s="43"/>
      <c r="EE575" s="43"/>
      <c r="EF575" s="43"/>
      <c r="EG575" s="43"/>
      <c r="EH575" s="43"/>
      <c r="EI575" s="43"/>
      <c r="EJ575" s="43"/>
      <c r="EK575" s="43"/>
      <c r="EL575" s="43"/>
      <c r="EM575" s="43"/>
      <c r="EN575" s="43"/>
      <c r="EO575" s="43"/>
      <c r="EP575" s="43"/>
      <c r="EQ575" s="43"/>
      <c r="ER575" s="43"/>
      <c r="ES575" s="43"/>
      <c r="ET575" s="50"/>
      <c r="EU575" s="50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43"/>
      <c r="CH576" s="43"/>
      <c r="CI576" s="43"/>
      <c r="CJ576" s="43"/>
      <c r="CK576" s="43"/>
      <c r="CL576" s="43"/>
      <c r="CM576" s="43"/>
      <c r="CN576" s="43"/>
      <c r="CO576" s="43"/>
      <c r="CP576" s="43"/>
      <c r="CQ576" s="43"/>
      <c r="CR576" s="43"/>
      <c r="CS576" s="43"/>
      <c r="CT576" s="43"/>
      <c r="CU576" s="43"/>
      <c r="CV576" s="43"/>
      <c r="CW576" s="43"/>
      <c r="CX576" s="43"/>
      <c r="CY576" s="43"/>
      <c r="CZ576" s="43"/>
      <c r="DA576" s="43"/>
      <c r="DB576" s="43"/>
      <c r="DC576" s="43"/>
      <c r="DD576" s="43"/>
      <c r="DE576" s="43"/>
      <c r="DF576" s="43"/>
      <c r="DG576" s="43"/>
      <c r="DH576" s="43"/>
      <c r="DI576" s="43"/>
      <c r="DJ576" s="43"/>
      <c r="DK576" s="43"/>
      <c r="DL576" s="43"/>
      <c r="DM576" s="43"/>
      <c r="DN576" s="43"/>
      <c r="DO576" s="43"/>
      <c r="DP576" s="43"/>
      <c r="DQ576" s="43"/>
      <c r="DR576" s="43"/>
      <c r="DS576" s="43"/>
      <c r="DT576" s="43"/>
      <c r="DU576" s="43"/>
      <c r="DV576" s="43"/>
      <c r="DW576" s="43"/>
      <c r="DX576" s="43"/>
      <c r="DY576" s="43"/>
      <c r="DZ576" s="43"/>
      <c r="EA576" s="43"/>
      <c r="EB576" s="43"/>
      <c r="EC576" s="43"/>
      <c r="ED576" s="43"/>
      <c r="EE576" s="43"/>
      <c r="EF576" s="43"/>
      <c r="EG576" s="43"/>
      <c r="EH576" s="43"/>
      <c r="EI576" s="43"/>
      <c r="EJ576" s="43"/>
      <c r="EK576" s="43"/>
      <c r="EL576" s="43"/>
      <c r="EM576" s="43"/>
      <c r="EN576" s="43"/>
      <c r="EO576" s="43"/>
      <c r="EP576" s="43"/>
      <c r="EQ576" s="43"/>
      <c r="ER576" s="43"/>
      <c r="ES576" s="43"/>
      <c r="ET576" s="50"/>
      <c r="EU576" s="50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43"/>
      <c r="CF577" s="43"/>
      <c r="CG577" s="43"/>
      <c r="CH577" s="43"/>
      <c r="CI577" s="43"/>
      <c r="CJ577" s="43"/>
      <c r="CK577" s="43"/>
      <c r="CL577" s="43"/>
      <c r="CM577" s="43"/>
      <c r="CN577" s="43"/>
      <c r="CO577" s="43"/>
      <c r="CP577" s="43"/>
      <c r="CQ577" s="43"/>
      <c r="CR577" s="43"/>
      <c r="CS577" s="43"/>
      <c r="CT577" s="43"/>
      <c r="CU577" s="43"/>
      <c r="CV577" s="43"/>
      <c r="CW577" s="43"/>
      <c r="CX577" s="43"/>
      <c r="CY577" s="43"/>
      <c r="CZ577" s="43"/>
      <c r="DA577" s="43"/>
      <c r="DB577" s="43"/>
      <c r="DC577" s="43"/>
      <c r="DD577" s="43"/>
      <c r="DE577" s="43"/>
      <c r="DF577" s="43"/>
      <c r="DG577" s="43"/>
      <c r="DH577" s="43"/>
      <c r="DI577" s="43"/>
      <c r="DJ577" s="43"/>
      <c r="DK577" s="43"/>
      <c r="DL577" s="43"/>
      <c r="DM577" s="43"/>
      <c r="DN577" s="43"/>
      <c r="DO577" s="43"/>
      <c r="DP577" s="43"/>
      <c r="DQ577" s="43"/>
      <c r="DR577" s="43"/>
      <c r="DS577" s="43"/>
      <c r="DT577" s="43"/>
      <c r="DU577" s="43"/>
      <c r="DV577" s="43"/>
      <c r="DW577" s="43"/>
      <c r="DX577" s="43"/>
      <c r="DY577" s="43"/>
      <c r="DZ577" s="43"/>
      <c r="EA577" s="43"/>
      <c r="EB577" s="43"/>
      <c r="EC577" s="43"/>
      <c r="ED577" s="43"/>
      <c r="EE577" s="43"/>
      <c r="EF577" s="43"/>
      <c r="EG577" s="43"/>
      <c r="EH577" s="43"/>
      <c r="EI577" s="43"/>
      <c r="EJ577" s="43"/>
      <c r="EK577" s="43"/>
      <c r="EL577" s="43"/>
      <c r="EM577" s="43"/>
      <c r="EN577" s="43"/>
      <c r="EO577" s="43"/>
      <c r="EP577" s="43"/>
      <c r="EQ577" s="43"/>
      <c r="ER577" s="43"/>
      <c r="ES577" s="43"/>
      <c r="ET577" s="50"/>
      <c r="EU577" s="50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  <c r="CS578" s="43"/>
      <c r="CT578" s="43"/>
      <c r="CU578" s="43"/>
      <c r="CV578" s="43"/>
      <c r="CW578" s="43"/>
      <c r="CX578" s="43"/>
      <c r="CY578" s="43"/>
      <c r="CZ578" s="43"/>
      <c r="DA578" s="43"/>
      <c r="DB578" s="43"/>
      <c r="DC578" s="43"/>
      <c r="DD578" s="43"/>
      <c r="DE578" s="43"/>
      <c r="DF578" s="43"/>
      <c r="DG578" s="43"/>
      <c r="DH578" s="43"/>
      <c r="DI578" s="43"/>
      <c r="DJ578" s="43"/>
      <c r="DK578" s="43"/>
      <c r="DL578" s="43"/>
      <c r="DM578" s="43"/>
      <c r="DN578" s="43"/>
      <c r="DO578" s="43"/>
      <c r="DP578" s="43"/>
      <c r="DQ578" s="43"/>
      <c r="DR578" s="43"/>
      <c r="DS578" s="43"/>
      <c r="DT578" s="43"/>
      <c r="DU578" s="43"/>
      <c r="DV578" s="43"/>
      <c r="DW578" s="43"/>
      <c r="DX578" s="43"/>
      <c r="DY578" s="43"/>
      <c r="DZ578" s="43"/>
      <c r="EA578" s="43"/>
      <c r="EB578" s="43"/>
      <c r="EC578" s="43"/>
      <c r="ED578" s="43"/>
      <c r="EE578" s="43"/>
      <c r="EF578" s="43"/>
      <c r="EG578" s="43"/>
      <c r="EH578" s="43"/>
      <c r="EI578" s="43"/>
      <c r="EJ578" s="43"/>
      <c r="EK578" s="43"/>
      <c r="EL578" s="43"/>
      <c r="EM578" s="43"/>
      <c r="EN578" s="43"/>
      <c r="EO578" s="43"/>
      <c r="EP578" s="43"/>
      <c r="EQ578" s="43"/>
      <c r="ER578" s="43"/>
      <c r="ES578" s="43"/>
      <c r="ET578" s="50"/>
      <c r="EU578" s="50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43"/>
      <c r="CH579" s="43"/>
      <c r="CI579" s="43"/>
      <c r="CJ579" s="43"/>
      <c r="CK579" s="43"/>
      <c r="CL579" s="43"/>
      <c r="CM579" s="43"/>
      <c r="CN579" s="43"/>
      <c r="CO579" s="43"/>
      <c r="CP579" s="43"/>
      <c r="CQ579" s="43"/>
      <c r="CR579" s="43"/>
      <c r="CS579" s="43"/>
      <c r="CT579" s="43"/>
      <c r="CU579" s="43"/>
      <c r="CV579" s="43"/>
      <c r="CW579" s="43"/>
      <c r="CX579" s="43"/>
      <c r="CY579" s="43"/>
      <c r="CZ579" s="43"/>
      <c r="DA579" s="43"/>
      <c r="DB579" s="43"/>
      <c r="DC579" s="43"/>
      <c r="DD579" s="43"/>
      <c r="DE579" s="43"/>
      <c r="DF579" s="43"/>
      <c r="DG579" s="43"/>
      <c r="DH579" s="43"/>
      <c r="DI579" s="43"/>
      <c r="DJ579" s="43"/>
      <c r="DK579" s="43"/>
      <c r="DL579" s="43"/>
      <c r="DM579" s="43"/>
      <c r="DN579" s="43"/>
      <c r="DO579" s="43"/>
      <c r="DP579" s="43"/>
      <c r="DQ579" s="43"/>
      <c r="DR579" s="43"/>
      <c r="DS579" s="43"/>
      <c r="DT579" s="43"/>
      <c r="DU579" s="43"/>
      <c r="DV579" s="43"/>
      <c r="DW579" s="43"/>
      <c r="DX579" s="43"/>
      <c r="DY579" s="43"/>
      <c r="DZ579" s="43"/>
      <c r="EA579" s="43"/>
      <c r="EB579" s="43"/>
      <c r="EC579" s="43"/>
      <c r="ED579" s="43"/>
      <c r="EE579" s="43"/>
      <c r="EF579" s="43"/>
      <c r="EG579" s="43"/>
      <c r="EH579" s="43"/>
      <c r="EI579" s="43"/>
      <c r="EJ579" s="43"/>
      <c r="EK579" s="43"/>
      <c r="EL579" s="43"/>
      <c r="EM579" s="43"/>
      <c r="EN579" s="43"/>
      <c r="EO579" s="43"/>
      <c r="EP579" s="43"/>
      <c r="EQ579" s="43"/>
      <c r="ER579" s="43"/>
      <c r="ES579" s="43"/>
      <c r="ET579" s="50"/>
      <c r="EU579" s="50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43"/>
      <c r="CH580" s="43"/>
      <c r="CI580" s="43"/>
      <c r="CJ580" s="43"/>
      <c r="CK580" s="43"/>
      <c r="CL580" s="43"/>
      <c r="CM580" s="43"/>
      <c r="CN580" s="43"/>
      <c r="CO580" s="43"/>
      <c r="CP580" s="43"/>
      <c r="CQ580" s="43"/>
      <c r="CR580" s="43"/>
      <c r="CS580" s="43"/>
      <c r="CT580" s="43"/>
      <c r="CU580" s="43"/>
      <c r="CV580" s="43"/>
      <c r="CW580" s="43"/>
      <c r="CX580" s="43"/>
      <c r="CY580" s="43"/>
      <c r="CZ580" s="43"/>
      <c r="DA580" s="43"/>
      <c r="DB580" s="43"/>
      <c r="DC580" s="43"/>
      <c r="DD580" s="43"/>
      <c r="DE580" s="43"/>
      <c r="DF580" s="43"/>
      <c r="DG580" s="43"/>
      <c r="DH580" s="43"/>
      <c r="DI580" s="43"/>
      <c r="DJ580" s="43"/>
      <c r="DK580" s="43"/>
      <c r="DL580" s="43"/>
      <c r="DM580" s="43"/>
      <c r="DN580" s="43"/>
      <c r="DO580" s="43"/>
      <c r="DP580" s="43"/>
      <c r="DQ580" s="43"/>
      <c r="DR580" s="43"/>
      <c r="DS580" s="43"/>
      <c r="DT580" s="43"/>
      <c r="DU580" s="43"/>
      <c r="DV580" s="43"/>
      <c r="DW580" s="43"/>
      <c r="DX580" s="43"/>
      <c r="DY580" s="43"/>
      <c r="DZ580" s="43"/>
      <c r="EA580" s="43"/>
      <c r="EB580" s="43"/>
      <c r="EC580" s="43"/>
      <c r="ED580" s="43"/>
      <c r="EE580" s="43"/>
      <c r="EF580" s="43"/>
      <c r="EG580" s="43"/>
      <c r="EH580" s="43"/>
      <c r="EI580" s="43"/>
      <c r="EJ580" s="43"/>
      <c r="EK580" s="43"/>
      <c r="EL580" s="43"/>
      <c r="EM580" s="43"/>
      <c r="EN580" s="43"/>
      <c r="EO580" s="43"/>
      <c r="EP580" s="43"/>
      <c r="EQ580" s="43"/>
      <c r="ER580" s="43"/>
      <c r="ES580" s="43"/>
      <c r="ET580" s="50"/>
      <c r="EU580" s="50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43"/>
      <c r="CH581" s="43"/>
      <c r="CI581" s="43"/>
      <c r="CJ581" s="43"/>
      <c r="CK581" s="43"/>
      <c r="CL581" s="43"/>
      <c r="CM581" s="43"/>
      <c r="CN581" s="43"/>
      <c r="CO581" s="43"/>
      <c r="CP581" s="43"/>
      <c r="CQ581" s="43"/>
      <c r="CR581" s="43"/>
      <c r="CS581" s="43"/>
      <c r="CT581" s="43"/>
      <c r="CU581" s="43"/>
      <c r="CV581" s="43"/>
      <c r="CW581" s="43"/>
      <c r="CX581" s="43"/>
      <c r="CY581" s="43"/>
      <c r="CZ581" s="43"/>
      <c r="DA581" s="43"/>
      <c r="DB581" s="43"/>
      <c r="DC581" s="43"/>
      <c r="DD581" s="43"/>
      <c r="DE581" s="43"/>
      <c r="DF581" s="43"/>
      <c r="DG581" s="43"/>
      <c r="DH581" s="43"/>
      <c r="DI581" s="43"/>
      <c r="DJ581" s="43"/>
      <c r="DK581" s="43"/>
      <c r="DL581" s="43"/>
      <c r="DM581" s="43"/>
      <c r="DN581" s="43"/>
      <c r="DO581" s="43"/>
      <c r="DP581" s="43"/>
      <c r="DQ581" s="43"/>
      <c r="DR581" s="43"/>
      <c r="DS581" s="43"/>
      <c r="DT581" s="43"/>
      <c r="DU581" s="43"/>
      <c r="DV581" s="43"/>
      <c r="DW581" s="43"/>
      <c r="DX581" s="43"/>
      <c r="DY581" s="43"/>
      <c r="DZ581" s="43"/>
      <c r="EA581" s="43"/>
      <c r="EB581" s="43"/>
      <c r="EC581" s="43"/>
      <c r="ED581" s="43"/>
      <c r="EE581" s="43"/>
      <c r="EF581" s="43"/>
      <c r="EG581" s="43"/>
      <c r="EH581" s="43"/>
      <c r="EI581" s="43"/>
      <c r="EJ581" s="43"/>
      <c r="EK581" s="43"/>
      <c r="EL581" s="43"/>
      <c r="EM581" s="43"/>
      <c r="EN581" s="43"/>
      <c r="EO581" s="43"/>
      <c r="EP581" s="43"/>
      <c r="EQ581" s="43"/>
      <c r="ER581" s="43"/>
      <c r="ES581" s="43"/>
      <c r="ET581" s="50"/>
      <c r="EU581" s="50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  <c r="CS582" s="43"/>
      <c r="CT582" s="43"/>
      <c r="CU582" s="43"/>
      <c r="CV582" s="43"/>
      <c r="CW582" s="43"/>
      <c r="CX582" s="43"/>
      <c r="CY582" s="43"/>
      <c r="CZ582" s="43"/>
      <c r="DA582" s="43"/>
      <c r="DB582" s="43"/>
      <c r="DC582" s="43"/>
      <c r="DD582" s="43"/>
      <c r="DE582" s="43"/>
      <c r="DF582" s="43"/>
      <c r="DG582" s="43"/>
      <c r="DH582" s="43"/>
      <c r="DI582" s="43"/>
      <c r="DJ582" s="43"/>
      <c r="DK582" s="43"/>
      <c r="DL582" s="43"/>
      <c r="DM582" s="43"/>
      <c r="DN582" s="43"/>
      <c r="DO582" s="43"/>
      <c r="DP582" s="43"/>
      <c r="DQ582" s="43"/>
      <c r="DR582" s="43"/>
      <c r="DS582" s="43"/>
      <c r="DT582" s="43"/>
      <c r="DU582" s="43"/>
      <c r="DV582" s="43"/>
      <c r="DW582" s="43"/>
      <c r="DX582" s="43"/>
      <c r="DY582" s="43"/>
      <c r="DZ582" s="43"/>
      <c r="EA582" s="43"/>
      <c r="EB582" s="43"/>
      <c r="EC582" s="43"/>
      <c r="ED582" s="43"/>
      <c r="EE582" s="43"/>
      <c r="EF582" s="43"/>
      <c r="EG582" s="43"/>
      <c r="EH582" s="43"/>
      <c r="EI582" s="43"/>
      <c r="EJ582" s="43"/>
      <c r="EK582" s="43"/>
      <c r="EL582" s="43"/>
      <c r="EM582" s="43"/>
      <c r="EN582" s="43"/>
      <c r="EO582" s="43"/>
      <c r="EP582" s="43"/>
      <c r="EQ582" s="43"/>
      <c r="ER582" s="43"/>
      <c r="ES582" s="43"/>
      <c r="ET582" s="50"/>
      <c r="EU582" s="50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  <c r="CS583" s="43"/>
      <c r="CT583" s="43"/>
      <c r="CU583" s="43"/>
      <c r="CV583" s="43"/>
      <c r="CW583" s="43"/>
      <c r="CX583" s="43"/>
      <c r="CY583" s="43"/>
      <c r="CZ583" s="43"/>
      <c r="DA583" s="43"/>
      <c r="DB583" s="43"/>
      <c r="DC583" s="43"/>
      <c r="DD583" s="43"/>
      <c r="DE583" s="43"/>
      <c r="DF583" s="43"/>
      <c r="DG583" s="43"/>
      <c r="DH583" s="43"/>
      <c r="DI583" s="43"/>
      <c r="DJ583" s="43"/>
      <c r="DK583" s="43"/>
      <c r="DL583" s="43"/>
      <c r="DM583" s="43"/>
      <c r="DN583" s="43"/>
      <c r="DO583" s="43"/>
      <c r="DP583" s="43"/>
      <c r="DQ583" s="43"/>
      <c r="DR583" s="43"/>
      <c r="DS583" s="43"/>
      <c r="DT583" s="43"/>
      <c r="DU583" s="43"/>
      <c r="DV583" s="43"/>
      <c r="DW583" s="43"/>
      <c r="DX583" s="43"/>
      <c r="DY583" s="43"/>
      <c r="DZ583" s="43"/>
      <c r="EA583" s="43"/>
      <c r="EB583" s="43"/>
      <c r="EC583" s="43"/>
      <c r="ED583" s="43"/>
      <c r="EE583" s="43"/>
      <c r="EF583" s="43"/>
      <c r="EG583" s="43"/>
      <c r="EH583" s="43"/>
      <c r="EI583" s="43"/>
      <c r="EJ583" s="43"/>
      <c r="EK583" s="43"/>
      <c r="EL583" s="43"/>
      <c r="EM583" s="43"/>
      <c r="EN583" s="43"/>
      <c r="EO583" s="43"/>
      <c r="EP583" s="43"/>
      <c r="EQ583" s="43"/>
      <c r="ER583" s="43"/>
      <c r="ES583" s="43"/>
      <c r="ET583" s="50"/>
      <c r="EU583" s="50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  <c r="CV584" s="43"/>
      <c r="CW584" s="43"/>
      <c r="CX584" s="43"/>
      <c r="CY584" s="43"/>
      <c r="CZ584" s="43"/>
      <c r="DA584" s="43"/>
      <c r="DB584" s="43"/>
      <c r="DC584" s="43"/>
      <c r="DD584" s="43"/>
      <c r="DE584" s="43"/>
      <c r="DF584" s="43"/>
      <c r="DG584" s="43"/>
      <c r="DH584" s="43"/>
      <c r="DI584" s="43"/>
      <c r="DJ584" s="43"/>
      <c r="DK584" s="43"/>
      <c r="DL584" s="43"/>
      <c r="DM584" s="43"/>
      <c r="DN584" s="43"/>
      <c r="DO584" s="43"/>
      <c r="DP584" s="43"/>
      <c r="DQ584" s="43"/>
      <c r="DR584" s="43"/>
      <c r="DS584" s="43"/>
      <c r="DT584" s="43"/>
      <c r="DU584" s="43"/>
      <c r="DV584" s="43"/>
      <c r="DW584" s="43"/>
      <c r="DX584" s="43"/>
      <c r="DY584" s="43"/>
      <c r="DZ584" s="43"/>
      <c r="EA584" s="43"/>
      <c r="EB584" s="43"/>
      <c r="EC584" s="43"/>
      <c r="ED584" s="43"/>
      <c r="EE584" s="43"/>
      <c r="EF584" s="43"/>
      <c r="EG584" s="43"/>
      <c r="EH584" s="43"/>
      <c r="EI584" s="43"/>
      <c r="EJ584" s="43"/>
      <c r="EK584" s="43"/>
      <c r="EL584" s="43"/>
      <c r="EM584" s="43"/>
      <c r="EN584" s="43"/>
      <c r="EO584" s="43"/>
      <c r="EP584" s="43"/>
      <c r="EQ584" s="43"/>
      <c r="ER584" s="43"/>
      <c r="ES584" s="43"/>
      <c r="ET584" s="50"/>
      <c r="EU584" s="50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  <c r="CS585" s="43"/>
      <c r="CT585" s="43"/>
      <c r="CU585" s="43"/>
      <c r="CV585" s="43"/>
      <c r="CW585" s="43"/>
      <c r="CX585" s="43"/>
      <c r="CY585" s="43"/>
      <c r="CZ585" s="43"/>
      <c r="DA585" s="43"/>
      <c r="DB585" s="43"/>
      <c r="DC585" s="43"/>
      <c r="DD585" s="43"/>
      <c r="DE585" s="43"/>
      <c r="DF585" s="43"/>
      <c r="DG585" s="43"/>
      <c r="DH585" s="43"/>
      <c r="DI585" s="43"/>
      <c r="DJ585" s="43"/>
      <c r="DK585" s="43"/>
      <c r="DL585" s="43"/>
      <c r="DM585" s="43"/>
      <c r="DN585" s="43"/>
      <c r="DO585" s="43"/>
      <c r="DP585" s="43"/>
      <c r="DQ585" s="43"/>
      <c r="DR585" s="43"/>
      <c r="DS585" s="43"/>
      <c r="DT585" s="43"/>
      <c r="DU585" s="43"/>
      <c r="DV585" s="43"/>
      <c r="DW585" s="43"/>
      <c r="DX585" s="43"/>
      <c r="DY585" s="43"/>
      <c r="DZ585" s="43"/>
      <c r="EA585" s="43"/>
      <c r="EB585" s="43"/>
      <c r="EC585" s="43"/>
      <c r="ED585" s="43"/>
      <c r="EE585" s="43"/>
      <c r="EF585" s="43"/>
      <c r="EG585" s="43"/>
      <c r="EH585" s="43"/>
      <c r="EI585" s="43"/>
      <c r="EJ585" s="43"/>
      <c r="EK585" s="43"/>
      <c r="EL585" s="43"/>
      <c r="EM585" s="43"/>
      <c r="EN585" s="43"/>
      <c r="EO585" s="43"/>
      <c r="EP585" s="43"/>
      <c r="EQ585" s="43"/>
      <c r="ER585" s="43"/>
      <c r="ES585" s="43"/>
      <c r="ET585" s="50"/>
      <c r="EU585" s="50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43"/>
      <c r="CF586" s="43"/>
      <c r="CG586" s="43"/>
      <c r="CH586" s="43"/>
      <c r="CI586" s="43"/>
      <c r="CJ586" s="43"/>
      <c r="CK586" s="43"/>
      <c r="CL586" s="43"/>
      <c r="CM586" s="43"/>
      <c r="CN586" s="43"/>
      <c r="CO586" s="43"/>
      <c r="CP586" s="43"/>
      <c r="CQ586" s="43"/>
      <c r="CR586" s="43"/>
      <c r="CS586" s="43"/>
      <c r="CT586" s="43"/>
      <c r="CU586" s="43"/>
      <c r="CV586" s="43"/>
      <c r="CW586" s="43"/>
      <c r="CX586" s="43"/>
      <c r="CY586" s="43"/>
      <c r="CZ586" s="43"/>
      <c r="DA586" s="43"/>
      <c r="DB586" s="43"/>
      <c r="DC586" s="43"/>
      <c r="DD586" s="43"/>
      <c r="DE586" s="43"/>
      <c r="DF586" s="43"/>
      <c r="DG586" s="43"/>
      <c r="DH586" s="43"/>
      <c r="DI586" s="43"/>
      <c r="DJ586" s="43"/>
      <c r="DK586" s="43"/>
      <c r="DL586" s="43"/>
      <c r="DM586" s="43"/>
      <c r="DN586" s="43"/>
      <c r="DO586" s="43"/>
      <c r="DP586" s="43"/>
      <c r="DQ586" s="43"/>
      <c r="DR586" s="43"/>
      <c r="DS586" s="43"/>
      <c r="DT586" s="43"/>
      <c r="DU586" s="43"/>
      <c r="DV586" s="43"/>
      <c r="DW586" s="43"/>
      <c r="DX586" s="43"/>
      <c r="DY586" s="43"/>
      <c r="DZ586" s="43"/>
      <c r="EA586" s="43"/>
      <c r="EB586" s="43"/>
      <c r="EC586" s="43"/>
      <c r="ED586" s="43"/>
      <c r="EE586" s="43"/>
      <c r="EF586" s="43"/>
      <c r="EG586" s="43"/>
      <c r="EH586" s="43"/>
      <c r="EI586" s="43"/>
      <c r="EJ586" s="43"/>
      <c r="EK586" s="43"/>
      <c r="EL586" s="43"/>
      <c r="EM586" s="43"/>
      <c r="EN586" s="43"/>
      <c r="EO586" s="43"/>
      <c r="EP586" s="43"/>
      <c r="EQ586" s="43"/>
      <c r="ER586" s="43"/>
      <c r="ES586" s="43"/>
      <c r="ET586" s="50"/>
      <c r="EU586" s="50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  <c r="CS587" s="43"/>
      <c r="CT587" s="43"/>
      <c r="CU587" s="43"/>
      <c r="CV587" s="43"/>
      <c r="CW587" s="43"/>
      <c r="CX587" s="43"/>
      <c r="CY587" s="43"/>
      <c r="CZ587" s="43"/>
      <c r="DA587" s="43"/>
      <c r="DB587" s="43"/>
      <c r="DC587" s="43"/>
      <c r="DD587" s="43"/>
      <c r="DE587" s="43"/>
      <c r="DF587" s="43"/>
      <c r="DG587" s="43"/>
      <c r="DH587" s="43"/>
      <c r="DI587" s="43"/>
      <c r="DJ587" s="43"/>
      <c r="DK587" s="43"/>
      <c r="DL587" s="43"/>
      <c r="DM587" s="43"/>
      <c r="DN587" s="43"/>
      <c r="DO587" s="43"/>
      <c r="DP587" s="43"/>
      <c r="DQ587" s="43"/>
      <c r="DR587" s="43"/>
      <c r="DS587" s="43"/>
      <c r="DT587" s="43"/>
      <c r="DU587" s="43"/>
      <c r="DV587" s="43"/>
      <c r="DW587" s="43"/>
      <c r="DX587" s="43"/>
      <c r="DY587" s="43"/>
      <c r="DZ587" s="43"/>
      <c r="EA587" s="43"/>
      <c r="EB587" s="43"/>
      <c r="EC587" s="43"/>
      <c r="ED587" s="43"/>
      <c r="EE587" s="43"/>
      <c r="EF587" s="43"/>
      <c r="EG587" s="43"/>
      <c r="EH587" s="43"/>
      <c r="EI587" s="43"/>
      <c r="EJ587" s="43"/>
      <c r="EK587" s="43"/>
      <c r="EL587" s="43"/>
      <c r="EM587" s="43"/>
      <c r="EN587" s="43"/>
      <c r="EO587" s="43"/>
      <c r="EP587" s="43"/>
      <c r="EQ587" s="43"/>
      <c r="ER587" s="43"/>
      <c r="ES587" s="43"/>
      <c r="ET587" s="50"/>
      <c r="EU587" s="50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43"/>
      <c r="CF588" s="43"/>
      <c r="CG588" s="43"/>
      <c r="CH588" s="43"/>
      <c r="CI588" s="43"/>
      <c r="CJ588" s="43"/>
      <c r="CK588" s="43"/>
      <c r="CL588" s="43"/>
      <c r="CM588" s="43"/>
      <c r="CN588" s="43"/>
      <c r="CO588" s="43"/>
      <c r="CP588" s="43"/>
      <c r="CQ588" s="43"/>
      <c r="CR588" s="43"/>
      <c r="CS588" s="43"/>
      <c r="CT588" s="43"/>
      <c r="CU588" s="43"/>
      <c r="CV588" s="43"/>
      <c r="CW588" s="43"/>
      <c r="CX588" s="43"/>
      <c r="CY588" s="43"/>
      <c r="CZ588" s="43"/>
      <c r="DA588" s="43"/>
      <c r="DB588" s="43"/>
      <c r="DC588" s="43"/>
      <c r="DD588" s="43"/>
      <c r="DE588" s="43"/>
      <c r="DF588" s="43"/>
      <c r="DG588" s="43"/>
      <c r="DH588" s="43"/>
      <c r="DI588" s="43"/>
      <c r="DJ588" s="43"/>
      <c r="DK588" s="43"/>
      <c r="DL588" s="43"/>
      <c r="DM588" s="43"/>
      <c r="DN588" s="43"/>
      <c r="DO588" s="43"/>
      <c r="DP588" s="43"/>
      <c r="DQ588" s="43"/>
      <c r="DR588" s="43"/>
      <c r="DS588" s="43"/>
      <c r="DT588" s="43"/>
      <c r="DU588" s="43"/>
      <c r="DV588" s="43"/>
      <c r="DW588" s="43"/>
      <c r="DX588" s="43"/>
      <c r="DY588" s="43"/>
      <c r="DZ588" s="43"/>
      <c r="EA588" s="43"/>
      <c r="EB588" s="43"/>
      <c r="EC588" s="43"/>
      <c r="ED588" s="43"/>
      <c r="EE588" s="43"/>
      <c r="EF588" s="43"/>
      <c r="EG588" s="43"/>
      <c r="EH588" s="43"/>
      <c r="EI588" s="43"/>
      <c r="EJ588" s="43"/>
      <c r="EK588" s="43"/>
      <c r="EL588" s="43"/>
      <c r="EM588" s="43"/>
      <c r="EN588" s="43"/>
      <c r="EO588" s="43"/>
      <c r="EP588" s="43"/>
      <c r="EQ588" s="43"/>
      <c r="ER588" s="43"/>
      <c r="ES588" s="43"/>
      <c r="ET588" s="50"/>
      <c r="EU588" s="50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43"/>
      <c r="CF589" s="43"/>
      <c r="CG589" s="43"/>
      <c r="CH589" s="43"/>
      <c r="CI589" s="43"/>
      <c r="CJ589" s="43"/>
      <c r="CK589" s="43"/>
      <c r="CL589" s="43"/>
      <c r="CM589" s="43"/>
      <c r="CN589" s="43"/>
      <c r="CO589" s="43"/>
      <c r="CP589" s="43"/>
      <c r="CQ589" s="43"/>
      <c r="CR589" s="43"/>
      <c r="CS589" s="43"/>
      <c r="CT589" s="43"/>
      <c r="CU589" s="43"/>
      <c r="CV589" s="43"/>
      <c r="CW589" s="43"/>
      <c r="CX589" s="43"/>
      <c r="CY589" s="43"/>
      <c r="CZ589" s="43"/>
      <c r="DA589" s="43"/>
      <c r="DB589" s="43"/>
      <c r="DC589" s="43"/>
      <c r="DD589" s="43"/>
      <c r="DE589" s="43"/>
      <c r="DF589" s="43"/>
      <c r="DG589" s="43"/>
      <c r="DH589" s="43"/>
      <c r="DI589" s="43"/>
      <c r="DJ589" s="43"/>
      <c r="DK589" s="43"/>
      <c r="DL589" s="43"/>
      <c r="DM589" s="43"/>
      <c r="DN589" s="43"/>
      <c r="DO589" s="43"/>
      <c r="DP589" s="43"/>
      <c r="DQ589" s="43"/>
      <c r="DR589" s="43"/>
      <c r="DS589" s="43"/>
      <c r="DT589" s="43"/>
      <c r="DU589" s="43"/>
      <c r="DV589" s="43"/>
      <c r="DW589" s="43"/>
      <c r="DX589" s="43"/>
      <c r="DY589" s="43"/>
      <c r="DZ589" s="43"/>
      <c r="EA589" s="43"/>
      <c r="EB589" s="43"/>
      <c r="EC589" s="43"/>
      <c r="ED589" s="43"/>
      <c r="EE589" s="43"/>
      <c r="EF589" s="43"/>
      <c r="EG589" s="43"/>
      <c r="EH589" s="43"/>
      <c r="EI589" s="43"/>
      <c r="EJ589" s="43"/>
      <c r="EK589" s="43"/>
      <c r="EL589" s="43"/>
      <c r="EM589" s="43"/>
      <c r="EN589" s="43"/>
      <c r="EO589" s="43"/>
      <c r="EP589" s="43"/>
      <c r="EQ589" s="43"/>
      <c r="ER589" s="43"/>
      <c r="ES589" s="43"/>
      <c r="ET589" s="50"/>
      <c r="EU589" s="50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  <c r="CS590" s="43"/>
      <c r="CT590" s="43"/>
      <c r="CU590" s="43"/>
      <c r="CV590" s="43"/>
      <c r="CW590" s="43"/>
      <c r="CX590" s="43"/>
      <c r="CY590" s="43"/>
      <c r="CZ590" s="43"/>
      <c r="DA590" s="43"/>
      <c r="DB590" s="43"/>
      <c r="DC590" s="43"/>
      <c r="DD590" s="43"/>
      <c r="DE590" s="43"/>
      <c r="DF590" s="43"/>
      <c r="DG590" s="43"/>
      <c r="DH590" s="43"/>
      <c r="DI590" s="43"/>
      <c r="DJ590" s="43"/>
      <c r="DK590" s="43"/>
      <c r="DL590" s="43"/>
      <c r="DM590" s="43"/>
      <c r="DN590" s="43"/>
      <c r="DO590" s="43"/>
      <c r="DP590" s="43"/>
      <c r="DQ590" s="43"/>
      <c r="DR590" s="43"/>
      <c r="DS590" s="43"/>
      <c r="DT590" s="43"/>
      <c r="DU590" s="43"/>
      <c r="DV590" s="43"/>
      <c r="DW590" s="43"/>
      <c r="DX590" s="43"/>
      <c r="DY590" s="43"/>
      <c r="DZ590" s="43"/>
      <c r="EA590" s="43"/>
      <c r="EB590" s="43"/>
      <c r="EC590" s="43"/>
      <c r="ED590" s="43"/>
      <c r="EE590" s="43"/>
      <c r="EF590" s="43"/>
      <c r="EG590" s="43"/>
      <c r="EH590" s="43"/>
      <c r="EI590" s="43"/>
      <c r="EJ590" s="43"/>
      <c r="EK590" s="43"/>
      <c r="EL590" s="43"/>
      <c r="EM590" s="43"/>
      <c r="EN590" s="43"/>
      <c r="EO590" s="43"/>
      <c r="EP590" s="43"/>
      <c r="EQ590" s="43"/>
      <c r="ER590" s="43"/>
      <c r="ES590" s="43"/>
      <c r="ET590" s="50"/>
      <c r="EU590" s="50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43"/>
      <c r="CF591" s="43"/>
      <c r="CG591" s="43"/>
      <c r="CH591" s="43"/>
      <c r="CI591" s="43"/>
      <c r="CJ591" s="43"/>
      <c r="CK591" s="43"/>
      <c r="CL591" s="43"/>
      <c r="CM591" s="43"/>
      <c r="CN591" s="43"/>
      <c r="CO591" s="43"/>
      <c r="CP591" s="43"/>
      <c r="CQ591" s="43"/>
      <c r="CR591" s="43"/>
      <c r="CS591" s="43"/>
      <c r="CT591" s="43"/>
      <c r="CU591" s="43"/>
      <c r="CV591" s="43"/>
      <c r="CW591" s="43"/>
      <c r="CX591" s="43"/>
      <c r="CY591" s="43"/>
      <c r="CZ591" s="43"/>
      <c r="DA591" s="43"/>
      <c r="DB591" s="43"/>
      <c r="DC591" s="43"/>
      <c r="DD591" s="43"/>
      <c r="DE591" s="43"/>
      <c r="DF591" s="43"/>
      <c r="DG591" s="43"/>
      <c r="DH591" s="43"/>
      <c r="DI591" s="43"/>
      <c r="DJ591" s="43"/>
      <c r="DK591" s="43"/>
      <c r="DL591" s="43"/>
      <c r="DM591" s="43"/>
      <c r="DN591" s="43"/>
      <c r="DO591" s="43"/>
      <c r="DP591" s="43"/>
      <c r="DQ591" s="43"/>
      <c r="DR591" s="43"/>
      <c r="DS591" s="43"/>
      <c r="DT591" s="43"/>
      <c r="DU591" s="43"/>
      <c r="DV591" s="43"/>
      <c r="DW591" s="43"/>
      <c r="DX591" s="43"/>
      <c r="DY591" s="43"/>
      <c r="DZ591" s="43"/>
      <c r="EA591" s="43"/>
      <c r="EB591" s="43"/>
      <c r="EC591" s="43"/>
      <c r="ED591" s="43"/>
      <c r="EE591" s="43"/>
      <c r="EF591" s="43"/>
      <c r="EG591" s="43"/>
      <c r="EH591" s="43"/>
      <c r="EI591" s="43"/>
      <c r="EJ591" s="43"/>
      <c r="EK591" s="43"/>
      <c r="EL591" s="43"/>
      <c r="EM591" s="43"/>
      <c r="EN591" s="43"/>
      <c r="EO591" s="43"/>
      <c r="EP591" s="43"/>
      <c r="EQ591" s="43"/>
      <c r="ER591" s="43"/>
      <c r="ES591" s="43"/>
      <c r="ET591" s="50"/>
      <c r="EU591" s="50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43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43"/>
      <c r="CF592" s="43"/>
      <c r="CG592" s="43"/>
      <c r="CH592" s="43"/>
      <c r="CI592" s="43"/>
      <c r="CJ592" s="43"/>
      <c r="CK592" s="43"/>
      <c r="CL592" s="43"/>
      <c r="CM592" s="43"/>
      <c r="CN592" s="43"/>
      <c r="CO592" s="43"/>
      <c r="CP592" s="43"/>
      <c r="CQ592" s="43"/>
      <c r="CR592" s="43"/>
      <c r="CS592" s="43"/>
      <c r="CT592" s="43"/>
      <c r="CU592" s="43"/>
      <c r="CV592" s="43"/>
      <c r="CW592" s="43"/>
      <c r="CX592" s="43"/>
      <c r="CY592" s="43"/>
      <c r="CZ592" s="43"/>
      <c r="DA592" s="43"/>
      <c r="DB592" s="43"/>
      <c r="DC592" s="43"/>
      <c r="DD592" s="43"/>
      <c r="DE592" s="43"/>
      <c r="DF592" s="43"/>
      <c r="DG592" s="43"/>
      <c r="DH592" s="43"/>
      <c r="DI592" s="43"/>
      <c r="DJ592" s="43"/>
      <c r="DK592" s="43"/>
      <c r="DL592" s="43"/>
      <c r="DM592" s="43"/>
      <c r="DN592" s="43"/>
      <c r="DO592" s="43"/>
      <c r="DP592" s="43"/>
      <c r="DQ592" s="43"/>
      <c r="DR592" s="43"/>
      <c r="DS592" s="43"/>
      <c r="DT592" s="43"/>
      <c r="DU592" s="43"/>
      <c r="DV592" s="43"/>
      <c r="DW592" s="43"/>
      <c r="DX592" s="43"/>
      <c r="DY592" s="43"/>
      <c r="DZ592" s="43"/>
      <c r="EA592" s="43"/>
      <c r="EB592" s="43"/>
      <c r="EC592" s="43"/>
      <c r="ED592" s="43"/>
      <c r="EE592" s="43"/>
      <c r="EF592" s="43"/>
      <c r="EG592" s="43"/>
      <c r="EH592" s="43"/>
      <c r="EI592" s="43"/>
      <c r="EJ592" s="43"/>
      <c r="EK592" s="43"/>
      <c r="EL592" s="43"/>
      <c r="EM592" s="43"/>
      <c r="EN592" s="43"/>
      <c r="EO592" s="43"/>
      <c r="EP592" s="43"/>
      <c r="EQ592" s="43"/>
      <c r="ER592" s="43"/>
      <c r="ES592" s="43"/>
      <c r="ET592" s="50"/>
      <c r="EU592" s="50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43"/>
      <c r="CF593" s="43"/>
      <c r="CG593" s="43"/>
      <c r="CH593" s="43"/>
      <c r="CI593" s="43"/>
      <c r="CJ593" s="43"/>
      <c r="CK593" s="43"/>
      <c r="CL593" s="43"/>
      <c r="CM593" s="43"/>
      <c r="CN593" s="43"/>
      <c r="CO593" s="43"/>
      <c r="CP593" s="43"/>
      <c r="CQ593" s="43"/>
      <c r="CR593" s="43"/>
      <c r="CS593" s="43"/>
      <c r="CT593" s="43"/>
      <c r="CU593" s="43"/>
      <c r="CV593" s="43"/>
      <c r="CW593" s="43"/>
      <c r="CX593" s="43"/>
      <c r="CY593" s="43"/>
      <c r="CZ593" s="43"/>
      <c r="DA593" s="43"/>
      <c r="DB593" s="43"/>
      <c r="DC593" s="43"/>
      <c r="DD593" s="43"/>
      <c r="DE593" s="43"/>
      <c r="DF593" s="43"/>
      <c r="DG593" s="43"/>
      <c r="DH593" s="43"/>
      <c r="DI593" s="43"/>
      <c r="DJ593" s="43"/>
      <c r="DK593" s="43"/>
      <c r="DL593" s="43"/>
      <c r="DM593" s="43"/>
      <c r="DN593" s="43"/>
      <c r="DO593" s="43"/>
      <c r="DP593" s="43"/>
      <c r="DQ593" s="43"/>
      <c r="DR593" s="43"/>
      <c r="DS593" s="43"/>
      <c r="DT593" s="43"/>
      <c r="DU593" s="43"/>
      <c r="DV593" s="43"/>
      <c r="DW593" s="43"/>
      <c r="DX593" s="43"/>
      <c r="DY593" s="43"/>
      <c r="DZ593" s="43"/>
      <c r="EA593" s="43"/>
      <c r="EB593" s="43"/>
      <c r="EC593" s="43"/>
      <c r="ED593" s="43"/>
      <c r="EE593" s="43"/>
      <c r="EF593" s="43"/>
      <c r="EG593" s="43"/>
      <c r="EH593" s="43"/>
      <c r="EI593" s="43"/>
      <c r="EJ593" s="43"/>
      <c r="EK593" s="43"/>
      <c r="EL593" s="43"/>
      <c r="EM593" s="43"/>
      <c r="EN593" s="43"/>
      <c r="EO593" s="43"/>
      <c r="EP593" s="43"/>
      <c r="EQ593" s="43"/>
      <c r="ER593" s="43"/>
      <c r="ES593" s="43"/>
      <c r="ET593" s="50"/>
      <c r="EU593" s="50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43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43"/>
      <c r="CF594" s="43"/>
      <c r="CG594" s="43"/>
      <c r="CH594" s="43"/>
      <c r="CI594" s="43"/>
      <c r="CJ594" s="43"/>
      <c r="CK594" s="43"/>
      <c r="CL594" s="43"/>
      <c r="CM594" s="43"/>
      <c r="CN594" s="43"/>
      <c r="CO594" s="43"/>
      <c r="CP594" s="43"/>
      <c r="CQ594" s="43"/>
      <c r="CR594" s="43"/>
      <c r="CS594" s="43"/>
      <c r="CT594" s="43"/>
      <c r="CU594" s="43"/>
      <c r="CV594" s="43"/>
      <c r="CW594" s="43"/>
      <c r="CX594" s="43"/>
      <c r="CY594" s="43"/>
      <c r="CZ594" s="43"/>
      <c r="DA594" s="43"/>
      <c r="DB594" s="43"/>
      <c r="DC594" s="43"/>
      <c r="DD594" s="43"/>
      <c r="DE594" s="43"/>
      <c r="DF594" s="43"/>
      <c r="DG594" s="43"/>
      <c r="DH594" s="43"/>
      <c r="DI594" s="43"/>
      <c r="DJ594" s="43"/>
      <c r="DK594" s="43"/>
      <c r="DL594" s="43"/>
      <c r="DM594" s="43"/>
      <c r="DN594" s="43"/>
      <c r="DO594" s="43"/>
      <c r="DP594" s="43"/>
      <c r="DQ594" s="43"/>
      <c r="DR594" s="43"/>
      <c r="DS594" s="43"/>
      <c r="DT594" s="43"/>
      <c r="DU594" s="43"/>
      <c r="DV594" s="43"/>
      <c r="DW594" s="43"/>
      <c r="DX594" s="43"/>
      <c r="DY594" s="43"/>
      <c r="DZ594" s="43"/>
      <c r="EA594" s="43"/>
      <c r="EB594" s="43"/>
      <c r="EC594" s="43"/>
      <c r="ED594" s="43"/>
      <c r="EE594" s="43"/>
      <c r="EF594" s="43"/>
      <c r="EG594" s="43"/>
      <c r="EH594" s="43"/>
      <c r="EI594" s="43"/>
      <c r="EJ594" s="43"/>
      <c r="EK594" s="43"/>
      <c r="EL594" s="43"/>
      <c r="EM594" s="43"/>
      <c r="EN594" s="43"/>
      <c r="EO594" s="43"/>
      <c r="EP594" s="43"/>
      <c r="EQ594" s="43"/>
      <c r="ER594" s="43"/>
      <c r="ES594" s="43"/>
      <c r="ET594" s="50"/>
      <c r="EU594" s="50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43"/>
      <c r="CF595" s="43"/>
      <c r="CG595" s="43"/>
      <c r="CH595" s="43"/>
      <c r="CI595" s="43"/>
      <c r="CJ595" s="43"/>
      <c r="CK595" s="43"/>
      <c r="CL595" s="43"/>
      <c r="CM595" s="43"/>
      <c r="CN595" s="43"/>
      <c r="CO595" s="43"/>
      <c r="CP595" s="43"/>
      <c r="CQ595" s="43"/>
      <c r="CR595" s="43"/>
      <c r="CS595" s="43"/>
      <c r="CT595" s="43"/>
      <c r="CU595" s="43"/>
      <c r="CV595" s="43"/>
      <c r="CW595" s="43"/>
      <c r="CX595" s="43"/>
      <c r="CY595" s="43"/>
      <c r="CZ595" s="43"/>
      <c r="DA595" s="43"/>
      <c r="DB595" s="43"/>
      <c r="DC595" s="43"/>
      <c r="DD595" s="43"/>
      <c r="DE595" s="43"/>
      <c r="DF595" s="43"/>
      <c r="DG595" s="43"/>
      <c r="DH595" s="43"/>
      <c r="DI595" s="43"/>
      <c r="DJ595" s="43"/>
      <c r="DK595" s="43"/>
      <c r="DL595" s="43"/>
      <c r="DM595" s="43"/>
      <c r="DN595" s="43"/>
      <c r="DO595" s="43"/>
      <c r="DP595" s="43"/>
      <c r="DQ595" s="43"/>
      <c r="DR595" s="43"/>
      <c r="DS595" s="43"/>
      <c r="DT595" s="43"/>
      <c r="DU595" s="43"/>
      <c r="DV595" s="43"/>
      <c r="DW595" s="43"/>
      <c r="DX595" s="43"/>
      <c r="DY595" s="43"/>
      <c r="DZ595" s="43"/>
      <c r="EA595" s="43"/>
      <c r="EB595" s="43"/>
      <c r="EC595" s="43"/>
      <c r="ED595" s="43"/>
      <c r="EE595" s="43"/>
      <c r="EF595" s="43"/>
      <c r="EG595" s="43"/>
      <c r="EH595" s="43"/>
      <c r="EI595" s="43"/>
      <c r="EJ595" s="43"/>
      <c r="EK595" s="43"/>
      <c r="EL595" s="43"/>
      <c r="EM595" s="43"/>
      <c r="EN595" s="43"/>
      <c r="EO595" s="43"/>
      <c r="EP595" s="43"/>
      <c r="EQ595" s="43"/>
      <c r="ER595" s="43"/>
      <c r="ES595" s="43"/>
      <c r="ET595" s="50"/>
      <c r="EU595" s="50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43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43"/>
      <c r="CF596" s="43"/>
      <c r="CG596" s="43"/>
      <c r="CH596" s="43"/>
      <c r="CI596" s="43"/>
      <c r="CJ596" s="43"/>
      <c r="CK596" s="43"/>
      <c r="CL596" s="43"/>
      <c r="CM596" s="43"/>
      <c r="CN596" s="43"/>
      <c r="CO596" s="43"/>
      <c r="CP596" s="43"/>
      <c r="CQ596" s="43"/>
      <c r="CR596" s="43"/>
      <c r="CS596" s="43"/>
      <c r="CT596" s="43"/>
      <c r="CU596" s="43"/>
      <c r="CV596" s="43"/>
      <c r="CW596" s="43"/>
      <c r="CX596" s="43"/>
      <c r="CY596" s="43"/>
      <c r="CZ596" s="43"/>
      <c r="DA596" s="43"/>
      <c r="DB596" s="43"/>
      <c r="DC596" s="43"/>
      <c r="DD596" s="43"/>
      <c r="DE596" s="43"/>
      <c r="DF596" s="43"/>
      <c r="DG596" s="43"/>
      <c r="DH596" s="43"/>
      <c r="DI596" s="43"/>
      <c r="DJ596" s="43"/>
      <c r="DK596" s="43"/>
      <c r="DL596" s="43"/>
      <c r="DM596" s="43"/>
      <c r="DN596" s="43"/>
      <c r="DO596" s="43"/>
      <c r="DP596" s="43"/>
      <c r="DQ596" s="43"/>
      <c r="DR596" s="43"/>
      <c r="DS596" s="43"/>
      <c r="DT596" s="43"/>
      <c r="DU596" s="43"/>
      <c r="DV596" s="43"/>
      <c r="DW596" s="43"/>
      <c r="DX596" s="43"/>
      <c r="DY596" s="43"/>
      <c r="DZ596" s="43"/>
      <c r="EA596" s="43"/>
      <c r="EB596" s="43"/>
      <c r="EC596" s="43"/>
      <c r="ED596" s="43"/>
      <c r="EE596" s="43"/>
      <c r="EF596" s="43"/>
      <c r="EG596" s="43"/>
      <c r="EH596" s="43"/>
      <c r="EI596" s="43"/>
      <c r="EJ596" s="43"/>
      <c r="EK596" s="43"/>
      <c r="EL596" s="43"/>
      <c r="EM596" s="43"/>
      <c r="EN596" s="43"/>
      <c r="EO596" s="43"/>
      <c r="EP596" s="43"/>
      <c r="EQ596" s="43"/>
      <c r="ER596" s="43"/>
      <c r="ES596" s="43"/>
      <c r="ET596" s="50"/>
      <c r="EU596" s="50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43"/>
      <c r="CF597" s="43"/>
      <c r="CG597" s="43"/>
      <c r="CH597" s="43"/>
      <c r="CI597" s="43"/>
      <c r="CJ597" s="43"/>
      <c r="CK597" s="43"/>
      <c r="CL597" s="43"/>
      <c r="CM597" s="43"/>
      <c r="CN597" s="43"/>
      <c r="CO597" s="43"/>
      <c r="CP597" s="43"/>
      <c r="CQ597" s="43"/>
      <c r="CR597" s="43"/>
      <c r="CS597" s="43"/>
      <c r="CT597" s="43"/>
      <c r="CU597" s="43"/>
      <c r="CV597" s="43"/>
      <c r="CW597" s="43"/>
      <c r="CX597" s="43"/>
      <c r="CY597" s="43"/>
      <c r="CZ597" s="43"/>
      <c r="DA597" s="43"/>
      <c r="DB597" s="43"/>
      <c r="DC597" s="43"/>
      <c r="DD597" s="43"/>
      <c r="DE597" s="43"/>
      <c r="DF597" s="43"/>
      <c r="DG597" s="43"/>
      <c r="DH597" s="43"/>
      <c r="DI597" s="43"/>
      <c r="DJ597" s="43"/>
      <c r="DK597" s="43"/>
      <c r="DL597" s="43"/>
      <c r="DM597" s="43"/>
      <c r="DN597" s="43"/>
      <c r="DO597" s="43"/>
      <c r="DP597" s="43"/>
      <c r="DQ597" s="43"/>
      <c r="DR597" s="43"/>
      <c r="DS597" s="43"/>
      <c r="DT597" s="43"/>
      <c r="DU597" s="43"/>
      <c r="DV597" s="43"/>
      <c r="DW597" s="43"/>
      <c r="DX597" s="43"/>
      <c r="DY597" s="43"/>
      <c r="DZ597" s="43"/>
      <c r="EA597" s="43"/>
      <c r="EB597" s="43"/>
      <c r="EC597" s="43"/>
      <c r="ED597" s="43"/>
      <c r="EE597" s="43"/>
      <c r="EF597" s="43"/>
      <c r="EG597" s="43"/>
      <c r="EH597" s="43"/>
      <c r="EI597" s="43"/>
      <c r="EJ597" s="43"/>
      <c r="EK597" s="43"/>
      <c r="EL597" s="43"/>
      <c r="EM597" s="43"/>
      <c r="EN597" s="43"/>
      <c r="EO597" s="43"/>
      <c r="EP597" s="43"/>
      <c r="EQ597" s="43"/>
      <c r="ER597" s="43"/>
      <c r="ES597" s="43"/>
      <c r="ET597" s="50"/>
      <c r="EU597" s="50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43"/>
      <c r="CF598" s="43"/>
      <c r="CG598" s="43"/>
      <c r="CH598" s="43"/>
      <c r="CI598" s="43"/>
      <c r="CJ598" s="43"/>
      <c r="CK598" s="43"/>
      <c r="CL598" s="43"/>
      <c r="CM598" s="43"/>
      <c r="CN598" s="43"/>
      <c r="CO598" s="43"/>
      <c r="CP598" s="43"/>
      <c r="CQ598" s="43"/>
      <c r="CR598" s="43"/>
      <c r="CS598" s="43"/>
      <c r="CT598" s="43"/>
      <c r="CU598" s="43"/>
      <c r="CV598" s="43"/>
      <c r="CW598" s="43"/>
      <c r="CX598" s="43"/>
      <c r="CY598" s="43"/>
      <c r="CZ598" s="43"/>
      <c r="DA598" s="43"/>
      <c r="DB598" s="43"/>
      <c r="DC598" s="43"/>
      <c r="DD598" s="43"/>
      <c r="DE598" s="43"/>
      <c r="DF598" s="43"/>
      <c r="DG598" s="43"/>
      <c r="DH598" s="43"/>
      <c r="DI598" s="43"/>
      <c r="DJ598" s="43"/>
      <c r="DK598" s="43"/>
      <c r="DL598" s="43"/>
      <c r="DM598" s="43"/>
      <c r="DN598" s="43"/>
      <c r="DO598" s="43"/>
      <c r="DP598" s="43"/>
      <c r="DQ598" s="43"/>
      <c r="DR598" s="43"/>
      <c r="DS598" s="43"/>
      <c r="DT598" s="43"/>
      <c r="DU598" s="43"/>
      <c r="DV598" s="43"/>
      <c r="DW598" s="43"/>
      <c r="DX598" s="43"/>
      <c r="DY598" s="43"/>
      <c r="DZ598" s="43"/>
      <c r="EA598" s="43"/>
      <c r="EB598" s="43"/>
      <c r="EC598" s="43"/>
      <c r="ED598" s="43"/>
      <c r="EE598" s="43"/>
      <c r="EF598" s="43"/>
      <c r="EG598" s="43"/>
      <c r="EH598" s="43"/>
      <c r="EI598" s="43"/>
      <c r="EJ598" s="43"/>
      <c r="EK598" s="43"/>
      <c r="EL598" s="43"/>
      <c r="EM598" s="43"/>
      <c r="EN598" s="43"/>
      <c r="EO598" s="43"/>
      <c r="EP598" s="43"/>
      <c r="EQ598" s="43"/>
      <c r="ER598" s="43"/>
      <c r="ES598" s="43"/>
      <c r="ET598" s="50"/>
      <c r="EU598" s="50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43"/>
      <c r="CF599" s="43"/>
      <c r="CG599" s="43"/>
      <c r="CH599" s="43"/>
      <c r="CI599" s="43"/>
      <c r="CJ599" s="43"/>
      <c r="CK599" s="43"/>
      <c r="CL599" s="43"/>
      <c r="CM599" s="43"/>
      <c r="CN599" s="43"/>
      <c r="CO599" s="43"/>
      <c r="CP599" s="43"/>
      <c r="CQ599" s="43"/>
      <c r="CR599" s="43"/>
      <c r="CS599" s="43"/>
      <c r="CT599" s="43"/>
      <c r="CU599" s="43"/>
      <c r="CV599" s="43"/>
      <c r="CW599" s="43"/>
      <c r="CX599" s="43"/>
      <c r="CY599" s="43"/>
      <c r="CZ599" s="43"/>
      <c r="DA599" s="43"/>
      <c r="DB599" s="43"/>
      <c r="DC599" s="43"/>
      <c r="DD599" s="43"/>
      <c r="DE599" s="43"/>
      <c r="DF599" s="43"/>
      <c r="DG599" s="43"/>
      <c r="DH599" s="43"/>
      <c r="DI599" s="43"/>
      <c r="DJ599" s="43"/>
      <c r="DK599" s="43"/>
      <c r="DL599" s="43"/>
      <c r="DM599" s="43"/>
      <c r="DN599" s="43"/>
      <c r="DO599" s="43"/>
      <c r="DP599" s="43"/>
      <c r="DQ599" s="43"/>
      <c r="DR599" s="43"/>
      <c r="DS599" s="43"/>
      <c r="DT599" s="43"/>
      <c r="DU599" s="43"/>
      <c r="DV599" s="43"/>
      <c r="DW599" s="43"/>
      <c r="DX599" s="43"/>
      <c r="DY599" s="43"/>
      <c r="DZ599" s="43"/>
      <c r="EA599" s="43"/>
      <c r="EB599" s="43"/>
      <c r="EC599" s="43"/>
      <c r="ED599" s="43"/>
      <c r="EE599" s="43"/>
      <c r="EF599" s="43"/>
      <c r="EG599" s="43"/>
      <c r="EH599" s="43"/>
      <c r="EI599" s="43"/>
      <c r="EJ599" s="43"/>
      <c r="EK599" s="43"/>
      <c r="EL599" s="43"/>
      <c r="EM599" s="43"/>
      <c r="EN599" s="43"/>
      <c r="EO599" s="43"/>
      <c r="EP599" s="43"/>
      <c r="EQ599" s="43"/>
      <c r="ER599" s="43"/>
      <c r="ES599" s="43"/>
      <c r="ET599" s="50"/>
      <c r="EU599" s="50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43"/>
      <c r="CF600" s="43"/>
      <c r="CG600" s="43"/>
      <c r="CH600" s="43"/>
      <c r="CI600" s="43"/>
      <c r="CJ600" s="43"/>
      <c r="CK600" s="43"/>
      <c r="CL600" s="43"/>
      <c r="CM600" s="43"/>
      <c r="CN600" s="43"/>
      <c r="CO600" s="43"/>
      <c r="CP600" s="43"/>
      <c r="CQ600" s="43"/>
      <c r="CR600" s="43"/>
      <c r="CS600" s="43"/>
      <c r="CT600" s="43"/>
      <c r="CU600" s="43"/>
      <c r="CV600" s="43"/>
      <c r="CW600" s="43"/>
      <c r="CX600" s="43"/>
      <c r="CY600" s="43"/>
      <c r="CZ600" s="43"/>
      <c r="DA600" s="43"/>
      <c r="DB600" s="43"/>
      <c r="DC600" s="43"/>
      <c r="DD600" s="43"/>
      <c r="DE600" s="43"/>
      <c r="DF600" s="43"/>
      <c r="DG600" s="43"/>
      <c r="DH600" s="43"/>
      <c r="DI600" s="43"/>
      <c r="DJ600" s="43"/>
      <c r="DK600" s="43"/>
      <c r="DL600" s="43"/>
      <c r="DM600" s="43"/>
      <c r="DN600" s="43"/>
      <c r="DO600" s="43"/>
      <c r="DP600" s="43"/>
      <c r="DQ600" s="43"/>
      <c r="DR600" s="43"/>
      <c r="DS600" s="43"/>
      <c r="DT600" s="43"/>
      <c r="DU600" s="43"/>
      <c r="DV600" s="43"/>
      <c r="DW600" s="43"/>
      <c r="DX600" s="43"/>
      <c r="DY600" s="43"/>
      <c r="DZ600" s="43"/>
      <c r="EA600" s="43"/>
      <c r="EB600" s="43"/>
      <c r="EC600" s="43"/>
      <c r="ED600" s="43"/>
      <c r="EE600" s="43"/>
      <c r="EF600" s="43"/>
      <c r="EG600" s="43"/>
      <c r="EH600" s="43"/>
      <c r="EI600" s="43"/>
      <c r="EJ600" s="43"/>
      <c r="EK600" s="43"/>
      <c r="EL600" s="43"/>
      <c r="EM600" s="43"/>
      <c r="EN600" s="43"/>
      <c r="EO600" s="43"/>
      <c r="EP600" s="43"/>
      <c r="EQ600" s="43"/>
      <c r="ER600" s="43"/>
      <c r="ES600" s="43"/>
      <c r="ET600" s="50"/>
      <c r="EU600" s="50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43"/>
      <c r="CF601" s="43"/>
      <c r="CG601" s="43"/>
      <c r="CH601" s="43"/>
      <c r="CI601" s="43"/>
      <c r="CJ601" s="43"/>
      <c r="CK601" s="43"/>
      <c r="CL601" s="43"/>
      <c r="CM601" s="43"/>
      <c r="CN601" s="43"/>
      <c r="CO601" s="43"/>
      <c r="CP601" s="43"/>
      <c r="CQ601" s="43"/>
      <c r="CR601" s="43"/>
      <c r="CS601" s="43"/>
      <c r="CT601" s="43"/>
      <c r="CU601" s="43"/>
      <c r="CV601" s="43"/>
      <c r="CW601" s="43"/>
      <c r="CX601" s="43"/>
      <c r="CY601" s="43"/>
      <c r="CZ601" s="43"/>
      <c r="DA601" s="43"/>
      <c r="DB601" s="43"/>
      <c r="DC601" s="43"/>
      <c r="DD601" s="43"/>
      <c r="DE601" s="43"/>
      <c r="DF601" s="43"/>
      <c r="DG601" s="43"/>
      <c r="DH601" s="43"/>
      <c r="DI601" s="43"/>
      <c r="DJ601" s="43"/>
      <c r="DK601" s="43"/>
      <c r="DL601" s="43"/>
      <c r="DM601" s="43"/>
      <c r="DN601" s="43"/>
      <c r="DO601" s="43"/>
      <c r="DP601" s="43"/>
      <c r="DQ601" s="43"/>
      <c r="DR601" s="43"/>
      <c r="DS601" s="43"/>
      <c r="DT601" s="43"/>
      <c r="DU601" s="43"/>
      <c r="DV601" s="43"/>
      <c r="DW601" s="43"/>
      <c r="DX601" s="43"/>
      <c r="DY601" s="43"/>
      <c r="DZ601" s="43"/>
      <c r="EA601" s="43"/>
      <c r="EB601" s="43"/>
      <c r="EC601" s="43"/>
      <c r="ED601" s="43"/>
      <c r="EE601" s="43"/>
      <c r="EF601" s="43"/>
      <c r="EG601" s="43"/>
      <c r="EH601" s="43"/>
      <c r="EI601" s="43"/>
      <c r="EJ601" s="43"/>
      <c r="EK601" s="43"/>
      <c r="EL601" s="43"/>
      <c r="EM601" s="43"/>
      <c r="EN601" s="43"/>
      <c r="EO601" s="43"/>
      <c r="EP601" s="43"/>
      <c r="EQ601" s="43"/>
      <c r="ER601" s="43"/>
      <c r="ES601" s="43"/>
      <c r="ET601" s="50"/>
      <c r="EU601" s="50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43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43"/>
      <c r="CF602" s="43"/>
      <c r="CG602" s="43"/>
      <c r="CH602" s="43"/>
      <c r="CI602" s="43"/>
      <c r="CJ602" s="43"/>
      <c r="CK602" s="43"/>
      <c r="CL602" s="43"/>
      <c r="CM602" s="43"/>
      <c r="CN602" s="43"/>
      <c r="CO602" s="43"/>
      <c r="CP602" s="43"/>
      <c r="CQ602" s="43"/>
      <c r="CR602" s="43"/>
      <c r="CS602" s="43"/>
      <c r="CT602" s="43"/>
      <c r="CU602" s="43"/>
      <c r="CV602" s="43"/>
      <c r="CW602" s="43"/>
      <c r="CX602" s="43"/>
      <c r="CY602" s="43"/>
      <c r="CZ602" s="43"/>
      <c r="DA602" s="43"/>
      <c r="DB602" s="43"/>
      <c r="DC602" s="43"/>
      <c r="DD602" s="43"/>
      <c r="DE602" s="43"/>
      <c r="DF602" s="43"/>
      <c r="DG602" s="43"/>
      <c r="DH602" s="43"/>
      <c r="DI602" s="43"/>
      <c r="DJ602" s="43"/>
      <c r="DK602" s="43"/>
      <c r="DL602" s="43"/>
      <c r="DM602" s="43"/>
      <c r="DN602" s="43"/>
      <c r="DO602" s="43"/>
      <c r="DP602" s="43"/>
      <c r="DQ602" s="43"/>
      <c r="DR602" s="43"/>
      <c r="DS602" s="43"/>
      <c r="DT602" s="43"/>
      <c r="DU602" s="43"/>
      <c r="DV602" s="43"/>
      <c r="DW602" s="43"/>
      <c r="DX602" s="43"/>
      <c r="DY602" s="43"/>
      <c r="DZ602" s="43"/>
      <c r="EA602" s="43"/>
      <c r="EB602" s="43"/>
      <c r="EC602" s="43"/>
      <c r="ED602" s="43"/>
      <c r="EE602" s="43"/>
      <c r="EF602" s="43"/>
      <c r="EG602" s="43"/>
      <c r="EH602" s="43"/>
      <c r="EI602" s="43"/>
      <c r="EJ602" s="43"/>
      <c r="EK602" s="43"/>
      <c r="EL602" s="43"/>
      <c r="EM602" s="43"/>
      <c r="EN602" s="43"/>
      <c r="EO602" s="43"/>
      <c r="EP602" s="43"/>
      <c r="EQ602" s="43"/>
      <c r="ER602" s="43"/>
      <c r="ES602" s="43"/>
      <c r="ET602" s="50"/>
      <c r="EU602" s="50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43"/>
      <c r="CF603" s="43"/>
      <c r="CG603" s="43"/>
      <c r="CH603" s="43"/>
      <c r="CI603" s="43"/>
      <c r="CJ603" s="43"/>
      <c r="CK603" s="43"/>
      <c r="CL603" s="43"/>
      <c r="CM603" s="43"/>
      <c r="CN603" s="43"/>
      <c r="CO603" s="43"/>
      <c r="CP603" s="43"/>
      <c r="CQ603" s="43"/>
      <c r="CR603" s="43"/>
      <c r="CS603" s="43"/>
      <c r="CT603" s="43"/>
      <c r="CU603" s="43"/>
      <c r="CV603" s="43"/>
      <c r="CW603" s="43"/>
      <c r="CX603" s="43"/>
      <c r="CY603" s="43"/>
      <c r="CZ603" s="43"/>
      <c r="DA603" s="43"/>
      <c r="DB603" s="43"/>
      <c r="DC603" s="43"/>
      <c r="DD603" s="43"/>
      <c r="DE603" s="43"/>
      <c r="DF603" s="43"/>
      <c r="DG603" s="43"/>
      <c r="DH603" s="43"/>
      <c r="DI603" s="43"/>
      <c r="DJ603" s="43"/>
      <c r="DK603" s="43"/>
      <c r="DL603" s="43"/>
      <c r="DM603" s="43"/>
      <c r="DN603" s="43"/>
      <c r="DO603" s="43"/>
      <c r="DP603" s="43"/>
      <c r="DQ603" s="43"/>
      <c r="DR603" s="43"/>
      <c r="DS603" s="43"/>
      <c r="DT603" s="43"/>
      <c r="DU603" s="43"/>
      <c r="DV603" s="43"/>
      <c r="DW603" s="43"/>
      <c r="DX603" s="43"/>
      <c r="DY603" s="43"/>
      <c r="DZ603" s="43"/>
      <c r="EA603" s="43"/>
      <c r="EB603" s="43"/>
      <c r="EC603" s="43"/>
      <c r="ED603" s="43"/>
      <c r="EE603" s="43"/>
      <c r="EF603" s="43"/>
      <c r="EG603" s="43"/>
      <c r="EH603" s="43"/>
      <c r="EI603" s="43"/>
      <c r="EJ603" s="43"/>
      <c r="EK603" s="43"/>
      <c r="EL603" s="43"/>
      <c r="EM603" s="43"/>
      <c r="EN603" s="43"/>
      <c r="EO603" s="43"/>
      <c r="EP603" s="43"/>
      <c r="EQ603" s="43"/>
      <c r="ER603" s="43"/>
      <c r="ES603" s="43"/>
      <c r="ET603" s="50"/>
      <c r="EU603" s="50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43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43"/>
      <c r="CF604" s="43"/>
      <c r="CG604" s="43"/>
      <c r="CH604" s="43"/>
      <c r="CI604" s="43"/>
      <c r="CJ604" s="43"/>
      <c r="CK604" s="43"/>
      <c r="CL604" s="43"/>
      <c r="CM604" s="43"/>
      <c r="CN604" s="43"/>
      <c r="CO604" s="43"/>
      <c r="CP604" s="43"/>
      <c r="CQ604" s="43"/>
      <c r="CR604" s="43"/>
      <c r="CS604" s="43"/>
      <c r="CT604" s="43"/>
      <c r="CU604" s="43"/>
      <c r="CV604" s="43"/>
      <c r="CW604" s="43"/>
      <c r="CX604" s="43"/>
      <c r="CY604" s="43"/>
      <c r="CZ604" s="43"/>
      <c r="DA604" s="43"/>
      <c r="DB604" s="43"/>
      <c r="DC604" s="43"/>
      <c r="DD604" s="43"/>
      <c r="DE604" s="43"/>
      <c r="DF604" s="43"/>
      <c r="DG604" s="43"/>
      <c r="DH604" s="43"/>
      <c r="DI604" s="43"/>
      <c r="DJ604" s="43"/>
      <c r="DK604" s="43"/>
      <c r="DL604" s="43"/>
      <c r="DM604" s="43"/>
      <c r="DN604" s="43"/>
      <c r="DO604" s="43"/>
      <c r="DP604" s="43"/>
      <c r="DQ604" s="43"/>
      <c r="DR604" s="43"/>
      <c r="DS604" s="43"/>
      <c r="DT604" s="43"/>
      <c r="DU604" s="43"/>
      <c r="DV604" s="43"/>
      <c r="DW604" s="43"/>
      <c r="DX604" s="43"/>
      <c r="DY604" s="43"/>
      <c r="DZ604" s="43"/>
      <c r="EA604" s="43"/>
      <c r="EB604" s="43"/>
      <c r="EC604" s="43"/>
      <c r="ED604" s="43"/>
      <c r="EE604" s="43"/>
      <c r="EF604" s="43"/>
      <c r="EG604" s="43"/>
      <c r="EH604" s="43"/>
      <c r="EI604" s="43"/>
      <c r="EJ604" s="43"/>
      <c r="EK604" s="43"/>
      <c r="EL604" s="43"/>
      <c r="EM604" s="43"/>
      <c r="EN604" s="43"/>
      <c r="EO604" s="43"/>
      <c r="EP604" s="43"/>
      <c r="EQ604" s="43"/>
      <c r="ER604" s="43"/>
      <c r="ES604" s="43"/>
      <c r="ET604" s="50"/>
      <c r="EU604" s="50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43"/>
      <c r="CF605" s="43"/>
      <c r="CG605" s="43"/>
      <c r="CH605" s="43"/>
      <c r="CI605" s="43"/>
      <c r="CJ605" s="43"/>
      <c r="CK605" s="43"/>
      <c r="CL605" s="43"/>
      <c r="CM605" s="43"/>
      <c r="CN605" s="43"/>
      <c r="CO605" s="43"/>
      <c r="CP605" s="43"/>
      <c r="CQ605" s="43"/>
      <c r="CR605" s="43"/>
      <c r="CS605" s="43"/>
      <c r="CT605" s="43"/>
      <c r="CU605" s="43"/>
      <c r="CV605" s="43"/>
      <c r="CW605" s="43"/>
      <c r="CX605" s="43"/>
      <c r="CY605" s="43"/>
      <c r="CZ605" s="43"/>
      <c r="DA605" s="43"/>
      <c r="DB605" s="43"/>
      <c r="DC605" s="43"/>
      <c r="DD605" s="43"/>
      <c r="DE605" s="43"/>
      <c r="DF605" s="43"/>
      <c r="DG605" s="43"/>
      <c r="DH605" s="43"/>
      <c r="DI605" s="43"/>
      <c r="DJ605" s="43"/>
      <c r="DK605" s="43"/>
      <c r="DL605" s="43"/>
      <c r="DM605" s="43"/>
      <c r="DN605" s="43"/>
      <c r="DO605" s="43"/>
      <c r="DP605" s="43"/>
      <c r="DQ605" s="43"/>
      <c r="DR605" s="43"/>
      <c r="DS605" s="43"/>
      <c r="DT605" s="43"/>
      <c r="DU605" s="43"/>
      <c r="DV605" s="43"/>
      <c r="DW605" s="43"/>
      <c r="DX605" s="43"/>
      <c r="DY605" s="43"/>
      <c r="DZ605" s="43"/>
      <c r="EA605" s="43"/>
      <c r="EB605" s="43"/>
      <c r="EC605" s="43"/>
      <c r="ED605" s="43"/>
      <c r="EE605" s="43"/>
      <c r="EF605" s="43"/>
      <c r="EG605" s="43"/>
      <c r="EH605" s="43"/>
      <c r="EI605" s="43"/>
      <c r="EJ605" s="43"/>
      <c r="EK605" s="43"/>
      <c r="EL605" s="43"/>
      <c r="EM605" s="43"/>
      <c r="EN605" s="43"/>
      <c r="EO605" s="43"/>
      <c r="EP605" s="43"/>
      <c r="EQ605" s="43"/>
      <c r="ER605" s="43"/>
      <c r="ES605" s="43"/>
      <c r="ET605" s="50"/>
      <c r="EU605" s="50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43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43"/>
      <c r="CF606" s="43"/>
      <c r="CG606" s="43"/>
      <c r="CH606" s="43"/>
      <c r="CI606" s="43"/>
      <c r="CJ606" s="43"/>
      <c r="CK606" s="43"/>
      <c r="CL606" s="43"/>
      <c r="CM606" s="43"/>
      <c r="CN606" s="43"/>
      <c r="CO606" s="43"/>
      <c r="CP606" s="43"/>
      <c r="CQ606" s="43"/>
      <c r="CR606" s="43"/>
      <c r="CS606" s="43"/>
      <c r="CT606" s="43"/>
      <c r="CU606" s="43"/>
      <c r="CV606" s="43"/>
      <c r="CW606" s="43"/>
      <c r="CX606" s="43"/>
      <c r="CY606" s="43"/>
      <c r="CZ606" s="43"/>
      <c r="DA606" s="43"/>
      <c r="DB606" s="43"/>
      <c r="DC606" s="43"/>
      <c r="DD606" s="43"/>
      <c r="DE606" s="43"/>
      <c r="DF606" s="43"/>
      <c r="DG606" s="43"/>
      <c r="DH606" s="43"/>
      <c r="DI606" s="43"/>
      <c r="DJ606" s="43"/>
      <c r="DK606" s="43"/>
      <c r="DL606" s="43"/>
      <c r="DM606" s="43"/>
      <c r="DN606" s="43"/>
      <c r="DO606" s="43"/>
      <c r="DP606" s="43"/>
      <c r="DQ606" s="43"/>
      <c r="DR606" s="43"/>
      <c r="DS606" s="43"/>
      <c r="DT606" s="43"/>
      <c r="DU606" s="43"/>
      <c r="DV606" s="43"/>
      <c r="DW606" s="43"/>
      <c r="DX606" s="43"/>
      <c r="DY606" s="43"/>
      <c r="DZ606" s="43"/>
      <c r="EA606" s="43"/>
      <c r="EB606" s="43"/>
      <c r="EC606" s="43"/>
      <c r="ED606" s="43"/>
      <c r="EE606" s="43"/>
      <c r="EF606" s="43"/>
      <c r="EG606" s="43"/>
      <c r="EH606" s="43"/>
      <c r="EI606" s="43"/>
      <c r="EJ606" s="43"/>
      <c r="EK606" s="43"/>
      <c r="EL606" s="43"/>
      <c r="EM606" s="43"/>
      <c r="EN606" s="43"/>
      <c r="EO606" s="43"/>
      <c r="EP606" s="43"/>
      <c r="EQ606" s="43"/>
      <c r="ER606" s="43"/>
      <c r="ES606" s="43"/>
      <c r="ET606" s="50"/>
      <c r="EU606" s="50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43"/>
      <c r="CF607" s="43"/>
      <c r="CG607" s="43"/>
      <c r="CH607" s="43"/>
      <c r="CI607" s="43"/>
      <c r="CJ607" s="43"/>
      <c r="CK607" s="43"/>
      <c r="CL607" s="43"/>
      <c r="CM607" s="43"/>
      <c r="CN607" s="43"/>
      <c r="CO607" s="43"/>
      <c r="CP607" s="43"/>
      <c r="CQ607" s="43"/>
      <c r="CR607" s="43"/>
      <c r="CS607" s="43"/>
      <c r="CT607" s="43"/>
      <c r="CU607" s="43"/>
      <c r="CV607" s="43"/>
      <c r="CW607" s="43"/>
      <c r="CX607" s="43"/>
      <c r="CY607" s="43"/>
      <c r="CZ607" s="43"/>
      <c r="DA607" s="43"/>
      <c r="DB607" s="43"/>
      <c r="DC607" s="43"/>
      <c r="DD607" s="43"/>
      <c r="DE607" s="43"/>
      <c r="DF607" s="43"/>
      <c r="DG607" s="43"/>
      <c r="DH607" s="43"/>
      <c r="DI607" s="43"/>
      <c r="DJ607" s="43"/>
      <c r="DK607" s="43"/>
      <c r="DL607" s="43"/>
      <c r="DM607" s="43"/>
      <c r="DN607" s="43"/>
      <c r="DO607" s="43"/>
      <c r="DP607" s="43"/>
      <c r="DQ607" s="43"/>
      <c r="DR607" s="43"/>
      <c r="DS607" s="43"/>
      <c r="DT607" s="43"/>
      <c r="DU607" s="43"/>
      <c r="DV607" s="43"/>
      <c r="DW607" s="43"/>
      <c r="DX607" s="43"/>
      <c r="DY607" s="43"/>
      <c r="DZ607" s="43"/>
      <c r="EA607" s="43"/>
      <c r="EB607" s="43"/>
      <c r="EC607" s="43"/>
      <c r="ED607" s="43"/>
      <c r="EE607" s="43"/>
      <c r="EF607" s="43"/>
      <c r="EG607" s="43"/>
      <c r="EH607" s="43"/>
      <c r="EI607" s="43"/>
      <c r="EJ607" s="43"/>
      <c r="EK607" s="43"/>
      <c r="EL607" s="43"/>
      <c r="EM607" s="43"/>
      <c r="EN607" s="43"/>
      <c r="EO607" s="43"/>
      <c r="EP607" s="43"/>
      <c r="EQ607" s="43"/>
      <c r="ER607" s="43"/>
      <c r="ES607" s="43"/>
      <c r="ET607" s="50"/>
      <c r="EU607" s="50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  <c r="CS608" s="43"/>
      <c r="CT608" s="43"/>
      <c r="CU608" s="43"/>
      <c r="CV608" s="43"/>
      <c r="CW608" s="43"/>
      <c r="CX608" s="43"/>
      <c r="CY608" s="43"/>
      <c r="CZ608" s="43"/>
      <c r="DA608" s="43"/>
      <c r="DB608" s="43"/>
      <c r="DC608" s="43"/>
      <c r="DD608" s="43"/>
      <c r="DE608" s="43"/>
      <c r="DF608" s="43"/>
      <c r="DG608" s="43"/>
      <c r="DH608" s="43"/>
      <c r="DI608" s="43"/>
      <c r="DJ608" s="43"/>
      <c r="DK608" s="43"/>
      <c r="DL608" s="43"/>
      <c r="DM608" s="43"/>
      <c r="DN608" s="43"/>
      <c r="DO608" s="43"/>
      <c r="DP608" s="43"/>
      <c r="DQ608" s="43"/>
      <c r="DR608" s="43"/>
      <c r="DS608" s="43"/>
      <c r="DT608" s="43"/>
      <c r="DU608" s="43"/>
      <c r="DV608" s="43"/>
      <c r="DW608" s="43"/>
      <c r="DX608" s="43"/>
      <c r="DY608" s="43"/>
      <c r="DZ608" s="43"/>
      <c r="EA608" s="43"/>
      <c r="EB608" s="43"/>
      <c r="EC608" s="43"/>
      <c r="ED608" s="43"/>
      <c r="EE608" s="43"/>
      <c r="EF608" s="43"/>
      <c r="EG608" s="43"/>
      <c r="EH608" s="43"/>
      <c r="EI608" s="43"/>
      <c r="EJ608" s="43"/>
      <c r="EK608" s="43"/>
      <c r="EL608" s="43"/>
      <c r="EM608" s="43"/>
      <c r="EN608" s="43"/>
      <c r="EO608" s="43"/>
      <c r="EP608" s="43"/>
      <c r="EQ608" s="43"/>
      <c r="ER608" s="43"/>
      <c r="ES608" s="43"/>
      <c r="ET608" s="50"/>
      <c r="EU608" s="50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43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43"/>
      <c r="CF609" s="43"/>
      <c r="CG609" s="43"/>
      <c r="CH609" s="43"/>
      <c r="CI609" s="43"/>
      <c r="CJ609" s="43"/>
      <c r="CK609" s="43"/>
      <c r="CL609" s="43"/>
      <c r="CM609" s="43"/>
      <c r="CN609" s="43"/>
      <c r="CO609" s="43"/>
      <c r="CP609" s="43"/>
      <c r="CQ609" s="43"/>
      <c r="CR609" s="43"/>
      <c r="CS609" s="43"/>
      <c r="CT609" s="43"/>
      <c r="CU609" s="43"/>
      <c r="CV609" s="43"/>
      <c r="CW609" s="43"/>
      <c r="CX609" s="43"/>
      <c r="CY609" s="43"/>
      <c r="CZ609" s="43"/>
      <c r="DA609" s="43"/>
      <c r="DB609" s="43"/>
      <c r="DC609" s="43"/>
      <c r="DD609" s="43"/>
      <c r="DE609" s="43"/>
      <c r="DF609" s="43"/>
      <c r="DG609" s="43"/>
      <c r="DH609" s="43"/>
      <c r="DI609" s="43"/>
      <c r="DJ609" s="43"/>
      <c r="DK609" s="43"/>
      <c r="DL609" s="43"/>
      <c r="DM609" s="43"/>
      <c r="DN609" s="43"/>
      <c r="DO609" s="43"/>
      <c r="DP609" s="43"/>
      <c r="DQ609" s="43"/>
      <c r="DR609" s="43"/>
      <c r="DS609" s="43"/>
      <c r="DT609" s="43"/>
      <c r="DU609" s="43"/>
      <c r="DV609" s="43"/>
      <c r="DW609" s="43"/>
      <c r="DX609" s="43"/>
      <c r="DY609" s="43"/>
      <c r="DZ609" s="43"/>
      <c r="EA609" s="43"/>
      <c r="EB609" s="43"/>
      <c r="EC609" s="43"/>
      <c r="ED609" s="43"/>
      <c r="EE609" s="43"/>
      <c r="EF609" s="43"/>
      <c r="EG609" s="43"/>
      <c r="EH609" s="43"/>
      <c r="EI609" s="43"/>
      <c r="EJ609" s="43"/>
      <c r="EK609" s="43"/>
      <c r="EL609" s="43"/>
      <c r="EM609" s="43"/>
      <c r="EN609" s="43"/>
      <c r="EO609" s="43"/>
      <c r="EP609" s="43"/>
      <c r="EQ609" s="43"/>
      <c r="ER609" s="43"/>
      <c r="ES609" s="43"/>
      <c r="ET609" s="50"/>
      <c r="EU609" s="50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43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43"/>
      <c r="CF610" s="43"/>
      <c r="CG610" s="43"/>
      <c r="CH610" s="43"/>
      <c r="CI610" s="43"/>
      <c r="CJ610" s="43"/>
      <c r="CK610" s="43"/>
      <c r="CL610" s="43"/>
      <c r="CM610" s="43"/>
      <c r="CN610" s="43"/>
      <c r="CO610" s="43"/>
      <c r="CP610" s="43"/>
      <c r="CQ610" s="43"/>
      <c r="CR610" s="43"/>
      <c r="CS610" s="43"/>
      <c r="CT610" s="43"/>
      <c r="CU610" s="43"/>
      <c r="CV610" s="43"/>
      <c r="CW610" s="43"/>
      <c r="CX610" s="43"/>
      <c r="CY610" s="43"/>
      <c r="CZ610" s="43"/>
      <c r="DA610" s="43"/>
      <c r="DB610" s="43"/>
      <c r="DC610" s="43"/>
      <c r="DD610" s="43"/>
      <c r="DE610" s="43"/>
      <c r="DF610" s="43"/>
      <c r="DG610" s="43"/>
      <c r="DH610" s="43"/>
      <c r="DI610" s="43"/>
      <c r="DJ610" s="43"/>
      <c r="DK610" s="43"/>
      <c r="DL610" s="43"/>
      <c r="DM610" s="43"/>
      <c r="DN610" s="43"/>
      <c r="DO610" s="43"/>
      <c r="DP610" s="43"/>
      <c r="DQ610" s="43"/>
      <c r="DR610" s="43"/>
      <c r="DS610" s="43"/>
      <c r="DT610" s="43"/>
      <c r="DU610" s="43"/>
      <c r="DV610" s="43"/>
      <c r="DW610" s="43"/>
      <c r="DX610" s="43"/>
      <c r="DY610" s="43"/>
      <c r="DZ610" s="43"/>
      <c r="EA610" s="43"/>
      <c r="EB610" s="43"/>
      <c r="EC610" s="43"/>
      <c r="ED610" s="43"/>
      <c r="EE610" s="43"/>
      <c r="EF610" s="43"/>
      <c r="EG610" s="43"/>
      <c r="EH610" s="43"/>
      <c r="EI610" s="43"/>
      <c r="EJ610" s="43"/>
      <c r="EK610" s="43"/>
      <c r="EL610" s="43"/>
      <c r="EM610" s="43"/>
      <c r="EN610" s="43"/>
      <c r="EO610" s="43"/>
      <c r="EP610" s="43"/>
      <c r="EQ610" s="43"/>
      <c r="ER610" s="43"/>
      <c r="ES610" s="43"/>
      <c r="ET610" s="50"/>
      <c r="EU610" s="50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  <c r="CS611" s="43"/>
      <c r="CT611" s="43"/>
      <c r="CU611" s="43"/>
      <c r="CV611" s="43"/>
      <c r="CW611" s="43"/>
      <c r="CX611" s="43"/>
      <c r="CY611" s="43"/>
      <c r="CZ611" s="43"/>
      <c r="DA611" s="43"/>
      <c r="DB611" s="43"/>
      <c r="DC611" s="43"/>
      <c r="DD611" s="43"/>
      <c r="DE611" s="43"/>
      <c r="DF611" s="43"/>
      <c r="DG611" s="43"/>
      <c r="DH611" s="43"/>
      <c r="DI611" s="43"/>
      <c r="DJ611" s="43"/>
      <c r="DK611" s="43"/>
      <c r="DL611" s="43"/>
      <c r="DM611" s="43"/>
      <c r="DN611" s="43"/>
      <c r="DO611" s="43"/>
      <c r="DP611" s="43"/>
      <c r="DQ611" s="43"/>
      <c r="DR611" s="43"/>
      <c r="DS611" s="43"/>
      <c r="DT611" s="43"/>
      <c r="DU611" s="43"/>
      <c r="DV611" s="43"/>
      <c r="DW611" s="43"/>
      <c r="DX611" s="43"/>
      <c r="DY611" s="43"/>
      <c r="DZ611" s="43"/>
      <c r="EA611" s="43"/>
      <c r="EB611" s="43"/>
      <c r="EC611" s="43"/>
      <c r="ED611" s="43"/>
      <c r="EE611" s="43"/>
      <c r="EF611" s="43"/>
      <c r="EG611" s="43"/>
      <c r="EH611" s="43"/>
      <c r="EI611" s="43"/>
      <c r="EJ611" s="43"/>
      <c r="EK611" s="43"/>
      <c r="EL611" s="43"/>
      <c r="EM611" s="43"/>
      <c r="EN611" s="43"/>
      <c r="EO611" s="43"/>
      <c r="EP611" s="43"/>
      <c r="EQ611" s="43"/>
      <c r="ER611" s="43"/>
      <c r="ES611" s="43"/>
      <c r="ET611" s="50"/>
      <c r="EU611" s="50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43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43"/>
      <c r="CF612" s="43"/>
      <c r="CG612" s="43"/>
      <c r="CH612" s="43"/>
      <c r="CI612" s="43"/>
      <c r="CJ612" s="43"/>
      <c r="CK612" s="43"/>
      <c r="CL612" s="43"/>
      <c r="CM612" s="43"/>
      <c r="CN612" s="43"/>
      <c r="CO612" s="43"/>
      <c r="CP612" s="43"/>
      <c r="CQ612" s="43"/>
      <c r="CR612" s="43"/>
      <c r="CS612" s="43"/>
      <c r="CT612" s="43"/>
      <c r="CU612" s="43"/>
      <c r="CV612" s="43"/>
      <c r="CW612" s="43"/>
      <c r="CX612" s="43"/>
      <c r="CY612" s="43"/>
      <c r="CZ612" s="43"/>
      <c r="DA612" s="43"/>
      <c r="DB612" s="43"/>
      <c r="DC612" s="43"/>
      <c r="DD612" s="43"/>
      <c r="DE612" s="43"/>
      <c r="DF612" s="43"/>
      <c r="DG612" s="43"/>
      <c r="DH612" s="43"/>
      <c r="DI612" s="43"/>
      <c r="DJ612" s="43"/>
      <c r="DK612" s="43"/>
      <c r="DL612" s="43"/>
      <c r="DM612" s="43"/>
      <c r="DN612" s="43"/>
      <c r="DO612" s="43"/>
      <c r="DP612" s="43"/>
      <c r="DQ612" s="43"/>
      <c r="DR612" s="43"/>
      <c r="DS612" s="43"/>
      <c r="DT612" s="43"/>
      <c r="DU612" s="43"/>
      <c r="DV612" s="43"/>
      <c r="DW612" s="43"/>
      <c r="DX612" s="43"/>
      <c r="DY612" s="43"/>
      <c r="DZ612" s="43"/>
      <c r="EA612" s="43"/>
      <c r="EB612" s="43"/>
      <c r="EC612" s="43"/>
      <c r="ED612" s="43"/>
      <c r="EE612" s="43"/>
      <c r="EF612" s="43"/>
      <c r="EG612" s="43"/>
      <c r="EH612" s="43"/>
      <c r="EI612" s="43"/>
      <c r="EJ612" s="43"/>
      <c r="EK612" s="43"/>
      <c r="EL612" s="43"/>
      <c r="EM612" s="43"/>
      <c r="EN612" s="43"/>
      <c r="EO612" s="43"/>
      <c r="EP612" s="43"/>
      <c r="EQ612" s="43"/>
      <c r="ER612" s="43"/>
      <c r="ES612" s="43"/>
      <c r="ET612" s="50"/>
      <c r="EU612" s="50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43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43"/>
      <c r="CF613" s="43"/>
      <c r="CG613" s="43"/>
      <c r="CH613" s="43"/>
      <c r="CI613" s="43"/>
      <c r="CJ613" s="43"/>
      <c r="CK613" s="43"/>
      <c r="CL613" s="43"/>
      <c r="CM613" s="43"/>
      <c r="CN613" s="43"/>
      <c r="CO613" s="43"/>
      <c r="CP613" s="43"/>
      <c r="CQ613" s="43"/>
      <c r="CR613" s="43"/>
      <c r="CS613" s="43"/>
      <c r="CT613" s="43"/>
      <c r="CU613" s="43"/>
      <c r="CV613" s="43"/>
      <c r="CW613" s="43"/>
      <c r="CX613" s="43"/>
      <c r="CY613" s="43"/>
      <c r="CZ613" s="43"/>
      <c r="DA613" s="43"/>
      <c r="DB613" s="43"/>
      <c r="DC613" s="43"/>
      <c r="DD613" s="43"/>
      <c r="DE613" s="43"/>
      <c r="DF613" s="43"/>
      <c r="DG613" s="43"/>
      <c r="DH613" s="43"/>
      <c r="DI613" s="43"/>
      <c r="DJ613" s="43"/>
      <c r="DK613" s="43"/>
      <c r="DL613" s="43"/>
      <c r="DM613" s="43"/>
      <c r="DN613" s="43"/>
      <c r="DO613" s="43"/>
      <c r="DP613" s="43"/>
      <c r="DQ613" s="43"/>
      <c r="DR613" s="43"/>
      <c r="DS613" s="43"/>
      <c r="DT613" s="43"/>
      <c r="DU613" s="43"/>
      <c r="DV613" s="43"/>
      <c r="DW613" s="43"/>
      <c r="DX613" s="43"/>
      <c r="DY613" s="43"/>
      <c r="DZ613" s="43"/>
      <c r="EA613" s="43"/>
      <c r="EB613" s="43"/>
      <c r="EC613" s="43"/>
      <c r="ED613" s="43"/>
      <c r="EE613" s="43"/>
      <c r="EF613" s="43"/>
      <c r="EG613" s="43"/>
      <c r="EH613" s="43"/>
      <c r="EI613" s="43"/>
      <c r="EJ613" s="43"/>
      <c r="EK613" s="43"/>
      <c r="EL613" s="43"/>
      <c r="EM613" s="43"/>
      <c r="EN613" s="43"/>
      <c r="EO613" s="43"/>
      <c r="EP613" s="43"/>
      <c r="EQ613" s="43"/>
      <c r="ER613" s="43"/>
      <c r="ES613" s="43"/>
      <c r="ET613" s="50"/>
      <c r="EU613" s="50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  <c r="CS614" s="43"/>
      <c r="CT614" s="43"/>
      <c r="CU614" s="43"/>
      <c r="CV614" s="43"/>
      <c r="CW614" s="43"/>
      <c r="CX614" s="43"/>
      <c r="CY614" s="43"/>
      <c r="CZ614" s="43"/>
      <c r="DA614" s="43"/>
      <c r="DB614" s="43"/>
      <c r="DC614" s="43"/>
      <c r="DD614" s="43"/>
      <c r="DE614" s="43"/>
      <c r="DF614" s="43"/>
      <c r="DG614" s="43"/>
      <c r="DH614" s="43"/>
      <c r="DI614" s="43"/>
      <c r="DJ614" s="43"/>
      <c r="DK614" s="43"/>
      <c r="DL614" s="43"/>
      <c r="DM614" s="43"/>
      <c r="DN614" s="43"/>
      <c r="DO614" s="43"/>
      <c r="DP614" s="43"/>
      <c r="DQ614" s="43"/>
      <c r="DR614" s="43"/>
      <c r="DS614" s="43"/>
      <c r="DT614" s="43"/>
      <c r="DU614" s="43"/>
      <c r="DV614" s="43"/>
      <c r="DW614" s="43"/>
      <c r="DX614" s="43"/>
      <c r="DY614" s="43"/>
      <c r="DZ614" s="43"/>
      <c r="EA614" s="43"/>
      <c r="EB614" s="43"/>
      <c r="EC614" s="43"/>
      <c r="ED614" s="43"/>
      <c r="EE614" s="43"/>
      <c r="EF614" s="43"/>
      <c r="EG614" s="43"/>
      <c r="EH614" s="43"/>
      <c r="EI614" s="43"/>
      <c r="EJ614" s="43"/>
      <c r="EK614" s="43"/>
      <c r="EL614" s="43"/>
      <c r="EM614" s="43"/>
      <c r="EN614" s="43"/>
      <c r="EO614" s="43"/>
      <c r="EP614" s="43"/>
      <c r="EQ614" s="43"/>
      <c r="ER614" s="43"/>
      <c r="ES614" s="43"/>
      <c r="ET614" s="50"/>
      <c r="EU614" s="50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43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43"/>
      <c r="CF615" s="43"/>
      <c r="CG615" s="43"/>
      <c r="CH615" s="43"/>
      <c r="CI615" s="43"/>
      <c r="CJ615" s="43"/>
      <c r="CK615" s="43"/>
      <c r="CL615" s="43"/>
      <c r="CM615" s="43"/>
      <c r="CN615" s="43"/>
      <c r="CO615" s="43"/>
      <c r="CP615" s="43"/>
      <c r="CQ615" s="43"/>
      <c r="CR615" s="43"/>
      <c r="CS615" s="43"/>
      <c r="CT615" s="43"/>
      <c r="CU615" s="43"/>
      <c r="CV615" s="43"/>
      <c r="CW615" s="43"/>
      <c r="CX615" s="43"/>
      <c r="CY615" s="43"/>
      <c r="CZ615" s="43"/>
      <c r="DA615" s="43"/>
      <c r="DB615" s="43"/>
      <c r="DC615" s="43"/>
      <c r="DD615" s="43"/>
      <c r="DE615" s="43"/>
      <c r="DF615" s="43"/>
      <c r="DG615" s="43"/>
      <c r="DH615" s="43"/>
      <c r="DI615" s="43"/>
      <c r="DJ615" s="43"/>
      <c r="DK615" s="43"/>
      <c r="DL615" s="43"/>
      <c r="DM615" s="43"/>
      <c r="DN615" s="43"/>
      <c r="DO615" s="43"/>
      <c r="DP615" s="43"/>
      <c r="DQ615" s="43"/>
      <c r="DR615" s="43"/>
      <c r="DS615" s="43"/>
      <c r="DT615" s="43"/>
      <c r="DU615" s="43"/>
      <c r="DV615" s="43"/>
      <c r="DW615" s="43"/>
      <c r="DX615" s="43"/>
      <c r="DY615" s="43"/>
      <c r="DZ615" s="43"/>
      <c r="EA615" s="43"/>
      <c r="EB615" s="43"/>
      <c r="EC615" s="43"/>
      <c r="ED615" s="43"/>
      <c r="EE615" s="43"/>
      <c r="EF615" s="43"/>
      <c r="EG615" s="43"/>
      <c r="EH615" s="43"/>
      <c r="EI615" s="43"/>
      <c r="EJ615" s="43"/>
      <c r="EK615" s="43"/>
      <c r="EL615" s="43"/>
      <c r="EM615" s="43"/>
      <c r="EN615" s="43"/>
      <c r="EO615" s="43"/>
      <c r="EP615" s="43"/>
      <c r="EQ615" s="43"/>
      <c r="ER615" s="43"/>
      <c r="ES615" s="43"/>
      <c r="ET615" s="50"/>
      <c r="EU615" s="50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43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43"/>
      <c r="CF616" s="43"/>
      <c r="CG616" s="43"/>
      <c r="CH616" s="43"/>
      <c r="CI616" s="43"/>
      <c r="CJ616" s="43"/>
      <c r="CK616" s="43"/>
      <c r="CL616" s="43"/>
      <c r="CM616" s="43"/>
      <c r="CN616" s="43"/>
      <c r="CO616" s="43"/>
      <c r="CP616" s="43"/>
      <c r="CQ616" s="43"/>
      <c r="CR616" s="43"/>
      <c r="CS616" s="43"/>
      <c r="CT616" s="43"/>
      <c r="CU616" s="43"/>
      <c r="CV616" s="43"/>
      <c r="CW616" s="43"/>
      <c r="CX616" s="43"/>
      <c r="CY616" s="43"/>
      <c r="CZ616" s="43"/>
      <c r="DA616" s="43"/>
      <c r="DB616" s="43"/>
      <c r="DC616" s="43"/>
      <c r="DD616" s="43"/>
      <c r="DE616" s="43"/>
      <c r="DF616" s="43"/>
      <c r="DG616" s="43"/>
      <c r="DH616" s="43"/>
      <c r="DI616" s="43"/>
      <c r="DJ616" s="43"/>
      <c r="DK616" s="43"/>
      <c r="DL616" s="43"/>
      <c r="DM616" s="43"/>
      <c r="DN616" s="43"/>
      <c r="DO616" s="43"/>
      <c r="DP616" s="43"/>
      <c r="DQ616" s="43"/>
      <c r="DR616" s="43"/>
      <c r="DS616" s="43"/>
      <c r="DT616" s="43"/>
      <c r="DU616" s="43"/>
      <c r="DV616" s="43"/>
      <c r="DW616" s="43"/>
      <c r="DX616" s="43"/>
      <c r="DY616" s="43"/>
      <c r="DZ616" s="43"/>
      <c r="EA616" s="43"/>
      <c r="EB616" s="43"/>
      <c r="EC616" s="43"/>
      <c r="ED616" s="43"/>
      <c r="EE616" s="43"/>
      <c r="EF616" s="43"/>
      <c r="EG616" s="43"/>
      <c r="EH616" s="43"/>
      <c r="EI616" s="43"/>
      <c r="EJ616" s="43"/>
      <c r="EK616" s="43"/>
      <c r="EL616" s="43"/>
      <c r="EM616" s="43"/>
      <c r="EN616" s="43"/>
      <c r="EO616" s="43"/>
      <c r="EP616" s="43"/>
      <c r="EQ616" s="43"/>
      <c r="ER616" s="43"/>
      <c r="ES616" s="43"/>
      <c r="ET616" s="50"/>
      <c r="EU616" s="50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43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43"/>
      <c r="CF617" s="43"/>
      <c r="CG617" s="43"/>
      <c r="CH617" s="43"/>
      <c r="CI617" s="43"/>
      <c r="CJ617" s="43"/>
      <c r="CK617" s="43"/>
      <c r="CL617" s="43"/>
      <c r="CM617" s="43"/>
      <c r="CN617" s="43"/>
      <c r="CO617" s="43"/>
      <c r="CP617" s="43"/>
      <c r="CQ617" s="43"/>
      <c r="CR617" s="43"/>
      <c r="CS617" s="43"/>
      <c r="CT617" s="43"/>
      <c r="CU617" s="43"/>
      <c r="CV617" s="43"/>
      <c r="CW617" s="43"/>
      <c r="CX617" s="43"/>
      <c r="CY617" s="43"/>
      <c r="CZ617" s="43"/>
      <c r="DA617" s="43"/>
      <c r="DB617" s="43"/>
      <c r="DC617" s="43"/>
      <c r="DD617" s="43"/>
      <c r="DE617" s="43"/>
      <c r="DF617" s="43"/>
      <c r="DG617" s="43"/>
      <c r="DH617" s="43"/>
      <c r="DI617" s="43"/>
      <c r="DJ617" s="43"/>
      <c r="DK617" s="43"/>
      <c r="DL617" s="43"/>
      <c r="DM617" s="43"/>
      <c r="DN617" s="43"/>
      <c r="DO617" s="43"/>
      <c r="DP617" s="43"/>
      <c r="DQ617" s="43"/>
      <c r="DR617" s="43"/>
      <c r="DS617" s="43"/>
      <c r="DT617" s="43"/>
      <c r="DU617" s="43"/>
      <c r="DV617" s="43"/>
      <c r="DW617" s="43"/>
      <c r="DX617" s="43"/>
      <c r="DY617" s="43"/>
      <c r="DZ617" s="43"/>
      <c r="EA617" s="43"/>
      <c r="EB617" s="43"/>
      <c r="EC617" s="43"/>
      <c r="ED617" s="43"/>
      <c r="EE617" s="43"/>
      <c r="EF617" s="43"/>
      <c r="EG617" s="43"/>
      <c r="EH617" s="43"/>
      <c r="EI617" s="43"/>
      <c r="EJ617" s="43"/>
      <c r="EK617" s="43"/>
      <c r="EL617" s="43"/>
      <c r="EM617" s="43"/>
      <c r="EN617" s="43"/>
      <c r="EO617" s="43"/>
      <c r="EP617" s="43"/>
      <c r="EQ617" s="43"/>
      <c r="ER617" s="43"/>
      <c r="ES617" s="43"/>
      <c r="ET617" s="50"/>
      <c r="EU617" s="50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43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43"/>
      <c r="CF618" s="43"/>
      <c r="CG618" s="43"/>
      <c r="CH618" s="43"/>
      <c r="CI618" s="43"/>
      <c r="CJ618" s="43"/>
      <c r="CK618" s="43"/>
      <c r="CL618" s="43"/>
      <c r="CM618" s="43"/>
      <c r="CN618" s="43"/>
      <c r="CO618" s="43"/>
      <c r="CP618" s="43"/>
      <c r="CQ618" s="43"/>
      <c r="CR618" s="43"/>
      <c r="CS618" s="43"/>
      <c r="CT618" s="43"/>
      <c r="CU618" s="43"/>
      <c r="CV618" s="43"/>
      <c r="CW618" s="43"/>
      <c r="CX618" s="43"/>
      <c r="CY618" s="43"/>
      <c r="CZ618" s="43"/>
      <c r="DA618" s="43"/>
      <c r="DB618" s="43"/>
      <c r="DC618" s="43"/>
      <c r="DD618" s="43"/>
      <c r="DE618" s="43"/>
      <c r="DF618" s="43"/>
      <c r="DG618" s="43"/>
      <c r="DH618" s="43"/>
      <c r="DI618" s="43"/>
      <c r="DJ618" s="43"/>
      <c r="DK618" s="43"/>
      <c r="DL618" s="43"/>
      <c r="DM618" s="43"/>
      <c r="DN618" s="43"/>
      <c r="DO618" s="43"/>
      <c r="DP618" s="43"/>
      <c r="DQ618" s="43"/>
      <c r="DR618" s="43"/>
      <c r="DS618" s="43"/>
      <c r="DT618" s="43"/>
      <c r="DU618" s="43"/>
      <c r="DV618" s="43"/>
      <c r="DW618" s="43"/>
      <c r="DX618" s="43"/>
      <c r="DY618" s="43"/>
      <c r="DZ618" s="43"/>
      <c r="EA618" s="43"/>
      <c r="EB618" s="43"/>
      <c r="EC618" s="43"/>
      <c r="ED618" s="43"/>
      <c r="EE618" s="43"/>
      <c r="EF618" s="43"/>
      <c r="EG618" s="43"/>
      <c r="EH618" s="43"/>
      <c r="EI618" s="43"/>
      <c r="EJ618" s="43"/>
      <c r="EK618" s="43"/>
      <c r="EL618" s="43"/>
      <c r="EM618" s="43"/>
      <c r="EN618" s="43"/>
      <c r="EO618" s="43"/>
      <c r="EP618" s="43"/>
      <c r="EQ618" s="43"/>
      <c r="ER618" s="43"/>
      <c r="ES618" s="43"/>
      <c r="ET618" s="50"/>
      <c r="EU618" s="50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43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43"/>
      <c r="CF619" s="43"/>
      <c r="CG619" s="43"/>
      <c r="CH619" s="43"/>
      <c r="CI619" s="43"/>
      <c r="CJ619" s="43"/>
      <c r="CK619" s="43"/>
      <c r="CL619" s="43"/>
      <c r="CM619" s="43"/>
      <c r="CN619" s="43"/>
      <c r="CO619" s="43"/>
      <c r="CP619" s="43"/>
      <c r="CQ619" s="43"/>
      <c r="CR619" s="43"/>
      <c r="CS619" s="43"/>
      <c r="CT619" s="43"/>
      <c r="CU619" s="43"/>
      <c r="CV619" s="43"/>
      <c r="CW619" s="43"/>
      <c r="CX619" s="43"/>
      <c r="CY619" s="43"/>
      <c r="CZ619" s="43"/>
      <c r="DA619" s="43"/>
      <c r="DB619" s="43"/>
      <c r="DC619" s="43"/>
      <c r="DD619" s="43"/>
      <c r="DE619" s="43"/>
      <c r="DF619" s="43"/>
      <c r="DG619" s="43"/>
      <c r="DH619" s="43"/>
      <c r="DI619" s="43"/>
      <c r="DJ619" s="43"/>
      <c r="DK619" s="43"/>
      <c r="DL619" s="43"/>
      <c r="DM619" s="43"/>
      <c r="DN619" s="43"/>
      <c r="DO619" s="43"/>
      <c r="DP619" s="43"/>
      <c r="DQ619" s="43"/>
      <c r="DR619" s="43"/>
      <c r="DS619" s="43"/>
      <c r="DT619" s="43"/>
      <c r="DU619" s="43"/>
      <c r="DV619" s="43"/>
      <c r="DW619" s="43"/>
      <c r="DX619" s="43"/>
      <c r="DY619" s="43"/>
      <c r="DZ619" s="43"/>
      <c r="EA619" s="43"/>
      <c r="EB619" s="43"/>
      <c r="EC619" s="43"/>
      <c r="ED619" s="43"/>
      <c r="EE619" s="43"/>
      <c r="EF619" s="43"/>
      <c r="EG619" s="43"/>
      <c r="EH619" s="43"/>
      <c r="EI619" s="43"/>
      <c r="EJ619" s="43"/>
      <c r="EK619" s="43"/>
      <c r="EL619" s="43"/>
      <c r="EM619" s="43"/>
      <c r="EN619" s="43"/>
      <c r="EO619" s="43"/>
      <c r="EP619" s="43"/>
      <c r="EQ619" s="43"/>
      <c r="ER619" s="43"/>
      <c r="ES619" s="43"/>
      <c r="ET619" s="50"/>
      <c r="EU619" s="50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43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43"/>
      <c r="CF620" s="43"/>
      <c r="CG620" s="43"/>
      <c r="CH620" s="43"/>
      <c r="CI620" s="43"/>
      <c r="CJ620" s="43"/>
      <c r="CK620" s="43"/>
      <c r="CL620" s="43"/>
      <c r="CM620" s="43"/>
      <c r="CN620" s="43"/>
      <c r="CO620" s="43"/>
      <c r="CP620" s="43"/>
      <c r="CQ620" s="43"/>
      <c r="CR620" s="43"/>
      <c r="CS620" s="43"/>
      <c r="CT620" s="43"/>
      <c r="CU620" s="43"/>
      <c r="CV620" s="43"/>
      <c r="CW620" s="43"/>
      <c r="CX620" s="43"/>
      <c r="CY620" s="43"/>
      <c r="CZ620" s="43"/>
      <c r="DA620" s="43"/>
      <c r="DB620" s="43"/>
      <c r="DC620" s="43"/>
      <c r="DD620" s="43"/>
      <c r="DE620" s="43"/>
      <c r="DF620" s="43"/>
      <c r="DG620" s="43"/>
      <c r="DH620" s="43"/>
      <c r="DI620" s="43"/>
      <c r="DJ620" s="43"/>
      <c r="DK620" s="43"/>
      <c r="DL620" s="43"/>
      <c r="DM620" s="43"/>
      <c r="DN620" s="43"/>
      <c r="DO620" s="43"/>
      <c r="DP620" s="43"/>
      <c r="DQ620" s="43"/>
      <c r="DR620" s="43"/>
      <c r="DS620" s="43"/>
      <c r="DT620" s="43"/>
      <c r="DU620" s="43"/>
      <c r="DV620" s="43"/>
      <c r="DW620" s="43"/>
      <c r="DX620" s="43"/>
      <c r="DY620" s="43"/>
      <c r="DZ620" s="43"/>
      <c r="EA620" s="43"/>
      <c r="EB620" s="43"/>
      <c r="EC620" s="43"/>
      <c r="ED620" s="43"/>
      <c r="EE620" s="43"/>
      <c r="EF620" s="43"/>
      <c r="EG620" s="43"/>
      <c r="EH620" s="43"/>
      <c r="EI620" s="43"/>
      <c r="EJ620" s="43"/>
      <c r="EK620" s="43"/>
      <c r="EL620" s="43"/>
      <c r="EM620" s="43"/>
      <c r="EN620" s="43"/>
      <c r="EO620" s="43"/>
      <c r="EP620" s="43"/>
      <c r="EQ620" s="43"/>
      <c r="ER620" s="43"/>
      <c r="ES620" s="43"/>
      <c r="ET620" s="50"/>
      <c r="EU620" s="50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43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43"/>
      <c r="CF621" s="43"/>
      <c r="CG621" s="43"/>
      <c r="CH621" s="43"/>
      <c r="CI621" s="43"/>
      <c r="CJ621" s="43"/>
      <c r="CK621" s="43"/>
      <c r="CL621" s="43"/>
      <c r="CM621" s="43"/>
      <c r="CN621" s="43"/>
      <c r="CO621" s="43"/>
      <c r="CP621" s="43"/>
      <c r="CQ621" s="43"/>
      <c r="CR621" s="43"/>
      <c r="CS621" s="43"/>
      <c r="CT621" s="43"/>
      <c r="CU621" s="43"/>
      <c r="CV621" s="43"/>
      <c r="CW621" s="43"/>
      <c r="CX621" s="43"/>
      <c r="CY621" s="43"/>
      <c r="CZ621" s="43"/>
      <c r="DA621" s="43"/>
      <c r="DB621" s="43"/>
      <c r="DC621" s="43"/>
      <c r="DD621" s="43"/>
      <c r="DE621" s="43"/>
      <c r="DF621" s="43"/>
      <c r="DG621" s="43"/>
      <c r="DH621" s="43"/>
      <c r="DI621" s="43"/>
      <c r="DJ621" s="43"/>
      <c r="DK621" s="43"/>
      <c r="DL621" s="43"/>
      <c r="DM621" s="43"/>
      <c r="DN621" s="43"/>
      <c r="DO621" s="43"/>
      <c r="DP621" s="43"/>
      <c r="DQ621" s="43"/>
      <c r="DR621" s="43"/>
      <c r="DS621" s="43"/>
      <c r="DT621" s="43"/>
      <c r="DU621" s="43"/>
      <c r="DV621" s="43"/>
      <c r="DW621" s="43"/>
      <c r="DX621" s="43"/>
      <c r="DY621" s="43"/>
      <c r="DZ621" s="43"/>
      <c r="EA621" s="43"/>
      <c r="EB621" s="43"/>
      <c r="EC621" s="43"/>
      <c r="ED621" s="43"/>
      <c r="EE621" s="43"/>
      <c r="EF621" s="43"/>
      <c r="EG621" s="43"/>
      <c r="EH621" s="43"/>
      <c r="EI621" s="43"/>
      <c r="EJ621" s="43"/>
      <c r="EK621" s="43"/>
      <c r="EL621" s="43"/>
      <c r="EM621" s="43"/>
      <c r="EN621" s="43"/>
      <c r="EO621" s="43"/>
      <c r="EP621" s="43"/>
      <c r="EQ621" s="43"/>
      <c r="ER621" s="43"/>
      <c r="ES621" s="43"/>
      <c r="ET621" s="50"/>
      <c r="EU621" s="50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43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43"/>
      <c r="CF622" s="43"/>
      <c r="CG622" s="43"/>
      <c r="CH622" s="43"/>
      <c r="CI622" s="43"/>
      <c r="CJ622" s="43"/>
      <c r="CK622" s="43"/>
      <c r="CL622" s="43"/>
      <c r="CM622" s="43"/>
      <c r="CN622" s="43"/>
      <c r="CO622" s="43"/>
      <c r="CP622" s="43"/>
      <c r="CQ622" s="43"/>
      <c r="CR622" s="43"/>
      <c r="CS622" s="43"/>
      <c r="CT622" s="43"/>
      <c r="CU622" s="43"/>
      <c r="CV622" s="43"/>
      <c r="CW622" s="43"/>
      <c r="CX622" s="43"/>
      <c r="CY622" s="43"/>
      <c r="CZ622" s="43"/>
      <c r="DA622" s="43"/>
      <c r="DB622" s="43"/>
      <c r="DC622" s="43"/>
      <c r="DD622" s="43"/>
      <c r="DE622" s="43"/>
      <c r="DF622" s="43"/>
      <c r="DG622" s="43"/>
      <c r="DH622" s="43"/>
      <c r="DI622" s="43"/>
      <c r="DJ622" s="43"/>
      <c r="DK622" s="43"/>
      <c r="DL622" s="43"/>
      <c r="DM622" s="43"/>
      <c r="DN622" s="43"/>
      <c r="DO622" s="43"/>
      <c r="DP622" s="43"/>
      <c r="DQ622" s="43"/>
      <c r="DR622" s="43"/>
      <c r="DS622" s="43"/>
      <c r="DT622" s="43"/>
      <c r="DU622" s="43"/>
      <c r="DV622" s="43"/>
      <c r="DW622" s="43"/>
      <c r="DX622" s="43"/>
      <c r="DY622" s="43"/>
      <c r="DZ622" s="43"/>
      <c r="EA622" s="43"/>
      <c r="EB622" s="43"/>
      <c r="EC622" s="43"/>
      <c r="ED622" s="43"/>
      <c r="EE622" s="43"/>
      <c r="EF622" s="43"/>
      <c r="EG622" s="43"/>
      <c r="EH622" s="43"/>
      <c r="EI622" s="43"/>
      <c r="EJ622" s="43"/>
      <c r="EK622" s="43"/>
      <c r="EL622" s="43"/>
      <c r="EM622" s="43"/>
      <c r="EN622" s="43"/>
      <c r="EO622" s="43"/>
      <c r="EP622" s="43"/>
      <c r="EQ622" s="43"/>
      <c r="ER622" s="43"/>
      <c r="ES622" s="43"/>
      <c r="ET622" s="50"/>
      <c r="EU622" s="50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/>
      <c r="CK623" s="43"/>
      <c r="CL623" s="43"/>
      <c r="CM623" s="43"/>
      <c r="CN623" s="43"/>
      <c r="CO623" s="43"/>
      <c r="CP623" s="43"/>
      <c r="CQ623" s="43"/>
      <c r="CR623" s="43"/>
      <c r="CS623" s="43"/>
      <c r="CT623" s="43"/>
      <c r="CU623" s="43"/>
      <c r="CV623" s="43"/>
      <c r="CW623" s="43"/>
      <c r="CX623" s="43"/>
      <c r="CY623" s="43"/>
      <c r="CZ623" s="43"/>
      <c r="DA623" s="43"/>
      <c r="DB623" s="43"/>
      <c r="DC623" s="43"/>
      <c r="DD623" s="43"/>
      <c r="DE623" s="43"/>
      <c r="DF623" s="43"/>
      <c r="DG623" s="43"/>
      <c r="DH623" s="43"/>
      <c r="DI623" s="43"/>
      <c r="DJ623" s="43"/>
      <c r="DK623" s="43"/>
      <c r="DL623" s="43"/>
      <c r="DM623" s="43"/>
      <c r="DN623" s="43"/>
      <c r="DO623" s="43"/>
      <c r="DP623" s="43"/>
      <c r="DQ623" s="43"/>
      <c r="DR623" s="43"/>
      <c r="DS623" s="43"/>
      <c r="DT623" s="43"/>
      <c r="DU623" s="43"/>
      <c r="DV623" s="43"/>
      <c r="DW623" s="43"/>
      <c r="DX623" s="43"/>
      <c r="DY623" s="43"/>
      <c r="DZ623" s="43"/>
      <c r="EA623" s="43"/>
      <c r="EB623" s="43"/>
      <c r="EC623" s="43"/>
      <c r="ED623" s="43"/>
      <c r="EE623" s="43"/>
      <c r="EF623" s="43"/>
      <c r="EG623" s="43"/>
      <c r="EH623" s="43"/>
      <c r="EI623" s="43"/>
      <c r="EJ623" s="43"/>
      <c r="EK623" s="43"/>
      <c r="EL623" s="43"/>
      <c r="EM623" s="43"/>
      <c r="EN623" s="43"/>
      <c r="EO623" s="43"/>
      <c r="EP623" s="43"/>
      <c r="EQ623" s="43"/>
      <c r="ER623" s="43"/>
      <c r="ES623" s="43"/>
      <c r="ET623" s="50"/>
      <c r="EU623" s="50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43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43"/>
      <c r="CF624" s="43"/>
      <c r="CG624" s="43"/>
      <c r="CH624" s="43"/>
      <c r="CI624" s="43"/>
      <c r="CJ624" s="43"/>
      <c r="CK624" s="43"/>
      <c r="CL624" s="43"/>
      <c r="CM624" s="43"/>
      <c r="CN624" s="43"/>
      <c r="CO624" s="43"/>
      <c r="CP624" s="43"/>
      <c r="CQ624" s="43"/>
      <c r="CR624" s="43"/>
      <c r="CS624" s="43"/>
      <c r="CT624" s="43"/>
      <c r="CU624" s="43"/>
      <c r="CV624" s="43"/>
      <c r="CW624" s="43"/>
      <c r="CX624" s="43"/>
      <c r="CY624" s="43"/>
      <c r="CZ624" s="43"/>
      <c r="DA624" s="43"/>
      <c r="DB624" s="43"/>
      <c r="DC624" s="43"/>
      <c r="DD624" s="43"/>
      <c r="DE624" s="43"/>
      <c r="DF624" s="43"/>
      <c r="DG624" s="43"/>
      <c r="DH624" s="43"/>
      <c r="DI624" s="43"/>
      <c r="DJ624" s="43"/>
      <c r="DK624" s="43"/>
      <c r="DL624" s="43"/>
      <c r="DM624" s="43"/>
      <c r="DN624" s="43"/>
      <c r="DO624" s="43"/>
      <c r="DP624" s="43"/>
      <c r="DQ624" s="43"/>
      <c r="DR624" s="43"/>
      <c r="DS624" s="43"/>
      <c r="DT624" s="43"/>
      <c r="DU624" s="43"/>
      <c r="DV624" s="43"/>
      <c r="DW624" s="43"/>
      <c r="DX624" s="43"/>
      <c r="DY624" s="43"/>
      <c r="DZ624" s="43"/>
      <c r="EA624" s="43"/>
      <c r="EB624" s="43"/>
      <c r="EC624" s="43"/>
      <c r="ED624" s="43"/>
      <c r="EE624" s="43"/>
      <c r="EF624" s="43"/>
      <c r="EG624" s="43"/>
      <c r="EH624" s="43"/>
      <c r="EI624" s="43"/>
      <c r="EJ624" s="43"/>
      <c r="EK624" s="43"/>
      <c r="EL624" s="43"/>
      <c r="EM624" s="43"/>
      <c r="EN624" s="43"/>
      <c r="EO624" s="43"/>
      <c r="EP624" s="43"/>
      <c r="EQ624" s="43"/>
      <c r="ER624" s="43"/>
      <c r="ES624" s="43"/>
      <c r="ET624" s="50"/>
      <c r="EU624" s="50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43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43"/>
      <c r="CF625" s="43"/>
      <c r="CG625" s="43"/>
      <c r="CH625" s="43"/>
      <c r="CI625" s="43"/>
      <c r="CJ625" s="43"/>
      <c r="CK625" s="43"/>
      <c r="CL625" s="43"/>
      <c r="CM625" s="43"/>
      <c r="CN625" s="43"/>
      <c r="CO625" s="43"/>
      <c r="CP625" s="43"/>
      <c r="CQ625" s="43"/>
      <c r="CR625" s="43"/>
      <c r="CS625" s="43"/>
      <c r="CT625" s="43"/>
      <c r="CU625" s="43"/>
      <c r="CV625" s="43"/>
      <c r="CW625" s="43"/>
      <c r="CX625" s="43"/>
      <c r="CY625" s="43"/>
      <c r="CZ625" s="43"/>
      <c r="DA625" s="43"/>
      <c r="DB625" s="43"/>
      <c r="DC625" s="43"/>
      <c r="DD625" s="43"/>
      <c r="DE625" s="43"/>
      <c r="DF625" s="43"/>
      <c r="DG625" s="43"/>
      <c r="DH625" s="43"/>
      <c r="DI625" s="43"/>
      <c r="DJ625" s="43"/>
      <c r="DK625" s="43"/>
      <c r="DL625" s="43"/>
      <c r="DM625" s="43"/>
      <c r="DN625" s="43"/>
      <c r="DO625" s="43"/>
      <c r="DP625" s="43"/>
      <c r="DQ625" s="43"/>
      <c r="DR625" s="43"/>
      <c r="DS625" s="43"/>
      <c r="DT625" s="43"/>
      <c r="DU625" s="43"/>
      <c r="DV625" s="43"/>
      <c r="DW625" s="43"/>
      <c r="DX625" s="43"/>
      <c r="DY625" s="43"/>
      <c r="DZ625" s="43"/>
      <c r="EA625" s="43"/>
      <c r="EB625" s="43"/>
      <c r="EC625" s="43"/>
      <c r="ED625" s="43"/>
      <c r="EE625" s="43"/>
      <c r="EF625" s="43"/>
      <c r="EG625" s="43"/>
      <c r="EH625" s="43"/>
      <c r="EI625" s="43"/>
      <c r="EJ625" s="43"/>
      <c r="EK625" s="43"/>
      <c r="EL625" s="43"/>
      <c r="EM625" s="43"/>
      <c r="EN625" s="43"/>
      <c r="EO625" s="43"/>
      <c r="EP625" s="43"/>
      <c r="EQ625" s="43"/>
      <c r="ER625" s="43"/>
      <c r="ES625" s="43"/>
      <c r="ET625" s="50"/>
      <c r="EU625" s="50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43"/>
      <c r="CF626" s="43"/>
      <c r="CG626" s="43"/>
      <c r="CH626" s="43"/>
      <c r="CI626" s="43"/>
      <c r="CJ626" s="43"/>
      <c r="CK626" s="43"/>
      <c r="CL626" s="43"/>
      <c r="CM626" s="43"/>
      <c r="CN626" s="43"/>
      <c r="CO626" s="43"/>
      <c r="CP626" s="43"/>
      <c r="CQ626" s="43"/>
      <c r="CR626" s="43"/>
      <c r="CS626" s="43"/>
      <c r="CT626" s="43"/>
      <c r="CU626" s="43"/>
      <c r="CV626" s="43"/>
      <c r="CW626" s="43"/>
      <c r="CX626" s="43"/>
      <c r="CY626" s="43"/>
      <c r="CZ626" s="43"/>
      <c r="DA626" s="43"/>
      <c r="DB626" s="43"/>
      <c r="DC626" s="43"/>
      <c r="DD626" s="43"/>
      <c r="DE626" s="43"/>
      <c r="DF626" s="43"/>
      <c r="DG626" s="43"/>
      <c r="DH626" s="43"/>
      <c r="DI626" s="43"/>
      <c r="DJ626" s="43"/>
      <c r="DK626" s="43"/>
      <c r="DL626" s="43"/>
      <c r="DM626" s="43"/>
      <c r="DN626" s="43"/>
      <c r="DO626" s="43"/>
      <c r="DP626" s="43"/>
      <c r="DQ626" s="43"/>
      <c r="DR626" s="43"/>
      <c r="DS626" s="43"/>
      <c r="DT626" s="43"/>
      <c r="DU626" s="43"/>
      <c r="DV626" s="43"/>
      <c r="DW626" s="43"/>
      <c r="DX626" s="43"/>
      <c r="DY626" s="43"/>
      <c r="DZ626" s="43"/>
      <c r="EA626" s="43"/>
      <c r="EB626" s="43"/>
      <c r="EC626" s="43"/>
      <c r="ED626" s="43"/>
      <c r="EE626" s="43"/>
      <c r="EF626" s="43"/>
      <c r="EG626" s="43"/>
      <c r="EH626" s="43"/>
      <c r="EI626" s="43"/>
      <c r="EJ626" s="43"/>
      <c r="EK626" s="43"/>
      <c r="EL626" s="43"/>
      <c r="EM626" s="43"/>
      <c r="EN626" s="43"/>
      <c r="EO626" s="43"/>
      <c r="EP626" s="43"/>
      <c r="EQ626" s="43"/>
      <c r="ER626" s="43"/>
      <c r="ES626" s="43"/>
      <c r="ET626" s="50"/>
      <c r="EU626" s="50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43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43"/>
      <c r="CF627" s="43"/>
      <c r="CG627" s="43"/>
      <c r="CH627" s="43"/>
      <c r="CI627" s="43"/>
      <c r="CJ627" s="43"/>
      <c r="CK627" s="43"/>
      <c r="CL627" s="43"/>
      <c r="CM627" s="43"/>
      <c r="CN627" s="43"/>
      <c r="CO627" s="43"/>
      <c r="CP627" s="43"/>
      <c r="CQ627" s="43"/>
      <c r="CR627" s="43"/>
      <c r="CS627" s="43"/>
      <c r="CT627" s="43"/>
      <c r="CU627" s="43"/>
      <c r="CV627" s="43"/>
      <c r="CW627" s="43"/>
      <c r="CX627" s="43"/>
      <c r="CY627" s="43"/>
      <c r="CZ627" s="43"/>
      <c r="DA627" s="43"/>
      <c r="DB627" s="43"/>
      <c r="DC627" s="43"/>
      <c r="DD627" s="43"/>
      <c r="DE627" s="43"/>
      <c r="DF627" s="43"/>
      <c r="DG627" s="43"/>
      <c r="DH627" s="43"/>
      <c r="DI627" s="43"/>
      <c r="DJ627" s="43"/>
      <c r="DK627" s="43"/>
      <c r="DL627" s="43"/>
      <c r="DM627" s="43"/>
      <c r="DN627" s="43"/>
      <c r="DO627" s="43"/>
      <c r="DP627" s="43"/>
      <c r="DQ627" s="43"/>
      <c r="DR627" s="43"/>
      <c r="DS627" s="43"/>
      <c r="DT627" s="43"/>
      <c r="DU627" s="43"/>
      <c r="DV627" s="43"/>
      <c r="DW627" s="43"/>
      <c r="DX627" s="43"/>
      <c r="DY627" s="43"/>
      <c r="DZ627" s="43"/>
      <c r="EA627" s="43"/>
      <c r="EB627" s="43"/>
      <c r="EC627" s="43"/>
      <c r="ED627" s="43"/>
      <c r="EE627" s="43"/>
      <c r="EF627" s="43"/>
      <c r="EG627" s="43"/>
      <c r="EH627" s="43"/>
      <c r="EI627" s="43"/>
      <c r="EJ627" s="43"/>
      <c r="EK627" s="43"/>
      <c r="EL627" s="43"/>
      <c r="EM627" s="43"/>
      <c r="EN627" s="43"/>
      <c r="EO627" s="43"/>
      <c r="EP627" s="43"/>
      <c r="EQ627" s="43"/>
      <c r="ER627" s="43"/>
      <c r="ES627" s="43"/>
      <c r="ET627" s="50"/>
      <c r="EU627" s="50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43"/>
      <c r="CF628" s="43"/>
      <c r="CG628" s="43"/>
      <c r="CH628" s="43"/>
      <c r="CI628" s="43"/>
      <c r="CJ628" s="43"/>
      <c r="CK628" s="43"/>
      <c r="CL628" s="43"/>
      <c r="CM628" s="43"/>
      <c r="CN628" s="43"/>
      <c r="CO628" s="43"/>
      <c r="CP628" s="43"/>
      <c r="CQ628" s="43"/>
      <c r="CR628" s="43"/>
      <c r="CS628" s="43"/>
      <c r="CT628" s="43"/>
      <c r="CU628" s="43"/>
      <c r="CV628" s="43"/>
      <c r="CW628" s="43"/>
      <c r="CX628" s="43"/>
      <c r="CY628" s="43"/>
      <c r="CZ628" s="43"/>
      <c r="DA628" s="43"/>
      <c r="DB628" s="43"/>
      <c r="DC628" s="43"/>
      <c r="DD628" s="43"/>
      <c r="DE628" s="43"/>
      <c r="DF628" s="43"/>
      <c r="DG628" s="43"/>
      <c r="DH628" s="43"/>
      <c r="DI628" s="43"/>
      <c r="DJ628" s="43"/>
      <c r="DK628" s="43"/>
      <c r="DL628" s="43"/>
      <c r="DM628" s="43"/>
      <c r="DN628" s="43"/>
      <c r="DO628" s="43"/>
      <c r="DP628" s="43"/>
      <c r="DQ628" s="43"/>
      <c r="DR628" s="43"/>
      <c r="DS628" s="43"/>
      <c r="DT628" s="43"/>
      <c r="DU628" s="43"/>
      <c r="DV628" s="43"/>
      <c r="DW628" s="43"/>
      <c r="DX628" s="43"/>
      <c r="DY628" s="43"/>
      <c r="DZ628" s="43"/>
      <c r="EA628" s="43"/>
      <c r="EB628" s="43"/>
      <c r="EC628" s="43"/>
      <c r="ED628" s="43"/>
      <c r="EE628" s="43"/>
      <c r="EF628" s="43"/>
      <c r="EG628" s="43"/>
      <c r="EH628" s="43"/>
      <c r="EI628" s="43"/>
      <c r="EJ628" s="43"/>
      <c r="EK628" s="43"/>
      <c r="EL628" s="43"/>
      <c r="EM628" s="43"/>
      <c r="EN628" s="43"/>
      <c r="EO628" s="43"/>
      <c r="EP628" s="43"/>
      <c r="EQ628" s="43"/>
      <c r="ER628" s="43"/>
      <c r="ES628" s="43"/>
      <c r="ET628" s="50"/>
      <c r="EU628" s="50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  <c r="CS629" s="43"/>
      <c r="CT629" s="43"/>
      <c r="CU629" s="43"/>
      <c r="CV629" s="43"/>
      <c r="CW629" s="43"/>
      <c r="CX629" s="43"/>
      <c r="CY629" s="43"/>
      <c r="CZ629" s="43"/>
      <c r="DA629" s="43"/>
      <c r="DB629" s="43"/>
      <c r="DC629" s="43"/>
      <c r="DD629" s="43"/>
      <c r="DE629" s="43"/>
      <c r="DF629" s="43"/>
      <c r="DG629" s="43"/>
      <c r="DH629" s="43"/>
      <c r="DI629" s="43"/>
      <c r="DJ629" s="43"/>
      <c r="DK629" s="43"/>
      <c r="DL629" s="43"/>
      <c r="DM629" s="43"/>
      <c r="DN629" s="43"/>
      <c r="DO629" s="43"/>
      <c r="DP629" s="43"/>
      <c r="DQ629" s="43"/>
      <c r="DR629" s="43"/>
      <c r="DS629" s="43"/>
      <c r="DT629" s="43"/>
      <c r="DU629" s="43"/>
      <c r="DV629" s="43"/>
      <c r="DW629" s="43"/>
      <c r="DX629" s="43"/>
      <c r="DY629" s="43"/>
      <c r="DZ629" s="43"/>
      <c r="EA629" s="43"/>
      <c r="EB629" s="43"/>
      <c r="EC629" s="43"/>
      <c r="ED629" s="43"/>
      <c r="EE629" s="43"/>
      <c r="EF629" s="43"/>
      <c r="EG629" s="43"/>
      <c r="EH629" s="43"/>
      <c r="EI629" s="43"/>
      <c r="EJ629" s="43"/>
      <c r="EK629" s="43"/>
      <c r="EL629" s="43"/>
      <c r="EM629" s="43"/>
      <c r="EN629" s="43"/>
      <c r="EO629" s="43"/>
      <c r="EP629" s="43"/>
      <c r="EQ629" s="43"/>
      <c r="ER629" s="43"/>
      <c r="ES629" s="43"/>
      <c r="ET629" s="50"/>
      <c r="EU629" s="50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43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43"/>
      <c r="CF630" s="43"/>
      <c r="CG630" s="43"/>
      <c r="CH630" s="43"/>
      <c r="CI630" s="43"/>
      <c r="CJ630" s="43"/>
      <c r="CK630" s="43"/>
      <c r="CL630" s="43"/>
      <c r="CM630" s="43"/>
      <c r="CN630" s="43"/>
      <c r="CO630" s="43"/>
      <c r="CP630" s="43"/>
      <c r="CQ630" s="43"/>
      <c r="CR630" s="43"/>
      <c r="CS630" s="43"/>
      <c r="CT630" s="43"/>
      <c r="CU630" s="43"/>
      <c r="CV630" s="43"/>
      <c r="CW630" s="43"/>
      <c r="CX630" s="43"/>
      <c r="CY630" s="43"/>
      <c r="CZ630" s="43"/>
      <c r="DA630" s="43"/>
      <c r="DB630" s="43"/>
      <c r="DC630" s="43"/>
      <c r="DD630" s="43"/>
      <c r="DE630" s="43"/>
      <c r="DF630" s="43"/>
      <c r="DG630" s="43"/>
      <c r="DH630" s="43"/>
      <c r="DI630" s="43"/>
      <c r="DJ630" s="43"/>
      <c r="DK630" s="43"/>
      <c r="DL630" s="43"/>
      <c r="DM630" s="43"/>
      <c r="DN630" s="43"/>
      <c r="DO630" s="43"/>
      <c r="DP630" s="43"/>
      <c r="DQ630" s="43"/>
      <c r="DR630" s="43"/>
      <c r="DS630" s="43"/>
      <c r="DT630" s="43"/>
      <c r="DU630" s="43"/>
      <c r="DV630" s="43"/>
      <c r="DW630" s="43"/>
      <c r="DX630" s="43"/>
      <c r="DY630" s="43"/>
      <c r="DZ630" s="43"/>
      <c r="EA630" s="43"/>
      <c r="EB630" s="43"/>
      <c r="EC630" s="43"/>
      <c r="ED630" s="43"/>
      <c r="EE630" s="43"/>
      <c r="EF630" s="43"/>
      <c r="EG630" s="43"/>
      <c r="EH630" s="43"/>
      <c r="EI630" s="43"/>
      <c r="EJ630" s="43"/>
      <c r="EK630" s="43"/>
      <c r="EL630" s="43"/>
      <c r="EM630" s="43"/>
      <c r="EN630" s="43"/>
      <c r="EO630" s="43"/>
      <c r="EP630" s="43"/>
      <c r="EQ630" s="43"/>
      <c r="ER630" s="43"/>
      <c r="ES630" s="43"/>
      <c r="ET630" s="50"/>
      <c r="EU630" s="50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43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43"/>
      <c r="CF631" s="43"/>
      <c r="CG631" s="43"/>
      <c r="CH631" s="43"/>
      <c r="CI631" s="43"/>
      <c r="CJ631" s="43"/>
      <c r="CK631" s="43"/>
      <c r="CL631" s="43"/>
      <c r="CM631" s="43"/>
      <c r="CN631" s="43"/>
      <c r="CO631" s="43"/>
      <c r="CP631" s="43"/>
      <c r="CQ631" s="43"/>
      <c r="CR631" s="43"/>
      <c r="CS631" s="43"/>
      <c r="CT631" s="43"/>
      <c r="CU631" s="43"/>
      <c r="CV631" s="43"/>
      <c r="CW631" s="43"/>
      <c r="CX631" s="43"/>
      <c r="CY631" s="43"/>
      <c r="CZ631" s="43"/>
      <c r="DA631" s="43"/>
      <c r="DB631" s="43"/>
      <c r="DC631" s="43"/>
      <c r="DD631" s="43"/>
      <c r="DE631" s="43"/>
      <c r="DF631" s="43"/>
      <c r="DG631" s="43"/>
      <c r="DH631" s="43"/>
      <c r="DI631" s="43"/>
      <c r="DJ631" s="43"/>
      <c r="DK631" s="43"/>
      <c r="DL631" s="43"/>
      <c r="DM631" s="43"/>
      <c r="DN631" s="43"/>
      <c r="DO631" s="43"/>
      <c r="DP631" s="43"/>
      <c r="DQ631" s="43"/>
      <c r="DR631" s="43"/>
      <c r="DS631" s="43"/>
      <c r="DT631" s="43"/>
      <c r="DU631" s="43"/>
      <c r="DV631" s="43"/>
      <c r="DW631" s="43"/>
      <c r="DX631" s="43"/>
      <c r="DY631" s="43"/>
      <c r="DZ631" s="43"/>
      <c r="EA631" s="43"/>
      <c r="EB631" s="43"/>
      <c r="EC631" s="43"/>
      <c r="ED631" s="43"/>
      <c r="EE631" s="43"/>
      <c r="EF631" s="43"/>
      <c r="EG631" s="43"/>
      <c r="EH631" s="43"/>
      <c r="EI631" s="43"/>
      <c r="EJ631" s="43"/>
      <c r="EK631" s="43"/>
      <c r="EL631" s="43"/>
      <c r="EM631" s="43"/>
      <c r="EN631" s="43"/>
      <c r="EO631" s="43"/>
      <c r="EP631" s="43"/>
      <c r="EQ631" s="43"/>
      <c r="ER631" s="43"/>
      <c r="ES631" s="43"/>
      <c r="ET631" s="50"/>
      <c r="EU631" s="50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  <c r="CS632" s="43"/>
      <c r="CT632" s="43"/>
      <c r="CU632" s="43"/>
      <c r="CV632" s="43"/>
      <c r="CW632" s="43"/>
      <c r="CX632" s="43"/>
      <c r="CY632" s="43"/>
      <c r="CZ632" s="43"/>
      <c r="DA632" s="43"/>
      <c r="DB632" s="43"/>
      <c r="DC632" s="43"/>
      <c r="DD632" s="43"/>
      <c r="DE632" s="43"/>
      <c r="DF632" s="43"/>
      <c r="DG632" s="43"/>
      <c r="DH632" s="43"/>
      <c r="DI632" s="43"/>
      <c r="DJ632" s="43"/>
      <c r="DK632" s="43"/>
      <c r="DL632" s="43"/>
      <c r="DM632" s="43"/>
      <c r="DN632" s="43"/>
      <c r="DO632" s="43"/>
      <c r="DP632" s="43"/>
      <c r="DQ632" s="43"/>
      <c r="DR632" s="43"/>
      <c r="DS632" s="43"/>
      <c r="DT632" s="43"/>
      <c r="DU632" s="43"/>
      <c r="DV632" s="43"/>
      <c r="DW632" s="43"/>
      <c r="DX632" s="43"/>
      <c r="DY632" s="43"/>
      <c r="DZ632" s="43"/>
      <c r="EA632" s="43"/>
      <c r="EB632" s="43"/>
      <c r="EC632" s="43"/>
      <c r="ED632" s="43"/>
      <c r="EE632" s="43"/>
      <c r="EF632" s="43"/>
      <c r="EG632" s="43"/>
      <c r="EH632" s="43"/>
      <c r="EI632" s="43"/>
      <c r="EJ632" s="43"/>
      <c r="EK632" s="43"/>
      <c r="EL632" s="43"/>
      <c r="EM632" s="43"/>
      <c r="EN632" s="43"/>
      <c r="EO632" s="43"/>
      <c r="EP632" s="43"/>
      <c r="EQ632" s="43"/>
      <c r="ER632" s="43"/>
      <c r="ES632" s="43"/>
      <c r="ET632" s="50"/>
      <c r="EU632" s="50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43"/>
      <c r="CF633" s="43"/>
      <c r="CG633" s="43"/>
      <c r="CH633" s="43"/>
      <c r="CI633" s="43"/>
      <c r="CJ633" s="43"/>
      <c r="CK633" s="43"/>
      <c r="CL633" s="43"/>
      <c r="CM633" s="43"/>
      <c r="CN633" s="43"/>
      <c r="CO633" s="43"/>
      <c r="CP633" s="43"/>
      <c r="CQ633" s="43"/>
      <c r="CR633" s="43"/>
      <c r="CS633" s="43"/>
      <c r="CT633" s="43"/>
      <c r="CU633" s="43"/>
      <c r="CV633" s="43"/>
      <c r="CW633" s="43"/>
      <c r="CX633" s="43"/>
      <c r="CY633" s="43"/>
      <c r="CZ633" s="43"/>
      <c r="DA633" s="43"/>
      <c r="DB633" s="43"/>
      <c r="DC633" s="43"/>
      <c r="DD633" s="43"/>
      <c r="DE633" s="43"/>
      <c r="DF633" s="43"/>
      <c r="DG633" s="43"/>
      <c r="DH633" s="43"/>
      <c r="DI633" s="43"/>
      <c r="DJ633" s="43"/>
      <c r="DK633" s="43"/>
      <c r="DL633" s="43"/>
      <c r="DM633" s="43"/>
      <c r="DN633" s="43"/>
      <c r="DO633" s="43"/>
      <c r="DP633" s="43"/>
      <c r="DQ633" s="43"/>
      <c r="DR633" s="43"/>
      <c r="DS633" s="43"/>
      <c r="DT633" s="43"/>
      <c r="DU633" s="43"/>
      <c r="DV633" s="43"/>
      <c r="DW633" s="43"/>
      <c r="DX633" s="43"/>
      <c r="DY633" s="43"/>
      <c r="DZ633" s="43"/>
      <c r="EA633" s="43"/>
      <c r="EB633" s="43"/>
      <c r="EC633" s="43"/>
      <c r="ED633" s="43"/>
      <c r="EE633" s="43"/>
      <c r="EF633" s="43"/>
      <c r="EG633" s="43"/>
      <c r="EH633" s="43"/>
      <c r="EI633" s="43"/>
      <c r="EJ633" s="43"/>
      <c r="EK633" s="43"/>
      <c r="EL633" s="43"/>
      <c r="EM633" s="43"/>
      <c r="EN633" s="43"/>
      <c r="EO633" s="43"/>
      <c r="EP633" s="43"/>
      <c r="EQ633" s="43"/>
      <c r="ER633" s="43"/>
      <c r="ES633" s="43"/>
      <c r="ET633" s="50"/>
      <c r="EU633" s="50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  <c r="CI634" s="43"/>
      <c r="CJ634" s="43"/>
      <c r="CK634" s="43"/>
      <c r="CL634" s="43"/>
      <c r="CM634" s="43"/>
      <c r="CN634" s="43"/>
      <c r="CO634" s="43"/>
      <c r="CP634" s="43"/>
      <c r="CQ634" s="43"/>
      <c r="CR634" s="43"/>
      <c r="CS634" s="43"/>
      <c r="CT634" s="43"/>
      <c r="CU634" s="43"/>
      <c r="CV634" s="43"/>
      <c r="CW634" s="43"/>
      <c r="CX634" s="43"/>
      <c r="CY634" s="43"/>
      <c r="CZ634" s="43"/>
      <c r="DA634" s="43"/>
      <c r="DB634" s="43"/>
      <c r="DC634" s="43"/>
      <c r="DD634" s="43"/>
      <c r="DE634" s="43"/>
      <c r="DF634" s="43"/>
      <c r="DG634" s="43"/>
      <c r="DH634" s="43"/>
      <c r="DI634" s="43"/>
      <c r="DJ634" s="43"/>
      <c r="DK634" s="43"/>
      <c r="DL634" s="43"/>
      <c r="DM634" s="43"/>
      <c r="DN634" s="43"/>
      <c r="DO634" s="43"/>
      <c r="DP634" s="43"/>
      <c r="DQ634" s="43"/>
      <c r="DR634" s="43"/>
      <c r="DS634" s="43"/>
      <c r="DT634" s="43"/>
      <c r="DU634" s="43"/>
      <c r="DV634" s="43"/>
      <c r="DW634" s="43"/>
      <c r="DX634" s="43"/>
      <c r="DY634" s="43"/>
      <c r="DZ634" s="43"/>
      <c r="EA634" s="43"/>
      <c r="EB634" s="43"/>
      <c r="EC634" s="43"/>
      <c r="ED634" s="43"/>
      <c r="EE634" s="43"/>
      <c r="EF634" s="43"/>
      <c r="EG634" s="43"/>
      <c r="EH634" s="43"/>
      <c r="EI634" s="43"/>
      <c r="EJ634" s="43"/>
      <c r="EK634" s="43"/>
      <c r="EL634" s="43"/>
      <c r="EM634" s="43"/>
      <c r="EN634" s="43"/>
      <c r="EO634" s="43"/>
      <c r="EP634" s="43"/>
      <c r="EQ634" s="43"/>
      <c r="ER634" s="43"/>
      <c r="ES634" s="43"/>
      <c r="ET634" s="50"/>
      <c r="EU634" s="50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  <c r="CS635" s="43"/>
      <c r="CT635" s="43"/>
      <c r="CU635" s="43"/>
      <c r="CV635" s="43"/>
      <c r="CW635" s="43"/>
      <c r="CX635" s="43"/>
      <c r="CY635" s="43"/>
      <c r="CZ635" s="43"/>
      <c r="DA635" s="43"/>
      <c r="DB635" s="43"/>
      <c r="DC635" s="43"/>
      <c r="DD635" s="43"/>
      <c r="DE635" s="43"/>
      <c r="DF635" s="43"/>
      <c r="DG635" s="43"/>
      <c r="DH635" s="43"/>
      <c r="DI635" s="43"/>
      <c r="DJ635" s="43"/>
      <c r="DK635" s="43"/>
      <c r="DL635" s="43"/>
      <c r="DM635" s="43"/>
      <c r="DN635" s="43"/>
      <c r="DO635" s="43"/>
      <c r="DP635" s="43"/>
      <c r="DQ635" s="43"/>
      <c r="DR635" s="43"/>
      <c r="DS635" s="43"/>
      <c r="DT635" s="43"/>
      <c r="DU635" s="43"/>
      <c r="DV635" s="43"/>
      <c r="DW635" s="43"/>
      <c r="DX635" s="43"/>
      <c r="DY635" s="43"/>
      <c r="DZ635" s="43"/>
      <c r="EA635" s="43"/>
      <c r="EB635" s="43"/>
      <c r="EC635" s="43"/>
      <c r="ED635" s="43"/>
      <c r="EE635" s="43"/>
      <c r="EF635" s="43"/>
      <c r="EG635" s="43"/>
      <c r="EH635" s="43"/>
      <c r="EI635" s="43"/>
      <c r="EJ635" s="43"/>
      <c r="EK635" s="43"/>
      <c r="EL635" s="43"/>
      <c r="EM635" s="43"/>
      <c r="EN635" s="43"/>
      <c r="EO635" s="43"/>
      <c r="EP635" s="43"/>
      <c r="EQ635" s="43"/>
      <c r="ER635" s="43"/>
      <c r="ES635" s="43"/>
      <c r="ET635" s="50"/>
      <c r="EU635" s="50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43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43"/>
      <c r="CF636" s="43"/>
      <c r="CG636" s="43"/>
      <c r="CH636" s="43"/>
      <c r="CI636" s="43"/>
      <c r="CJ636" s="43"/>
      <c r="CK636" s="43"/>
      <c r="CL636" s="43"/>
      <c r="CM636" s="43"/>
      <c r="CN636" s="43"/>
      <c r="CO636" s="43"/>
      <c r="CP636" s="43"/>
      <c r="CQ636" s="43"/>
      <c r="CR636" s="43"/>
      <c r="CS636" s="43"/>
      <c r="CT636" s="43"/>
      <c r="CU636" s="43"/>
      <c r="CV636" s="43"/>
      <c r="CW636" s="43"/>
      <c r="CX636" s="43"/>
      <c r="CY636" s="43"/>
      <c r="CZ636" s="43"/>
      <c r="DA636" s="43"/>
      <c r="DB636" s="43"/>
      <c r="DC636" s="43"/>
      <c r="DD636" s="43"/>
      <c r="DE636" s="43"/>
      <c r="DF636" s="43"/>
      <c r="DG636" s="43"/>
      <c r="DH636" s="43"/>
      <c r="DI636" s="43"/>
      <c r="DJ636" s="43"/>
      <c r="DK636" s="43"/>
      <c r="DL636" s="43"/>
      <c r="DM636" s="43"/>
      <c r="DN636" s="43"/>
      <c r="DO636" s="43"/>
      <c r="DP636" s="43"/>
      <c r="DQ636" s="43"/>
      <c r="DR636" s="43"/>
      <c r="DS636" s="43"/>
      <c r="DT636" s="43"/>
      <c r="DU636" s="43"/>
      <c r="DV636" s="43"/>
      <c r="DW636" s="43"/>
      <c r="DX636" s="43"/>
      <c r="DY636" s="43"/>
      <c r="DZ636" s="43"/>
      <c r="EA636" s="43"/>
      <c r="EB636" s="43"/>
      <c r="EC636" s="43"/>
      <c r="ED636" s="43"/>
      <c r="EE636" s="43"/>
      <c r="EF636" s="43"/>
      <c r="EG636" s="43"/>
      <c r="EH636" s="43"/>
      <c r="EI636" s="43"/>
      <c r="EJ636" s="43"/>
      <c r="EK636" s="43"/>
      <c r="EL636" s="43"/>
      <c r="EM636" s="43"/>
      <c r="EN636" s="43"/>
      <c r="EO636" s="43"/>
      <c r="EP636" s="43"/>
      <c r="EQ636" s="43"/>
      <c r="ER636" s="43"/>
      <c r="ES636" s="43"/>
      <c r="ET636" s="50"/>
      <c r="EU636" s="50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43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43"/>
      <c r="CF637" s="43"/>
      <c r="CG637" s="43"/>
      <c r="CH637" s="43"/>
      <c r="CI637" s="43"/>
      <c r="CJ637" s="43"/>
      <c r="CK637" s="43"/>
      <c r="CL637" s="43"/>
      <c r="CM637" s="43"/>
      <c r="CN637" s="43"/>
      <c r="CO637" s="43"/>
      <c r="CP637" s="43"/>
      <c r="CQ637" s="43"/>
      <c r="CR637" s="43"/>
      <c r="CS637" s="43"/>
      <c r="CT637" s="43"/>
      <c r="CU637" s="43"/>
      <c r="CV637" s="43"/>
      <c r="CW637" s="43"/>
      <c r="CX637" s="43"/>
      <c r="CY637" s="43"/>
      <c r="CZ637" s="43"/>
      <c r="DA637" s="43"/>
      <c r="DB637" s="43"/>
      <c r="DC637" s="43"/>
      <c r="DD637" s="43"/>
      <c r="DE637" s="43"/>
      <c r="DF637" s="43"/>
      <c r="DG637" s="43"/>
      <c r="DH637" s="43"/>
      <c r="DI637" s="43"/>
      <c r="DJ637" s="43"/>
      <c r="DK637" s="43"/>
      <c r="DL637" s="43"/>
      <c r="DM637" s="43"/>
      <c r="DN637" s="43"/>
      <c r="DO637" s="43"/>
      <c r="DP637" s="43"/>
      <c r="DQ637" s="43"/>
      <c r="DR637" s="43"/>
      <c r="DS637" s="43"/>
      <c r="DT637" s="43"/>
      <c r="DU637" s="43"/>
      <c r="DV637" s="43"/>
      <c r="DW637" s="43"/>
      <c r="DX637" s="43"/>
      <c r="DY637" s="43"/>
      <c r="DZ637" s="43"/>
      <c r="EA637" s="43"/>
      <c r="EB637" s="43"/>
      <c r="EC637" s="43"/>
      <c r="ED637" s="43"/>
      <c r="EE637" s="43"/>
      <c r="EF637" s="43"/>
      <c r="EG637" s="43"/>
      <c r="EH637" s="43"/>
      <c r="EI637" s="43"/>
      <c r="EJ637" s="43"/>
      <c r="EK637" s="43"/>
      <c r="EL637" s="43"/>
      <c r="EM637" s="43"/>
      <c r="EN637" s="43"/>
      <c r="EO637" s="43"/>
      <c r="EP637" s="43"/>
      <c r="EQ637" s="43"/>
      <c r="ER637" s="43"/>
      <c r="ES637" s="43"/>
      <c r="ET637" s="50"/>
      <c r="EU637" s="50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  <c r="CS638" s="43"/>
      <c r="CT638" s="43"/>
      <c r="CU638" s="43"/>
      <c r="CV638" s="43"/>
      <c r="CW638" s="43"/>
      <c r="CX638" s="43"/>
      <c r="CY638" s="43"/>
      <c r="CZ638" s="43"/>
      <c r="DA638" s="43"/>
      <c r="DB638" s="43"/>
      <c r="DC638" s="43"/>
      <c r="DD638" s="43"/>
      <c r="DE638" s="43"/>
      <c r="DF638" s="43"/>
      <c r="DG638" s="43"/>
      <c r="DH638" s="43"/>
      <c r="DI638" s="43"/>
      <c r="DJ638" s="43"/>
      <c r="DK638" s="43"/>
      <c r="DL638" s="43"/>
      <c r="DM638" s="43"/>
      <c r="DN638" s="43"/>
      <c r="DO638" s="43"/>
      <c r="DP638" s="43"/>
      <c r="DQ638" s="43"/>
      <c r="DR638" s="43"/>
      <c r="DS638" s="43"/>
      <c r="DT638" s="43"/>
      <c r="DU638" s="43"/>
      <c r="DV638" s="43"/>
      <c r="DW638" s="43"/>
      <c r="DX638" s="43"/>
      <c r="DY638" s="43"/>
      <c r="DZ638" s="43"/>
      <c r="EA638" s="43"/>
      <c r="EB638" s="43"/>
      <c r="EC638" s="43"/>
      <c r="ED638" s="43"/>
      <c r="EE638" s="43"/>
      <c r="EF638" s="43"/>
      <c r="EG638" s="43"/>
      <c r="EH638" s="43"/>
      <c r="EI638" s="43"/>
      <c r="EJ638" s="43"/>
      <c r="EK638" s="43"/>
      <c r="EL638" s="43"/>
      <c r="EM638" s="43"/>
      <c r="EN638" s="43"/>
      <c r="EO638" s="43"/>
      <c r="EP638" s="43"/>
      <c r="EQ638" s="43"/>
      <c r="ER638" s="43"/>
      <c r="ES638" s="43"/>
      <c r="ET638" s="50"/>
      <c r="EU638" s="50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  <c r="CI639" s="43"/>
      <c r="CJ639" s="43"/>
      <c r="CK639" s="43"/>
      <c r="CL639" s="43"/>
      <c r="CM639" s="43"/>
      <c r="CN639" s="43"/>
      <c r="CO639" s="43"/>
      <c r="CP639" s="43"/>
      <c r="CQ639" s="43"/>
      <c r="CR639" s="43"/>
      <c r="CS639" s="43"/>
      <c r="CT639" s="43"/>
      <c r="CU639" s="43"/>
      <c r="CV639" s="43"/>
      <c r="CW639" s="43"/>
      <c r="CX639" s="43"/>
      <c r="CY639" s="43"/>
      <c r="CZ639" s="43"/>
      <c r="DA639" s="43"/>
      <c r="DB639" s="43"/>
      <c r="DC639" s="43"/>
      <c r="DD639" s="43"/>
      <c r="DE639" s="43"/>
      <c r="DF639" s="43"/>
      <c r="DG639" s="43"/>
      <c r="DH639" s="43"/>
      <c r="DI639" s="43"/>
      <c r="DJ639" s="43"/>
      <c r="DK639" s="43"/>
      <c r="DL639" s="43"/>
      <c r="DM639" s="43"/>
      <c r="DN639" s="43"/>
      <c r="DO639" s="43"/>
      <c r="DP639" s="43"/>
      <c r="DQ639" s="43"/>
      <c r="DR639" s="43"/>
      <c r="DS639" s="43"/>
      <c r="DT639" s="43"/>
      <c r="DU639" s="43"/>
      <c r="DV639" s="43"/>
      <c r="DW639" s="43"/>
      <c r="DX639" s="43"/>
      <c r="DY639" s="43"/>
      <c r="DZ639" s="43"/>
      <c r="EA639" s="43"/>
      <c r="EB639" s="43"/>
      <c r="EC639" s="43"/>
      <c r="ED639" s="43"/>
      <c r="EE639" s="43"/>
      <c r="EF639" s="43"/>
      <c r="EG639" s="43"/>
      <c r="EH639" s="43"/>
      <c r="EI639" s="43"/>
      <c r="EJ639" s="43"/>
      <c r="EK639" s="43"/>
      <c r="EL639" s="43"/>
      <c r="EM639" s="43"/>
      <c r="EN639" s="43"/>
      <c r="EO639" s="43"/>
      <c r="EP639" s="43"/>
      <c r="EQ639" s="43"/>
      <c r="ER639" s="43"/>
      <c r="ES639" s="43"/>
      <c r="ET639" s="50"/>
      <c r="EU639" s="50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43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43"/>
      <c r="CF640" s="43"/>
      <c r="CG640" s="43"/>
      <c r="CH640" s="43"/>
      <c r="CI640" s="43"/>
      <c r="CJ640" s="43"/>
      <c r="CK640" s="43"/>
      <c r="CL640" s="43"/>
      <c r="CM640" s="43"/>
      <c r="CN640" s="43"/>
      <c r="CO640" s="43"/>
      <c r="CP640" s="43"/>
      <c r="CQ640" s="43"/>
      <c r="CR640" s="43"/>
      <c r="CS640" s="43"/>
      <c r="CT640" s="43"/>
      <c r="CU640" s="43"/>
      <c r="CV640" s="43"/>
      <c r="CW640" s="43"/>
      <c r="CX640" s="43"/>
      <c r="CY640" s="43"/>
      <c r="CZ640" s="43"/>
      <c r="DA640" s="43"/>
      <c r="DB640" s="43"/>
      <c r="DC640" s="43"/>
      <c r="DD640" s="43"/>
      <c r="DE640" s="43"/>
      <c r="DF640" s="43"/>
      <c r="DG640" s="43"/>
      <c r="DH640" s="43"/>
      <c r="DI640" s="43"/>
      <c r="DJ640" s="43"/>
      <c r="DK640" s="43"/>
      <c r="DL640" s="43"/>
      <c r="DM640" s="43"/>
      <c r="DN640" s="43"/>
      <c r="DO640" s="43"/>
      <c r="DP640" s="43"/>
      <c r="DQ640" s="43"/>
      <c r="DR640" s="43"/>
      <c r="DS640" s="43"/>
      <c r="DT640" s="43"/>
      <c r="DU640" s="43"/>
      <c r="DV640" s="43"/>
      <c r="DW640" s="43"/>
      <c r="DX640" s="43"/>
      <c r="DY640" s="43"/>
      <c r="DZ640" s="43"/>
      <c r="EA640" s="43"/>
      <c r="EB640" s="43"/>
      <c r="EC640" s="43"/>
      <c r="ED640" s="43"/>
      <c r="EE640" s="43"/>
      <c r="EF640" s="43"/>
      <c r="EG640" s="43"/>
      <c r="EH640" s="43"/>
      <c r="EI640" s="43"/>
      <c r="EJ640" s="43"/>
      <c r="EK640" s="43"/>
      <c r="EL640" s="43"/>
      <c r="EM640" s="43"/>
      <c r="EN640" s="43"/>
      <c r="EO640" s="43"/>
      <c r="EP640" s="43"/>
      <c r="EQ640" s="43"/>
      <c r="ER640" s="43"/>
      <c r="ES640" s="43"/>
      <c r="ET640" s="50"/>
      <c r="EU640" s="50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43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43"/>
      <c r="CF641" s="43"/>
      <c r="CG641" s="43"/>
      <c r="CH641" s="43"/>
      <c r="CI641" s="43"/>
      <c r="CJ641" s="43"/>
      <c r="CK641" s="43"/>
      <c r="CL641" s="43"/>
      <c r="CM641" s="43"/>
      <c r="CN641" s="43"/>
      <c r="CO641" s="43"/>
      <c r="CP641" s="43"/>
      <c r="CQ641" s="43"/>
      <c r="CR641" s="43"/>
      <c r="CS641" s="43"/>
      <c r="CT641" s="43"/>
      <c r="CU641" s="43"/>
      <c r="CV641" s="43"/>
      <c r="CW641" s="43"/>
      <c r="CX641" s="43"/>
      <c r="CY641" s="43"/>
      <c r="CZ641" s="43"/>
      <c r="DA641" s="43"/>
      <c r="DB641" s="43"/>
      <c r="DC641" s="43"/>
      <c r="DD641" s="43"/>
      <c r="DE641" s="43"/>
      <c r="DF641" s="43"/>
      <c r="DG641" s="43"/>
      <c r="DH641" s="43"/>
      <c r="DI641" s="43"/>
      <c r="DJ641" s="43"/>
      <c r="DK641" s="43"/>
      <c r="DL641" s="43"/>
      <c r="DM641" s="43"/>
      <c r="DN641" s="43"/>
      <c r="DO641" s="43"/>
      <c r="DP641" s="43"/>
      <c r="DQ641" s="43"/>
      <c r="DR641" s="43"/>
      <c r="DS641" s="43"/>
      <c r="DT641" s="43"/>
      <c r="DU641" s="43"/>
      <c r="DV641" s="43"/>
      <c r="DW641" s="43"/>
      <c r="DX641" s="43"/>
      <c r="DY641" s="43"/>
      <c r="DZ641" s="43"/>
      <c r="EA641" s="43"/>
      <c r="EB641" s="43"/>
      <c r="EC641" s="43"/>
      <c r="ED641" s="43"/>
      <c r="EE641" s="43"/>
      <c r="EF641" s="43"/>
      <c r="EG641" s="43"/>
      <c r="EH641" s="43"/>
      <c r="EI641" s="43"/>
      <c r="EJ641" s="43"/>
      <c r="EK641" s="43"/>
      <c r="EL641" s="43"/>
      <c r="EM641" s="43"/>
      <c r="EN641" s="43"/>
      <c r="EO641" s="43"/>
      <c r="EP641" s="43"/>
      <c r="EQ641" s="43"/>
      <c r="ER641" s="43"/>
      <c r="ES641" s="43"/>
      <c r="ET641" s="50"/>
      <c r="EU641" s="50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43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43"/>
      <c r="CF642" s="43"/>
      <c r="CG642" s="43"/>
      <c r="CH642" s="43"/>
      <c r="CI642" s="43"/>
      <c r="CJ642" s="43"/>
      <c r="CK642" s="43"/>
      <c r="CL642" s="43"/>
      <c r="CM642" s="43"/>
      <c r="CN642" s="43"/>
      <c r="CO642" s="43"/>
      <c r="CP642" s="43"/>
      <c r="CQ642" s="43"/>
      <c r="CR642" s="43"/>
      <c r="CS642" s="43"/>
      <c r="CT642" s="43"/>
      <c r="CU642" s="43"/>
      <c r="CV642" s="43"/>
      <c r="CW642" s="43"/>
      <c r="CX642" s="43"/>
      <c r="CY642" s="43"/>
      <c r="CZ642" s="43"/>
      <c r="DA642" s="43"/>
      <c r="DB642" s="43"/>
      <c r="DC642" s="43"/>
      <c r="DD642" s="43"/>
      <c r="DE642" s="43"/>
      <c r="DF642" s="43"/>
      <c r="DG642" s="43"/>
      <c r="DH642" s="43"/>
      <c r="DI642" s="43"/>
      <c r="DJ642" s="43"/>
      <c r="DK642" s="43"/>
      <c r="DL642" s="43"/>
      <c r="DM642" s="43"/>
      <c r="DN642" s="43"/>
      <c r="DO642" s="43"/>
      <c r="DP642" s="43"/>
      <c r="DQ642" s="43"/>
      <c r="DR642" s="43"/>
      <c r="DS642" s="43"/>
      <c r="DT642" s="43"/>
      <c r="DU642" s="43"/>
      <c r="DV642" s="43"/>
      <c r="DW642" s="43"/>
      <c r="DX642" s="43"/>
      <c r="DY642" s="43"/>
      <c r="DZ642" s="43"/>
      <c r="EA642" s="43"/>
      <c r="EB642" s="43"/>
      <c r="EC642" s="43"/>
      <c r="ED642" s="43"/>
      <c r="EE642" s="43"/>
      <c r="EF642" s="43"/>
      <c r="EG642" s="43"/>
      <c r="EH642" s="43"/>
      <c r="EI642" s="43"/>
      <c r="EJ642" s="43"/>
      <c r="EK642" s="43"/>
      <c r="EL642" s="43"/>
      <c r="EM642" s="43"/>
      <c r="EN642" s="43"/>
      <c r="EO642" s="43"/>
      <c r="EP642" s="43"/>
      <c r="EQ642" s="43"/>
      <c r="ER642" s="43"/>
      <c r="ES642" s="43"/>
      <c r="ET642" s="50"/>
      <c r="EU642" s="50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43"/>
      <c r="CF643" s="43"/>
      <c r="CG643" s="43"/>
      <c r="CH643" s="43"/>
      <c r="CI643" s="43"/>
      <c r="CJ643" s="43"/>
      <c r="CK643" s="43"/>
      <c r="CL643" s="43"/>
      <c r="CM643" s="43"/>
      <c r="CN643" s="43"/>
      <c r="CO643" s="43"/>
      <c r="CP643" s="43"/>
      <c r="CQ643" s="43"/>
      <c r="CR643" s="43"/>
      <c r="CS643" s="43"/>
      <c r="CT643" s="43"/>
      <c r="CU643" s="43"/>
      <c r="CV643" s="43"/>
      <c r="CW643" s="43"/>
      <c r="CX643" s="43"/>
      <c r="CY643" s="43"/>
      <c r="CZ643" s="43"/>
      <c r="DA643" s="43"/>
      <c r="DB643" s="43"/>
      <c r="DC643" s="43"/>
      <c r="DD643" s="43"/>
      <c r="DE643" s="43"/>
      <c r="DF643" s="43"/>
      <c r="DG643" s="43"/>
      <c r="DH643" s="43"/>
      <c r="DI643" s="43"/>
      <c r="DJ643" s="43"/>
      <c r="DK643" s="43"/>
      <c r="DL643" s="43"/>
      <c r="DM643" s="43"/>
      <c r="DN643" s="43"/>
      <c r="DO643" s="43"/>
      <c r="DP643" s="43"/>
      <c r="DQ643" s="43"/>
      <c r="DR643" s="43"/>
      <c r="DS643" s="43"/>
      <c r="DT643" s="43"/>
      <c r="DU643" s="43"/>
      <c r="DV643" s="43"/>
      <c r="DW643" s="43"/>
      <c r="DX643" s="43"/>
      <c r="DY643" s="43"/>
      <c r="DZ643" s="43"/>
      <c r="EA643" s="43"/>
      <c r="EB643" s="43"/>
      <c r="EC643" s="43"/>
      <c r="ED643" s="43"/>
      <c r="EE643" s="43"/>
      <c r="EF643" s="43"/>
      <c r="EG643" s="43"/>
      <c r="EH643" s="43"/>
      <c r="EI643" s="43"/>
      <c r="EJ643" s="43"/>
      <c r="EK643" s="43"/>
      <c r="EL643" s="43"/>
      <c r="EM643" s="43"/>
      <c r="EN643" s="43"/>
      <c r="EO643" s="43"/>
      <c r="EP643" s="43"/>
      <c r="EQ643" s="43"/>
      <c r="ER643" s="43"/>
      <c r="ES643" s="43"/>
      <c r="ET643" s="50"/>
      <c r="EU643" s="50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43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43"/>
      <c r="CF644" s="43"/>
      <c r="CG644" s="43"/>
      <c r="CH644" s="43"/>
      <c r="CI644" s="43"/>
      <c r="CJ644" s="43"/>
      <c r="CK644" s="43"/>
      <c r="CL644" s="43"/>
      <c r="CM644" s="43"/>
      <c r="CN644" s="43"/>
      <c r="CO644" s="43"/>
      <c r="CP644" s="43"/>
      <c r="CQ644" s="43"/>
      <c r="CR644" s="43"/>
      <c r="CS644" s="43"/>
      <c r="CT644" s="43"/>
      <c r="CU644" s="43"/>
      <c r="CV644" s="43"/>
      <c r="CW644" s="43"/>
      <c r="CX644" s="43"/>
      <c r="CY644" s="43"/>
      <c r="CZ644" s="43"/>
      <c r="DA644" s="43"/>
      <c r="DB644" s="43"/>
      <c r="DC644" s="43"/>
      <c r="DD644" s="43"/>
      <c r="DE644" s="43"/>
      <c r="DF644" s="43"/>
      <c r="DG644" s="43"/>
      <c r="DH644" s="43"/>
      <c r="DI644" s="43"/>
      <c r="DJ644" s="43"/>
      <c r="DK644" s="43"/>
      <c r="DL644" s="43"/>
      <c r="DM644" s="43"/>
      <c r="DN644" s="43"/>
      <c r="DO644" s="43"/>
      <c r="DP644" s="43"/>
      <c r="DQ644" s="43"/>
      <c r="DR644" s="43"/>
      <c r="DS644" s="43"/>
      <c r="DT644" s="43"/>
      <c r="DU644" s="43"/>
      <c r="DV644" s="43"/>
      <c r="DW644" s="43"/>
      <c r="DX644" s="43"/>
      <c r="DY644" s="43"/>
      <c r="DZ644" s="43"/>
      <c r="EA644" s="43"/>
      <c r="EB644" s="43"/>
      <c r="EC644" s="43"/>
      <c r="ED644" s="43"/>
      <c r="EE644" s="43"/>
      <c r="EF644" s="43"/>
      <c r="EG644" s="43"/>
      <c r="EH644" s="43"/>
      <c r="EI644" s="43"/>
      <c r="EJ644" s="43"/>
      <c r="EK644" s="43"/>
      <c r="EL644" s="43"/>
      <c r="EM644" s="43"/>
      <c r="EN644" s="43"/>
      <c r="EO644" s="43"/>
      <c r="EP644" s="43"/>
      <c r="EQ644" s="43"/>
      <c r="ER644" s="43"/>
      <c r="ES644" s="43"/>
      <c r="ET644" s="50"/>
      <c r="EU644" s="50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43"/>
      <c r="CF645" s="43"/>
      <c r="CG645" s="43"/>
      <c r="CH645" s="43"/>
      <c r="CI645" s="43"/>
      <c r="CJ645" s="43"/>
      <c r="CK645" s="43"/>
      <c r="CL645" s="43"/>
      <c r="CM645" s="43"/>
      <c r="CN645" s="43"/>
      <c r="CO645" s="43"/>
      <c r="CP645" s="43"/>
      <c r="CQ645" s="43"/>
      <c r="CR645" s="43"/>
      <c r="CS645" s="43"/>
      <c r="CT645" s="43"/>
      <c r="CU645" s="43"/>
      <c r="CV645" s="43"/>
      <c r="CW645" s="43"/>
      <c r="CX645" s="43"/>
      <c r="CY645" s="43"/>
      <c r="CZ645" s="43"/>
      <c r="DA645" s="43"/>
      <c r="DB645" s="43"/>
      <c r="DC645" s="43"/>
      <c r="DD645" s="43"/>
      <c r="DE645" s="43"/>
      <c r="DF645" s="43"/>
      <c r="DG645" s="43"/>
      <c r="DH645" s="43"/>
      <c r="DI645" s="43"/>
      <c r="DJ645" s="43"/>
      <c r="DK645" s="43"/>
      <c r="DL645" s="43"/>
      <c r="DM645" s="43"/>
      <c r="DN645" s="43"/>
      <c r="DO645" s="43"/>
      <c r="DP645" s="43"/>
      <c r="DQ645" s="43"/>
      <c r="DR645" s="43"/>
      <c r="DS645" s="43"/>
      <c r="DT645" s="43"/>
      <c r="DU645" s="43"/>
      <c r="DV645" s="43"/>
      <c r="DW645" s="43"/>
      <c r="DX645" s="43"/>
      <c r="DY645" s="43"/>
      <c r="DZ645" s="43"/>
      <c r="EA645" s="43"/>
      <c r="EB645" s="43"/>
      <c r="EC645" s="43"/>
      <c r="ED645" s="43"/>
      <c r="EE645" s="43"/>
      <c r="EF645" s="43"/>
      <c r="EG645" s="43"/>
      <c r="EH645" s="43"/>
      <c r="EI645" s="43"/>
      <c r="EJ645" s="43"/>
      <c r="EK645" s="43"/>
      <c r="EL645" s="43"/>
      <c r="EM645" s="43"/>
      <c r="EN645" s="43"/>
      <c r="EO645" s="43"/>
      <c r="EP645" s="43"/>
      <c r="EQ645" s="43"/>
      <c r="ER645" s="43"/>
      <c r="ES645" s="43"/>
      <c r="ET645" s="50"/>
      <c r="EU645" s="50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43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43"/>
      <c r="CF646" s="43"/>
      <c r="CG646" s="43"/>
      <c r="CH646" s="43"/>
      <c r="CI646" s="43"/>
      <c r="CJ646" s="43"/>
      <c r="CK646" s="43"/>
      <c r="CL646" s="43"/>
      <c r="CM646" s="43"/>
      <c r="CN646" s="43"/>
      <c r="CO646" s="43"/>
      <c r="CP646" s="43"/>
      <c r="CQ646" s="43"/>
      <c r="CR646" s="43"/>
      <c r="CS646" s="43"/>
      <c r="CT646" s="43"/>
      <c r="CU646" s="43"/>
      <c r="CV646" s="43"/>
      <c r="CW646" s="43"/>
      <c r="CX646" s="43"/>
      <c r="CY646" s="43"/>
      <c r="CZ646" s="43"/>
      <c r="DA646" s="43"/>
      <c r="DB646" s="43"/>
      <c r="DC646" s="43"/>
      <c r="DD646" s="43"/>
      <c r="DE646" s="43"/>
      <c r="DF646" s="43"/>
      <c r="DG646" s="43"/>
      <c r="DH646" s="43"/>
      <c r="DI646" s="43"/>
      <c r="DJ646" s="43"/>
      <c r="DK646" s="43"/>
      <c r="DL646" s="43"/>
      <c r="DM646" s="43"/>
      <c r="DN646" s="43"/>
      <c r="DO646" s="43"/>
      <c r="DP646" s="43"/>
      <c r="DQ646" s="43"/>
      <c r="DR646" s="43"/>
      <c r="DS646" s="43"/>
      <c r="DT646" s="43"/>
      <c r="DU646" s="43"/>
      <c r="DV646" s="43"/>
      <c r="DW646" s="43"/>
      <c r="DX646" s="43"/>
      <c r="DY646" s="43"/>
      <c r="DZ646" s="43"/>
      <c r="EA646" s="43"/>
      <c r="EB646" s="43"/>
      <c r="EC646" s="43"/>
      <c r="ED646" s="43"/>
      <c r="EE646" s="43"/>
      <c r="EF646" s="43"/>
      <c r="EG646" s="43"/>
      <c r="EH646" s="43"/>
      <c r="EI646" s="43"/>
      <c r="EJ646" s="43"/>
      <c r="EK646" s="43"/>
      <c r="EL646" s="43"/>
      <c r="EM646" s="43"/>
      <c r="EN646" s="43"/>
      <c r="EO646" s="43"/>
      <c r="EP646" s="43"/>
      <c r="EQ646" s="43"/>
      <c r="ER646" s="43"/>
      <c r="ES646" s="43"/>
      <c r="ET646" s="50"/>
      <c r="EU646" s="50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43"/>
      <c r="CF647" s="43"/>
      <c r="CG647" s="43"/>
      <c r="CH647" s="43"/>
      <c r="CI647" s="43"/>
      <c r="CJ647" s="43"/>
      <c r="CK647" s="43"/>
      <c r="CL647" s="43"/>
      <c r="CM647" s="43"/>
      <c r="CN647" s="43"/>
      <c r="CO647" s="43"/>
      <c r="CP647" s="43"/>
      <c r="CQ647" s="43"/>
      <c r="CR647" s="43"/>
      <c r="CS647" s="43"/>
      <c r="CT647" s="43"/>
      <c r="CU647" s="43"/>
      <c r="CV647" s="43"/>
      <c r="CW647" s="43"/>
      <c r="CX647" s="43"/>
      <c r="CY647" s="43"/>
      <c r="CZ647" s="43"/>
      <c r="DA647" s="43"/>
      <c r="DB647" s="43"/>
      <c r="DC647" s="43"/>
      <c r="DD647" s="43"/>
      <c r="DE647" s="43"/>
      <c r="DF647" s="43"/>
      <c r="DG647" s="43"/>
      <c r="DH647" s="43"/>
      <c r="DI647" s="43"/>
      <c r="DJ647" s="43"/>
      <c r="DK647" s="43"/>
      <c r="DL647" s="43"/>
      <c r="DM647" s="43"/>
      <c r="DN647" s="43"/>
      <c r="DO647" s="43"/>
      <c r="DP647" s="43"/>
      <c r="DQ647" s="43"/>
      <c r="DR647" s="43"/>
      <c r="DS647" s="43"/>
      <c r="DT647" s="43"/>
      <c r="DU647" s="43"/>
      <c r="DV647" s="43"/>
      <c r="DW647" s="43"/>
      <c r="DX647" s="43"/>
      <c r="DY647" s="43"/>
      <c r="DZ647" s="43"/>
      <c r="EA647" s="43"/>
      <c r="EB647" s="43"/>
      <c r="EC647" s="43"/>
      <c r="ED647" s="43"/>
      <c r="EE647" s="43"/>
      <c r="EF647" s="43"/>
      <c r="EG647" s="43"/>
      <c r="EH647" s="43"/>
      <c r="EI647" s="43"/>
      <c r="EJ647" s="43"/>
      <c r="EK647" s="43"/>
      <c r="EL647" s="43"/>
      <c r="EM647" s="43"/>
      <c r="EN647" s="43"/>
      <c r="EO647" s="43"/>
      <c r="EP647" s="43"/>
      <c r="EQ647" s="43"/>
      <c r="ER647" s="43"/>
      <c r="ES647" s="43"/>
      <c r="ET647" s="50"/>
      <c r="EU647" s="50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43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43"/>
      <c r="CF648" s="43"/>
      <c r="CG648" s="43"/>
      <c r="CH648" s="43"/>
      <c r="CI648" s="43"/>
      <c r="CJ648" s="43"/>
      <c r="CK648" s="43"/>
      <c r="CL648" s="43"/>
      <c r="CM648" s="43"/>
      <c r="CN648" s="43"/>
      <c r="CO648" s="43"/>
      <c r="CP648" s="43"/>
      <c r="CQ648" s="43"/>
      <c r="CR648" s="43"/>
      <c r="CS648" s="43"/>
      <c r="CT648" s="43"/>
      <c r="CU648" s="43"/>
      <c r="CV648" s="43"/>
      <c r="CW648" s="43"/>
      <c r="CX648" s="43"/>
      <c r="CY648" s="43"/>
      <c r="CZ648" s="43"/>
      <c r="DA648" s="43"/>
      <c r="DB648" s="43"/>
      <c r="DC648" s="43"/>
      <c r="DD648" s="43"/>
      <c r="DE648" s="43"/>
      <c r="DF648" s="43"/>
      <c r="DG648" s="43"/>
      <c r="DH648" s="43"/>
      <c r="DI648" s="43"/>
      <c r="DJ648" s="43"/>
      <c r="DK648" s="43"/>
      <c r="DL648" s="43"/>
      <c r="DM648" s="43"/>
      <c r="DN648" s="43"/>
      <c r="DO648" s="43"/>
      <c r="DP648" s="43"/>
      <c r="DQ648" s="43"/>
      <c r="DR648" s="43"/>
      <c r="DS648" s="43"/>
      <c r="DT648" s="43"/>
      <c r="DU648" s="43"/>
      <c r="DV648" s="43"/>
      <c r="DW648" s="43"/>
      <c r="DX648" s="43"/>
      <c r="DY648" s="43"/>
      <c r="DZ648" s="43"/>
      <c r="EA648" s="43"/>
      <c r="EB648" s="43"/>
      <c r="EC648" s="43"/>
      <c r="ED648" s="43"/>
      <c r="EE648" s="43"/>
      <c r="EF648" s="43"/>
      <c r="EG648" s="43"/>
      <c r="EH648" s="43"/>
      <c r="EI648" s="43"/>
      <c r="EJ648" s="43"/>
      <c r="EK648" s="43"/>
      <c r="EL648" s="43"/>
      <c r="EM648" s="43"/>
      <c r="EN648" s="43"/>
      <c r="EO648" s="43"/>
      <c r="EP648" s="43"/>
      <c r="EQ648" s="43"/>
      <c r="ER648" s="43"/>
      <c r="ES648" s="43"/>
      <c r="ET648" s="50"/>
      <c r="EU648" s="50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43"/>
      <c r="CF649" s="43"/>
      <c r="CG649" s="43"/>
      <c r="CH649" s="43"/>
      <c r="CI649" s="43"/>
      <c r="CJ649" s="43"/>
      <c r="CK649" s="43"/>
      <c r="CL649" s="43"/>
      <c r="CM649" s="43"/>
      <c r="CN649" s="43"/>
      <c r="CO649" s="43"/>
      <c r="CP649" s="43"/>
      <c r="CQ649" s="43"/>
      <c r="CR649" s="43"/>
      <c r="CS649" s="43"/>
      <c r="CT649" s="43"/>
      <c r="CU649" s="43"/>
      <c r="CV649" s="43"/>
      <c r="CW649" s="43"/>
      <c r="CX649" s="43"/>
      <c r="CY649" s="43"/>
      <c r="CZ649" s="43"/>
      <c r="DA649" s="43"/>
      <c r="DB649" s="43"/>
      <c r="DC649" s="43"/>
      <c r="DD649" s="43"/>
      <c r="DE649" s="43"/>
      <c r="DF649" s="43"/>
      <c r="DG649" s="43"/>
      <c r="DH649" s="43"/>
      <c r="DI649" s="43"/>
      <c r="DJ649" s="43"/>
      <c r="DK649" s="43"/>
      <c r="DL649" s="43"/>
      <c r="DM649" s="43"/>
      <c r="DN649" s="43"/>
      <c r="DO649" s="43"/>
      <c r="DP649" s="43"/>
      <c r="DQ649" s="43"/>
      <c r="DR649" s="43"/>
      <c r="DS649" s="43"/>
      <c r="DT649" s="43"/>
      <c r="DU649" s="43"/>
      <c r="DV649" s="43"/>
      <c r="DW649" s="43"/>
      <c r="DX649" s="43"/>
      <c r="DY649" s="43"/>
      <c r="DZ649" s="43"/>
      <c r="EA649" s="43"/>
      <c r="EB649" s="43"/>
      <c r="EC649" s="43"/>
      <c r="ED649" s="43"/>
      <c r="EE649" s="43"/>
      <c r="EF649" s="43"/>
      <c r="EG649" s="43"/>
      <c r="EH649" s="43"/>
      <c r="EI649" s="43"/>
      <c r="EJ649" s="43"/>
      <c r="EK649" s="43"/>
      <c r="EL649" s="43"/>
      <c r="EM649" s="43"/>
      <c r="EN649" s="43"/>
      <c r="EO649" s="43"/>
      <c r="EP649" s="43"/>
      <c r="EQ649" s="43"/>
      <c r="ER649" s="43"/>
      <c r="ES649" s="43"/>
      <c r="ET649" s="50"/>
      <c r="EU649" s="50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43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43"/>
      <c r="CF650" s="43"/>
      <c r="CG650" s="43"/>
      <c r="CH650" s="43"/>
      <c r="CI650" s="43"/>
      <c r="CJ650" s="43"/>
      <c r="CK650" s="43"/>
      <c r="CL650" s="43"/>
      <c r="CM650" s="43"/>
      <c r="CN650" s="43"/>
      <c r="CO650" s="43"/>
      <c r="CP650" s="43"/>
      <c r="CQ650" s="43"/>
      <c r="CR650" s="43"/>
      <c r="CS650" s="43"/>
      <c r="CT650" s="43"/>
      <c r="CU650" s="43"/>
      <c r="CV650" s="43"/>
      <c r="CW650" s="43"/>
      <c r="CX650" s="43"/>
      <c r="CY650" s="43"/>
      <c r="CZ650" s="43"/>
      <c r="DA650" s="43"/>
      <c r="DB650" s="43"/>
      <c r="DC650" s="43"/>
      <c r="DD650" s="43"/>
      <c r="DE650" s="43"/>
      <c r="DF650" s="43"/>
      <c r="DG650" s="43"/>
      <c r="DH650" s="43"/>
      <c r="DI650" s="43"/>
      <c r="DJ650" s="43"/>
      <c r="DK650" s="43"/>
      <c r="DL650" s="43"/>
      <c r="DM650" s="43"/>
      <c r="DN650" s="43"/>
      <c r="DO650" s="43"/>
      <c r="DP650" s="43"/>
      <c r="DQ650" s="43"/>
      <c r="DR650" s="43"/>
      <c r="DS650" s="43"/>
      <c r="DT650" s="43"/>
      <c r="DU650" s="43"/>
      <c r="DV650" s="43"/>
      <c r="DW650" s="43"/>
      <c r="DX650" s="43"/>
      <c r="DY650" s="43"/>
      <c r="DZ650" s="43"/>
      <c r="EA650" s="43"/>
      <c r="EB650" s="43"/>
      <c r="EC650" s="43"/>
      <c r="ED650" s="43"/>
      <c r="EE650" s="43"/>
      <c r="EF650" s="43"/>
      <c r="EG650" s="43"/>
      <c r="EH650" s="43"/>
      <c r="EI650" s="43"/>
      <c r="EJ650" s="43"/>
      <c r="EK650" s="43"/>
      <c r="EL650" s="43"/>
      <c r="EM650" s="43"/>
      <c r="EN650" s="43"/>
      <c r="EO650" s="43"/>
      <c r="EP650" s="43"/>
      <c r="EQ650" s="43"/>
      <c r="ER650" s="43"/>
      <c r="ES650" s="43"/>
      <c r="ET650" s="50"/>
      <c r="EU650" s="50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43"/>
      <c r="CF651" s="43"/>
      <c r="CG651" s="43"/>
      <c r="CH651" s="43"/>
      <c r="CI651" s="43"/>
      <c r="CJ651" s="43"/>
      <c r="CK651" s="43"/>
      <c r="CL651" s="43"/>
      <c r="CM651" s="43"/>
      <c r="CN651" s="43"/>
      <c r="CO651" s="43"/>
      <c r="CP651" s="43"/>
      <c r="CQ651" s="43"/>
      <c r="CR651" s="43"/>
      <c r="CS651" s="43"/>
      <c r="CT651" s="43"/>
      <c r="CU651" s="43"/>
      <c r="CV651" s="43"/>
      <c r="CW651" s="43"/>
      <c r="CX651" s="43"/>
      <c r="CY651" s="43"/>
      <c r="CZ651" s="43"/>
      <c r="DA651" s="43"/>
      <c r="DB651" s="43"/>
      <c r="DC651" s="43"/>
      <c r="DD651" s="43"/>
      <c r="DE651" s="43"/>
      <c r="DF651" s="43"/>
      <c r="DG651" s="43"/>
      <c r="DH651" s="43"/>
      <c r="DI651" s="43"/>
      <c r="DJ651" s="43"/>
      <c r="DK651" s="43"/>
      <c r="DL651" s="43"/>
      <c r="DM651" s="43"/>
      <c r="DN651" s="43"/>
      <c r="DO651" s="43"/>
      <c r="DP651" s="43"/>
      <c r="DQ651" s="43"/>
      <c r="DR651" s="43"/>
      <c r="DS651" s="43"/>
      <c r="DT651" s="43"/>
      <c r="DU651" s="43"/>
      <c r="DV651" s="43"/>
      <c r="DW651" s="43"/>
      <c r="DX651" s="43"/>
      <c r="DY651" s="43"/>
      <c r="DZ651" s="43"/>
      <c r="EA651" s="43"/>
      <c r="EB651" s="43"/>
      <c r="EC651" s="43"/>
      <c r="ED651" s="43"/>
      <c r="EE651" s="43"/>
      <c r="EF651" s="43"/>
      <c r="EG651" s="43"/>
      <c r="EH651" s="43"/>
      <c r="EI651" s="43"/>
      <c r="EJ651" s="43"/>
      <c r="EK651" s="43"/>
      <c r="EL651" s="43"/>
      <c r="EM651" s="43"/>
      <c r="EN651" s="43"/>
      <c r="EO651" s="43"/>
      <c r="EP651" s="43"/>
      <c r="EQ651" s="43"/>
      <c r="ER651" s="43"/>
      <c r="ES651" s="43"/>
      <c r="ET651" s="50"/>
      <c r="EU651" s="50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43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43"/>
      <c r="CF652" s="43"/>
      <c r="CG652" s="43"/>
      <c r="CH652" s="43"/>
      <c r="CI652" s="43"/>
      <c r="CJ652" s="43"/>
      <c r="CK652" s="43"/>
      <c r="CL652" s="43"/>
      <c r="CM652" s="43"/>
      <c r="CN652" s="43"/>
      <c r="CO652" s="43"/>
      <c r="CP652" s="43"/>
      <c r="CQ652" s="43"/>
      <c r="CR652" s="43"/>
      <c r="CS652" s="43"/>
      <c r="CT652" s="43"/>
      <c r="CU652" s="43"/>
      <c r="CV652" s="43"/>
      <c r="CW652" s="43"/>
      <c r="CX652" s="43"/>
      <c r="CY652" s="43"/>
      <c r="CZ652" s="43"/>
      <c r="DA652" s="43"/>
      <c r="DB652" s="43"/>
      <c r="DC652" s="43"/>
      <c r="DD652" s="43"/>
      <c r="DE652" s="43"/>
      <c r="DF652" s="43"/>
      <c r="DG652" s="43"/>
      <c r="DH652" s="43"/>
      <c r="DI652" s="43"/>
      <c r="DJ652" s="43"/>
      <c r="DK652" s="43"/>
      <c r="DL652" s="43"/>
      <c r="DM652" s="43"/>
      <c r="DN652" s="43"/>
      <c r="DO652" s="43"/>
      <c r="DP652" s="43"/>
      <c r="DQ652" s="43"/>
      <c r="DR652" s="43"/>
      <c r="DS652" s="43"/>
      <c r="DT652" s="43"/>
      <c r="DU652" s="43"/>
      <c r="DV652" s="43"/>
      <c r="DW652" s="43"/>
      <c r="DX652" s="43"/>
      <c r="DY652" s="43"/>
      <c r="DZ652" s="43"/>
      <c r="EA652" s="43"/>
      <c r="EB652" s="43"/>
      <c r="EC652" s="43"/>
      <c r="ED652" s="43"/>
      <c r="EE652" s="43"/>
      <c r="EF652" s="43"/>
      <c r="EG652" s="43"/>
      <c r="EH652" s="43"/>
      <c r="EI652" s="43"/>
      <c r="EJ652" s="43"/>
      <c r="EK652" s="43"/>
      <c r="EL652" s="43"/>
      <c r="EM652" s="43"/>
      <c r="EN652" s="43"/>
      <c r="EO652" s="43"/>
      <c r="EP652" s="43"/>
      <c r="EQ652" s="43"/>
      <c r="ER652" s="43"/>
      <c r="ES652" s="43"/>
      <c r="ET652" s="50"/>
      <c r="EU652" s="50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43"/>
      <c r="CF653" s="43"/>
      <c r="CG653" s="43"/>
      <c r="CH653" s="43"/>
      <c r="CI653" s="43"/>
      <c r="CJ653" s="43"/>
      <c r="CK653" s="43"/>
      <c r="CL653" s="43"/>
      <c r="CM653" s="43"/>
      <c r="CN653" s="43"/>
      <c r="CO653" s="43"/>
      <c r="CP653" s="43"/>
      <c r="CQ653" s="43"/>
      <c r="CR653" s="43"/>
      <c r="CS653" s="43"/>
      <c r="CT653" s="43"/>
      <c r="CU653" s="43"/>
      <c r="CV653" s="43"/>
      <c r="CW653" s="43"/>
      <c r="CX653" s="43"/>
      <c r="CY653" s="43"/>
      <c r="CZ653" s="43"/>
      <c r="DA653" s="43"/>
      <c r="DB653" s="43"/>
      <c r="DC653" s="43"/>
      <c r="DD653" s="43"/>
      <c r="DE653" s="43"/>
      <c r="DF653" s="43"/>
      <c r="DG653" s="43"/>
      <c r="DH653" s="43"/>
      <c r="DI653" s="43"/>
      <c r="DJ653" s="43"/>
      <c r="DK653" s="43"/>
      <c r="DL653" s="43"/>
      <c r="DM653" s="43"/>
      <c r="DN653" s="43"/>
      <c r="DO653" s="43"/>
      <c r="DP653" s="43"/>
      <c r="DQ653" s="43"/>
      <c r="DR653" s="43"/>
      <c r="DS653" s="43"/>
      <c r="DT653" s="43"/>
      <c r="DU653" s="43"/>
      <c r="DV653" s="43"/>
      <c r="DW653" s="43"/>
      <c r="DX653" s="43"/>
      <c r="DY653" s="43"/>
      <c r="DZ653" s="43"/>
      <c r="EA653" s="43"/>
      <c r="EB653" s="43"/>
      <c r="EC653" s="43"/>
      <c r="ED653" s="43"/>
      <c r="EE653" s="43"/>
      <c r="EF653" s="43"/>
      <c r="EG653" s="43"/>
      <c r="EH653" s="43"/>
      <c r="EI653" s="43"/>
      <c r="EJ653" s="43"/>
      <c r="EK653" s="43"/>
      <c r="EL653" s="43"/>
      <c r="EM653" s="43"/>
      <c r="EN653" s="43"/>
      <c r="EO653" s="43"/>
      <c r="EP653" s="43"/>
      <c r="EQ653" s="43"/>
      <c r="ER653" s="43"/>
      <c r="ES653" s="43"/>
      <c r="ET653" s="50"/>
      <c r="EU653" s="50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43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43"/>
      <c r="CF654" s="43"/>
      <c r="CG654" s="43"/>
      <c r="CH654" s="43"/>
      <c r="CI654" s="43"/>
      <c r="CJ654" s="43"/>
      <c r="CK654" s="43"/>
      <c r="CL654" s="43"/>
      <c r="CM654" s="43"/>
      <c r="CN654" s="43"/>
      <c r="CO654" s="43"/>
      <c r="CP654" s="43"/>
      <c r="CQ654" s="43"/>
      <c r="CR654" s="43"/>
      <c r="CS654" s="43"/>
      <c r="CT654" s="43"/>
      <c r="CU654" s="43"/>
      <c r="CV654" s="43"/>
      <c r="CW654" s="43"/>
      <c r="CX654" s="43"/>
      <c r="CY654" s="43"/>
      <c r="CZ654" s="43"/>
      <c r="DA654" s="43"/>
      <c r="DB654" s="43"/>
      <c r="DC654" s="43"/>
      <c r="DD654" s="43"/>
      <c r="DE654" s="43"/>
      <c r="DF654" s="43"/>
      <c r="DG654" s="43"/>
      <c r="DH654" s="43"/>
      <c r="DI654" s="43"/>
      <c r="DJ654" s="43"/>
      <c r="DK654" s="43"/>
      <c r="DL654" s="43"/>
      <c r="DM654" s="43"/>
      <c r="DN654" s="43"/>
      <c r="DO654" s="43"/>
      <c r="DP654" s="43"/>
      <c r="DQ654" s="43"/>
      <c r="DR654" s="43"/>
      <c r="DS654" s="43"/>
      <c r="DT654" s="43"/>
      <c r="DU654" s="43"/>
      <c r="DV654" s="43"/>
      <c r="DW654" s="43"/>
      <c r="DX654" s="43"/>
      <c r="DY654" s="43"/>
      <c r="DZ654" s="43"/>
      <c r="EA654" s="43"/>
      <c r="EB654" s="43"/>
      <c r="EC654" s="43"/>
      <c r="ED654" s="43"/>
      <c r="EE654" s="43"/>
      <c r="EF654" s="43"/>
      <c r="EG654" s="43"/>
      <c r="EH654" s="43"/>
      <c r="EI654" s="43"/>
      <c r="EJ654" s="43"/>
      <c r="EK654" s="43"/>
      <c r="EL654" s="43"/>
      <c r="EM654" s="43"/>
      <c r="EN654" s="43"/>
      <c r="EO654" s="43"/>
      <c r="EP654" s="43"/>
      <c r="EQ654" s="43"/>
      <c r="ER654" s="43"/>
      <c r="ES654" s="43"/>
      <c r="ET654" s="50"/>
      <c r="EU654" s="50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43"/>
      <c r="CF655" s="43"/>
      <c r="CG655" s="43"/>
      <c r="CH655" s="43"/>
      <c r="CI655" s="43"/>
      <c r="CJ655" s="43"/>
      <c r="CK655" s="43"/>
      <c r="CL655" s="43"/>
      <c r="CM655" s="43"/>
      <c r="CN655" s="43"/>
      <c r="CO655" s="43"/>
      <c r="CP655" s="43"/>
      <c r="CQ655" s="43"/>
      <c r="CR655" s="43"/>
      <c r="CS655" s="43"/>
      <c r="CT655" s="43"/>
      <c r="CU655" s="43"/>
      <c r="CV655" s="43"/>
      <c r="CW655" s="43"/>
      <c r="CX655" s="43"/>
      <c r="CY655" s="43"/>
      <c r="CZ655" s="43"/>
      <c r="DA655" s="43"/>
      <c r="DB655" s="43"/>
      <c r="DC655" s="43"/>
      <c r="DD655" s="43"/>
      <c r="DE655" s="43"/>
      <c r="DF655" s="43"/>
      <c r="DG655" s="43"/>
      <c r="DH655" s="43"/>
      <c r="DI655" s="43"/>
      <c r="DJ655" s="43"/>
      <c r="DK655" s="43"/>
      <c r="DL655" s="43"/>
      <c r="DM655" s="43"/>
      <c r="DN655" s="43"/>
      <c r="DO655" s="43"/>
      <c r="DP655" s="43"/>
      <c r="DQ655" s="43"/>
      <c r="DR655" s="43"/>
      <c r="DS655" s="43"/>
      <c r="DT655" s="43"/>
      <c r="DU655" s="43"/>
      <c r="DV655" s="43"/>
      <c r="DW655" s="43"/>
      <c r="DX655" s="43"/>
      <c r="DY655" s="43"/>
      <c r="DZ655" s="43"/>
      <c r="EA655" s="43"/>
      <c r="EB655" s="43"/>
      <c r="EC655" s="43"/>
      <c r="ED655" s="43"/>
      <c r="EE655" s="43"/>
      <c r="EF655" s="43"/>
      <c r="EG655" s="43"/>
      <c r="EH655" s="43"/>
      <c r="EI655" s="43"/>
      <c r="EJ655" s="43"/>
      <c r="EK655" s="43"/>
      <c r="EL655" s="43"/>
      <c r="EM655" s="43"/>
      <c r="EN655" s="43"/>
      <c r="EO655" s="43"/>
      <c r="EP655" s="43"/>
      <c r="EQ655" s="43"/>
      <c r="ER655" s="43"/>
      <c r="ES655" s="43"/>
      <c r="ET655" s="50"/>
      <c r="EU655" s="50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43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43"/>
      <c r="CF656" s="43"/>
      <c r="CG656" s="43"/>
      <c r="CH656" s="43"/>
      <c r="CI656" s="43"/>
      <c r="CJ656" s="43"/>
      <c r="CK656" s="43"/>
      <c r="CL656" s="43"/>
      <c r="CM656" s="43"/>
      <c r="CN656" s="43"/>
      <c r="CO656" s="43"/>
      <c r="CP656" s="43"/>
      <c r="CQ656" s="43"/>
      <c r="CR656" s="43"/>
      <c r="CS656" s="43"/>
      <c r="CT656" s="43"/>
      <c r="CU656" s="43"/>
      <c r="CV656" s="43"/>
      <c r="CW656" s="43"/>
      <c r="CX656" s="43"/>
      <c r="CY656" s="43"/>
      <c r="CZ656" s="43"/>
      <c r="DA656" s="43"/>
      <c r="DB656" s="43"/>
      <c r="DC656" s="43"/>
      <c r="DD656" s="43"/>
      <c r="DE656" s="43"/>
      <c r="DF656" s="43"/>
      <c r="DG656" s="43"/>
      <c r="DH656" s="43"/>
      <c r="DI656" s="43"/>
      <c r="DJ656" s="43"/>
      <c r="DK656" s="43"/>
      <c r="DL656" s="43"/>
      <c r="DM656" s="43"/>
      <c r="DN656" s="43"/>
      <c r="DO656" s="43"/>
      <c r="DP656" s="43"/>
      <c r="DQ656" s="43"/>
      <c r="DR656" s="43"/>
      <c r="DS656" s="43"/>
      <c r="DT656" s="43"/>
      <c r="DU656" s="43"/>
      <c r="DV656" s="43"/>
      <c r="DW656" s="43"/>
      <c r="DX656" s="43"/>
      <c r="DY656" s="43"/>
      <c r="DZ656" s="43"/>
      <c r="EA656" s="43"/>
      <c r="EB656" s="43"/>
      <c r="EC656" s="43"/>
      <c r="ED656" s="43"/>
      <c r="EE656" s="43"/>
      <c r="EF656" s="43"/>
      <c r="EG656" s="43"/>
      <c r="EH656" s="43"/>
      <c r="EI656" s="43"/>
      <c r="EJ656" s="43"/>
      <c r="EK656" s="43"/>
      <c r="EL656" s="43"/>
      <c r="EM656" s="43"/>
      <c r="EN656" s="43"/>
      <c r="EO656" s="43"/>
      <c r="EP656" s="43"/>
      <c r="EQ656" s="43"/>
      <c r="ER656" s="43"/>
      <c r="ES656" s="43"/>
      <c r="ET656" s="50"/>
      <c r="EU656" s="50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/>
      <c r="CK657" s="43"/>
      <c r="CL657" s="43"/>
      <c r="CM657" s="43"/>
      <c r="CN657" s="43"/>
      <c r="CO657" s="43"/>
      <c r="CP657" s="43"/>
      <c r="CQ657" s="43"/>
      <c r="CR657" s="43"/>
      <c r="CS657" s="43"/>
      <c r="CT657" s="43"/>
      <c r="CU657" s="43"/>
      <c r="CV657" s="43"/>
      <c r="CW657" s="43"/>
      <c r="CX657" s="43"/>
      <c r="CY657" s="43"/>
      <c r="CZ657" s="43"/>
      <c r="DA657" s="43"/>
      <c r="DB657" s="43"/>
      <c r="DC657" s="43"/>
      <c r="DD657" s="43"/>
      <c r="DE657" s="43"/>
      <c r="DF657" s="43"/>
      <c r="DG657" s="43"/>
      <c r="DH657" s="43"/>
      <c r="DI657" s="43"/>
      <c r="DJ657" s="43"/>
      <c r="DK657" s="43"/>
      <c r="DL657" s="43"/>
      <c r="DM657" s="43"/>
      <c r="DN657" s="43"/>
      <c r="DO657" s="43"/>
      <c r="DP657" s="43"/>
      <c r="DQ657" s="43"/>
      <c r="DR657" s="43"/>
      <c r="DS657" s="43"/>
      <c r="DT657" s="43"/>
      <c r="DU657" s="43"/>
      <c r="DV657" s="43"/>
      <c r="DW657" s="43"/>
      <c r="DX657" s="43"/>
      <c r="DY657" s="43"/>
      <c r="DZ657" s="43"/>
      <c r="EA657" s="43"/>
      <c r="EB657" s="43"/>
      <c r="EC657" s="43"/>
      <c r="ED657" s="43"/>
      <c r="EE657" s="43"/>
      <c r="EF657" s="43"/>
      <c r="EG657" s="43"/>
      <c r="EH657" s="43"/>
      <c r="EI657" s="43"/>
      <c r="EJ657" s="43"/>
      <c r="EK657" s="43"/>
      <c r="EL657" s="43"/>
      <c r="EM657" s="43"/>
      <c r="EN657" s="43"/>
      <c r="EO657" s="43"/>
      <c r="EP657" s="43"/>
      <c r="EQ657" s="43"/>
      <c r="ER657" s="43"/>
      <c r="ES657" s="43"/>
      <c r="ET657" s="50"/>
      <c r="EU657" s="50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43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43"/>
      <c r="CF658" s="43"/>
      <c r="CG658" s="43"/>
      <c r="CH658" s="43"/>
      <c r="CI658" s="43"/>
      <c r="CJ658" s="43"/>
      <c r="CK658" s="43"/>
      <c r="CL658" s="43"/>
      <c r="CM658" s="43"/>
      <c r="CN658" s="43"/>
      <c r="CO658" s="43"/>
      <c r="CP658" s="43"/>
      <c r="CQ658" s="43"/>
      <c r="CR658" s="43"/>
      <c r="CS658" s="43"/>
      <c r="CT658" s="43"/>
      <c r="CU658" s="43"/>
      <c r="CV658" s="43"/>
      <c r="CW658" s="43"/>
      <c r="CX658" s="43"/>
      <c r="CY658" s="43"/>
      <c r="CZ658" s="43"/>
      <c r="DA658" s="43"/>
      <c r="DB658" s="43"/>
      <c r="DC658" s="43"/>
      <c r="DD658" s="43"/>
      <c r="DE658" s="43"/>
      <c r="DF658" s="43"/>
      <c r="DG658" s="43"/>
      <c r="DH658" s="43"/>
      <c r="DI658" s="43"/>
      <c r="DJ658" s="43"/>
      <c r="DK658" s="43"/>
      <c r="DL658" s="43"/>
      <c r="DM658" s="43"/>
      <c r="DN658" s="43"/>
      <c r="DO658" s="43"/>
      <c r="DP658" s="43"/>
      <c r="DQ658" s="43"/>
      <c r="DR658" s="43"/>
      <c r="DS658" s="43"/>
      <c r="DT658" s="43"/>
      <c r="DU658" s="43"/>
      <c r="DV658" s="43"/>
      <c r="DW658" s="43"/>
      <c r="DX658" s="43"/>
      <c r="DY658" s="43"/>
      <c r="DZ658" s="43"/>
      <c r="EA658" s="43"/>
      <c r="EB658" s="43"/>
      <c r="EC658" s="43"/>
      <c r="ED658" s="43"/>
      <c r="EE658" s="43"/>
      <c r="EF658" s="43"/>
      <c r="EG658" s="43"/>
      <c r="EH658" s="43"/>
      <c r="EI658" s="43"/>
      <c r="EJ658" s="43"/>
      <c r="EK658" s="43"/>
      <c r="EL658" s="43"/>
      <c r="EM658" s="43"/>
      <c r="EN658" s="43"/>
      <c r="EO658" s="43"/>
      <c r="EP658" s="43"/>
      <c r="EQ658" s="43"/>
      <c r="ER658" s="43"/>
      <c r="ES658" s="43"/>
      <c r="ET658" s="50"/>
      <c r="EU658" s="50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43"/>
      <c r="CF659" s="43"/>
      <c r="CG659" s="43"/>
      <c r="CH659" s="43"/>
      <c r="CI659" s="43"/>
      <c r="CJ659" s="43"/>
      <c r="CK659" s="43"/>
      <c r="CL659" s="43"/>
      <c r="CM659" s="43"/>
      <c r="CN659" s="43"/>
      <c r="CO659" s="43"/>
      <c r="CP659" s="43"/>
      <c r="CQ659" s="43"/>
      <c r="CR659" s="43"/>
      <c r="CS659" s="43"/>
      <c r="CT659" s="43"/>
      <c r="CU659" s="43"/>
      <c r="CV659" s="43"/>
      <c r="CW659" s="43"/>
      <c r="CX659" s="43"/>
      <c r="CY659" s="43"/>
      <c r="CZ659" s="43"/>
      <c r="DA659" s="43"/>
      <c r="DB659" s="43"/>
      <c r="DC659" s="43"/>
      <c r="DD659" s="43"/>
      <c r="DE659" s="43"/>
      <c r="DF659" s="43"/>
      <c r="DG659" s="43"/>
      <c r="DH659" s="43"/>
      <c r="DI659" s="43"/>
      <c r="DJ659" s="43"/>
      <c r="DK659" s="43"/>
      <c r="DL659" s="43"/>
      <c r="DM659" s="43"/>
      <c r="DN659" s="43"/>
      <c r="DO659" s="43"/>
      <c r="DP659" s="43"/>
      <c r="DQ659" s="43"/>
      <c r="DR659" s="43"/>
      <c r="DS659" s="43"/>
      <c r="DT659" s="43"/>
      <c r="DU659" s="43"/>
      <c r="DV659" s="43"/>
      <c r="DW659" s="43"/>
      <c r="DX659" s="43"/>
      <c r="DY659" s="43"/>
      <c r="DZ659" s="43"/>
      <c r="EA659" s="43"/>
      <c r="EB659" s="43"/>
      <c r="EC659" s="43"/>
      <c r="ED659" s="43"/>
      <c r="EE659" s="43"/>
      <c r="EF659" s="43"/>
      <c r="EG659" s="43"/>
      <c r="EH659" s="43"/>
      <c r="EI659" s="43"/>
      <c r="EJ659" s="43"/>
      <c r="EK659" s="43"/>
      <c r="EL659" s="43"/>
      <c r="EM659" s="43"/>
      <c r="EN659" s="43"/>
      <c r="EO659" s="43"/>
      <c r="EP659" s="43"/>
      <c r="EQ659" s="43"/>
      <c r="ER659" s="43"/>
      <c r="ES659" s="43"/>
      <c r="ET659" s="50"/>
      <c r="EU659" s="50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43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43"/>
      <c r="CF660" s="43"/>
      <c r="CG660" s="43"/>
      <c r="CH660" s="43"/>
      <c r="CI660" s="43"/>
      <c r="CJ660" s="43"/>
      <c r="CK660" s="43"/>
      <c r="CL660" s="43"/>
      <c r="CM660" s="43"/>
      <c r="CN660" s="43"/>
      <c r="CO660" s="43"/>
      <c r="CP660" s="43"/>
      <c r="CQ660" s="43"/>
      <c r="CR660" s="43"/>
      <c r="CS660" s="43"/>
      <c r="CT660" s="43"/>
      <c r="CU660" s="43"/>
      <c r="CV660" s="43"/>
      <c r="CW660" s="43"/>
      <c r="CX660" s="43"/>
      <c r="CY660" s="43"/>
      <c r="CZ660" s="43"/>
      <c r="DA660" s="43"/>
      <c r="DB660" s="43"/>
      <c r="DC660" s="43"/>
      <c r="DD660" s="43"/>
      <c r="DE660" s="43"/>
      <c r="DF660" s="43"/>
      <c r="DG660" s="43"/>
      <c r="DH660" s="43"/>
      <c r="DI660" s="43"/>
      <c r="DJ660" s="43"/>
      <c r="DK660" s="43"/>
      <c r="DL660" s="43"/>
      <c r="DM660" s="43"/>
      <c r="DN660" s="43"/>
      <c r="DO660" s="43"/>
      <c r="DP660" s="43"/>
      <c r="DQ660" s="43"/>
      <c r="DR660" s="43"/>
      <c r="DS660" s="43"/>
      <c r="DT660" s="43"/>
      <c r="DU660" s="43"/>
      <c r="DV660" s="43"/>
      <c r="DW660" s="43"/>
      <c r="DX660" s="43"/>
      <c r="DY660" s="43"/>
      <c r="DZ660" s="43"/>
      <c r="EA660" s="43"/>
      <c r="EB660" s="43"/>
      <c r="EC660" s="43"/>
      <c r="ED660" s="43"/>
      <c r="EE660" s="43"/>
      <c r="EF660" s="43"/>
      <c r="EG660" s="43"/>
      <c r="EH660" s="43"/>
      <c r="EI660" s="43"/>
      <c r="EJ660" s="43"/>
      <c r="EK660" s="43"/>
      <c r="EL660" s="43"/>
      <c r="EM660" s="43"/>
      <c r="EN660" s="43"/>
      <c r="EO660" s="43"/>
      <c r="EP660" s="43"/>
      <c r="EQ660" s="43"/>
      <c r="ER660" s="43"/>
      <c r="ES660" s="43"/>
      <c r="ET660" s="50"/>
      <c r="EU660" s="50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43"/>
      <c r="CF661" s="43"/>
      <c r="CG661" s="43"/>
      <c r="CH661" s="43"/>
      <c r="CI661" s="43"/>
      <c r="CJ661" s="43"/>
      <c r="CK661" s="43"/>
      <c r="CL661" s="43"/>
      <c r="CM661" s="43"/>
      <c r="CN661" s="43"/>
      <c r="CO661" s="43"/>
      <c r="CP661" s="43"/>
      <c r="CQ661" s="43"/>
      <c r="CR661" s="43"/>
      <c r="CS661" s="43"/>
      <c r="CT661" s="43"/>
      <c r="CU661" s="43"/>
      <c r="CV661" s="43"/>
      <c r="CW661" s="43"/>
      <c r="CX661" s="43"/>
      <c r="CY661" s="43"/>
      <c r="CZ661" s="43"/>
      <c r="DA661" s="43"/>
      <c r="DB661" s="43"/>
      <c r="DC661" s="43"/>
      <c r="DD661" s="43"/>
      <c r="DE661" s="43"/>
      <c r="DF661" s="43"/>
      <c r="DG661" s="43"/>
      <c r="DH661" s="43"/>
      <c r="DI661" s="43"/>
      <c r="DJ661" s="43"/>
      <c r="DK661" s="43"/>
      <c r="DL661" s="43"/>
      <c r="DM661" s="43"/>
      <c r="DN661" s="43"/>
      <c r="DO661" s="43"/>
      <c r="DP661" s="43"/>
      <c r="DQ661" s="43"/>
      <c r="DR661" s="43"/>
      <c r="DS661" s="43"/>
      <c r="DT661" s="43"/>
      <c r="DU661" s="43"/>
      <c r="DV661" s="43"/>
      <c r="DW661" s="43"/>
      <c r="DX661" s="43"/>
      <c r="DY661" s="43"/>
      <c r="DZ661" s="43"/>
      <c r="EA661" s="43"/>
      <c r="EB661" s="43"/>
      <c r="EC661" s="43"/>
      <c r="ED661" s="43"/>
      <c r="EE661" s="43"/>
      <c r="EF661" s="43"/>
      <c r="EG661" s="43"/>
      <c r="EH661" s="43"/>
      <c r="EI661" s="43"/>
      <c r="EJ661" s="43"/>
      <c r="EK661" s="43"/>
      <c r="EL661" s="43"/>
      <c r="EM661" s="43"/>
      <c r="EN661" s="43"/>
      <c r="EO661" s="43"/>
      <c r="EP661" s="43"/>
      <c r="EQ661" s="43"/>
      <c r="ER661" s="43"/>
      <c r="ES661" s="43"/>
      <c r="ET661" s="50"/>
      <c r="EU661" s="50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  <c r="CS662" s="43"/>
      <c r="CT662" s="43"/>
      <c r="CU662" s="43"/>
      <c r="CV662" s="43"/>
      <c r="CW662" s="43"/>
      <c r="CX662" s="43"/>
      <c r="CY662" s="43"/>
      <c r="CZ662" s="43"/>
      <c r="DA662" s="43"/>
      <c r="DB662" s="43"/>
      <c r="DC662" s="43"/>
      <c r="DD662" s="43"/>
      <c r="DE662" s="43"/>
      <c r="DF662" s="43"/>
      <c r="DG662" s="43"/>
      <c r="DH662" s="43"/>
      <c r="DI662" s="43"/>
      <c r="DJ662" s="43"/>
      <c r="DK662" s="43"/>
      <c r="DL662" s="43"/>
      <c r="DM662" s="43"/>
      <c r="DN662" s="43"/>
      <c r="DO662" s="43"/>
      <c r="DP662" s="43"/>
      <c r="DQ662" s="43"/>
      <c r="DR662" s="43"/>
      <c r="DS662" s="43"/>
      <c r="DT662" s="43"/>
      <c r="DU662" s="43"/>
      <c r="DV662" s="43"/>
      <c r="DW662" s="43"/>
      <c r="DX662" s="43"/>
      <c r="DY662" s="43"/>
      <c r="DZ662" s="43"/>
      <c r="EA662" s="43"/>
      <c r="EB662" s="43"/>
      <c r="EC662" s="43"/>
      <c r="ED662" s="43"/>
      <c r="EE662" s="43"/>
      <c r="EF662" s="43"/>
      <c r="EG662" s="43"/>
      <c r="EH662" s="43"/>
      <c r="EI662" s="43"/>
      <c r="EJ662" s="43"/>
      <c r="EK662" s="43"/>
      <c r="EL662" s="43"/>
      <c r="EM662" s="43"/>
      <c r="EN662" s="43"/>
      <c r="EO662" s="43"/>
      <c r="EP662" s="43"/>
      <c r="EQ662" s="43"/>
      <c r="ER662" s="43"/>
      <c r="ES662" s="43"/>
      <c r="ET662" s="50"/>
      <c r="EU662" s="50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43"/>
      <c r="CF663" s="43"/>
      <c r="CG663" s="43"/>
      <c r="CH663" s="43"/>
      <c r="CI663" s="43"/>
      <c r="CJ663" s="43"/>
      <c r="CK663" s="43"/>
      <c r="CL663" s="43"/>
      <c r="CM663" s="43"/>
      <c r="CN663" s="43"/>
      <c r="CO663" s="43"/>
      <c r="CP663" s="43"/>
      <c r="CQ663" s="43"/>
      <c r="CR663" s="43"/>
      <c r="CS663" s="43"/>
      <c r="CT663" s="43"/>
      <c r="CU663" s="43"/>
      <c r="CV663" s="43"/>
      <c r="CW663" s="43"/>
      <c r="CX663" s="43"/>
      <c r="CY663" s="43"/>
      <c r="CZ663" s="43"/>
      <c r="DA663" s="43"/>
      <c r="DB663" s="43"/>
      <c r="DC663" s="43"/>
      <c r="DD663" s="43"/>
      <c r="DE663" s="43"/>
      <c r="DF663" s="43"/>
      <c r="DG663" s="43"/>
      <c r="DH663" s="43"/>
      <c r="DI663" s="43"/>
      <c r="DJ663" s="43"/>
      <c r="DK663" s="43"/>
      <c r="DL663" s="43"/>
      <c r="DM663" s="43"/>
      <c r="DN663" s="43"/>
      <c r="DO663" s="43"/>
      <c r="DP663" s="43"/>
      <c r="DQ663" s="43"/>
      <c r="DR663" s="43"/>
      <c r="DS663" s="43"/>
      <c r="DT663" s="43"/>
      <c r="DU663" s="43"/>
      <c r="DV663" s="43"/>
      <c r="DW663" s="43"/>
      <c r="DX663" s="43"/>
      <c r="DY663" s="43"/>
      <c r="DZ663" s="43"/>
      <c r="EA663" s="43"/>
      <c r="EB663" s="43"/>
      <c r="EC663" s="43"/>
      <c r="ED663" s="43"/>
      <c r="EE663" s="43"/>
      <c r="EF663" s="43"/>
      <c r="EG663" s="43"/>
      <c r="EH663" s="43"/>
      <c r="EI663" s="43"/>
      <c r="EJ663" s="43"/>
      <c r="EK663" s="43"/>
      <c r="EL663" s="43"/>
      <c r="EM663" s="43"/>
      <c r="EN663" s="43"/>
      <c r="EO663" s="43"/>
      <c r="EP663" s="43"/>
      <c r="EQ663" s="43"/>
      <c r="ER663" s="43"/>
      <c r="ES663" s="43"/>
      <c r="ET663" s="50"/>
      <c r="EU663" s="50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43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43"/>
      <c r="CF664" s="43"/>
      <c r="CG664" s="43"/>
      <c r="CH664" s="43"/>
      <c r="CI664" s="43"/>
      <c r="CJ664" s="43"/>
      <c r="CK664" s="43"/>
      <c r="CL664" s="43"/>
      <c r="CM664" s="43"/>
      <c r="CN664" s="43"/>
      <c r="CO664" s="43"/>
      <c r="CP664" s="43"/>
      <c r="CQ664" s="43"/>
      <c r="CR664" s="43"/>
      <c r="CS664" s="43"/>
      <c r="CT664" s="43"/>
      <c r="CU664" s="43"/>
      <c r="CV664" s="43"/>
      <c r="CW664" s="43"/>
      <c r="CX664" s="43"/>
      <c r="CY664" s="43"/>
      <c r="CZ664" s="43"/>
      <c r="DA664" s="43"/>
      <c r="DB664" s="43"/>
      <c r="DC664" s="43"/>
      <c r="DD664" s="43"/>
      <c r="DE664" s="43"/>
      <c r="DF664" s="43"/>
      <c r="DG664" s="43"/>
      <c r="DH664" s="43"/>
      <c r="DI664" s="43"/>
      <c r="DJ664" s="43"/>
      <c r="DK664" s="43"/>
      <c r="DL664" s="43"/>
      <c r="DM664" s="43"/>
      <c r="DN664" s="43"/>
      <c r="DO664" s="43"/>
      <c r="DP664" s="43"/>
      <c r="DQ664" s="43"/>
      <c r="DR664" s="43"/>
      <c r="DS664" s="43"/>
      <c r="DT664" s="43"/>
      <c r="DU664" s="43"/>
      <c r="DV664" s="43"/>
      <c r="DW664" s="43"/>
      <c r="DX664" s="43"/>
      <c r="DY664" s="43"/>
      <c r="DZ664" s="43"/>
      <c r="EA664" s="43"/>
      <c r="EB664" s="43"/>
      <c r="EC664" s="43"/>
      <c r="ED664" s="43"/>
      <c r="EE664" s="43"/>
      <c r="EF664" s="43"/>
      <c r="EG664" s="43"/>
      <c r="EH664" s="43"/>
      <c r="EI664" s="43"/>
      <c r="EJ664" s="43"/>
      <c r="EK664" s="43"/>
      <c r="EL664" s="43"/>
      <c r="EM664" s="43"/>
      <c r="EN664" s="43"/>
      <c r="EO664" s="43"/>
      <c r="EP664" s="43"/>
      <c r="EQ664" s="43"/>
      <c r="ER664" s="43"/>
      <c r="ES664" s="43"/>
      <c r="ET664" s="50"/>
      <c r="EU664" s="50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  <c r="CS665" s="43"/>
      <c r="CT665" s="43"/>
      <c r="CU665" s="43"/>
      <c r="CV665" s="43"/>
      <c r="CW665" s="43"/>
      <c r="CX665" s="43"/>
      <c r="CY665" s="43"/>
      <c r="CZ665" s="43"/>
      <c r="DA665" s="43"/>
      <c r="DB665" s="43"/>
      <c r="DC665" s="43"/>
      <c r="DD665" s="43"/>
      <c r="DE665" s="43"/>
      <c r="DF665" s="43"/>
      <c r="DG665" s="43"/>
      <c r="DH665" s="43"/>
      <c r="DI665" s="43"/>
      <c r="DJ665" s="43"/>
      <c r="DK665" s="43"/>
      <c r="DL665" s="43"/>
      <c r="DM665" s="43"/>
      <c r="DN665" s="43"/>
      <c r="DO665" s="43"/>
      <c r="DP665" s="43"/>
      <c r="DQ665" s="43"/>
      <c r="DR665" s="43"/>
      <c r="DS665" s="43"/>
      <c r="DT665" s="43"/>
      <c r="DU665" s="43"/>
      <c r="DV665" s="43"/>
      <c r="DW665" s="43"/>
      <c r="DX665" s="43"/>
      <c r="DY665" s="43"/>
      <c r="DZ665" s="43"/>
      <c r="EA665" s="43"/>
      <c r="EB665" s="43"/>
      <c r="EC665" s="43"/>
      <c r="ED665" s="43"/>
      <c r="EE665" s="43"/>
      <c r="EF665" s="43"/>
      <c r="EG665" s="43"/>
      <c r="EH665" s="43"/>
      <c r="EI665" s="43"/>
      <c r="EJ665" s="43"/>
      <c r="EK665" s="43"/>
      <c r="EL665" s="43"/>
      <c r="EM665" s="43"/>
      <c r="EN665" s="43"/>
      <c r="EO665" s="43"/>
      <c r="EP665" s="43"/>
      <c r="EQ665" s="43"/>
      <c r="ER665" s="43"/>
      <c r="ES665" s="43"/>
      <c r="ET665" s="50"/>
      <c r="EU665" s="50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43"/>
      <c r="CF666" s="43"/>
      <c r="CG666" s="43"/>
      <c r="CH666" s="43"/>
      <c r="CI666" s="43"/>
      <c r="CJ666" s="43"/>
      <c r="CK666" s="43"/>
      <c r="CL666" s="43"/>
      <c r="CM666" s="43"/>
      <c r="CN666" s="43"/>
      <c r="CO666" s="43"/>
      <c r="CP666" s="43"/>
      <c r="CQ666" s="43"/>
      <c r="CR666" s="43"/>
      <c r="CS666" s="43"/>
      <c r="CT666" s="43"/>
      <c r="CU666" s="43"/>
      <c r="CV666" s="43"/>
      <c r="CW666" s="43"/>
      <c r="CX666" s="43"/>
      <c r="CY666" s="43"/>
      <c r="CZ666" s="43"/>
      <c r="DA666" s="43"/>
      <c r="DB666" s="43"/>
      <c r="DC666" s="43"/>
      <c r="DD666" s="43"/>
      <c r="DE666" s="43"/>
      <c r="DF666" s="43"/>
      <c r="DG666" s="43"/>
      <c r="DH666" s="43"/>
      <c r="DI666" s="43"/>
      <c r="DJ666" s="43"/>
      <c r="DK666" s="43"/>
      <c r="DL666" s="43"/>
      <c r="DM666" s="43"/>
      <c r="DN666" s="43"/>
      <c r="DO666" s="43"/>
      <c r="DP666" s="43"/>
      <c r="DQ666" s="43"/>
      <c r="DR666" s="43"/>
      <c r="DS666" s="43"/>
      <c r="DT666" s="43"/>
      <c r="DU666" s="43"/>
      <c r="DV666" s="43"/>
      <c r="DW666" s="43"/>
      <c r="DX666" s="43"/>
      <c r="DY666" s="43"/>
      <c r="DZ666" s="43"/>
      <c r="EA666" s="43"/>
      <c r="EB666" s="43"/>
      <c r="EC666" s="43"/>
      <c r="ED666" s="43"/>
      <c r="EE666" s="43"/>
      <c r="EF666" s="43"/>
      <c r="EG666" s="43"/>
      <c r="EH666" s="43"/>
      <c r="EI666" s="43"/>
      <c r="EJ666" s="43"/>
      <c r="EK666" s="43"/>
      <c r="EL666" s="43"/>
      <c r="EM666" s="43"/>
      <c r="EN666" s="43"/>
      <c r="EO666" s="43"/>
      <c r="EP666" s="43"/>
      <c r="EQ666" s="43"/>
      <c r="ER666" s="43"/>
      <c r="ES666" s="43"/>
      <c r="ET666" s="50"/>
      <c r="EU666" s="50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43"/>
      <c r="CF667" s="43"/>
      <c r="CG667" s="43"/>
      <c r="CH667" s="43"/>
      <c r="CI667" s="43"/>
      <c r="CJ667" s="43"/>
      <c r="CK667" s="43"/>
      <c r="CL667" s="43"/>
      <c r="CM667" s="43"/>
      <c r="CN667" s="43"/>
      <c r="CO667" s="43"/>
      <c r="CP667" s="43"/>
      <c r="CQ667" s="43"/>
      <c r="CR667" s="43"/>
      <c r="CS667" s="43"/>
      <c r="CT667" s="43"/>
      <c r="CU667" s="43"/>
      <c r="CV667" s="43"/>
      <c r="CW667" s="43"/>
      <c r="CX667" s="43"/>
      <c r="CY667" s="43"/>
      <c r="CZ667" s="43"/>
      <c r="DA667" s="43"/>
      <c r="DB667" s="43"/>
      <c r="DC667" s="43"/>
      <c r="DD667" s="43"/>
      <c r="DE667" s="43"/>
      <c r="DF667" s="43"/>
      <c r="DG667" s="43"/>
      <c r="DH667" s="43"/>
      <c r="DI667" s="43"/>
      <c r="DJ667" s="43"/>
      <c r="DK667" s="43"/>
      <c r="DL667" s="43"/>
      <c r="DM667" s="43"/>
      <c r="DN667" s="43"/>
      <c r="DO667" s="43"/>
      <c r="DP667" s="43"/>
      <c r="DQ667" s="43"/>
      <c r="DR667" s="43"/>
      <c r="DS667" s="43"/>
      <c r="DT667" s="43"/>
      <c r="DU667" s="43"/>
      <c r="DV667" s="43"/>
      <c r="DW667" s="43"/>
      <c r="DX667" s="43"/>
      <c r="DY667" s="43"/>
      <c r="DZ667" s="43"/>
      <c r="EA667" s="43"/>
      <c r="EB667" s="43"/>
      <c r="EC667" s="43"/>
      <c r="ED667" s="43"/>
      <c r="EE667" s="43"/>
      <c r="EF667" s="43"/>
      <c r="EG667" s="43"/>
      <c r="EH667" s="43"/>
      <c r="EI667" s="43"/>
      <c r="EJ667" s="43"/>
      <c r="EK667" s="43"/>
      <c r="EL667" s="43"/>
      <c r="EM667" s="43"/>
      <c r="EN667" s="43"/>
      <c r="EO667" s="43"/>
      <c r="EP667" s="43"/>
      <c r="EQ667" s="43"/>
      <c r="ER667" s="43"/>
      <c r="ES667" s="43"/>
      <c r="ET667" s="50"/>
      <c r="EU667" s="50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43"/>
      <c r="CF668" s="43"/>
      <c r="CG668" s="43"/>
      <c r="CH668" s="43"/>
      <c r="CI668" s="43"/>
      <c r="CJ668" s="43"/>
      <c r="CK668" s="43"/>
      <c r="CL668" s="43"/>
      <c r="CM668" s="43"/>
      <c r="CN668" s="43"/>
      <c r="CO668" s="43"/>
      <c r="CP668" s="43"/>
      <c r="CQ668" s="43"/>
      <c r="CR668" s="43"/>
      <c r="CS668" s="43"/>
      <c r="CT668" s="43"/>
      <c r="CU668" s="43"/>
      <c r="CV668" s="43"/>
      <c r="CW668" s="43"/>
      <c r="CX668" s="43"/>
      <c r="CY668" s="43"/>
      <c r="CZ668" s="43"/>
      <c r="DA668" s="43"/>
      <c r="DB668" s="43"/>
      <c r="DC668" s="43"/>
      <c r="DD668" s="43"/>
      <c r="DE668" s="43"/>
      <c r="DF668" s="43"/>
      <c r="DG668" s="43"/>
      <c r="DH668" s="43"/>
      <c r="DI668" s="43"/>
      <c r="DJ668" s="43"/>
      <c r="DK668" s="43"/>
      <c r="DL668" s="43"/>
      <c r="DM668" s="43"/>
      <c r="DN668" s="43"/>
      <c r="DO668" s="43"/>
      <c r="DP668" s="43"/>
      <c r="DQ668" s="43"/>
      <c r="DR668" s="43"/>
      <c r="DS668" s="43"/>
      <c r="DT668" s="43"/>
      <c r="DU668" s="43"/>
      <c r="DV668" s="43"/>
      <c r="DW668" s="43"/>
      <c r="DX668" s="43"/>
      <c r="DY668" s="43"/>
      <c r="DZ668" s="43"/>
      <c r="EA668" s="43"/>
      <c r="EB668" s="43"/>
      <c r="EC668" s="43"/>
      <c r="ED668" s="43"/>
      <c r="EE668" s="43"/>
      <c r="EF668" s="43"/>
      <c r="EG668" s="43"/>
      <c r="EH668" s="43"/>
      <c r="EI668" s="43"/>
      <c r="EJ668" s="43"/>
      <c r="EK668" s="43"/>
      <c r="EL668" s="43"/>
      <c r="EM668" s="43"/>
      <c r="EN668" s="43"/>
      <c r="EO668" s="43"/>
      <c r="EP668" s="43"/>
      <c r="EQ668" s="43"/>
      <c r="ER668" s="43"/>
      <c r="ES668" s="43"/>
      <c r="ET668" s="50"/>
      <c r="EU668" s="50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43"/>
      <c r="CF669" s="43"/>
      <c r="CG669" s="43"/>
      <c r="CH669" s="43"/>
      <c r="CI669" s="43"/>
      <c r="CJ669" s="43"/>
      <c r="CK669" s="43"/>
      <c r="CL669" s="43"/>
      <c r="CM669" s="43"/>
      <c r="CN669" s="43"/>
      <c r="CO669" s="43"/>
      <c r="CP669" s="43"/>
      <c r="CQ669" s="43"/>
      <c r="CR669" s="43"/>
      <c r="CS669" s="43"/>
      <c r="CT669" s="43"/>
      <c r="CU669" s="43"/>
      <c r="CV669" s="43"/>
      <c r="CW669" s="43"/>
      <c r="CX669" s="43"/>
      <c r="CY669" s="43"/>
      <c r="CZ669" s="43"/>
      <c r="DA669" s="43"/>
      <c r="DB669" s="43"/>
      <c r="DC669" s="43"/>
      <c r="DD669" s="43"/>
      <c r="DE669" s="43"/>
      <c r="DF669" s="43"/>
      <c r="DG669" s="43"/>
      <c r="DH669" s="43"/>
      <c r="DI669" s="43"/>
      <c r="DJ669" s="43"/>
      <c r="DK669" s="43"/>
      <c r="DL669" s="43"/>
      <c r="DM669" s="43"/>
      <c r="DN669" s="43"/>
      <c r="DO669" s="43"/>
      <c r="DP669" s="43"/>
      <c r="DQ669" s="43"/>
      <c r="DR669" s="43"/>
      <c r="DS669" s="43"/>
      <c r="DT669" s="43"/>
      <c r="DU669" s="43"/>
      <c r="DV669" s="43"/>
      <c r="DW669" s="43"/>
      <c r="DX669" s="43"/>
      <c r="DY669" s="43"/>
      <c r="DZ669" s="43"/>
      <c r="EA669" s="43"/>
      <c r="EB669" s="43"/>
      <c r="EC669" s="43"/>
      <c r="ED669" s="43"/>
      <c r="EE669" s="43"/>
      <c r="EF669" s="43"/>
      <c r="EG669" s="43"/>
      <c r="EH669" s="43"/>
      <c r="EI669" s="43"/>
      <c r="EJ669" s="43"/>
      <c r="EK669" s="43"/>
      <c r="EL669" s="43"/>
      <c r="EM669" s="43"/>
      <c r="EN669" s="43"/>
      <c r="EO669" s="43"/>
      <c r="EP669" s="43"/>
      <c r="EQ669" s="43"/>
      <c r="ER669" s="43"/>
      <c r="ES669" s="43"/>
      <c r="ET669" s="50"/>
      <c r="EU669" s="50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43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43"/>
      <c r="CF670" s="43"/>
      <c r="CG670" s="43"/>
      <c r="CH670" s="43"/>
      <c r="CI670" s="43"/>
      <c r="CJ670" s="43"/>
      <c r="CK670" s="43"/>
      <c r="CL670" s="43"/>
      <c r="CM670" s="43"/>
      <c r="CN670" s="43"/>
      <c r="CO670" s="43"/>
      <c r="CP670" s="43"/>
      <c r="CQ670" s="43"/>
      <c r="CR670" s="43"/>
      <c r="CS670" s="43"/>
      <c r="CT670" s="43"/>
      <c r="CU670" s="43"/>
      <c r="CV670" s="43"/>
      <c r="CW670" s="43"/>
      <c r="CX670" s="43"/>
      <c r="CY670" s="43"/>
      <c r="CZ670" s="43"/>
      <c r="DA670" s="43"/>
      <c r="DB670" s="43"/>
      <c r="DC670" s="43"/>
      <c r="DD670" s="43"/>
      <c r="DE670" s="43"/>
      <c r="DF670" s="43"/>
      <c r="DG670" s="43"/>
      <c r="DH670" s="43"/>
      <c r="DI670" s="43"/>
      <c r="DJ670" s="43"/>
      <c r="DK670" s="43"/>
      <c r="DL670" s="43"/>
      <c r="DM670" s="43"/>
      <c r="DN670" s="43"/>
      <c r="DO670" s="43"/>
      <c r="DP670" s="43"/>
      <c r="DQ670" s="43"/>
      <c r="DR670" s="43"/>
      <c r="DS670" s="43"/>
      <c r="DT670" s="43"/>
      <c r="DU670" s="43"/>
      <c r="DV670" s="43"/>
      <c r="DW670" s="43"/>
      <c r="DX670" s="43"/>
      <c r="DY670" s="43"/>
      <c r="DZ670" s="43"/>
      <c r="EA670" s="43"/>
      <c r="EB670" s="43"/>
      <c r="EC670" s="43"/>
      <c r="ED670" s="43"/>
      <c r="EE670" s="43"/>
      <c r="EF670" s="43"/>
      <c r="EG670" s="43"/>
      <c r="EH670" s="43"/>
      <c r="EI670" s="43"/>
      <c r="EJ670" s="43"/>
      <c r="EK670" s="43"/>
      <c r="EL670" s="43"/>
      <c r="EM670" s="43"/>
      <c r="EN670" s="43"/>
      <c r="EO670" s="43"/>
      <c r="EP670" s="43"/>
      <c r="EQ670" s="43"/>
      <c r="ER670" s="43"/>
      <c r="ES670" s="43"/>
      <c r="ET670" s="50"/>
      <c r="EU670" s="50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43"/>
      <c r="CF671" s="43"/>
      <c r="CG671" s="43"/>
      <c r="CH671" s="43"/>
      <c r="CI671" s="43"/>
      <c r="CJ671" s="43"/>
      <c r="CK671" s="43"/>
      <c r="CL671" s="43"/>
      <c r="CM671" s="43"/>
      <c r="CN671" s="43"/>
      <c r="CO671" s="43"/>
      <c r="CP671" s="43"/>
      <c r="CQ671" s="43"/>
      <c r="CR671" s="43"/>
      <c r="CS671" s="43"/>
      <c r="CT671" s="43"/>
      <c r="CU671" s="43"/>
      <c r="CV671" s="43"/>
      <c r="CW671" s="43"/>
      <c r="CX671" s="43"/>
      <c r="CY671" s="43"/>
      <c r="CZ671" s="43"/>
      <c r="DA671" s="43"/>
      <c r="DB671" s="43"/>
      <c r="DC671" s="43"/>
      <c r="DD671" s="43"/>
      <c r="DE671" s="43"/>
      <c r="DF671" s="43"/>
      <c r="DG671" s="43"/>
      <c r="DH671" s="43"/>
      <c r="DI671" s="43"/>
      <c r="DJ671" s="43"/>
      <c r="DK671" s="43"/>
      <c r="DL671" s="43"/>
      <c r="DM671" s="43"/>
      <c r="DN671" s="43"/>
      <c r="DO671" s="43"/>
      <c r="DP671" s="43"/>
      <c r="DQ671" s="43"/>
      <c r="DR671" s="43"/>
      <c r="DS671" s="43"/>
      <c r="DT671" s="43"/>
      <c r="DU671" s="43"/>
      <c r="DV671" s="43"/>
      <c r="DW671" s="43"/>
      <c r="DX671" s="43"/>
      <c r="DY671" s="43"/>
      <c r="DZ671" s="43"/>
      <c r="EA671" s="43"/>
      <c r="EB671" s="43"/>
      <c r="EC671" s="43"/>
      <c r="ED671" s="43"/>
      <c r="EE671" s="43"/>
      <c r="EF671" s="43"/>
      <c r="EG671" s="43"/>
      <c r="EH671" s="43"/>
      <c r="EI671" s="43"/>
      <c r="EJ671" s="43"/>
      <c r="EK671" s="43"/>
      <c r="EL671" s="43"/>
      <c r="EM671" s="43"/>
      <c r="EN671" s="43"/>
      <c r="EO671" s="43"/>
      <c r="EP671" s="43"/>
      <c r="EQ671" s="43"/>
      <c r="ER671" s="43"/>
      <c r="ES671" s="43"/>
      <c r="ET671" s="50"/>
      <c r="EU671" s="50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43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43"/>
      <c r="CF672" s="43"/>
      <c r="CG672" s="43"/>
      <c r="CH672" s="43"/>
      <c r="CI672" s="43"/>
      <c r="CJ672" s="43"/>
      <c r="CK672" s="43"/>
      <c r="CL672" s="43"/>
      <c r="CM672" s="43"/>
      <c r="CN672" s="43"/>
      <c r="CO672" s="43"/>
      <c r="CP672" s="43"/>
      <c r="CQ672" s="43"/>
      <c r="CR672" s="43"/>
      <c r="CS672" s="43"/>
      <c r="CT672" s="43"/>
      <c r="CU672" s="43"/>
      <c r="CV672" s="43"/>
      <c r="CW672" s="43"/>
      <c r="CX672" s="43"/>
      <c r="CY672" s="43"/>
      <c r="CZ672" s="43"/>
      <c r="DA672" s="43"/>
      <c r="DB672" s="43"/>
      <c r="DC672" s="43"/>
      <c r="DD672" s="43"/>
      <c r="DE672" s="43"/>
      <c r="DF672" s="43"/>
      <c r="DG672" s="43"/>
      <c r="DH672" s="43"/>
      <c r="DI672" s="43"/>
      <c r="DJ672" s="43"/>
      <c r="DK672" s="43"/>
      <c r="DL672" s="43"/>
      <c r="DM672" s="43"/>
      <c r="DN672" s="43"/>
      <c r="DO672" s="43"/>
      <c r="DP672" s="43"/>
      <c r="DQ672" s="43"/>
      <c r="DR672" s="43"/>
      <c r="DS672" s="43"/>
      <c r="DT672" s="43"/>
      <c r="DU672" s="43"/>
      <c r="DV672" s="43"/>
      <c r="DW672" s="43"/>
      <c r="DX672" s="43"/>
      <c r="DY672" s="43"/>
      <c r="DZ672" s="43"/>
      <c r="EA672" s="43"/>
      <c r="EB672" s="43"/>
      <c r="EC672" s="43"/>
      <c r="ED672" s="43"/>
      <c r="EE672" s="43"/>
      <c r="EF672" s="43"/>
      <c r="EG672" s="43"/>
      <c r="EH672" s="43"/>
      <c r="EI672" s="43"/>
      <c r="EJ672" s="43"/>
      <c r="EK672" s="43"/>
      <c r="EL672" s="43"/>
      <c r="EM672" s="43"/>
      <c r="EN672" s="43"/>
      <c r="EO672" s="43"/>
      <c r="EP672" s="43"/>
      <c r="EQ672" s="43"/>
      <c r="ER672" s="43"/>
      <c r="ES672" s="43"/>
      <c r="ET672" s="50"/>
      <c r="EU672" s="50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  <c r="CS673" s="43"/>
      <c r="CT673" s="43"/>
      <c r="CU673" s="43"/>
      <c r="CV673" s="43"/>
      <c r="CW673" s="43"/>
      <c r="CX673" s="43"/>
      <c r="CY673" s="43"/>
      <c r="CZ673" s="43"/>
      <c r="DA673" s="43"/>
      <c r="DB673" s="43"/>
      <c r="DC673" s="43"/>
      <c r="DD673" s="43"/>
      <c r="DE673" s="43"/>
      <c r="DF673" s="43"/>
      <c r="DG673" s="43"/>
      <c r="DH673" s="43"/>
      <c r="DI673" s="43"/>
      <c r="DJ673" s="43"/>
      <c r="DK673" s="43"/>
      <c r="DL673" s="43"/>
      <c r="DM673" s="43"/>
      <c r="DN673" s="43"/>
      <c r="DO673" s="43"/>
      <c r="DP673" s="43"/>
      <c r="DQ673" s="43"/>
      <c r="DR673" s="43"/>
      <c r="DS673" s="43"/>
      <c r="DT673" s="43"/>
      <c r="DU673" s="43"/>
      <c r="DV673" s="43"/>
      <c r="DW673" s="43"/>
      <c r="DX673" s="43"/>
      <c r="DY673" s="43"/>
      <c r="DZ673" s="43"/>
      <c r="EA673" s="43"/>
      <c r="EB673" s="43"/>
      <c r="EC673" s="43"/>
      <c r="ED673" s="43"/>
      <c r="EE673" s="43"/>
      <c r="EF673" s="43"/>
      <c r="EG673" s="43"/>
      <c r="EH673" s="43"/>
      <c r="EI673" s="43"/>
      <c r="EJ673" s="43"/>
      <c r="EK673" s="43"/>
      <c r="EL673" s="43"/>
      <c r="EM673" s="43"/>
      <c r="EN673" s="43"/>
      <c r="EO673" s="43"/>
      <c r="EP673" s="43"/>
      <c r="EQ673" s="43"/>
      <c r="ER673" s="43"/>
      <c r="ES673" s="43"/>
      <c r="ET673" s="50"/>
      <c r="EU673" s="50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  <c r="CV674" s="43"/>
      <c r="CW674" s="43"/>
      <c r="CX674" s="43"/>
      <c r="CY674" s="43"/>
      <c r="CZ674" s="43"/>
      <c r="DA674" s="43"/>
      <c r="DB674" s="43"/>
      <c r="DC674" s="43"/>
      <c r="DD674" s="43"/>
      <c r="DE674" s="43"/>
      <c r="DF674" s="43"/>
      <c r="DG674" s="43"/>
      <c r="DH674" s="43"/>
      <c r="DI674" s="43"/>
      <c r="DJ674" s="43"/>
      <c r="DK674" s="43"/>
      <c r="DL674" s="43"/>
      <c r="DM674" s="43"/>
      <c r="DN674" s="43"/>
      <c r="DO674" s="43"/>
      <c r="DP674" s="43"/>
      <c r="DQ674" s="43"/>
      <c r="DR674" s="43"/>
      <c r="DS674" s="43"/>
      <c r="DT674" s="43"/>
      <c r="DU674" s="43"/>
      <c r="DV674" s="43"/>
      <c r="DW674" s="43"/>
      <c r="DX674" s="43"/>
      <c r="DY674" s="43"/>
      <c r="DZ674" s="43"/>
      <c r="EA674" s="43"/>
      <c r="EB674" s="43"/>
      <c r="EC674" s="43"/>
      <c r="ED674" s="43"/>
      <c r="EE674" s="43"/>
      <c r="EF674" s="43"/>
      <c r="EG674" s="43"/>
      <c r="EH674" s="43"/>
      <c r="EI674" s="43"/>
      <c r="EJ674" s="43"/>
      <c r="EK674" s="43"/>
      <c r="EL674" s="43"/>
      <c r="EM674" s="43"/>
      <c r="EN674" s="43"/>
      <c r="EO674" s="43"/>
      <c r="EP674" s="43"/>
      <c r="EQ674" s="43"/>
      <c r="ER674" s="43"/>
      <c r="ES674" s="43"/>
      <c r="ET674" s="50"/>
      <c r="EU674" s="50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43"/>
      <c r="CF675" s="43"/>
      <c r="CG675" s="43"/>
      <c r="CH675" s="43"/>
      <c r="CI675" s="43"/>
      <c r="CJ675" s="43"/>
      <c r="CK675" s="43"/>
      <c r="CL675" s="43"/>
      <c r="CM675" s="43"/>
      <c r="CN675" s="43"/>
      <c r="CO675" s="43"/>
      <c r="CP675" s="43"/>
      <c r="CQ675" s="43"/>
      <c r="CR675" s="43"/>
      <c r="CS675" s="43"/>
      <c r="CT675" s="43"/>
      <c r="CU675" s="43"/>
      <c r="CV675" s="43"/>
      <c r="CW675" s="43"/>
      <c r="CX675" s="43"/>
      <c r="CY675" s="43"/>
      <c r="CZ675" s="43"/>
      <c r="DA675" s="43"/>
      <c r="DB675" s="43"/>
      <c r="DC675" s="43"/>
      <c r="DD675" s="43"/>
      <c r="DE675" s="43"/>
      <c r="DF675" s="43"/>
      <c r="DG675" s="43"/>
      <c r="DH675" s="43"/>
      <c r="DI675" s="43"/>
      <c r="DJ675" s="43"/>
      <c r="DK675" s="43"/>
      <c r="DL675" s="43"/>
      <c r="DM675" s="43"/>
      <c r="DN675" s="43"/>
      <c r="DO675" s="43"/>
      <c r="DP675" s="43"/>
      <c r="DQ675" s="43"/>
      <c r="DR675" s="43"/>
      <c r="DS675" s="43"/>
      <c r="DT675" s="43"/>
      <c r="DU675" s="43"/>
      <c r="DV675" s="43"/>
      <c r="DW675" s="43"/>
      <c r="DX675" s="43"/>
      <c r="DY675" s="43"/>
      <c r="DZ675" s="43"/>
      <c r="EA675" s="43"/>
      <c r="EB675" s="43"/>
      <c r="EC675" s="43"/>
      <c r="ED675" s="43"/>
      <c r="EE675" s="43"/>
      <c r="EF675" s="43"/>
      <c r="EG675" s="43"/>
      <c r="EH675" s="43"/>
      <c r="EI675" s="43"/>
      <c r="EJ675" s="43"/>
      <c r="EK675" s="43"/>
      <c r="EL675" s="43"/>
      <c r="EM675" s="43"/>
      <c r="EN675" s="43"/>
      <c r="EO675" s="43"/>
      <c r="EP675" s="43"/>
      <c r="EQ675" s="43"/>
      <c r="ER675" s="43"/>
      <c r="ES675" s="43"/>
      <c r="ET675" s="50"/>
      <c r="EU675" s="50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43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43"/>
      <c r="CF676" s="43"/>
      <c r="CG676" s="43"/>
      <c r="CH676" s="43"/>
      <c r="CI676" s="43"/>
      <c r="CJ676" s="43"/>
      <c r="CK676" s="43"/>
      <c r="CL676" s="43"/>
      <c r="CM676" s="43"/>
      <c r="CN676" s="43"/>
      <c r="CO676" s="43"/>
      <c r="CP676" s="43"/>
      <c r="CQ676" s="43"/>
      <c r="CR676" s="43"/>
      <c r="CS676" s="43"/>
      <c r="CT676" s="43"/>
      <c r="CU676" s="43"/>
      <c r="CV676" s="43"/>
      <c r="CW676" s="43"/>
      <c r="CX676" s="43"/>
      <c r="CY676" s="43"/>
      <c r="CZ676" s="43"/>
      <c r="DA676" s="43"/>
      <c r="DB676" s="43"/>
      <c r="DC676" s="43"/>
      <c r="DD676" s="43"/>
      <c r="DE676" s="43"/>
      <c r="DF676" s="43"/>
      <c r="DG676" s="43"/>
      <c r="DH676" s="43"/>
      <c r="DI676" s="43"/>
      <c r="DJ676" s="43"/>
      <c r="DK676" s="43"/>
      <c r="DL676" s="43"/>
      <c r="DM676" s="43"/>
      <c r="DN676" s="43"/>
      <c r="DO676" s="43"/>
      <c r="DP676" s="43"/>
      <c r="DQ676" s="43"/>
      <c r="DR676" s="43"/>
      <c r="DS676" s="43"/>
      <c r="DT676" s="43"/>
      <c r="DU676" s="43"/>
      <c r="DV676" s="43"/>
      <c r="DW676" s="43"/>
      <c r="DX676" s="43"/>
      <c r="DY676" s="43"/>
      <c r="DZ676" s="43"/>
      <c r="EA676" s="43"/>
      <c r="EB676" s="43"/>
      <c r="EC676" s="43"/>
      <c r="ED676" s="43"/>
      <c r="EE676" s="43"/>
      <c r="EF676" s="43"/>
      <c r="EG676" s="43"/>
      <c r="EH676" s="43"/>
      <c r="EI676" s="43"/>
      <c r="EJ676" s="43"/>
      <c r="EK676" s="43"/>
      <c r="EL676" s="43"/>
      <c r="EM676" s="43"/>
      <c r="EN676" s="43"/>
      <c r="EO676" s="43"/>
      <c r="EP676" s="43"/>
      <c r="EQ676" s="43"/>
      <c r="ER676" s="43"/>
      <c r="ES676" s="43"/>
      <c r="ET676" s="50"/>
      <c r="EU676" s="50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  <c r="CS677" s="43"/>
      <c r="CT677" s="43"/>
      <c r="CU677" s="43"/>
      <c r="CV677" s="43"/>
      <c r="CW677" s="43"/>
      <c r="CX677" s="43"/>
      <c r="CY677" s="43"/>
      <c r="CZ677" s="43"/>
      <c r="DA677" s="43"/>
      <c r="DB677" s="43"/>
      <c r="DC677" s="43"/>
      <c r="DD677" s="43"/>
      <c r="DE677" s="43"/>
      <c r="DF677" s="43"/>
      <c r="DG677" s="43"/>
      <c r="DH677" s="43"/>
      <c r="DI677" s="43"/>
      <c r="DJ677" s="43"/>
      <c r="DK677" s="43"/>
      <c r="DL677" s="43"/>
      <c r="DM677" s="43"/>
      <c r="DN677" s="43"/>
      <c r="DO677" s="43"/>
      <c r="DP677" s="43"/>
      <c r="DQ677" s="43"/>
      <c r="DR677" s="43"/>
      <c r="DS677" s="43"/>
      <c r="DT677" s="43"/>
      <c r="DU677" s="43"/>
      <c r="DV677" s="43"/>
      <c r="DW677" s="43"/>
      <c r="DX677" s="43"/>
      <c r="DY677" s="43"/>
      <c r="DZ677" s="43"/>
      <c r="EA677" s="43"/>
      <c r="EB677" s="43"/>
      <c r="EC677" s="43"/>
      <c r="ED677" s="43"/>
      <c r="EE677" s="43"/>
      <c r="EF677" s="43"/>
      <c r="EG677" s="43"/>
      <c r="EH677" s="43"/>
      <c r="EI677" s="43"/>
      <c r="EJ677" s="43"/>
      <c r="EK677" s="43"/>
      <c r="EL677" s="43"/>
      <c r="EM677" s="43"/>
      <c r="EN677" s="43"/>
      <c r="EO677" s="43"/>
      <c r="EP677" s="43"/>
      <c r="EQ677" s="43"/>
      <c r="ER677" s="43"/>
      <c r="ES677" s="43"/>
      <c r="ET677" s="50"/>
      <c r="EU677" s="50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43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43"/>
      <c r="CF678" s="43"/>
      <c r="CG678" s="43"/>
      <c r="CH678" s="43"/>
      <c r="CI678" s="43"/>
      <c r="CJ678" s="43"/>
      <c r="CK678" s="43"/>
      <c r="CL678" s="43"/>
      <c r="CM678" s="43"/>
      <c r="CN678" s="43"/>
      <c r="CO678" s="43"/>
      <c r="CP678" s="43"/>
      <c r="CQ678" s="43"/>
      <c r="CR678" s="43"/>
      <c r="CS678" s="43"/>
      <c r="CT678" s="43"/>
      <c r="CU678" s="43"/>
      <c r="CV678" s="43"/>
      <c r="CW678" s="43"/>
      <c r="CX678" s="43"/>
      <c r="CY678" s="43"/>
      <c r="CZ678" s="43"/>
      <c r="DA678" s="43"/>
      <c r="DB678" s="43"/>
      <c r="DC678" s="43"/>
      <c r="DD678" s="43"/>
      <c r="DE678" s="43"/>
      <c r="DF678" s="43"/>
      <c r="DG678" s="43"/>
      <c r="DH678" s="43"/>
      <c r="DI678" s="43"/>
      <c r="DJ678" s="43"/>
      <c r="DK678" s="43"/>
      <c r="DL678" s="43"/>
      <c r="DM678" s="43"/>
      <c r="DN678" s="43"/>
      <c r="DO678" s="43"/>
      <c r="DP678" s="43"/>
      <c r="DQ678" s="43"/>
      <c r="DR678" s="43"/>
      <c r="DS678" s="43"/>
      <c r="DT678" s="43"/>
      <c r="DU678" s="43"/>
      <c r="DV678" s="43"/>
      <c r="DW678" s="43"/>
      <c r="DX678" s="43"/>
      <c r="DY678" s="43"/>
      <c r="DZ678" s="43"/>
      <c r="EA678" s="43"/>
      <c r="EB678" s="43"/>
      <c r="EC678" s="43"/>
      <c r="ED678" s="43"/>
      <c r="EE678" s="43"/>
      <c r="EF678" s="43"/>
      <c r="EG678" s="43"/>
      <c r="EH678" s="43"/>
      <c r="EI678" s="43"/>
      <c r="EJ678" s="43"/>
      <c r="EK678" s="43"/>
      <c r="EL678" s="43"/>
      <c r="EM678" s="43"/>
      <c r="EN678" s="43"/>
      <c r="EO678" s="43"/>
      <c r="EP678" s="43"/>
      <c r="EQ678" s="43"/>
      <c r="ER678" s="43"/>
      <c r="ES678" s="43"/>
      <c r="ET678" s="50"/>
      <c r="EU678" s="50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43"/>
      <c r="CF679" s="43"/>
      <c r="CG679" s="43"/>
      <c r="CH679" s="43"/>
      <c r="CI679" s="43"/>
      <c r="CJ679" s="43"/>
      <c r="CK679" s="43"/>
      <c r="CL679" s="43"/>
      <c r="CM679" s="43"/>
      <c r="CN679" s="43"/>
      <c r="CO679" s="43"/>
      <c r="CP679" s="43"/>
      <c r="CQ679" s="43"/>
      <c r="CR679" s="43"/>
      <c r="CS679" s="43"/>
      <c r="CT679" s="43"/>
      <c r="CU679" s="43"/>
      <c r="CV679" s="43"/>
      <c r="CW679" s="43"/>
      <c r="CX679" s="43"/>
      <c r="CY679" s="43"/>
      <c r="CZ679" s="43"/>
      <c r="DA679" s="43"/>
      <c r="DB679" s="43"/>
      <c r="DC679" s="43"/>
      <c r="DD679" s="43"/>
      <c r="DE679" s="43"/>
      <c r="DF679" s="43"/>
      <c r="DG679" s="43"/>
      <c r="DH679" s="43"/>
      <c r="DI679" s="43"/>
      <c r="DJ679" s="43"/>
      <c r="DK679" s="43"/>
      <c r="DL679" s="43"/>
      <c r="DM679" s="43"/>
      <c r="DN679" s="43"/>
      <c r="DO679" s="43"/>
      <c r="DP679" s="43"/>
      <c r="DQ679" s="43"/>
      <c r="DR679" s="43"/>
      <c r="DS679" s="43"/>
      <c r="DT679" s="43"/>
      <c r="DU679" s="43"/>
      <c r="DV679" s="43"/>
      <c r="DW679" s="43"/>
      <c r="DX679" s="43"/>
      <c r="DY679" s="43"/>
      <c r="DZ679" s="43"/>
      <c r="EA679" s="43"/>
      <c r="EB679" s="43"/>
      <c r="EC679" s="43"/>
      <c r="ED679" s="43"/>
      <c r="EE679" s="43"/>
      <c r="EF679" s="43"/>
      <c r="EG679" s="43"/>
      <c r="EH679" s="43"/>
      <c r="EI679" s="43"/>
      <c r="EJ679" s="43"/>
      <c r="EK679" s="43"/>
      <c r="EL679" s="43"/>
      <c r="EM679" s="43"/>
      <c r="EN679" s="43"/>
      <c r="EO679" s="43"/>
      <c r="EP679" s="43"/>
      <c r="EQ679" s="43"/>
      <c r="ER679" s="43"/>
      <c r="ES679" s="43"/>
      <c r="ET679" s="50"/>
      <c r="EU679" s="50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  <c r="CS680" s="43"/>
      <c r="CT680" s="43"/>
      <c r="CU680" s="43"/>
      <c r="CV680" s="43"/>
      <c r="CW680" s="43"/>
      <c r="CX680" s="43"/>
      <c r="CY680" s="43"/>
      <c r="CZ680" s="43"/>
      <c r="DA680" s="43"/>
      <c r="DB680" s="43"/>
      <c r="DC680" s="43"/>
      <c r="DD680" s="43"/>
      <c r="DE680" s="43"/>
      <c r="DF680" s="43"/>
      <c r="DG680" s="43"/>
      <c r="DH680" s="43"/>
      <c r="DI680" s="43"/>
      <c r="DJ680" s="43"/>
      <c r="DK680" s="43"/>
      <c r="DL680" s="43"/>
      <c r="DM680" s="43"/>
      <c r="DN680" s="43"/>
      <c r="DO680" s="43"/>
      <c r="DP680" s="43"/>
      <c r="DQ680" s="43"/>
      <c r="DR680" s="43"/>
      <c r="DS680" s="43"/>
      <c r="DT680" s="43"/>
      <c r="DU680" s="43"/>
      <c r="DV680" s="43"/>
      <c r="DW680" s="43"/>
      <c r="DX680" s="43"/>
      <c r="DY680" s="43"/>
      <c r="DZ680" s="43"/>
      <c r="EA680" s="43"/>
      <c r="EB680" s="43"/>
      <c r="EC680" s="43"/>
      <c r="ED680" s="43"/>
      <c r="EE680" s="43"/>
      <c r="EF680" s="43"/>
      <c r="EG680" s="43"/>
      <c r="EH680" s="43"/>
      <c r="EI680" s="43"/>
      <c r="EJ680" s="43"/>
      <c r="EK680" s="43"/>
      <c r="EL680" s="43"/>
      <c r="EM680" s="43"/>
      <c r="EN680" s="43"/>
      <c r="EO680" s="43"/>
      <c r="EP680" s="43"/>
      <c r="EQ680" s="43"/>
      <c r="ER680" s="43"/>
      <c r="ES680" s="43"/>
      <c r="ET680" s="50"/>
      <c r="EU680" s="50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43"/>
      <c r="CF681" s="43"/>
      <c r="CG681" s="43"/>
      <c r="CH681" s="43"/>
      <c r="CI681" s="43"/>
      <c r="CJ681" s="43"/>
      <c r="CK681" s="43"/>
      <c r="CL681" s="43"/>
      <c r="CM681" s="43"/>
      <c r="CN681" s="43"/>
      <c r="CO681" s="43"/>
      <c r="CP681" s="43"/>
      <c r="CQ681" s="43"/>
      <c r="CR681" s="43"/>
      <c r="CS681" s="43"/>
      <c r="CT681" s="43"/>
      <c r="CU681" s="43"/>
      <c r="CV681" s="43"/>
      <c r="CW681" s="43"/>
      <c r="CX681" s="43"/>
      <c r="CY681" s="43"/>
      <c r="CZ681" s="43"/>
      <c r="DA681" s="43"/>
      <c r="DB681" s="43"/>
      <c r="DC681" s="43"/>
      <c r="DD681" s="43"/>
      <c r="DE681" s="43"/>
      <c r="DF681" s="43"/>
      <c r="DG681" s="43"/>
      <c r="DH681" s="43"/>
      <c r="DI681" s="43"/>
      <c r="DJ681" s="43"/>
      <c r="DK681" s="43"/>
      <c r="DL681" s="43"/>
      <c r="DM681" s="43"/>
      <c r="DN681" s="43"/>
      <c r="DO681" s="43"/>
      <c r="DP681" s="43"/>
      <c r="DQ681" s="43"/>
      <c r="DR681" s="43"/>
      <c r="DS681" s="43"/>
      <c r="DT681" s="43"/>
      <c r="DU681" s="43"/>
      <c r="DV681" s="43"/>
      <c r="DW681" s="43"/>
      <c r="DX681" s="43"/>
      <c r="DY681" s="43"/>
      <c r="DZ681" s="43"/>
      <c r="EA681" s="43"/>
      <c r="EB681" s="43"/>
      <c r="EC681" s="43"/>
      <c r="ED681" s="43"/>
      <c r="EE681" s="43"/>
      <c r="EF681" s="43"/>
      <c r="EG681" s="43"/>
      <c r="EH681" s="43"/>
      <c r="EI681" s="43"/>
      <c r="EJ681" s="43"/>
      <c r="EK681" s="43"/>
      <c r="EL681" s="43"/>
      <c r="EM681" s="43"/>
      <c r="EN681" s="43"/>
      <c r="EO681" s="43"/>
      <c r="EP681" s="43"/>
      <c r="EQ681" s="43"/>
      <c r="ER681" s="43"/>
      <c r="ES681" s="43"/>
      <c r="ET681" s="50"/>
      <c r="EU681" s="50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43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43"/>
      <c r="CF682" s="43"/>
      <c r="CG682" s="43"/>
      <c r="CH682" s="43"/>
      <c r="CI682" s="43"/>
      <c r="CJ682" s="43"/>
      <c r="CK682" s="43"/>
      <c r="CL682" s="43"/>
      <c r="CM682" s="43"/>
      <c r="CN682" s="43"/>
      <c r="CO682" s="43"/>
      <c r="CP682" s="43"/>
      <c r="CQ682" s="43"/>
      <c r="CR682" s="43"/>
      <c r="CS682" s="43"/>
      <c r="CT682" s="43"/>
      <c r="CU682" s="43"/>
      <c r="CV682" s="43"/>
      <c r="CW682" s="43"/>
      <c r="CX682" s="43"/>
      <c r="CY682" s="43"/>
      <c r="CZ682" s="43"/>
      <c r="DA682" s="43"/>
      <c r="DB682" s="43"/>
      <c r="DC682" s="43"/>
      <c r="DD682" s="43"/>
      <c r="DE682" s="43"/>
      <c r="DF682" s="43"/>
      <c r="DG682" s="43"/>
      <c r="DH682" s="43"/>
      <c r="DI682" s="43"/>
      <c r="DJ682" s="43"/>
      <c r="DK682" s="43"/>
      <c r="DL682" s="43"/>
      <c r="DM682" s="43"/>
      <c r="DN682" s="43"/>
      <c r="DO682" s="43"/>
      <c r="DP682" s="43"/>
      <c r="DQ682" s="43"/>
      <c r="DR682" s="43"/>
      <c r="DS682" s="43"/>
      <c r="DT682" s="43"/>
      <c r="DU682" s="43"/>
      <c r="DV682" s="43"/>
      <c r="DW682" s="43"/>
      <c r="DX682" s="43"/>
      <c r="DY682" s="43"/>
      <c r="DZ682" s="43"/>
      <c r="EA682" s="43"/>
      <c r="EB682" s="43"/>
      <c r="EC682" s="43"/>
      <c r="ED682" s="43"/>
      <c r="EE682" s="43"/>
      <c r="EF682" s="43"/>
      <c r="EG682" s="43"/>
      <c r="EH682" s="43"/>
      <c r="EI682" s="43"/>
      <c r="EJ682" s="43"/>
      <c r="EK682" s="43"/>
      <c r="EL682" s="43"/>
      <c r="EM682" s="43"/>
      <c r="EN682" s="43"/>
      <c r="EO682" s="43"/>
      <c r="EP682" s="43"/>
      <c r="EQ682" s="43"/>
      <c r="ER682" s="43"/>
      <c r="ES682" s="43"/>
      <c r="ET682" s="50"/>
      <c r="EU682" s="50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  <c r="CS683" s="43"/>
      <c r="CT683" s="43"/>
      <c r="CU683" s="43"/>
      <c r="CV683" s="43"/>
      <c r="CW683" s="43"/>
      <c r="CX683" s="43"/>
      <c r="CY683" s="43"/>
      <c r="CZ683" s="43"/>
      <c r="DA683" s="43"/>
      <c r="DB683" s="43"/>
      <c r="DC683" s="43"/>
      <c r="DD683" s="43"/>
      <c r="DE683" s="43"/>
      <c r="DF683" s="43"/>
      <c r="DG683" s="43"/>
      <c r="DH683" s="43"/>
      <c r="DI683" s="43"/>
      <c r="DJ683" s="43"/>
      <c r="DK683" s="43"/>
      <c r="DL683" s="43"/>
      <c r="DM683" s="43"/>
      <c r="DN683" s="43"/>
      <c r="DO683" s="43"/>
      <c r="DP683" s="43"/>
      <c r="DQ683" s="43"/>
      <c r="DR683" s="43"/>
      <c r="DS683" s="43"/>
      <c r="DT683" s="43"/>
      <c r="DU683" s="43"/>
      <c r="DV683" s="43"/>
      <c r="DW683" s="43"/>
      <c r="DX683" s="43"/>
      <c r="DY683" s="43"/>
      <c r="DZ683" s="43"/>
      <c r="EA683" s="43"/>
      <c r="EB683" s="43"/>
      <c r="EC683" s="43"/>
      <c r="ED683" s="43"/>
      <c r="EE683" s="43"/>
      <c r="EF683" s="43"/>
      <c r="EG683" s="43"/>
      <c r="EH683" s="43"/>
      <c r="EI683" s="43"/>
      <c r="EJ683" s="43"/>
      <c r="EK683" s="43"/>
      <c r="EL683" s="43"/>
      <c r="EM683" s="43"/>
      <c r="EN683" s="43"/>
      <c r="EO683" s="43"/>
      <c r="EP683" s="43"/>
      <c r="EQ683" s="43"/>
      <c r="ER683" s="43"/>
      <c r="ES683" s="43"/>
      <c r="ET683" s="50"/>
      <c r="EU683" s="50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43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43"/>
      <c r="CF684" s="43"/>
      <c r="CG684" s="43"/>
      <c r="CH684" s="43"/>
      <c r="CI684" s="43"/>
      <c r="CJ684" s="43"/>
      <c r="CK684" s="43"/>
      <c r="CL684" s="43"/>
      <c r="CM684" s="43"/>
      <c r="CN684" s="43"/>
      <c r="CO684" s="43"/>
      <c r="CP684" s="43"/>
      <c r="CQ684" s="43"/>
      <c r="CR684" s="43"/>
      <c r="CS684" s="43"/>
      <c r="CT684" s="43"/>
      <c r="CU684" s="43"/>
      <c r="CV684" s="43"/>
      <c r="CW684" s="43"/>
      <c r="CX684" s="43"/>
      <c r="CY684" s="43"/>
      <c r="CZ684" s="43"/>
      <c r="DA684" s="43"/>
      <c r="DB684" s="43"/>
      <c r="DC684" s="43"/>
      <c r="DD684" s="43"/>
      <c r="DE684" s="43"/>
      <c r="DF684" s="43"/>
      <c r="DG684" s="43"/>
      <c r="DH684" s="43"/>
      <c r="DI684" s="43"/>
      <c r="DJ684" s="43"/>
      <c r="DK684" s="43"/>
      <c r="DL684" s="43"/>
      <c r="DM684" s="43"/>
      <c r="DN684" s="43"/>
      <c r="DO684" s="43"/>
      <c r="DP684" s="43"/>
      <c r="DQ684" s="43"/>
      <c r="DR684" s="43"/>
      <c r="DS684" s="43"/>
      <c r="DT684" s="43"/>
      <c r="DU684" s="43"/>
      <c r="DV684" s="43"/>
      <c r="DW684" s="43"/>
      <c r="DX684" s="43"/>
      <c r="DY684" s="43"/>
      <c r="DZ684" s="43"/>
      <c r="EA684" s="43"/>
      <c r="EB684" s="43"/>
      <c r="EC684" s="43"/>
      <c r="ED684" s="43"/>
      <c r="EE684" s="43"/>
      <c r="EF684" s="43"/>
      <c r="EG684" s="43"/>
      <c r="EH684" s="43"/>
      <c r="EI684" s="43"/>
      <c r="EJ684" s="43"/>
      <c r="EK684" s="43"/>
      <c r="EL684" s="43"/>
      <c r="EM684" s="43"/>
      <c r="EN684" s="43"/>
      <c r="EO684" s="43"/>
      <c r="EP684" s="43"/>
      <c r="EQ684" s="43"/>
      <c r="ER684" s="43"/>
      <c r="ES684" s="43"/>
      <c r="ET684" s="50"/>
      <c r="EU684" s="50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43"/>
      <c r="CF685" s="43"/>
      <c r="CG685" s="43"/>
      <c r="CH685" s="43"/>
      <c r="CI685" s="43"/>
      <c r="CJ685" s="43"/>
      <c r="CK685" s="43"/>
      <c r="CL685" s="43"/>
      <c r="CM685" s="43"/>
      <c r="CN685" s="43"/>
      <c r="CO685" s="43"/>
      <c r="CP685" s="43"/>
      <c r="CQ685" s="43"/>
      <c r="CR685" s="43"/>
      <c r="CS685" s="43"/>
      <c r="CT685" s="43"/>
      <c r="CU685" s="43"/>
      <c r="CV685" s="43"/>
      <c r="CW685" s="43"/>
      <c r="CX685" s="43"/>
      <c r="CY685" s="43"/>
      <c r="CZ685" s="43"/>
      <c r="DA685" s="43"/>
      <c r="DB685" s="43"/>
      <c r="DC685" s="43"/>
      <c r="DD685" s="43"/>
      <c r="DE685" s="43"/>
      <c r="DF685" s="43"/>
      <c r="DG685" s="43"/>
      <c r="DH685" s="43"/>
      <c r="DI685" s="43"/>
      <c r="DJ685" s="43"/>
      <c r="DK685" s="43"/>
      <c r="DL685" s="43"/>
      <c r="DM685" s="43"/>
      <c r="DN685" s="43"/>
      <c r="DO685" s="43"/>
      <c r="DP685" s="43"/>
      <c r="DQ685" s="43"/>
      <c r="DR685" s="43"/>
      <c r="DS685" s="43"/>
      <c r="DT685" s="43"/>
      <c r="DU685" s="43"/>
      <c r="DV685" s="43"/>
      <c r="DW685" s="43"/>
      <c r="DX685" s="43"/>
      <c r="DY685" s="43"/>
      <c r="DZ685" s="43"/>
      <c r="EA685" s="43"/>
      <c r="EB685" s="43"/>
      <c r="EC685" s="43"/>
      <c r="ED685" s="43"/>
      <c r="EE685" s="43"/>
      <c r="EF685" s="43"/>
      <c r="EG685" s="43"/>
      <c r="EH685" s="43"/>
      <c r="EI685" s="43"/>
      <c r="EJ685" s="43"/>
      <c r="EK685" s="43"/>
      <c r="EL685" s="43"/>
      <c r="EM685" s="43"/>
      <c r="EN685" s="43"/>
      <c r="EO685" s="43"/>
      <c r="EP685" s="43"/>
      <c r="EQ685" s="43"/>
      <c r="ER685" s="43"/>
      <c r="ES685" s="43"/>
      <c r="ET685" s="50"/>
      <c r="EU685" s="50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  <c r="CS686" s="43"/>
      <c r="CT686" s="43"/>
      <c r="CU686" s="43"/>
      <c r="CV686" s="43"/>
      <c r="CW686" s="43"/>
      <c r="CX686" s="43"/>
      <c r="CY686" s="43"/>
      <c r="CZ686" s="43"/>
      <c r="DA686" s="43"/>
      <c r="DB686" s="43"/>
      <c r="DC686" s="43"/>
      <c r="DD686" s="43"/>
      <c r="DE686" s="43"/>
      <c r="DF686" s="43"/>
      <c r="DG686" s="43"/>
      <c r="DH686" s="43"/>
      <c r="DI686" s="43"/>
      <c r="DJ686" s="43"/>
      <c r="DK686" s="43"/>
      <c r="DL686" s="43"/>
      <c r="DM686" s="43"/>
      <c r="DN686" s="43"/>
      <c r="DO686" s="43"/>
      <c r="DP686" s="43"/>
      <c r="DQ686" s="43"/>
      <c r="DR686" s="43"/>
      <c r="DS686" s="43"/>
      <c r="DT686" s="43"/>
      <c r="DU686" s="43"/>
      <c r="DV686" s="43"/>
      <c r="DW686" s="43"/>
      <c r="DX686" s="43"/>
      <c r="DY686" s="43"/>
      <c r="DZ686" s="43"/>
      <c r="EA686" s="43"/>
      <c r="EB686" s="43"/>
      <c r="EC686" s="43"/>
      <c r="ED686" s="43"/>
      <c r="EE686" s="43"/>
      <c r="EF686" s="43"/>
      <c r="EG686" s="43"/>
      <c r="EH686" s="43"/>
      <c r="EI686" s="43"/>
      <c r="EJ686" s="43"/>
      <c r="EK686" s="43"/>
      <c r="EL686" s="43"/>
      <c r="EM686" s="43"/>
      <c r="EN686" s="43"/>
      <c r="EO686" s="43"/>
      <c r="EP686" s="43"/>
      <c r="EQ686" s="43"/>
      <c r="ER686" s="43"/>
      <c r="ES686" s="43"/>
      <c r="ET686" s="50"/>
      <c r="EU686" s="50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43"/>
      <c r="CF687" s="43"/>
      <c r="CG687" s="43"/>
      <c r="CH687" s="43"/>
      <c r="CI687" s="43"/>
      <c r="CJ687" s="43"/>
      <c r="CK687" s="43"/>
      <c r="CL687" s="43"/>
      <c r="CM687" s="43"/>
      <c r="CN687" s="43"/>
      <c r="CO687" s="43"/>
      <c r="CP687" s="43"/>
      <c r="CQ687" s="43"/>
      <c r="CR687" s="43"/>
      <c r="CS687" s="43"/>
      <c r="CT687" s="43"/>
      <c r="CU687" s="43"/>
      <c r="CV687" s="43"/>
      <c r="CW687" s="43"/>
      <c r="CX687" s="43"/>
      <c r="CY687" s="43"/>
      <c r="CZ687" s="43"/>
      <c r="DA687" s="43"/>
      <c r="DB687" s="43"/>
      <c r="DC687" s="43"/>
      <c r="DD687" s="43"/>
      <c r="DE687" s="43"/>
      <c r="DF687" s="43"/>
      <c r="DG687" s="43"/>
      <c r="DH687" s="43"/>
      <c r="DI687" s="43"/>
      <c r="DJ687" s="43"/>
      <c r="DK687" s="43"/>
      <c r="DL687" s="43"/>
      <c r="DM687" s="43"/>
      <c r="DN687" s="43"/>
      <c r="DO687" s="43"/>
      <c r="DP687" s="43"/>
      <c r="DQ687" s="43"/>
      <c r="DR687" s="43"/>
      <c r="DS687" s="43"/>
      <c r="DT687" s="43"/>
      <c r="DU687" s="43"/>
      <c r="DV687" s="43"/>
      <c r="DW687" s="43"/>
      <c r="DX687" s="43"/>
      <c r="DY687" s="43"/>
      <c r="DZ687" s="43"/>
      <c r="EA687" s="43"/>
      <c r="EB687" s="43"/>
      <c r="EC687" s="43"/>
      <c r="ED687" s="43"/>
      <c r="EE687" s="43"/>
      <c r="EF687" s="43"/>
      <c r="EG687" s="43"/>
      <c r="EH687" s="43"/>
      <c r="EI687" s="43"/>
      <c r="EJ687" s="43"/>
      <c r="EK687" s="43"/>
      <c r="EL687" s="43"/>
      <c r="EM687" s="43"/>
      <c r="EN687" s="43"/>
      <c r="EO687" s="43"/>
      <c r="EP687" s="43"/>
      <c r="EQ687" s="43"/>
      <c r="ER687" s="43"/>
      <c r="ES687" s="43"/>
      <c r="ET687" s="50"/>
      <c r="EU687" s="50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43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43"/>
      <c r="CF688" s="43"/>
      <c r="CG688" s="43"/>
      <c r="CH688" s="43"/>
      <c r="CI688" s="43"/>
      <c r="CJ688" s="43"/>
      <c r="CK688" s="43"/>
      <c r="CL688" s="43"/>
      <c r="CM688" s="43"/>
      <c r="CN688" s="43"/>
      <c r="CO688" s="43"/>
      <c r="CP688" s="43"/>
      <c r="CQ688" s="43"/>
      <c r="CR688" s="43"/>
      <c r="CS688" s="43"/>
      <c r="CT688" s="43"/>
      <c r="CU688" s="43"/>
      <c r="CV688" s="43"/>
      <c r="CW688" s="43"/>
      <c r="CX688" s="43"/>
      <c r="CY688" s="43"/>
      <c r="CZ688" s="43"/>
      <c r="DA688" s="43"/>
      <c r="DB688" s="43"/>
      <c r="DC688" s="43"/>
      <c r="DD688" s="43"/>
      <c r="DE688" s="43"/>
      <c r="DF688" s="43"/>
      <c r="DG688" s="43"/>
      <c r="DH688" s="43"/>
      <c r="DI688" s="43"/>
      <c r="DJ688" s="43"/>
      <c r="DK688" s="43"/>
      <c r="DL688" s="43"/>
      <c r="DM688" s="43"/>
      <c r="DN688" s="43"/>
      <c r="DO688" s="43"/>
      <c r="DP688" s="43"/>
      <c r="DQ688" s="43"/>
      <c r="DR688" s="43"/>
      <c r="DS688" s="43"/>
      <c r="DT688" s="43"/>
      <c r="DU688" s="43"/>
      <c r="DV688" s="43"/>
      <c r="DW688" s="43"/>
      <c r="DX688" s="43"/>
      <c r="DY688" s="43"/>
      <c r="DZ688" s="43"/>
      <c r="EA688" s="43"/>
      <c r="EB688" s="43"/>
      <c r="EC688" s="43"/>
      <c r="ED688" s="43"/>
      <c r="EE688" s="43"/>
      <c r="EF688" s="43"/>
      <c r="EG688" s="43"/>
      <c r="EH688" s="43"/>
      <c r="EI688" s="43"/>
      <c r="EJ688" s="43"/>
      <c r="EK688" s="43"/>
      <c r="EL688" s="43"/>
      <c r="EM688" s="43"/>
      <c r="EN688" s="43"/>
      <c r="EO688" s="43"/>
      <c r="EP688" s="43"/>
      <c r="EQ688" s="43"/>
      <c r="ER688" s="43"/>
      <c r="ES688" s="43"/>
      <c r="ET688" s="50"/>
      <c r="EU688" s="50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  <c r="CS689" s="43"/>
      <c r="CT689" s="43"/>
      <c r="CU689" s="43"/>
      <c r="CV689" s="43"/>
      <c r="CW689" s="43"/>
      <c r="CX689" s="43"/>
      <c r="CY689" s="43"/>
      <c r="CZ689" s="43"/>
      <c r="DA689" s="43"/>
      <c r="DB689" s="43"/>
      <c r="DC689" s="43"/>
      <c r="DD689" s="43"/>
      <c r="DE689" s="43"/>
      <c r="DF689" s="43"/>
      <c r="DG689" s="43"/>
      <c r="DH689" s="43"/>
      <c r="DI689" s="43"/>
      <c r="DJ689" s="43"/>
      <c r="DK689" s="43"/>
      <c r="DL689" s="43"/>
      <c r="DM689" s="43"/>
      <c r="DN689" s="43"/>
      <c r="DO689" s="43"/>
      <c r="DP689" s="43"/>
      <c r="DQ689" s="43"/>
      <c r="DR689" s="43"/>
      <c r="DS689" s="43"/>
      <c r="DT689" s="43"/>
      <c r="DU689" s="43"/>
      <c r="DV689" s="43"/>
      <c r="DW689" s="43"/>
      <c r="DX689" s="43"/>
      <c r="DY689" s="43"/>
      <c r="DZ689" s="43"/>
      <c r="EA689" s="43"/>
      <c r="EB689" s="43"/>
      <c r="EC689" s="43"/>
      <c r="ED689" s="43"/>
      <c r="EE689" s="43"/>
      <c r="EF689" s="43"/>
      <c r="EG689" s="43"/>
      <c r="EH689" s="43"/>
      <c r="EI689" s="43"/>
      <c r="EJ689" s="43"/>
      <c r="EK689" s="43"/>
      <c r="EL689" s="43"/>
      <c r="EM689" s="43"/>
      <c r="EN689" s="43"/>
      <c r="EO689" s="43"/>
      <c r="EP689" s="43"/>
      <c r="EQ689" s="43"/>
      <c r="ER689" s="43"/>
      <c r="ES689" s="43"/>
      <c r="ET689" s="50"/>
      <c r="EU689" s="50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43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43"/>
      <c r="CF690" s="43"/>
      <c r="CG690" s="43"/>
      <c r="CH690" s="43"/>
      <c r="CI690" s="43"/>
      <c r="CJ690" s="43"/>
      <c r="CK690" s="43"/>
      <c r="CL690" s="43"/>
      <c r="CM690" s="43"/>
      <c r="CN690" s="43"/>
      <c r="CO690" s="43"/>
      <c r="CP690" s="43"/>
      <c r="CQ690" s="43"/>
      <c r="CR690" s="43"/>
      <c r="CS690" s="43"/>
      <c r="CT690" s="43"/>
      <c r="CU690" s="43"/>
      <c r="CV690" s="43"/>
      <c r="CW690" s="43"/>
      <c r="CX690" s="43"/>
      <c r="CY690" s="43"/>
      <c r="CZ690" s="43"/>
      <c r="DA690" s="43"/>
      <c r="DB690" s="43"/>
      <c r="DC690" s="43"/>
      <c r="DD690" s="43"/>
      <c r="DE690" s="43"/>
      <c r="DF690" s="43"/>
      <c r="DG690" s="43"/>
      <c r="DH690" s="43"/>
      <c r="DI690" s="43"/>
      <c r="DJ690" s="43"/>
      <c r="DK690" s="43"/>
      <c r="DL690" s="43"/>
      <c r="DM690" s="43"/>
      <c r="DN690" s="43"/>
      <c r="DO690" s="43"/>
      <c r="DP690" s="43"/>
      <c r="DQ690" s="43"/>
      <c r="DR690" s="43"/>
      <c r="DS690" s="43"/>
      <c r="DT690" s="43"/>
      <c r="DU690" s="43"/>
      <c r="DV690" s="43"/>
      <c r="DW690" s="43"/>
      <c r="DX690" s="43"/>
      <c r="DY690" s="43"/>
      <c r="DZ690" s="43"/>
      <c r="EA690" s="43"/>
      <c r="EB690" s="43"/>
      <c r="EC690" s="43"/>
      <c r="ED690" s="43"/>
      <c r="EE690" s="43"/>
      <c r="EF690" s="43"/>
      <c r="EG690" s="43"/>
      <c r="EH690" s="43"/>
      <c r="EI690" s="43"/>
      <c r="EJ690" s="43"/>
      <c r="EK690" s="43"/>
      <c r="EL690" s="43"/>
      <c r="EM690" s="43"/>
      <c r="EN690" s="43"/>
      <c r="EO690" s="43"/>
      <c r="EP690" s="43"/>
      <c r="EQ690" s="43"/>
      <c r="ER690" s="43"/>
      <c r="ES690" s="43"/>
      <c r="ET690" s="50"/>
      <c r="EU690" s="50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43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43"/>
      <c r="CF691" s="43"/>
      <c r="CG691" s="43"/>
      <c r="CH691" s="43"/>
      <c r="CI691" s="43"/>
      <c r="CJ691" s="43"/>
      <c r="CK691" s="43"/>
      <c r="CL691" s="43"/>
      <c r="CM691" s="43"/>
      <c r="CN691" s="43"/>
      <c r="CO691" s="43"/>
      <c r="CP691" s="43"/>
      <c r="CQ691" s="43"/>
      <c r="CR691" s="43"/>
      <c r="CS691" s="43"/>
      <c r="CT691" s="43"/>
      <c r="CU691" s="43"/>
      <c r="CV691" s="43"/>
      <c r="CW691" s="43"/>
      <c r="CX691" s="43"/>
      <c r="CY691" s="43"/>
      <c r="CZ691" s="43"/>
      <c r="DA691" s="43"/>
      <c r="DB691" s="43"/>
      <c r="DC691" s="43"/>
      <c r="DD691" s="43"/>
      <c r="DE691" s="43"/>
      <c r="DF691" s="43"/>
      <c r="DG691" s="43"/>
      <c r="DH691" s="43"/>
      <c r="DI691" s="43"/>
      <c r="DJ691" s="43"/>
      <c r="DK691" s="43"/>
      <c r="DL691" s="43"/>
      <c r="DM691" s="43"/>
      <c r="DN691" s="43"/>
      <c r="DO691" s="43"/>
      <c r="DP691" s="43"/>
      <c r="DQ691" s="43"/>
      <c r="DR691" s="43"/>
      <c r="DS691" s="43"/>
      <c r="DT691" s="43"/>
      <c r="DU691" s="43"/>
      <c r="DV691" s="43"/>
      <c r="DW691" s="43"/>
      <c r="DX691" s="43"/>
      <c r="DY691" s="43"/>
      <c r="DZ691" s="43"/>
      <c r="EA691" s="43"/>
      <c r="EB691" s="43"/>
      <c r="EC691" s="43"/>
      <c r="ED691" s="43"/>
      <c r="EE691" s="43"/>
      <c r="EF691" s="43"/>
      <c r="EG691" s="43"/>
      <c r="EH691" s="43"/>
      <c r="EI691" s="43"/>
      <c r="EJ691" s="43"/>
      <c r="EK691" s="43"/>
      <c r="EL691" s="43"/>
      <c r="EM691" s="43"/>
      <c r="EN691" s="43"/>
      <c r="EO691" s="43"/>
      <c r="EP691" s="43"/>
      <c r="EQ691" s="43"/>
      <c r="ER691" s="43"/>
      <c r="ES691" s="43"/>
      <c r="ET691" s="50"/>
      <c r="EU691" s="50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  <c r="CS692" s="43"/>
      <c r="CT692" s="43"/>
      <c r="CU692" s="43"/>
      <c r="CV692" s="43"/>
      <c r="CW692" s="43"/>
      <c r="CX692" s="43"/>
      <c r="CY692" s="43"/>
      <c r="CZ692" s="43"/>
      <c r="DA692" s="43"/>
      <c r="DB692" s="43"/>
      <c r="DC692" s="43"/>
      <c r="DD692" s="43"/>
      <c r="DE692" s="43"/>
      <c r="DF692" s="43"/>
      <c r="DG692" s="43"/>
      <c r="DH692" s="43"/>
      <c r="DI692" s="43"/>
      <c r="DJ692" s="43"/>
      <c r="DK692" s="43"/>
      <c r="DL692" s="43"/>
      <c r="DM692" s="43"/>
      <c r="DN692" s="43"/>
      <c r="DO692" s="43"/>
      <c r="DP692" s="43"/>
      <c r="DQ692" s="43"/>
      <c r="DR692" s="43"/>
      <c r="DS692" s="43"/>
      <c r="DT692" s="43"/>
      <c r="DU692" s="43"/>
      <c r="DV692" s="43"/>
      <c r="DW692" s="43"/>
      <c r="DX692" s="43"/>
      <c r="DY692" s="43"/>
      <c r="DZ692" s="43"/>
      <c r="EA692" s="43"/>
      <c r="EB692" s="43"/>
      <c r="EC692" s="43"/>
      <c r="ED692" s="43"/>
      <c r="EE692" s="43"/>
      <c r="EF692" s="43"/>
      <c r="EG692" s="43"/>
      <c r="EH692" s="43"/>
      <c r="EI692" s="43"/>
      <c r="EJ692" s="43"/>
      <c r="EK692" s="43"/>
      <c r="EL692" s="43"/>
      <c r="EM692" s="43"/>
      <c r="EN692" s="43"/>
      <c r="EO692" s="43"/>
      <c r="EP692" s="43"/>
      <c r="EQ692" s="43"/>
      <c r="ER692" s="43"/>
      <c r="ES692" s="43"/>
      <c r="ET692" s="50"/>
      <c r="EU692" s="50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43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43"/>
      <c r="CF693" s="43"/>
      <c r="CG693" s="43"/>
      <c r="CH693" s="43"/>
      <c r="CI693" s="43"/>
      <c r="CJ693" s="43"/>
      <c r="CK693" s="43"/>
      <c r="CL693" s="43"/>
      <c r="CM693" s="43"/>
      <c r="CN693" s="43"/>
      <c r="CO693" s="43"/>
      <c r="CP693" s="43"/>
      <c r="CQ693" s="43"/>
      <c r="CR693" s="43"/>
      <c r="CS693" s="43"/>
      <c r="CT693" s="43"/>
      <c r="CU693" s="43"/>
      <c r="CV693" s="43"/>
      <c r="CW693" s="43"/>
      <c r="CX693" s="43"/>
      <c r="CY693" s="43"/>
      <c r="CZ693" s="43"/>
      <c r="DA693" s="43"/>
      <c r="DB693" s="43"/>
      <c r="DC693" s="43"/>
      <c r="DD693" s="43"/>
      <c r="DE693" s="43"/>
      <c r="DF693" s="43"/>
      <c r="DG693" s="43"/>
      <c r="DH693" s="43"/>
      <c r="DI693" s="43"/>
      <c r="DJ693" s="43"/>
      <c r="DK693" s="43"/>
      <c r="DL693" s="43"/>
      <c r="DM693" s="43"/>
      <c r="DN693" s="43"/>
      <c r="DO693" s="43"/>
      <c r="DP693" s="43"/>
      <c r="DQ693" s="43"/>
      <c r="DR693" s="43"/>
      <c r="DS693" s="43"/>
      <c r="DT693" s="43"/>
      <c r="DU693" s="43"/>
      <c r="DV693" s="43"/>
      <c r="DW693" s="43"/>
      <c r="DX693" s="43"/>
      <c r="DY693" s="43"/>
      <c r="DZ693" s="43"/>
      <c r="EA693" s="43"/>
      <c r="EB693" s="43"/>
      <c r="EC693" s="43"/>
      <c r="ED693" s="43"/>
      <c r="EE693" s="43"/>
      <c r="EF693" s="43"/>
      <c r="EG693" s="43"/>
      <c r="EH693" s="43"/>
      <c r="EI693" s="43"/>
      <c r="EJ693" s="43"/>
      <c r="EK693" s="43"/>
      <c r="EL693" s="43"/>
      <c r="EM693" s="43"/>
      <c r="EN693" s="43"/>
      <c r="EO693" s="43"/>
      <c r="EP693" s="43"/>
      <c r="EQ693" s="43"/>
      <c r="ER693" s="43"/>
      <c r="ES693" s="43"/>
      <c r="ET693" s="50"/>
      <c r="EU693" s="50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43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43"/>
      <c r="CF694" s="43"/>
      <c r="CG694" s="43"/>
      <c r="CH694" s="43"/>
      <c r="CI694" s="43"/>
      <c r="CJ694" s="43"/>
      <c r="CK694" s="43"/>
      <c r="CL694" s="43"/>
      <c r="CM694" s="43"/>
      <c r="CN694" s="43"/>
      <c r="CO694" s="43"/>
      <c r="CP694" s="43"/>
      <c r="CQ694" s="43"/>
      <c r="CR694" s="43"/>
      <c r="CS694" s="43"/>
      <c r="CT694" s="43"/>
      <c r="CU694" s="43"/>
      <c r="CV694" s="43"/>
      <c r="CW694" s="43"/>
      <c r="CX694" s="43"/>
      <c r="CY694" s="43"/>
      <c r="CZ694" s="43"/>
      <c r="DA694" s="43"/>
      <c r="DB694" s="43"/>
      <c r="DC694" s="43"/>
      <c r="DD694" s="43"/>
      <c r="DE694" s="43"/>
      <c r="DF694" s="43"/>
      <c r="DG694" s="43"/>
      <c r="DH694" s="43"/>
      <c r="DI694" s="43"/>
      <c r="DJ694" s="43"/>
      <c r="DK694" s="43"/>
      <c r="DL694" s="43"/>
      <c r="DM694" s="43"/>
      <c r="DN694" s="43"/>
      <c r="DO694" s="43"/>
      <c r="DP694" s="43"/>
      <c r="DQ694" s="43"/>
      <c r="DR694" s="43"/>
      <c r="DS694" s="43"/>
      <c r="DT694" s="43"/>
      <c r="DU694" s="43"/>
      <c r="DV694" s="43"/>
      <c r="DW694" s="43"/>
      <c r="DX694" s="43"/>
      <c r="DY694" s="43"/>
      <c r="DZ694" s="43"/>
      <c r="EA694" s="43"/>
      <c r="EB694" s="43"/>
      <c r="EC694" s="43"/>
      <c r="ED694" s="43"/>
      <c r="EE694" s="43"/>
      <c r="EF694" s="43"/>
      <c r="EG694" s="43"/>
      <c r="EH694" s="43"/>
      <c r="EI694" s="43"/>
      <c r="EJ694" s="43"/>
      <c r="EK694" s="43"/>
      <c r="EL694" s="43"/>
      <c r="EM694" s="43"/>
      <c r="EN694" s="43"/>
      <c r="EO694" s="43"/>
      <c r="EP694" s="43"/>
      <c r="EQ694" s="43"/>
      <c r="ER694" s="43"/>
      <c r="ES694" s="43"/>
      <c r="ET694" s="50"/>
      <c r="EU694" s="50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/>
      <c r="CK695" s="43"/>
      <c r="CL695" s="43"/>
      <c r="CM695" s="43"/>
      <c r="CN695" s="43"/>
      <c r="CO695" s="43"/>
      <c r="CP695" s="43"/>
      <c r="CQ695" s="43"/>
      <c r="CR695" s="43"/>
      <c r="CS695" s="43"/>
      <c r="CT695" s="43"/>
      <c r="CU695" s="43"/>
      <c r="CV695" s="43"/>
      <c r="CW695" s="43"/>
      <c r="CX695" s="43"/>
      <c r="CY695" s="43"/>
      <c r="CZ695" s="43"/>
      <c r="DA695" s="43"/>
      <c r="DB695" s="43"/>
      <c r="DC695" s="43"/>
      <c r="DD695" s="43"/>
      <c r="DE695" s="43"/>
      <c r="DF695" s="43"/>
      <c r="DG695" s="43"/>
      <c r="DH695" s="43"/>
      <c r="DI695" s="43"/>
      <c r="DJ695" s="43"/>
      <c r="DK695" s="43"/>
      <c r="DL695" s="43"/>
      <c r="DM695" s="43"/>
      <c r="DN695" s="43"/>
      <c r="DO695" s="43"/>
      <c r="DP695" s="43"/>
      <c r="DQ695" s="43"/>
      <c r="DR695" s="43"/>
      <c r="DS695" s="43"/>
      <c r="DT695" s="43"/>
      <c r="DU695" s="43"/>
      <c r="DV695" s="43"/>
      <c r="DW695" s="43"/>
      <c r="DX695" s="43"/>
      <c r="DY695" s="43"/>
      <c r="DZ695" s="43"/>
      <c r="EA695" s="43"/>
      <c r="EB695" s="43"/>
      <c r="EC695" s="43"/>
      <c r="ED695" s="43"/>
      <c r="EE695" s="43"/>
      <c r="EF695" s="43"/>
      <c r="EG695" s="43"/>
      <c r="EH695" s="43"/>
      <c r="EI695" s="43"/>
      <c r="EJ695" s="43"/>
      <c r="EK695" s="43"/>
      <c r="EL695" s="43"/>
      <c r="EM695" s="43"/>
      <c r="EN695" s="43"/>
      <c r="EO695" s="43"/>
      <c r="EP695" s="43"/>
      <c r="EQ695" s="43"/>
      <c r="ER695" s="43"/>
      <c r="ES695" s="43"/>
      <c r="ET695" s="50"/>
      <c r="EU695" s="50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43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43"/>
      <c r="CF696" s="43"/>
      <c r="CG696" s="43"/>
      <c r="CH696" s="43"/>
      <c r="CI696" s="43"/>
      <c r="CJ696" s="43"/>
      <c r="CK696" s="43"/>
      <c r="CL696" s="43"/>
      <c r="CM696" s="43"/>
      <c r="CN696" s="43"/>
      <c r="CO696" s="43"/>
      <c r="CP696" s="43"/>
      <c r="CQ696" s="43"/>
      <c r="CR696" s="43"/>
      <c r="CS696" s="43"/>
      <c r="CT696" s="43"/>
      <c r="CU696" s="43"/>
      <c r="CV696" s="43"/>
      <c r="CW696" s="43"/>
      <c r="CX696" s="43"/>
      <c r="CY696" s="43"/>
      <c r="CZ696" s="43"/>
      <c r="DA696" s="43"/>
      <c r="DB696" s="43"/>
      <c r="DC696" s="43"/>
      <c r="DD696" s="43"/>
      <c r="DE696" s="43"/>
      <c r="DF696" s="43"/>
      <c r="DG696" s="43"/>
      <c r="DH696" s="43"/>
      <c r="DI696" s="43"/>
      <c r="DJ696" s="43"/>
      <c r="DK696" s="43"/>
      <c r="DL696" s="43"/>
      <c r="DM696" s="43"/>
      <c r="DN696" s="43"/>
      <c r="DO696" s="43"/>
      <c r="DP696" s="43"/>
      <c r="DQ696" s="43"/>
      <c r="DR696" s="43"/>
      <c r="DS696" s="43"/>
      <c r="DT696" s="43"/>
      <c r="DU696" s="43"/>
      <c r="DV696" s="43"/>
      <c r="DW696" s="43"/>
      <c r="DX696" s="43"/>
      <c r="DY696" s="43"/>
      <c r="DZ696" s="43"/>
      <c r="EA696" s="43"/>
      <c r="EB696" s="43"/>
      <c r="EC696" s="43"/>
      <c r="ED696" s="43"/>
      <c r="EE696" s="43"/>
      <c r="EF696" s="43"/>
      <c r="EG696" s="43"/>
      <c r="EH696" s="43"/>
      <c r="EI696" s="43"/>
      <c r="EJ696" s="43"/>
      <c r="EK696" s="43"/>
      <c r="EL696" s="43"/>
      <c r="EM696" s="43"/>
      <c r="EN696" s="43"/>
      <c r="EO696" s="43"/>
      <c r="EP696" s="43"/>
      <c r="EQ696" s="43"/>
      <c r="ER696" s="43"/>
      <c r="ES696" s="43"/>
      <c r="ET696" s="50"/>
      <c r="EU696" s="50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43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43"/>
      <c r="CF697" s="43"/>
      <c r="CG697" s="43"/>
      <c r="CH697" s="43"/>
      <c r="CI697" s="43"/>
      <c r="CJ697" s="43"/>
      <c r="CK697" s="43"/>
      <c r="CL697" s="43"/>
      <c r="CM697" s="43"/>
      <c r="CN697" s="43"/>
      <c r="CO697" s="43"/>
      <c r="CP697" s="43"/>
      <c r="CQ697" s="43"/>
      <c r="CR697" s="43"/>
      <c r="CS697" s="43"/>
      <c r="CT697" s="43"/>
      <c r="CU697" s="43"/>
      <c r="CV697" s="43"/>
      <c r="CW697" s="43"/>
      <c r="CX697" s="43"/>
      <c r="CY697" s="43"/>
      <c r="CZ697" s="43"/>
      <c r="DA697" s="43"/>
      <c r="DB697" s="43"/>
      <c r="DC697" s="43"/>
      <c r="DD697" s="43"/>
      <c r="DE697" s="43"/>
      <c r="DF697" s="43"/>
      <c r="DG697" s="43"/>
      <c r="DH697" s="43"/>
      <c r="DI697" s="43"/>
      <c r="DJ697" s="43"/>
      <c r="DK697" s="43"/>
      <c r="DL697" s="43"/>
      <c r="DM697" s="43"/>
      <c r="DN697" s="43"/>
      <c r="DO697" s="43"/>
      <c r="DP697" s="43"/>
      <c r="DQ697" s="43"/>
      <c r="DR697" s="43"/>
      <c r="DS697" s="43"/>
      <c r="DT697" s="43"/>
      <c r="DU697" s="43"/>
      <c r="DV697" s="43"/>
      <c r="DW697" s="43"/>
      <c r="DX697" s="43"/>
      <c r="DY697" s="43"/>
      <c r="DZ697" s="43"/>
      <c r="EA697" s="43"/>
      <c r="EB697" s="43"/>
      <c r="EC697" s="43"/>
      <c r="ED697" s="43"/>
      <c r="EE697" s="43"/>
      <c r="EF697" s="43"/>
      <c r="EG697" s="43"/>
      <c r="EH697" s="43"/>
      <c r="EI697" s="43"/>
      <c r="EJ697" s="43"/>
      <c r="EK697" s="43"/>
      <c r="EL697" s="43"/>
      <c r="EM697" s="43"/>
      <c r="EN697" s="43"/>
      <c r="EO697" s="43"/>
      <c r="EP697" s="43"/>
      <c r="EQ697" s="43"/>
      <c r="ER697" s="43"/>
      <c r="ES697" s="43"/>
      <c r="ET697" s="50"/>
      <c r="EU697" s="50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/>
      <c r="CK698" s="43"/>
      <c r="CL698" s="43"/>
      <c r="CM698" s="43"/>
      <c r="CN698" s="43"/>
      <c r="CO698" s="43"/>
      <c r="CP698" s="43"/>
      <c r="CQ698" s="43"/>
      <c r="CR698" s="43"/>
      <c r="CS698" s="43"/>
      <c r="CT698" s="43"/>
      <c r="CU698" s="43"/>
      <c r="CV698" s="43"/>
      <c r="CW698" s="43"/>
      <c r="CX698" s="43"/>
      <c r="CY698" s="43"/>
      <c r="CZ698" s="43"/>
      <c r="DA698" s="43"/>
      <c r="DB698" s="43"/>
      <c r="DC698" s="43"/>
      <c r="DD698" s="43"/>
      <c r="DE698" s="43"/>
      <c r="DF698" s="43"/>
      <c r="DG698" s="43"/>
      <c r="DH698" s="43"/>
      <c r="DI698" s="43"/>
      <c r="DJ698" s="43"/>
      <c r="DK698" s="43"/>
      <c r="DL698" s="43"/>
      <c r="DM698" s="43"/>
      <c r="DN698" s="43"/>
      <c r="DO698" s="43"/>
      <c r="DP698" s="43"/>
      <c r="DQ698" s="43"/>
      <c r="DR698" s="43"/>
      <c r="DS698" s="43"/>
      <c r="DT698" s="43"/>
      <c r="DU698" s="43"/>
      <c r="DV698" s="43"/>
      <c r="DW698" s="43"/>
      <c r="DX698" s="43"/>
      <c r="DY698" s="43"/>
      <c r="DZ698" s="43"/>
      <c r="EA698" s="43"/>
      <c r="EB698" s="43"/>
      <c r="EC698" s="43"/>
      <c r="ED698" s="43"/>
      <c r="EE698" s="43"/>
      <c r="EF698" s="43"/>
      <c r="EG698" s="43"/>
      <c r="EH698" s="43"/>
      <c r="EI698" s="43"/>
      <c r="EJ698" s="43"/>
      <c r="EK698" s="43"/>
      <c r="EL698" s="43"/>
      <c r="EM698" s="43"/>
      <c r="EN698" s="43"/>
      <c r="EO698" s="43"/>
      <c r="EP698" s="43"/>
      <c r="EQ698" s="43"/>
      <c r="ER698" s="43"/>
      <c r="ES698" s="43"/>
      <c r="ET698" s="50"/>
      <c r="EU698" s="50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43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43"/>
      <c r="CF699" s="43"/>
      <c r="CG699" s="43"/>
      <c r="CH699" s="43"/>
      <c r="CI699" s="43"/>
      <c r="CJ699" s="43"/>
      <c r="CK699" s="43"/>
      <c r="CL699" s="43"/>
      <c r="CM699" s="43"/>
      <c r="CN699" s="43"/>
      <c r="CO699" s="43"/>
      <c r="CP699" s="43"/>
      <c r="CQ699" s="43"/>
      <c r="CR699" s="43"/>
      <c r="CS699" s="43"/>
      <c r="CT699" s="43"/>
      <c r="CU699" s="43"/>
      <c r="CV699" s="43"/>
      <c r="CW699" s="43"/>
      <c r="CX699" s="43"/>
      <c r="CY699" s="43"/>
      <c r="CZ699" s="43"/>
      <c r="DA699" s="43"/>
      <c r="DB699" s="43"/>
      <c r="DC699" s="43"/>
      <c r="DD699" s="43"/>
      <c r="DE699" s="43"/>
      <c r="DF699" s="43"/>
      <c r="DG699" s="43"/>
      <c r="DH699" s="43"/>
      <c r="DI699" s="43"/>
      <c r="DJ699" s="43"/>
      <c r="DK699" s="43"/>
      <c r="DL699" s="43"/>
      <c r="DM699" s="43"/>
      <c r="DN699" s="43"/>
      <c r="DO699" s="43"/>
      <c r="DP699" s="43"/>
      <c r="DQ699" s="43"/>
      <c r="DR699" s="43"/>
      <c r="DS699" s="43"/>
      <c r="DT699" s="43"/>
      <c r="DU699" s="43"/>
      <c r="DV699" s="43"/>
      <c r="DW699" s="43"/>
      <c r="DX699" s="43"/>
      <c r="DY699" s="43"/>
      <c r="DZ699" s="43"/>
      <c r="EA699" s="43"/>
      <c r="EB699" s="43"/>
      <c r="EC699" s="43"/>
      <c r="ED699" s="43"/>
      <c r="EE699" s="43"/>
      <c r="EF699" s="43"/>
      <c r="EG699" s="43"/>
      <c r="EH699" s="43"/>
      <c r="EI699" s="43"/>
      <c r="EJ699" s="43"/>
      <c r="EK699" s="43"/>
      <c r="EL699" s="43"/>
      <c r="EM699" s="43"/>
      <c r="EN699" s="43"/>
      <c r="EO699" s="43"/>
      <c r="EP699" s="43"/>
      <c r="EQ699" s="43"/>
      <c r="ER699" s="43"/>
      <c r="ES699" s="43"/>
      <c r="ET699" s="50"/>
      <c r="EU699" s="50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43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43"/>
      <c r="CF700" s="43"/>
      <c r="CG700" s="43"/>
      <c r="CH700" s="43"/>
      <c r="CI700" s="43"/>
      <c r="CJ700" s="43"/>
      <c r="CK700" s="43"/>
      <c r="CL700" s="43"/>
      <c r="CM700" s="43"/>
      <c r="CN700" s="43"/>
      <c r="CO700" s="43"/>
      <c r="CP700" s="43"/>
      <c r="CQ700" s="43"/>
      <c r="CR700" s="43"/>
      <c r="CS700" s="43"/>
      <c r="CT700" s="43"/>
      <c r="CU700" s="43"/>
      <c r="CV700" s="43"/>
      <c r="CW700" s="43"/>
      <c r="CX700" s="43"/>
      <c r="CY700" s="43"/>
      <c r="CZ700" s="43"/>
      <c r="DA700" s="43"/>
      <c r="DB700" s="43"/>
      <c r="DC700" s="43"/>
      <c r="DD700" s="43"/>
      <c r="DE700" s="43"/>
      <c r="DF700" s="43"/>
      <c r="DG700" s="43"/>
      <c r="DH700" s="43"/>
      <c r="DI700" s="43"/>
      <c r="DJ700" s="43"/>
      <c r="DK700" s="43"/>
      <c r="DL700" s="43"/>
      <c r="DM700" s="43"/>
      <c r="DN700" s="43"/>
      <c r="DO700" s="43"/>
      <c r="DP700" s="43"/>
      <c r="DQ700" s="43"/>
      <c r="DR700" s="43"/>
      <c r="DS700" s="43"/>
      <c r="DT700" s="43"/>
      <c r="DU700" s="43"/>
      <c r="DV700" s="43"/>
      <c r="DW700" s="43"/>
      <c r="DX700" s="43"/>
      <c r="DY700" s="43"/>
      <c r="DZ700" s="43"/>
      <c r="EA700" s="43"/>
      <c r="EB700" s="43"/>
      <c r="EC700" s="43"/>
      <c r="ED700" s="43"/>
      <c r="EE700" s="43"/>
      <c r="EF700" s="43"/>
      <c r="EG700" s="43"/>
      <c r="EH700" s="43"/>
      <c r="EI700" s="43"/>
      <c r="EJ700" s="43"/>
      <c r="EK700" s="43"/>
      <c r="EL700" s="43"/>
      <c r="EM700" s="43"/>
      <c r="EN700" s="43"/>
      <c r="EO700" s="43"/>
      <c r="EP700" s="43"/>
      <c r="EQ700" s="43"/>
      <c r="ER700" s="43"/>
      <c r="ES700" s="43"/>
      <c r="ET700" s="50"/>
      <c r="EU700" s="50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/>
      <c r="CK701" s="43"/>
      <c r="CL701" s="43"/>
      <c r="CM701" s="43"/>
      <c r="CN701" s="43"/>
      <c r="CO701" s="43"/>
      <c r="CP701" s="43"/>
      <c r="CQ701" s="43"/>
      <c r="CR701" s="43"/>
      <c r="CS701" s="43"/>
      <c r="CT701" s="43"/>
      <c r="CU701" s="43"/>
      <c r="CV701" s="43"/>
      <c r="CW701" s="43"/>
      <c r="CX701" s="43"/>
      <c r="CY701" s="43"/>
      <c r="CZ701" s="43"/>
      <c r="DA701" s="43"/>
      <c r="DB701" s="43"/>
      <c r="DC701" s="43"/>
      <c r="DD701" s="43"/>
      <c r="DE701" s="43"/>
      <c r="DF701" s="43"/>
      <c r="DG701" s="43"/>
      <c r="DH701" s="43"/>
      <c r="DI701" s="43"/>
      <c r="DJ701" s="43"/>
      <c r="DK701" s="43"/>
      <c r="DL701" s="43"/>
      <c r="DM701" s="43"/>
      <c r="DN701" s="43"/>
      <c r="DO701" s="43"/>
      <c r="DP701" s="43"/>
      <c r="DQ701" s="43"/>
      <c r="DR701" s="43"/>
      <c r="DS701" s="43"/>
      <c r="DT701" s="43"/>
      <c r="DU701" s="43"/>
      <c r="DV701" s="43"/>
      <c r="DW701" s="43"/>
      <c r="DX701" s="43"/>
      <c r="DY701" s="43"/>
      <c r="DZ701" s="43"/>
      <c r="EA701" s="43"/>
      <c r="EB701" s="43"/>
      <c r="EC701" s="43"/>
      <c r="ED701" s="43"/>
      <c r="EE701" s="43"/>
      <c r="EF701" s="43"/>
      <c r="EG701" s="43"/>
      <c r="EH701" s="43"/>
      <c r="EI701" s="43"/>
      <c r="EJ701" s="43"/>
      <c r="EK701" s="43"/>
      <c r="EL701" s="43"/>
      <c r="EM701" s="43"/>
      <c r="EN701" s="43"/>
      <c r="EO701" s="43"/>
      <c r="EP701" s="43"/>
      <c r="EQ701" s="43"/>
      <c r="ER701" s="43"/>
      <c r="ES701" s="43"/>
      <c r="ET701" s="50"/>
      <c r="EU701" s="50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43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43"/>
      <c r="CF702" s="43"/>
      <c r="CG702" s="43"/>
      <c r="CH702" s="43"/>
      <c r="CI702" s="43"/>
      <c r="CJ702" s="43"/>
      <c r="CK702" s="43"/>
      <c r="CL702" s="43"/>
      <c r="CM702" s="43"/>
      <c r="CN702" s="43"/>
      <c r="CO702" s="43"/>
      <c r="CP702" s="43"/>
      <c r="CQ702" s="43"/>
      <c r="CR702" s="43"/>
      <c r="CS702" s="43"/>
      <c r="CT702" s="43"/>
      <c r="CU702" s="43"/>
      <c r="CV702" s="43"/>
      <c r="CW702" s="43"/>
      <c r="CX702" s="43"/>
      <c r="CY702" s="43"/>
      <c r="CZ702" s="43"/>
      <c r="DA702" s="43"/>
      <c r="DB702" s="43"/>
      <c r="DC702" s="43"/>
      <c r="DD702" s="43"/>
      <c r="DE702" s="43"/>
      <c r="DF702" s="43"/>
      <c r="DG702" s="43"/>
      <c r="DH702" s="43"/>
      <c r="DI702" s="43"/>
      <c r="DJ702" s="43"/>
      <c r="DK702" s="43"/>
      <c r="DL702" s="43"/>
      <c r="DM702" s="43"/>
      <c r="DN702" s="43"/>
      <c r="DO702" s="43"/>
      <c r="DP702" s="43"/>
      <c r="DQ702" s="43"/>
      <c r="DR702" s="43"/>
      <c r="DS702" s="43"/>
      <c r="DT702" s="43"/>
      <c r="DU702" s="43"/>
      <c r="DV702" s="43"/>
      <c r="DW702" s="43"/>
      <c r="DX702" s="43"/>
      <c r="DY702" s="43"/>
      <c r="DZ702" s="43"/>
      <c r="EA702" s="43"/>
      <c r="EB702" s="43"/>
      <c r="EC702" s="43"/>
      <c r="ED702" s="43"/>
      <c r="EE702" s="43"/>
      <c r="EF702" s="43"/>
      <c r="EG702" s="43"/>
      <c r="EH702" s="43"/>
      <c r="EI702" s="43"/>
      <c r="EJ702" s="43"/>
      <c r="EK702" s="43"/>
      <c r="EL702" s="43"/>
      <c r="EM702" s="43"/>
      <c r="EN702" s="43"/>
      <c r="EO702" s="43"/>
      <c r="EP702" s="43"/>
      <c r="EQ702" s="43"/>
      <c r="ER702" s="43"/>
      <c r="ES702" s="43"/>
      <c r="ET702" s="50"/>
      <c r="EU702" s="50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43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43"/>
      <c r="CF703" s="43"/>
      <c r="CG703" s="43"/>
      <c r="CH703" s="43"/>
      <c r="CI703" s="43"/>
      <c r="CJ703" s="43"/>
      <c r="CK703" s="43"/>
      <c r="CL703" s="43"/>
      <c r="CM703" s="43"/>
      <c r="CN703" s="43"/>
      <c r="CO703" s="43"/>
      <c r="CP703" s="43"/>
      <c r="CQ703" s="43"/>
      <c r="CR703" s="43"/>
      <c r="CS703" s="43"/>
      <c r="CT703" s="43"/>
      <c r="CU703" s="43"/>
      <c r="CV703" s="43"/>
      <c r="CW703" s="43"/>
      <c r="CX703" s="43"/>
      <c r="CY703" s="43"/>
      <c r="CZ703" s="43"/>
      <c r="DA703" s="43"/>
      <c r="DB703" s="43"/>
      <c r="DC703" s="43"/>
      <c r="DD703" s="43"/>
      <c r="DE703" s="43"/>
      <c r="DF703" s="43"/>
      <c r="DG703" s="43"/>
      <c r="DH703" s="43"/>
      <c r="DI703" s="43"/>
      <c r="DJ703" s="43"/>
      <c r="DK703" s="43"/>
      <c r="DL703" s="43"/>
      <c r="DM703" s="43"/>
      <c r="DN703" s="43"/>
      <c r="DO703" s="43"/>
      <c r="DP703" s="43"/>
      <c r="DQ703" s="43"/>
      <c r="DR703" s="43"/>
      <c r="DS703" s="43"/>
      <c r="DT703" s="43"/>
      <c r="DU703" s="43"/>
      <c r="DV703" s="43"/>
      <c r="DW703" s="43"/>
      <c r="DX703" s="43"/>
      <c r="DY703" s="43"/>
      <c r="DZ703" s="43"/>
      <c r="EA703" s="43"/>
      <c r="EB703" s="43"/>
      <c r="EC703" s="43"/>
      <c r="ED703" s="43"/>
      <c r="EE703" s="43"/>
      <c r="EF703" s="43"/>
      <c r="EG703" s="43"/>
      <c r="EH703" s="43"/>
      <c r="EI703" s="43"/>
      <c r="EJ703" s="43"/>
      <c r="EK703" s="43"/>
      <c r="EL703" s="43"/>
      <c r="EM703" s="43"/>
      <c r="EN703" s="43"/>
      <c r="EO703" s="43"/>
      <c r="EP703" s="43"/>
      <c r="EQ703" s="43"/>
      <c r="ER703" s="43"/>
      <c r="ES703" s="43"/>
      <c r="ET703" s="50"/>
      <c r="EU703" s="50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  <c r="CS704" s="43"/>
      <c r="CT704" s="43"/>
      <c r="CU704" s="43"/>
      <c r="CV704" s="43"/>
      <c r="CW704" s="43"/>
      <c r="CX704" s="43"/>
      <c r="CY704" s="43"/>
      <c r="CZ704" s="43"/>
      <c r="DA704" s="43"/>
      <c r="DB704" s="43"/>
      <c r="DC704" s="43"/>
      <c r="DD704" s="43"/>
      <c r="DE704" s="43"/>
      <c r="DF704" s="43"/>
      <c r="DG704" s="43"/>
      <c r="DH704" s="43"/>
      <c r="DI704" s="43"/>
      <c r="DJ704" s="43"/>
      <c r="DK704" s="43"/>
      <c r="DL704" s="43"/>
      <c r="DM704" s="43"/>
      <c r="DN704" s="43"/>
      <c r="DO704" s="43"/>
      <c r="DP704" s="43"/>
      <c r="DQ704" s="43"/>
      <c r="DR704" s="43"/>
      <c r="DS704" s="43"/>
      <c r="DT704" s="43"/>
      <c r="DU704" s="43"/>
      <c r="DV704" s="43"/>
      <c r="DW704" s="43"/>
      <c r="DX704" s="43"/>
      <c r="DY704" s="43"/>
      <c r="DZ704" s="43"/>
      <c r="EA704" s="43"/>
      <c r="EB704" s="43"/>
      <c r="EC704" s="43"/>
      <c r="ED704" s="43"/>
      <c r="EE704" s="43"/>
      <c r="EF704" s="43"/>
      <c r="EG704" s="43"/>
      <c r="EH704" s="43"/>
      <c r="EI704" s="43"/>
      <c r="EJ704" s="43"/>
      <c r="EK704" s="43"/>
      <c r="EL704" s="43"/>
      <c r="EM704" s="43"/>
      <c r="EN704" s="43"/>
      <c r="EO704" s="43"/>
      <c r="EP704" s="43"/>
      <c r="EQ704" s="43"/>
      <c r="ER704" s="43"/>
      <c r="ES704" s="43"/>
      <c r="ET704" s="50"/>
      <c r="EU704" s="50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43"/>
      <c r="CH705" s="43"/>
      <c r="CI705" s="43"/>
      <c r="CJ705" s="43"/>
      <c r="CK705" s="43"/>
      <c r="CL705" s="43"/>
      <c r="CM705" s="43"/>
      <c r="CN705" s="43"/>
      <c r="CO705" s="43"/>
      <c r="CP705" s="43"/>
      <c r="CQ705" s="43"/>
      <c r="CR705" s="43"/>
      <c r="CS705" s="43"/>
      <c r="CT705" s="43"/>
      <c r="CU705" s="43"/>
      <c r="CV705" s="43"/>
      <c r="CW705" s="43"/>
      <c r="CX705" s="43"/>
      <c r="CY705" s="43"/>
      <c r="CZ705" s="43"/>
      <c r="DA705" s="43"/>
      <c r="DB705" s="43"/>
      <c r="DC705" s="43"/>
      <c r="DD705" s="43"/>
      <c r="DE705" s="43"/>
      <c r="DF705" s="43"/>
      <c r="DG705" s="43"/>
      <c r="DH705" s="43"/>
      <c r="DI705" s="43"/>
      <c r="DJ705" s="43"/>
      <c r="DK705" s="43"/>
      <c r="DL705" s="43"/>
      <c r="DM705" s="43"/>
      <c r="DN705" s="43"/>
      <c r="DO705" s="43"/>
      <c r="DP705" s="43"/>
      <c r="DQ705" s="43"/>
      <c r="DR705" s="43"/>
      <c r="DS705" s="43"/>
      <c r="DT705" s="43"/>
      <c r="DU705" s="43"/>
      <c r="DV705" s="43"/>
      <c r="DW705" s="43"/>
      <c r="DX705" s="43"/>
      <c r="DY705" s="43"/>
      <c r="DZ705" s="43"/>
      <c r="EA705" s="43"/>
      <c r="EB705" s="43"/>
      <c r="EC705" s="43"/>
      <c r="ED705" s="43"/>
      <c r="EE705" s="43"/>
      <c r="EF705" s="43"/>
      <c r="EG705" s="43"/>
      <c r="EH705" s="43"/>
      <c r="EI705" s="43"/>
      <c r="EJ705" s="43"/>
      <c r="EK705" s="43"/>
      <c r="EL705" s="43"/>
      <c r="EM705" s="43"/>
      <c r="EN705" s="43"/>
      <c r="EO705" s="43"/>
      <c r="EP705" s="43"/>
      <c r="EQ705" s="43"/>
      <c r="ER705" s="43"/>
      <c r="ES705" s="43"/>
      <c r="ET705" s="50"/>
      <c r="EU705" s="50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43"/>
      <c r="CF706" s="43"/>
      <c r="CG706" s="43"/>
      <c r="CH706" s="43"/>
      <c r="CI706" s="43"/>
      <c r="CJ706" s="43"/>
      <c r="CK706" s="43"/>
      <c r="CL706" s="43"/>
      <c r="CM706" s="43"/>
      <c r="CN706" s="43"/>
      <c r="CO706" s="43"/>
      <c r="CP706" s="43"/>
      <c r="CQ706" s="43"/>
      <c r="CR706" s="43"/>
      <c r="CS706" s="43"/>
      <c r="CT706" s="43"/>
      <c r="CU706" s="43"/>
      <c r="CV706" s="43"/>
      <c r="CW706" s="43"/>
      <c r="CX706" s="43"/>
      <c r="CY706" s="43"/>
      <c r="CZ706" s="43"/>
      <c r="DA706" s="43"/>
      <c r="DB706" s="43"/>
      <c r="DC706" s="43"/>
      <c r="DD706" s="43"/>
      <c r="DE706" s="43"/>
      <c r="DF706" s="43"/>
      <c r="DG706" s="43"/>
      <c r="DH706" s="43"/>
      <c r="DI706" s="43"/>
      <c r="DJ706" s="43"/>
      <c r="DK706" s="43"/>
      <c r="DL706" s="43"/>
      <c r="DM706" s="43"/>
      <c r="DN706" s="43"/>
      <c r="DO706" s="43"/>
      <c r="DP706" s="43"/>
      <c r="DQ706" s="43"/>
      <c r="DR706" s="43"/>
      <c r="DS706" s="43"/>
      <c r="DT706" s="43"/>
      <c r="DU706" s="43"/>
      <c r="DV706" s="43"/>
      <c r="DW706" s="43"/>
      <c r="DX706" s="43"/>
      <c r="DY706" s="43"/>
      <c r="DZ706" s="43"/>
      <c r="EA706" s="43"/>
      <c r="EB706" s="43"/>
      <c r="EC706" s="43"/>
      <c r="ED706" s="43"/>
      <c r="EE706" s="43"/>
      <c r="EF706" s="43"/>
      <c r="EG706" s="43"/>
      <c r="EH706" s="43"/>
      <c r="EI706" s="43"/>
      <c r="EJ706" s="43"/>
      <c r="EK706" s="43"/>
      <c r="EL706" s="43"/>
      <c r="EM706" s="43"/>
      <c r="EN706" s="43"/>
      <c r="EO706" s="43"/>
      <c r="EP706" s="43"/>
      <c r="EQ706" s="43"/>
      <c r="ER706" s="43"/>
      <c r="ES706" s="43"/>
      <c r="ET706" s="50"/>
      <c r="EU706" s="50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  <c r="CS707" s="43"/>
      <c r="CT707" s="43"/>
      <c r="CU707" s="43"/>
      <c r="CV707" s="43"/>
      <c r="CW707" s="43"/>
      <c r="CX707" s="43"/>
      <c r="CY707" s="43"/>
      <c r="CZ707" s="43"/>
      <c r="DA707" s="43"/>
      <c r="DB707" s="43"/>
      <c r="DC707" s="43"/>
      <c r="DD707" s="43"/>
      <c r="DE707" s="43"/>
      <c r="DF707" s="43"/>
      <c r="DG707" s="43"/>
      <c r="DH707" s="43"/>
      <c r="DI707" s="43"/>
      <c r="DJ707" s="43"/>
      <c r="DK707" s="43"/>
      <c r="DL707" s="43"/>
      <c r="DM707" s="43"/>
      <c r="DN707" s="43"/>
      <c r="DO707" s="43"/>
      <c r="DP707" s="43"/>
      <c r="DQ707" s="43"/>
      <c r="DR707" s="43"/>
      <c r="DS707" s="43"/>
      <c r="DT707" s="43"/>
      <c r="DU707" s="43"/>
      <c r="DV707" s="43"/>
      <c r="DW707" s="43"/>
      <c r="DX707" s="43"/>
      <c r="DY707" s="43"/>
      <c r="DZ707" s="43"/>
      <c r="EA707" s="43"/>
      <c r="EB707" s="43"/>
      <c r="EC707" s="43"/>
      <c r="ED707" s="43"/>
      <c r="EE707" s="43"/>
      <c r="EF707" s="43"/>
      <c r="EG707" s="43"/>
      <c r="EH707" s="43"/>
      <c r="EI707" s="43"/>
      <c r="EJ707" s="43"/>
      <c r="EK707" s="43"/>
      <c r="EL707" s="43"/>
      <c r="EM707" s="43"/>
      <c r="EN707" s="43"/>
      <c r="EO707" s="43"/>
      <c r="EP707" s="43"/>
      <c r="EQ707" s="43"/>
      <c r="ER707" s="43"/>
      <c r="ES707" s="43"/>
      <c r="ET707" s="50"/>
      <c r="EU707" s="50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43"/>
      <c r="CH708" s="43"/>
      <c r="CI708" s="43"/>
      <c r="CJ708" s="43"/>
      <c r="CK708" s="43"/>
      <c r="CL708" s="43"/>
      <c r="CM708" s="43"/>
      <c r="CN708" s="43"/>
      <c r="CO708" s="43"/>
      <c r="CP708" s="43"/>
      <c r="CQ708" s="43"/>
      <c r="CR708" s="43"/>
      <c r="CS708" s="43"/>
      <c r="CT708" s="43"/>
      <c r="CU708" s="43"/>
      <c r="CV708" s="43"/>
      <c r="CW708" s="43"/>
      <c r="CX708" s="43"/>
      <c r="CY708" s="43"/>
      <c r="CZ708" s="43"/>
      <c r="DA708" s="43"/>
      <c r="DB708" s="43"/>
      <c r="DC708" s="43"/>
      <c r="DD708" s="43"/>
      <c r="DE708" s="43"/>
      <c r="DF708" s="43"/>
      <c r="DG708" s="43"/>
      <c r="DH708" s="43"/>
      <c r="DI708" s="43"/>
      <c r="DJ708" s="43"/>
      <c r="DK708" s="43"/>
      <c r="DL708" s="43"/>
      <c r="DM708" s="43"/>
      <c r="DN708" s="43"/>
      <c r="DO708" s="43"/>
      <c r="DP708" s="43"/>
      <c r="DQ708" s="43"/>
      <c r="DR708" s="43"/>
      <c r="DS708" s="43"/>
      <c r="DT708" s="43"/>
      <c r="DU708" s="43"/>
      <c r="DV708" s="43"/>
      <c r="DW708" s="43"/>
      <c r="DX708" s="43"/>
      <c r="DY708" s="43"/>
      <c r="DZ708" s="43"/>
      <c r="EA708" s="43"/>
      <c r="EB708" s="43"/>
      <c r="EC708" s="43"/>
      <c r="ED708" s="43"/>
      <c r="EE708" s="43"/>
      <c r="EF708" s="43"/>
      <c r="EG708" s="43"/>
      <c r="EH708" s="43"/>
      <c r="EI708" s="43"/>
      <c r="EJ708" s="43"/>
      <c r="EK708" s="43"/>
      <c r="EL708" s="43"/>
      <c r="EM708" s="43"/>
      <c r="EN708" s="43"/>
      <c r="EO708" s="43"/>
      <c r="EP708" s="43"/>
      <c r="EQ708" s="43"/>
      <c r="ER708" s="43"/>
      <c r="ES708" s="43"/>
      <c r="ET708" s="50"/>
      <c r="EU708" s="50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43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43"/>
      <c r="CF709" s="43"/>
      <c r="CG709" s="43"/>
      <c r="CH709" s="43"/>
      <c r="CI709" s="43"/>
      <c r="CJ709" s="43"/>
      <c r="CK709" s="43"/>
      <c r="CL709" s="43"/>
      <c r="CM709" s="43"/>
      <c r="CN709" s="43"/>
      <c r="CO709" s="43"/>
      <c r="CP709" s="43"/>
      <c r="CQ709" s="43"/>
      <c r="CR709" s="43"/>
      <c r="CS709" s="43"/>
      <c r="CT709" s="43"/>
      <c r="CU709" s="43"/>
      <c r="CV709" s="43"/>
      <c r="CW709" s="43"/>
      <c r="CX709" s="43"/>
      <c r="CY709" s="43"/>
      <c r="CZ709" s="43"/>
      <c r="DA709" s="43"/>
      <c r="DB709" s="43"/>
      <c r="DC709" s="43"/>
      <c r="DD709" s="43"/>
      <c r="DE709" s="43"/>
      <c r="DF709" s="43"/>
      <c r="DG709" s="43"/>
      <c r="DH709" s="43"/>
      <c r="DI709" s="43"/>
      <c r="DJ709" s="43"/>
      <c r="DK709" s="43"/>
      <c r="DL709" s="43"/>
      <c r="DM709" s="43"/>
      <c r="DN709" s="43"/>
      <c r="DO709" s="43"/>
      <c r="DP709" s="43"/>
      <c r="DQ709" s="43"/>
      <c r="DR709" s="43"/>
      <c r="DS709" s="43"/>
      <c r="DT709" s="43"/>
      <c r="DU709" s="43"/>
      <c r="DV709" s="43"/>
      <c r="DW709" s="43"/>
      <c r="DX709" s="43"/>
      <c r="DY709" s="43"/>
      <c r="DZ709" s="43"/>
      <c r="EA709" s="43"/>
      <c r="EB709" s="43"/>
      <c r="EC709" s="43"/>
      <c r="ED709" s="43"/>
      <c r="EE709" s="43"/>
      <c r="EF709" s="43"/>
      <c r="EG709" s="43"/>
      <c r="EH709" s="43"/>
      <c r="EI709" s="43"/>
      <c r="EJ709" s="43"/>
      <c r="EK709" s="43"/>
      <c r="EL709" s="43"/>
      <c r="EM709" s="43"/>
      <c r="EN709" s="43"/>
      <c r="EO709" s="43"/>
      <c r="EP709" s="43"/>
      <c r="EQ709" s="43"/>
      <c r="ER709" s="43"/>
      <c r="ES709" s="43"/>
      <c r="ET709" s="50"/>
      <c r="EU709" s="50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  <c r="CS710" s="43"/>
      <c r="CT710" s="43"/>
      <c r="CU710" s="43"/>
      <c r="CV710" s="43"/>
      <c r="CW710" s="43"/>
      <c r="CX710" s="43"/>
      <c r="CY710" s="43"/>
      <c r="CZ710" s="43"/>
      <c r="DA710" s="43"/>
      <c r="DB710" s="43"/>
      <c r="DC710" s="43"/>
      <c r="DD710" s="43"/>
      <c r="DE710" s="43"/>
      <c r="DF710" s="43"/>
      <c r="DG710" s="43"/>
      <c r="DH710" s="43"/>
      <c r="DI710" s="43"/>
      <c r="DJ710" s="43"/>
      <c r="DK710" s="43"/>
      <c r="DL710" s="43"/>
      <c r="DM710" s="43"/>
      <c r="DN710" s="43"/>
      <c r="DO710" s="43"/>
      <c r="DP710" s="43"/>
      <c r="DQ710" s="43"/>
      <c r="DR710" s="43"/>
      <c r="DS710" s="43"/>
      <c r="DT710" s="43"/>
      <c r="DU710" s="43"/>
      <c r="DV710" s="43"/>
      <c r="DW710" s="43"/>
      <c r="DX710" s="43"/>
      <c r="DY710" s="43"/>
      <c r="DZ710" s="43"/>
      <c r="EA710" s="43"/>
      <c r="EB710" s="43"/>
      <c r="EC710" s="43"/>
      <c r="ED710" s="43"/>
      <c r="EE710" s="43"/>
      <c r="EF710" s="43"/>
      <c r="EG710" s="43"/>
      <c r="EH710" s="43"/>
      <c r="EI710" s="43"/>
      <c r="EJ710" s="43"/>
      <c r="EK710" s="43"/>
      <c r="EL710" s="43"/>
      <c r="EM710" s="43"/>
      <c r="EN710" s="43"/>
      <c r="EO710" s="43"/>
      <c r="EP710" s="43"/>
      <c r="EQ710" s="43"/>
      <c r="ER710" s="43"/>
      <c r="ES710" s="43"/>
      <c r="ET710" s="50"/>
      <c r="EU710" s="50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43"/>
      <c r="CF711" s="43"/>
      <c r="CG711" s="43"/>
      <c r="CH711" s="43"/>
      <c r="CI711" s="43"/>
      <c r="CJ711" s="43"/>
      <c r="CK711" s="43"/>
      <c r="CL711" s="43"/>
      <c r="CM711" s="43"/>
      <c r="CN711" s="43"/>
      <c r="CO711" s="43"/>
      <c r="CP711" s="43"/>
      <c r="CQ711" s="43"/>
      <c r="CR711" s="43"/>
      <c r="CS711" s="43"/>
      <c r="CT711" s="43"/>
      <c r="CU711" s="43"/>
      <c r="CV711" s="43"/>
      <c r="CW711" s="43"/>
      <c r="CX711" s="43"/>
      <c r="CY711" s="43"/>
      <c r="CZ711" s="43"/>
      <c r="DA711" s="43"/>
      <c r="DB711" s="43"/>
      <c r="DC711" s="43"/>
      <c r="DD711" s="43"/>
      <c r="DE711" s="43"/>
      <c r="DF711" s="43"/>
      <c r="DG711" s="43"/>
      <c r="DH711" s="43"/>
      <c r="DI711" s="43"/>
      <c r="DJ711" s="43"/>
      <c r="DK711" s="43"/>
      <c r="DL711" s="43"/>
      <c r="DM711" s="43"/>
      <c r="DN711" s="43"/>
      <c r="DO711" s="43"/>
      <c r="DP711" s="43"/>
      <c r="DQ711" s="43"/>
      <c r="DR711" s="43"/>
      <c r="DS711" s="43"/>
      <c r="DT711" s="43"/>
      <c r="DU711" s="43"/>
      <c r="DV711" s="43"/>
      <c r="DW711" s="43"/>
      <c r="DX711" s="43"/>
      <c r="DY711" s="43"/>
      <c r="DZ711" s="43"/>
      <c r="EA711" s="43"/>
      <c r="EB711" s="43"/>
      <c r="EC711" s="43"/>
      <c r="ED711" s="43"/>
      <c r="EE711" s="43"/>
      <c r="EF711" s="43"/>
      <c r="EG711" s="43"/>
      <c r="EH711" s="43"/>
      <c r="EI711" s="43"/>
      <c r="EJ711" s="43"/>
      <c r="EK711" s="43"/>
      <c r="EL711" s="43"/>
      <c r="EM711" s="43"/>
      <c r="EN711" s="43"/>
      <c r="EO711" s="43"/>
      <c r="EP711" s="43"/>
      <c r="EQ711" s="43"/>
      <c r="ER711" s="43"/>
      <c r="ES711" s="43"/>
      <c r="ET711" s="50"/>
      <c r="EU711" s="50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43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43"/>
      <c r="CF712" s="43"/>
      <c r="CG712" s="43"/>
      <c r="CH712" s="43"/>
      <c r="CI712" s="43"/>
      <c r="CJ712" s="43"/>
      <c r="CK712" s="43"/>
      <c r="CL712" s="43"/>
      <c r="CM712" s="43"/>
      <c r="CN712" s="43"/>
      <c r="CO712" s="43"/>
      <c r="CP712" s="43"/>
      <c r="CQ712" s="43"/>
      <c r="CR712" s="43"/>
      <c r="CS712" s="43"/>
      <c r="CT712" s="43"/>
      <c r="CU712" s="43"/>
      <c r="CV712" s="43"/>
      <c r="CW712" s="43"/>
      <c r="CX712" s="43"/>
      <c r="CY712" s="43"/>
      <c r="CZ712" s="43"/>
      <c r="DA712" s="43"/>
      <c r="DB712" s="43"/>
      <c r="DC712" s="43"/>
      <c r="DD712" s="43"/>
      <c r="DE712" s="43"/>
      <c r="DF712" s="43"/>
      <c r="DG712" s="43"/>
      <c r="DH712" s="43"/>
      <c r="DI712" s="43"/>
      <c r="DJ712" s="43"/>
      <c r="DK712" s="43"/>
      <c r="DL712" s="43"/>
      <c r="DM712" s="43"/>
      <c r="DN712" s="43"/>
      <c r="DO712" s="43"/>
      <c r="DP712" s="43"/>
      <c r="DQ712" s="43"/>
      <c r="DR712" s="43"/>
      <c r="DS712" s="43"/>
      <c r="DT712" s="43"/>
      <c r="DU712" s="43"/>
      <c r="DV712" s="43"/>
      <c r="DW712" s="43"/>
      <c r="DX712" s="43"/>
      <c r="DY712" s="43"/>
      <c r="DZ712" s="43"/>
      <c r="EA712" s="43"/>
      <c r="EB712" s="43"/>
      <c r="EC712" s="43"/>
      <c r="ED712" s="43"/>
      <c r="EE712" s="43"/>
      <c r="EF712" s="43"/>
      <c r="EG712" s="43"/>
      <c r="EH712" s="43"/>
      <c r="EI712" s="43"/>
      <c r="EJ712" s="43"/>
      <c r="EK712" s="43"/>
      <c r="EL712" s="43"/>
      <c r="EM712" s="43"/>
      <c r="EN712" s="43"/>
      <c r="EO712" s="43"/>
      <c r="EP712" s="43"/>
      <c r="EQ712" s="43"/>
      <c r="ER712" s="43"/>
      <c r="ES712" s="43"/>
      <c r="ET712" s="50"/>
      <c r="EU712" s="50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43"/>
      <c r="CF713" s="43"/>
      <c r="CG713" s="43"/>
      <c r="CH713" s="43"/>
      <c r="CI713" s="43"/>
      <c r="CJ713" s="43"/>
      <c r="CK713" s="43"/>
      <c r="CL713" s="43"/>
      <c r="CM713" s="43"/>
      <c r="CN713" s="43"/>
      <c r="CO713" s="43"/>
      <c r="CP713" s="43"/>
      <c r="CQ713" s="43"/>
      <c r="CR713" s="43"/>
      <c r="CS713" s="43"/>
      <c r="CT713" s="43"/>
      <c r="CU713" s="43"/>
      <c r="CV713" s="43"/>
      <c r="CW713" s="43"/>
      <c r="CX713" s="43"/>
      <c r="CY713" s="43"/>
      <c r="CZ713" s="43"/>
      <c r="DA713" s="43"/>
      <c r="DB713" s="43"/>
      <c r="DC713" s="43"/>
      <c r="DD713" s="43"/>
      <c r="DE713" s="43"/>
      <c r="DF713" s="43"/>
      <c r="DG713" s="43"/>
      <c r="DH713" s="43"/>
      <c r="DI713" s="43"/>
      <c r="DJ713" s="43"/>
      <c r="DK713" s="43"/>
      <c r="DL713" s="43"/>
      <c r="DM713" s="43"/>
      <c r="DN713" s="43"/>
      <c r="DO713" s="43"/>
      <c r="DP713" s="43"/>
      <c r="DQ713" s="43"/>
      <c r="DR713" s="43"/>
      <c r="DS713" s="43"/>
      <c r="DT713" s="43"/>
      <c r="DU713" s="43"/>
      <c r="DV713" s="43"/>
      <c r="DW713" s="43"/>
      <c r="DX713" s="43"/>
      <c r="DY713" s="43"/>
      <c r="DZ713" s="43"/>
      <c r="EA713" s="43"/>
      <c r="EB713" s="43"/>
      <c r="EC713" s="43"/>
      <c r="ED713" s="43"/>
      <c r="EE713" s="43"/>
      <c r="EF713" s="43"/>
      <c r="EG713" s="43"/>
      <c r="EH713" s="43"/>
      <c r="EI713" s="43"/>
      <c r="EJ713" s="43"/>
      <c r="EK713" s="43"/>
      <c r="EL713" s="43"/>
      <c r="EM713" s="43"/>
      <c r="EN713" s="43"/>
      <c r="EO713" s="43"/>
      <c r="EP713" s="43"/>
      <c r="EQ713" s="43"/>
      <c r="ER713" s="43"/>
      <c r="ES713" s="43"/>
      <c r="ET713" s="50"/>
      <c r="EU713" s="50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43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43"/>
      <c r="CF714" s="43"/>
      <c r="CG714" s="43"/>
      <c r="CH714" s="43"/>
      <c r="CI714" s="43"/>
      <c r="CJ714" s="43"/>
      <c r="CK714" s="43"/>
      <c r="CL714" s="43"/>
      <c r="CM714" s="43"/>
      <c r="CN714" s="43"/>
      <c r="CO714" s="43"/>
      <c r="CP714" s="43"/>
      <c r="CQ714" s="43"/>
      <c r="CR714" s="43"/>
      <c r="CS714" s="43"/>
      <c r="CT714" s="43"/>
      <c r="CU714" s="43"/>
      <c r="CV714" s="43"/>
      <c r="CW714" s="43"/>
      <c r="CX714" s="43"/>
      <c r="CY714" s="43"/>
      <c r="CZ714" s="43"/>
      <c r="DA714" s="43"/>
      <c r="DB714" s="43"/>
      <c r="DC714" s="43"/>
      <c r="DD714" s="43"/>
      <c r="DE714" s="43"/>
      <c r="DF714" s="43"/>
      <c r="DG714" s="43"/>
      <c r="DH714" s="43"/>
      <c r="DI714" s="43"/>
      <c r="DJ714" s="43"/>
      <c r="DK714" s="43"/>
      <c r="DL714" s="43"/>
      <c r="DM714" s="43"/>
      <c r="DN714" s="43"/>
      <c r="DO714" s="43"/>
      <c r="DP714" s="43"/>
      <c r="DQ714" s="43"/>
      <c r="DR714" s="43"/>
      <c r="DS714" s="43"/>
      <c r="DT714" s="43"/>
      <c r="DU714" s="43"/>
      <c r="DV714" s="43"/>
      <c r="DW714" s="43"/>
      <c r="DX714" s="43"/>
      <c r="DY714" s="43"/>
      <c r="DZ714" s="43"/>
      <c r="EA714" s="43"/>
      <c r="EB714" s="43"/>
      <c r="EC714" s="43"/>
      <c r="ED714" s="43"/>
      <c r="EE714" s="43"/>
      <c r="EF714" s="43"/>
      <c r="EG714" s="43"/>
      <c r="EH714" s="43"/>
      <c r="EI714" s="43"/>
      <c r="EJ714" s="43"/>
      <c r="EK714" s="43"/>
      <c r="EL714" s="43"/>
      <c r="EM714" s="43"/>
      <c r="EN714" s="43"/>
      <c r="EO714" s="43"/>
      <c r="EP714" s="43"/>
      <c r="EQ714" s="43"/>
      <c r="ER714" s="43"/>
      <c r="ES714" s="43"/>
      <c r="ET714" s="50"/>
      <c r="EU714" s="50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43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43"/>
      <c r="CF715" s="43"/>
      <c r="CG715" s="43"/>
      <c r="CH715" s="43"/>
      <c r="CI715" s="43"/>
      <c r="CJ715" s="43"/>
      <c r="CK715" s="43"/>
      <c r="CL715" s="43"/>
      <c r="CM715" s="43"/>
      <c r="CN715" s="43"/>
      <c r="CO715" s="43"/>
      <c r="CP715" s="43"/>
      <c r="CQ715" s="43"/>
      <c r="CR715" s="43"/>
      <c r="CS715" s="43"/>
      <c r="CT715" s="43"/>
      <c r="CU715" s="43"/>
      <c r="CV715" s="43"/>
      <c r="CW715" s="43"/>
      <c r="CX715" s="43"/>
      <c r="CY715" s="43"/>
      <c r="CZ715" s="43"/>
      <c r="DA715" s="43"/>
      <c r="DB715" s="43"/>
      <c r="DC715" s="43"/>
      <c r="DD715" s="43"/>
      <c r="DE715" s="43"/>
      <c r="DF715" s="43"/>
      <c r="DG715" s="43"/>
      <c r="DH715" s="43"/>
      <c r="DI715" s="43"/>
      <c r="DJ715" s="43"/>
      <c r="DK715" s="43"/>
      <c r="DL715" s="43"/>
      <c r="DM715" s="43"/>
      <c r="DN715" s="43"/>
      <c r="DO715" s="43"/>
      <c r="DP715" s="43"/>
      <c r="DQ715" s="43"/>
      <c r="DR715" s="43"/>
      <c r="DS715" s="43"/>
      <c r="DT715" s="43"/>
      <c r="DU715" s="43"/>
      <c r="DV715" s="43"/>
      <c r="DW715" s="43"/>
      <c r="DX715" s="43"/>
      <c r="DY715" s="43"/>
      <c r="DZ715" s="43"/>
      <c r="EA715" s="43"/>
      <c r="EB715" s="43"/>
      <c r="EC715" s="43"/>
      <c r="ED715" s="43"/>
      <c r="EE715" s="43"/>
      <c r="EF715" s="43"/>
      <c r="EG715" s="43"/>
      <c r="EH715" s="43"/>
      <c r="EI715" s="43"/>
      <c r="EJ715" s="43"/>
      <c r="EK715" s="43"/>
      <c r="EL715" s="43"/>
      <c r="EM715" s="43"/>
      <c r="EN715" s="43"/>
      <c r="EO715" s="43"/>
      <c r="EP715" s="43"/>
      <c r="EQ715" s="43"/>
      <c r="ER715" s="43"/>
      <c r="ES715" s="43"/>
      <c r="ET715" s="50"/>
      <c r="EU715" s="50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43"/>
      <c r="CF716" s="43"/>
      <c r="CG716" s="43"/>
      <c r="CH716" s="43"/>
      <c r="CI716" s="43"/>
      <c r="CJ716" s="43"/>
      <c r="CK716" s="43"/>
      <c r="CL716" s="43"/>
      <c r="CM716" s="43"/>
      <c r="CN716" s="43"/>
      <c r="CO716" s="43"/>
      <c r="CP716" s="43"/>
      <c r="CQ716" s="43"/>
      <c r="CR716" s="43"/>
      <c r="CS716" s="43"/>
      <c r="CT716" s="43"/>
      <c r="CU716" s="43"/>
      <c r="CV716" s="43"/>
      <c r="CW716" s="43"/>
      <c r="CX716" s="43"/>
      <c r="CY716" s="43"/>
      <c r="CZ716" s="43"/>
      <c r="DA716" s="43"/>
      <c r="DB716" s="43"/>
      <c r="DC716" s="43"/>
      <c r="DD716" s="43"/>
      <c r="DE716" s="43"/>
      <c r="DF716" s="43"/>
      <c r="DG716" s="43"/>
      <c r="DH716" s="43"/>
      <c r="DI716" s="43"/>
      <c r="DJ716" s="43"/>
      <c r="DK716" s="43"/>
      <c r="DL716" s="43"/>
      <c r="DM716" s="43"/>
      <c r="DN716" s="43"/>
      <c r="DO716" s="43"/>
      <c r="DP716" s="43"/>
      <c r="DQ716" s="43"/>
      <c r="DR716" s="43"/>
      <c r="DS716" s="43"/>
      <c r="DT716" s="43"/>
      <c r="DU716" s="43"/>
      <c r="DV716" s="43"/>
      <c r="DW716" s="43"/>
      <c r="DX716" s="43"/>
      <c r="DY716" s="43"/>
      <c r="DZ716" s="43"/>
      <c r="EA716" s="43"/>
      <c r="EB716" s="43"/>
      <c r="EC716" s="43"/>
      <c r="ED716" s="43"/>
      <c r="EE716" s="43"/>
      <c r="EF716" s="43"/>
      <c r="EG716" s="43"/>
      <c r="EH716" s="43"/>
      <c r="EI716" s="43"/>
      <c r="EJ716" s="43"/>
      <c r="EK716" s="43"/>
      <c r="EL716" s="43"/>
      <c r="EM716" s="43"/>
      <c r="EN716" s="43"/>
      <c r="EO716" s="43"/>
      <c r="EP716" s="43"/>
      <c r="EQ716" s="43"/>
      <c r="ER716" s="43"/>
      <c r="ES716" s="43"/>
      <c r="ET716" s="50"/>
      <c r="EU716" s="50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43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43"/>
      <c r="CF717" s="43"/>
      <c r="CG717" s="43"/>
      <c r="CH717" s="43"/>
      <c r="CI717" s="43"/>
      <c r="CJ717" s="43"/>
      <c r="CK717" s="43"/>
      <c r="CL717" s="43"/>
      <c r="CM717" s="43"/>
      <c r="CN717" s="43"/>
      <c r="CO717" s="43"/>
      <c r="CP717" s="43"/>
      <c r="CQ717" s="43"/>
      <c r="CR717" s="43"/>
      <c r="CS717" s="43"/>
      <c r="CT717" s="43"/>
      <c r="CU717" s="43"/>
      <c r="CV717" s="43"/>
      <c r="CW717" s="43"/>
      <c r="CX717" s="43"/>
      <c r="CY717" s="43"/>
      <c r="CZ717" s="43"/>
      <c r="DA717" s="43"/>
      <c r="DB717" s="43"/>
      <c r="DC717" s="43"/>
      <c r="DD717" s="43"/>
      <c r="DE717" s="43"/>
      <c r="DF717" s="43"/>
      <c r="DG717" s="43"/>
      <c r="DH717" s="43"/>
      <c r="DI717" s="43"/>
      <c r="DJ717" s="43"/>
      <c r="DK717" s="43"/>
      <c r="DL717" s="43"/>
      <c r="DM717" s="43"/>
      <c r="DN717" s="43"/>
      <c r="DO717" s="43"/>
      <c r="DP717" s="43"/>
      <c r="DQ717" s="43"/>
      <c r="DR717" s="43"/>
      <c r="DS717" s="43"/>
      <c r="DT717" s="43"/>
      <c r="DU717" s="43"/>
      <c r="DV717" s="43"/>
      <c r="DW717" s="43"/>
      <c r="DX717" s="43"/>
      <c r="DY717" s="43"/>
      <c r="DZ717" s="43"/>
      <c r="EA717" s="43"/>
      <c r="EB717" s="43"/>
      <c r="EC717" s="43"/>
      <c r="ED717" s="43"/>
      <c r="EE717" s="43"/>
      <c r="EF717" s="43"/>
      <c r="EG717" s="43"/>
      <c r="EH717" s="43"/>
      <c r="EI717" s="43"/>
      <c r="EJ717" s="43"/>
      <c r="EK717" s="43"/>
      <c r="EL717" s="43"/>
      <c r="EM717" s="43"/>
      <c r="EN717" s="43"/>
      <c r="EO717" s="43"/>
      <c r="EP717" s="43"/>
      <c r="EQ717" s="43"/>
      <c r="ER717" s="43"/>
      <c r="ES717" s="43"/>
      <c r="ET717" s="50"/>
      <c r="EU717" s="50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43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43"/>
      <c r="CF718" s="43"/>
      <c r="CG718" s="43"/>
      <c r="CH718" s="43"/>
      <c r="CI718" s="43"/>
      <c r="CJ718" s="43"/>
      <c r="CK718" s="43"/>
      <c r="CL718" s="43"/>
      <c r="CM718" s="43"/>
      <c r="CN718" s="43"/>
      <c r="CO718" s="43"/>
      <c r="CP718" s="43"/>
      <c r="CQ718" s="43"/>
      <c r="CR718" s="43"/>
      <c r="CS718" s="43"/>
      <c r="CT718" s="43"/>
      <c r="CU718" s="43"/>
      <c r="CV718" s="43"/>
      <c r="CW718" s="43"/>
      <c r="CX718" s="43"/>
      <c r="CY718" s="43"/>
      <c r="CZ718" s="43"/>
      <c r="DA718" s="43"/>
      <c r="DB718" s="43"/>
      <c r="DC718" s="43"/>
      <c r="DD718" s="43"/>
      <c r="DE718" s="43"/>
      <c r="DF718" s="43"/>
      <c r="DG718" s="43"/>
      <c r="DH718" s="43"/>
      <c r="DI718" s="43"/>
      <c r="DJ718" s="43"/>
      <c r="DK718" s="43"/>
      <c r="DL718" s="43"/>
      <c r="DM718" s="43"/>
      <c r="DN718" s="43"/>
      <c r="DO718" s="43"/>
      <c r="DP718" s="43"/>
      <c r="DQ718" s="43"/>
      <c r="DR718" s="43"/>
      <c r="DS718" s="43"/>
      <c r="DT718" s="43"/>
      <c r="DU718" s="43"/>
      <c r="DV718" s="43"/>
      <c r="DW718" s="43"/>
      <c r="DX718" s="43"/>
      <c r="DY718" s="43"/>
      <c r="DZ718" s="43"/>
      <c r="EA718" s="43"/>
      <c r="EB718" s="43"/>
      <c r="EC718" s="43"/>
      <c r="ED718" s="43"/>
      <c r="EE718" s="43"/>
      <c r="EF718" s="43"/>
      <c r="EG718" s="43"/>
      <c r="EH718" s="43"/>
      <c r="EI718" s="43"/>
      <c r="EJ718" s="43"/>
      <c r="EK718" s="43"/>
      <c r="EL718" s="43"/>
      <c r="EM718" s="43"/>
      <c r="EN718" s="43"/>
      <c r="EO718" s="43"/>
      <c r="EP718" s="43"/>
      <c r="EQ718" s="43"/>
      <c r="ER718" s="43"/>
      <c r="ES718" s="43"/>
      <c r="ET718" s="50"/>
      <c r="EU718" s="50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  <c r="CS719" s="43"/>
      <c r="CT719" s="43"/>
      <c r="CU719" s="43"/>
      <c r="CV719" s="43"/>
      <c r="CW719" s="43"/>
      <c r="CX719" s="43"/>
      <c r="CY719" s="43"/>
      <c r="CZ719" s="43"/>
      <c r="DA719" s="43"/>
      <c r="DB719" s="43"/>
      <c r="DC719" s="43"/>
      <c r="DD719" s="43"/>
      <c r="DE719" s="43"/>
      <c r="DF719" s="43"/>
      <c r="DG719" s="43"/>
      <c r="DH719" s="43"/>
      <c r="DI719" s="43"/>
      <c r="DJ719" s="43"/>
      <c r="DK719" s="43"/>
      <c r="DL719" s="43"/>
      <c r="DM719" s="43"/>
      <c r="DN719" s="43"/>
      <c r="DO719" s="43"/>
      <c r="DP719" s="43"/>
      <c r="DQ719" s="43"/>
      <c r="DR719" s="43"/>
      <c r="DS719" s="43"/>
      <c r="DT719" s="43"/>
      <c r="DU719" s="43"/>
      <c r="DV719" s="43"/>
      <c r="DW719" s="43"/>
      <c r="DX719" s="43"/>
      <c r="DY719" s="43"/>
      <c r="DZ719" s="43"/>
      <c r="EA719" s="43"/>
      <c r="EB719" s="43"/>
      <c r="EC719" s="43"/>
      <c r="ED719" s="43"/>
      <c r="EE719" s="43"/>
      <c r="EF719" s="43"/>
      <c r="EG719" s="43"/>
      <c r="EH719" s="43"/>
      <c r="EI719" s="43"/>
      <c r="EJ719" s="43"/>
      <c r="EK719" s="43"/>
      <c r="EL719" s="43"/>
      <c r="EM719" s="43"/>
      <c r="EN719" s="43"/>
      <c r="EO719" s="43"/>
      <c r="EP719" s="43"/>
      <c r="EQ719" s="43"/>
      <c r="ER719" s="43"/>
      <c r="ES719" s="43"/>
      <c r="ET719" s="50"/>
      <c r="EU719" s="50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43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43"/>
      <c r="CF720" s="43"/>
      <c r="CG720" s="43"/>
      <c r="CH720" s="43"/>
      <c r="CI720" s="43"/>
      <c r="CJ720" s="43"/>
      <c r="CK720" s="43"/>
      <c r="CL720" s="43"/>
      <c r="CM720" s="43"/>
      <c r="CN720" s="43"/>
      <c r="CO720" s="43"/>
      <c r="CP720" s="43"/>
      <c r="CQ720" s="43"/>
      <c r="CR720" s="43"/>
      <c r="CS720" s="43"/>
      <c r="CT720" s="43"/>
      <c r="CU720" s="43"/>
      <c r="CV720" s="43"/>
      <c r="CW720" s="43"/>
      <c r="CX720" s="43"/>
      <c r="CY720" s="43"/>
      <c r="CZ720" s="43"/>
      <c r="DA720" s="43"/>
      <c r="DB720" s="43"/>
      <c r="DC720" s="43"/>
      <c r="DD720" s="43"/>
      <c r="DE720" s="43"/>
      <c r="DF720" s="43"/>
      <c r="DG720" s="43"/>
      <c r="DH720" s="43"/>
      <c r="DI720" s="43"/>
      <c r="DJ720" s="43"/>
      <c r="DK720" s="43"/>
      <c r="DL720" s="43"/>
      <c r="DM720" s="43"/>
      <c r="DN720" s="43"/>
      <c r="DO720" s="43"/>
      <c r="DP720" s="43"/>
      <c r="DQ720" s="43"/>
      <c r="DR720" s="43"/>
      <c r="DS720" s="43"/>
      <c r="DT720" s="43"/>
      <c r="DU720" s="43"/>
      <c r="DV720" s="43"/>
      <c r="DW720" s="43"/>
      <c r="DX720" s="43"/>
      <c r="DY720" s="43"/>
      <c r="DZ720" s="43"/>
      <c r="EA720" s="43"/>
      <c r="EB720" s="43"/>
      <c r="EC720" s="43"/>
      <c r="ED720" s="43"/>
      <c r="EE720" s="43"/>
      <c r="EF720" s="43"/>
      <c r="EG720" s="43"/>
      <c r="EH720" s="43"/>
      <c r="EI720" s="43"/>
      <c r="EJ720" s="43"/>
      <c r="EK720" s="43"/>
      <c r="EL720" s="43"/>
      <c r="EM720" s="43"/>
      <c r="EN720" s="43"/>
      <c r="EO720" s="43"/>
      <c r="EP720" s="43"/>
      <c r="EQ720" s="43"/>
      <c r="ER720" s="43"/>
      <c r="ES720" s="43"/>
      <c r="ET720" s="50"/>
      <c r="EU720" s="50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43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43"/>
      <c r="CF721" s="43"/>
      <c r="CG721" s="43"/>
      <c r="CH721" s="43"/>
      <c r="CI721" s="43"/>
      <c r="CJ721" s="43"/>
      <c r="CK721" s="43"/>
      <c r="CL721" s="43"/>
      <c r="CM721" s="43"/>
      <c r="CN721" s="43"/>
      <c r="CO721" s="43"/>
      <c r="CP721" s="43"/>
      <c r="CQ721" s="43"/>
      <c r="CR721" s="43"/>
      <c r="CS721" s="43"/>
      <c r="CT721" s="43"/>
      <c r="CU721" s="43"/>
      <c r="CV721" s="43"/>
      <c r="CW721" s="43"/>
      <c r="CX721" s="43"/>
      <c r="CY721" s="43"/>
      <c r="CZ721" s="43"/>
      <c r="DA721" s="43"/>
      <c r="DB721" s="43"/>
      <c r="DC721" s="43"/>
      <c r="DD721" s="43"/>
      <c r="DE721" s="43"/>
      <c r="DF721" s="43"/>
      <c r="DG721" s="43"/>
      <c r="DH721" s="43"/>
      <c r="DI721" s="43"/>
      <c r="DJ721" s="43"/>
      <c r="DK721" s="43"/>
      <c r="DL721" s="43"/>
      <c r="DM721" s="43"/>
      <c r="DN721" s="43"/>
      <c r="DO721" s="43"/>
      <c r="DP721" s="43"/>
      <c r="DQ721" s="43"/>
      <c r="DR721" s="43"/>
      <c r="DS721" s="43"/>
      <c r="DT721" s="43"/>
      <c r="DU721" s="43"/>
      <c r="DV721" s="43"/>
      <c r="DW721" s="43"/>
      <c r="DX721" s="43"/>
      <c r="DY721" s="43"/>
      <c r="DZ721" s="43"/>
      <c r="EA721" s="43"/>
      <c r="EB721" s="43"/>
      <c r="EC721" s="43"/>
      <c r="ED721" s="43"/>
      <c r="EE721" s="43"/>
      <c r="EF721" s="43"/>
      <c r="EG721" s="43"/>
      <c r="EH721" s="43"/>
      <c r="EI721" s="43"/>
      <c r="EJ721" s="43"/>
      <c r="EK721" s="43"/>
      <c r="EL721" s="43"/>
      <c r="EM721" s="43"/>
      <c r="EN721" s="43"/>
      <c r="EO721" s="43"/>
      <c r="EP721" s="43"/>
      <c r="EQ721" s="43"/>
      <c r="ER721" s="43"/>
      <c r="ES721" s="43"/>
      <c r="ET721" s="50"/>
      <c r="EU721" s="50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  <c r="CS722" s="43"/>
      <c r="CT722" s="43"/>
      <c r="CU722" s="43"/>
      <c r="CV722" s="43"/>
      <c r="CW722" s="43"/>
      <c r="CX722" s="43"/>
      <c r="CY722" s="43"/>
      <c r="CZ722" s="43"/>
      <c r="DA722" s="43"/>
      <c r="DB722" s="43"/>
      <c r="DC722" s="43"/>
      <c r="DD722" s="43"/>
      <c r="DE722" s="43"/>
      <c r="DF722" s="43"/>
      <c r="DG722" s="43"/>
      <c r="DH722" s="43"/>
      <c r="DI722" s="43"/>
      <c r="DJ722" s="43"/>
      <c r="DK722" s="43"/>
      <c r="DL722" s="43"/>
      <c r="DM722" s="43"/>
      <c r="DN722" s="43"/>
      <c r="DO722" s="43"/>
      <c r="DP722" s="43"/>
      <c r="DQ722" s="43"/>
      <c r="DR722" s="43"/>
      <c r="DS722" s="43"/>
      <c r="DT722" s="43"/>
      <c r="DU722" s="43"/>
      <c r="DV722" s="43"/>
      <c r="DW722" s="43"/>
      <c r="DX722" s="43"/>
      <c r="DY722" s="43"/>
      <c r="DZ722" s="43"/>
      <c r="EA722" s="43"/>
      <c r="EB722" s="43"/>
      <c r="EC722" s="43"/>
      <c r="ED722" s="43"/>
      <c r="EE722" s="43"/>
      <c r="EF722" s="43"/>
      <c r="EG722" s="43"/>
      <c r="EH722" s="43"/>
      <c r="EI722" s="43"/>
      <c r="EJ722" s="43"/>
      <c r="EK722" s="43"/>
      <c r="EL722" s="43"/>
      <c r="EM722" s="43"/>
      <c r="EN722" s="43"/>
      <c r="EO722" s="43"/>
      <c r="EP722" s="43"/>
      <c r="EQ722" s="43"/>
      <c r="ER722" s="43"/>
      <c r="ES722" s="43"/>
      <c r="ET722" s="50"/>
      <c r="EU722" s="50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43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43"/>
      <c r="CF723" s="43"/>
      <c r="CG723" s="43"/>
      <c r="CH723" s="43"/>
      <c r="CI723" s="43"/>
      <c r="CJ723" s="43"/>
      <c r="CK723" s="43"/>
      <c r="CL723" s="43"/>
      <c r="CM723" s="43"/>
      <c r="CN723" s="43"/>
      <c r="CO723" s="43"/>
      <c r="CP723" s="43"/>
      <c r="CQ723" s="43"/>
      <c r="CR723" s="43"/>
      <c r="CS723" s="43"/>
      <c r="CT723" s="43"/>
      <c r="CU723" s="43"/>
      <c r="CV723" s="43"/>
      <c r="CW723" s="43"/>
      <c r="CX723" s="43"/>
      <c r="CY723" s="43"/>
      <c r="CZ723" s="43"/>
      <c r="DA723" s="43"/>
      <c r="DB723" s="43"/>
      <c r="DC723" s="43"/>
      <c r="DD723" s="43"/>
      <c r="DE723" s="43"/>
      <c r="DF723" s="43"/>
      <c r="DG723" s="43"/>
      <c r="DH723" s="43"/>
      <c r="DI723" s="43"/>
      <c r="DJ723" s="43"/>
      <c r="DK723" s="43"/>
      <c r="DL723" s="43"/>
      <c r="DM723" s="43"/>
      <c r="DN723" s="43"/>
      <c r="DO723" s="43"/>
      <c r="DP723" s="43"/>
      <c r="DQ723" s="43"/>
      <c r="DR723" s="43"/>
      <c r="DS723" s="43"/>
      <c r="DT723" s="43"/>
      <c r="DU723" s="43"/>
      <c r="DV723" s="43"/>
      <c r="DW723" s="43"/>
      <c r="DX723" s="43"/>
      <c r="DY723" s="43"/>
      <c r="DZ723" s="43"/>
      <c r="EA723" s="43"/>
      <c r="EB723" s="43"/>
      <c r="EC723" s="43"/>
      <c r="ED723" s="43"/>
      <c r="EE723" s="43"/>
      <c r="EF723" s="43"/>
      <c r="EG723" s="43"/>
      <c r="EH723" s="43"/>
      <c r="EI723" s="43"/>
      <c r="EJ723" s="43"/>
      <c r="EK723" s="43"/>
      <c r="EL723" s="43"/>
      <c r="EM723" s="43"/>
      <c r="EN723" s="43"/>
      <c r="EO723" s="43"/>
      <c r="EP723" s="43"/>
      <c r="EQ723" s="43"/>
      <c r="ER723" s="43"/>
      <c r="ES723" s="43"/>
      <c r="ET723" s="50"/>
      <c r="EU723" s="50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43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43"/>
      <c r="CF724" s="43"/>
      <c r="CG724" s="43"/>
      <c r="CH724" s="43"/>
      <c r="CI724" s="43"/>
      <c r="CJ724" s="43"/>
      <c r="CK724" s="43"/>
      <c r="CL724" s="43"/>
      <c r="CM724" s="43"/>
      <c r="CN724" s="43"/>
      <c r="CO724" s="43"/>
      <c r="CP724" s="43"/>
      <c r="CQ724" s="43"/>
      <c r="CR724" s="43"/>
      <c r="CS724" s="43"/>
      <c r="CT724" s="43"/>
      <c r="CU724" s="43"/>
      <c r="CV724" s="43"/>
      <c r="CW724" s="43"/>
      <c r="CX724" s="43"/>
      <c r="CY724" s="43"/>
      <c r="CZ724" s="43"/>
      <c r="DA724" s="43"/>
      <c r="DB724" s="43"/>
      <c r="DC724" s="43"/>
      <c r="DD724" s="43"/>
      <c r="DE724" s="43"/>
      <c r="DF724" s="43"/>
      <c r="DG724" s="43"/>
      <c r="DH724" s="43"/>
      <c r="DI724" s="43"/>
      <c r="DJ724" s="43"/>
      <c r="DK724" s="43"/>
      <c r="DL724" s="43"/>
      <c r="DM724" s="43"/>
      <c r="DN724" s="43"/>
      <c r="DO724" s="43"/>
      <c r="DP724" s="43"/>
      <c r="DQ724" s="43"/>
      <c r="DR724" s="43"/>
      <c r="DS724" s="43"/>
      <c r="DT724" s="43"/>
      <c r="DU724" s="43"/>
      <c r="DV724" s="43"/>
      <c r="DW724" s="43"/>
      <c r="DX724" s="43"/>
      <c r="DY724" s="43"/>
      <c r="DZ724" s="43"/>
      <c r="EA724" s="43"/>
      <c r="EB724" s="43"/>
      <c r="EC724" s="43"/>
      <c r="ED724" s="43"/>
      <c r="EE724" s="43"/>
      <c r="EF724" s="43"/>
      <c r="EG724" s="43"/>
      <c r="EH724" s="43"/>
      <c r="EI724" s="43"/>
      <c r="EJ724" s="43"/>
      <c r="EK724" s="43"/>
      <c r="EL724" s="43"/>
      <c r="EM724" s="43"/>
      <c r="EN724" s="43"/>
      <c r="EO724" s="43"/>
      <c r="EP724" s="43"/>
      <c r="EQ724" s="43"/>
      <c r="ER724" s="43"/>
      <c r="ES724" s="43"/>
      <c r="ET724" s="50"/>
      <c r="EU724" s="50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43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43"/>
      <c r="CF725" s="43"/>
      <c r="CG725" s="43"/>
      <c r="CH725" s="43"/>
      <c r="CI725" s="43"/>
      <c r="CJ725" s="43"/>
      <c r="CK725" s="43"/>
      <c r="CL725" s="43"/>
      <c r="CM725" s="43"/>
      <c r="CN725" s="43"/>
      <c r="CO725" s="43"/>
      <c r="CP725" s="43"/>
      <c r="CQ725" s="43"/>
      <c r="CR725" s="43"/>
      <c r="CS725" s="43"/>
      <c r="CT725" s="43"/>
      <c r="CU725" s="43"/>
      <c r="CV725" s="43"/>
      <c r="CW725" s="43"/>
      <c r="CX725" s="43"/>
      <c r="CY725" s="43"/>
      <c r="CZ725" s="43"/>
      <c r="DA725" s="43"/>
      <c r="DB725" s="43"/>
      <c r="DC725" s="43"/>
      <c r="DD725" s="43"/>
      <c r="DE725" s="43"/>
      <c r="DF725" s="43"/>
      <c r="DG725" s="43"/>
      <c r="DH725" s="43"/>
      <c r="DI725" s="43"/>
      <c r="DJ725" s="43"/>
      <c r="DK725" s="43"/>
      <c r="DL725" s="43"/>
      <c r="DM725" s="43"/>
      <c r="DN725" s="43"/>
      <c r="DO725" s="43"/>
      <c r="DP725" s="43"/>
      <c r="DQ725" s="43"/>
      <c r="DR725" s="43"/>
      <c r="DS725" s="43"/>
      <c r="DT725" s="43"/>
      <c r="DU725" s="43"/>
      <c r="DV725" s="43"/>
      <c r="DW725" s="43"/>
      <c r="DX725" s="43"/>
      <c r="DY725" s="43"/>
      <c r="DZ725" s="43"/>
      <c r="EA725" s="43"/>
      <c r="EB725" s="43"/>
      <c r="EC725" s="43"/>
      <c r="ED725" s="43"/>
      <c r="EE725" s="43"/>
      <c r="EF725" s="43"/>
      <c r="EG725" s="43"/>
      <c r="EH725" s="43"/>
      <c r="EI725" s="43"/>
      <c r="EJ725" s="43"/>
      <c r="EK725" s="43"/>
      <c r="EL725" s="43"/>
      <c r="EM725" s="43"/>
      <c r="EN725" s="43"/>
      <c r="EO725" s="43"/>
      <c r="EP725" s="43"/>
      <c r="EQ725" s="43"/>
      <c r="ER725" s="43"/>
      <c r="ES725" s="43"/>
      <c r="ET725" s="50"/>
      <c r="EU725" s="50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43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43"/>
      <c r="CF726" s="43"/>
      <c r="CG726" s="43"/>
      <c r="CH726" s="43"/>
      <c r="CI726" s="43"/>
      <c r="CJ726" s="43"/>
      <c r="CK726" s="43"/>
      <c r="CL726" s="43"/>
      <c r="CM726" s="43"/>
      <c r="CN726" s="43"/>
      <c r="CO726" s="43"/>
      <c r="CP726" s="43"/>
      <c r="CQ726" s="43"/>
      <c r="CR726" s="43"/>
      <c r="CS726" s="43"/>
      <c r="CT726" s="43"/>
      <c r="CU726" s="43"/>
      <c r="CV726" s="43"/>
      <c r="CW726" s="43"/>
      <c r="CX726" s="43"/>
      <c r="CY726" s="43"/>
      <c r="CZ726" s="43"/>
      <c r="DA726" s="43"/>
      <c r="DB726" s="43"/>
      <c r="DC726" s="43"/>
      <c r="DD726" s="43"/>
      <c r="DE726" s="43"/>
      <c r="DF726" s="43"/>
      <c r="DG726" s="43"/>
      <c r="DH726" s="43"/>
      <c r="DI726" s="43"/>
      <c r="DJ726" s="43"/>
      <c r="DK726" s="43"/>
      <c r="DL726" s="43"/>
      <c r="DM726" s="43"/>
      <c r="DN726" s="43"/>
      <c r="DO726" s="43"/>
      <c r="DP726" s="43"/>
      <c r="DQ726" s="43"/>
      <c r="DR726" s="43"/>
      <c r="DS726" s="43"/>
      <c r="DT726" s="43"/>
      <c r="DU726" s="43"/>
      <c r="DV726" s="43"/>
      <c r="DW726" s="43"/>
      <c r="DX726" s="43"/>
      <c r="DY726" s="43"/>
      <c r="DZ726" s="43"/>
      <c r="EA726" s="43"/>
      <c r="EB726" s="43"/>
      <c r="EC726" s="43"/>
      <c r="ED726" s="43"/>
      <c r="EE726" s="43"/>
      <c r="EF726" s="43"/>
      <c r="EG726" s="43"/>
      <c r="EH726" s="43"/>
      <c r="EI726" s="43"/>
      <c r="EJ726" s="43"/>
      <c r="EK726" s="43"/>
      <c r="EL726" s="43"/>
      <c r="EM726" s="43"/>
      <c r="EN726" s="43"/>
      <c r="EO726" s="43"/>
      <c r="EP726" s="43"/>
      <c r="EQ726" s="43"/>
      <c r="ER726" s="43"/>
      <c r="ES726" s="43"/>
      <c r="ET726" s="50"/>
      <c r="EU726" s="50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43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43"/>
      <c r="CF727" s="43"/>
      <c r="CG727" s="43"/>
      <c r="CH727" s="43"/>
      <c r="CI727" s="43"/>
      <c r="CJ727" s="43"/>
      <c r="CK727" s="43"/>
      <c r="CL727" s="43"/>
      <c r="CM727" s="43"/>
      <c r="CN727" s="43"/>
      <c r="CO727" s="43"/>
      <c r="CP727" s="43"/>
      <c r="CQ727" s="43"/>
      <c r="CR727" s="43"/>
      <c r="CS727" s="43"/>
      <c r="CT727" s="43"/>
      <c r="CU727" s="43"/>
      <c r="CV727" s="43"/>
      <c r="CW727" s="43"/>
      <c r="CX727" s="43"/>
      <c r="CY727" s="43"/>
      <c r="CZ727" s="43"/>
      <c r="DA727" s="43"/>
      <c r="DB727" s="43"/>
      <c r="DC727" s="43"/>
      <c r="DD727" s="43"/>
      <c r="DE727" s="43"/>
      <c r="DF727" s="43"/>
      <c r="DG727" s="43"/>
      <c r="DH727" s="43"/>
      <c r="DI727" s="43"/>
      <c r="DJ727" s="43"/>
      <c r="DK727" s="43"/>
      <c r="DL727" s="43"/>
      <c r="DM727" s="43"/>
      <c r="DN727" s="43"/>
      <c r="DO727" s="43"/>
      <c r="DP727" s="43"/>
      <c r="DQ727" s="43"/>
      <c r="DR727" s="43"/>
      <c r="DS727" s="43"/>
      <c r="DT727" s="43"/>
      <c r="DU727" s="43"/>
      <c r="DV727" s="43"/>
      <c r="DW727" s="43"/>
      <c r="DX727" s="43"/>
      <c r="DY727" s="43"/>
      <c r="DZ727" s="43"/>
      <c r="EA727" s="43"/>
      <c r="EB727" s="43"/>
      <c r="EC727" s="43"/>
      <c r="ED727" s="43"/>
      <c r="EE727" s="43"/>
      <c r="EF727" s="43"/>
      <c r="EG727" s="43"/>
      <c r="EH727" s="43"/>
      <c r="EI727" s="43"/>
      <c r="EJ727" s="43"/>
      <c r="EK727" s="43"/>
      <c r="EL727" s="43"/>
      <c r="EM727" s="43"/>
      <c r="EN727" s="43"/>
      <c r="EO727" s="43"/>
      <c r="EP727" s="43"/>
      <c r="EQ727" s="43"/>
      <c r="ER727" s="43"/>
      <c r="ES727" s="43"/>
      <c r="ET727" s="50"/>
      <c r="EU727" s="50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43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43"/>
      <c r="CF728" s="43"/>
      <c r="CG728" s="43"/>
      <c r="CH728" s="43"/>
      <c r="CI728" s="43"/>
      <c r="CJ728" s="43"/>
      <c r="CK728" s="43"/>
      <c r="CL728" s="43"/>
      <c r="CM728" s="43"/>
      <c r="CN728" s="43"/>
      <c r="CO728" s="43"/>
      <c r="CP728" s="43"/>
      <c r="CQ728" s="43"/>
      <c r="CR728" s="43"/>
      <c r="CS728" s="43"/>
      <c r="CT728" s="43"/>
      <c r="CU728" s="43"/>
      <c r="CV728" s="43"/>
      <c r="CW728" s="43"/>
      <c r="CX728" s="43"/>
      <c r="CY728" s="43"/>
      <c r="CZ728" s="43"/>
      <c r="DA728" s="43"/>
      <c r="DB728" s="43"/>
      <c r="DC728" s="43"/>
      <c r="DD728" s="43"/>
      <c r="DE728" s="43"/>
      <c r="DF728" s="43"/>
      <c r="DG728" s="43"/>
      <c r="DH728" s="43"/>
      <c r="DI728" s="43"/>
      <c r="DJ728" s="43"/>
      <c r="DK728" s="43"/>
      <c r="DL728" s="43"/>
      <c r="DM728" s="43"/>
      <c r="DN728" s="43"/>
      <c r="DO728" s="43"/>
      <c r="DP728" s="43"/>
      <c r="DQ728" s="43"/>
      <c r="DR728" s="43"/>
      <c r="DS728" s="43"/>
      <c r="DT728" s="43"/>
      <c r="DU728" s="43"/>
      <c r="DV728" s="43"/>
      <c r="DW728" s="43"/>
      <c r="DX728" s="43"/>
      <c r="DY728" s="43"/>
      <c r="DZ728" s="43"/>
      <c r="EA728" s="43"/>
      <c r="EB728" s="43"/>
      <c r="EC728" s="43"/>
      <c r="ED728" s="43"/>
      <c r="EE728" s="43"/>
      <c r="EF728" s="43"/>
      <c r="EG728" s="43"/>
      <c r="EH728" s="43"/>
      <c r="EI728" s="43"/>
      <c r="EJ728" s="43"/>
      <c r="EK728" s="43"/>
      <c r="EL728" s="43"/>
      <c r="EM728" s="43"/>
      <c r="EN728" s="43"/>
      <c r="EO728" s="43"/>
      <c r="EP728" s="43"/>
      <c r="EQ728" s="43"/>
      <c r="ER728" s="43"/>
      <c r="ES728" s="43"/>
      <c r="ET728" s="50"/>
      <c r="EU728" s="50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43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43"/>
      <c r="CF729" s="43"/>
      <c r="CG729" s="43"/>
      <c r="CH729" s="43"/>
      <c r="CI729" s="43"/>
      <c r="CJ729" s="43"/>
      <c r="CK729" s="43"/>
      <c r="CL729" s="43"/>
      <c r="CM729" s="43"/>
      <c r="CN729" s="43"/>
      <c r="CO729" s="43"/>
      <c r="CP729" s="43"/>
      <c r="CQ729" s="43"/>
      <c r="CR729" s="43"/>
      <c r="CS729" s="43"/>
      <c r="CT729" s="43"/>
      <c r="CU729" s="43"/>
      <c r="CV729" s="43"/>
      <c r="CW729" s="43"/>
      <c r="CX729" s="43"/>
      <c r="CY729" s="43"/>
      <c r="CZ729" s="43"/>
      <c r="DA729" s="43"/>
      <c r="DB729" s="43"/>
      <c r="DC729" s="43"/>
      <c r="DD729" s="43"/>
      <c r="DE729" s="43"/>
      <c r="DF729" s="43"/>
      <c r="DG729" s="43"/>
      <c r="DH729" s="43"/>
      <c r="DI729" s="43"/>
      <c r="DJ729" s="43"/>
      <c r="DK729" s="43"/>
      <c r="DL729" s="43"/>
      <c r="DM729" s="43"/>
      <c r="DN729" s="43"/>
      <c r="DO729" s="43"/>
      <c r="DP729" s="43"/>
      <c r="DQ729" s="43"/>
      <c r="DR729" s="43"/>
      <c r="DS729" s="43"/>
      <c r="DT729" s="43"/>
      <c r="DU729" s="43"/>
      <c r="DV729" s="43"/>
      <c r="DW729" s="43"/>
      <c r="DX729" s="43"/>
      <c r="DY729" s="43"/>
      <c r="DZ729" s="43"/>
      <c r="EA729" s="43"/>
      <c r="EB729" s="43"/>
      <c r="EC729" s="43"/>
      <c r="ED729" s="43"/>
      <c r="EE729" s="43"/>
      <c r="EF729" s="43"/>
      <c r="EG729" s="43"/>
      <c r="EH729" s="43"/>
      <c r="EI729" s="43"/>
      <c r="EJ729" s="43"/>
      <c r="EK729" s="43"/>
      <c r="EL729" s="43"/>
      <c r="EM729" s="43"/>
      <c r="EN729" s="43"/>
      <c r="EO729" s="43"/>
      <c r="EP729" s="43"/>
      <c r="EQ729" s="43"/>
      <c r="ER729" s="43"/>
      <c r="ES729" s="43"/>
      <c r="ET729" s="50"/>
      <c r="EU729" s="50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43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43"/>
      <c r="CF730" s="43"/>
      <c r="CG730" s="43"/>
      <c r="CH730" s="43"/>
      <c r="CI730" s="43"/>
      <c r="CJ730" s="43"/>
      <c r="CK730" s="43"/>
      <c r="CL730" s="43"/>
      <c r="CM730" s="43"/>
      <c r="CN730" s="43"/>
      <c r="CO730" s="43"/>
      <c r="CP730" s="43"/>
      <c r="CQ730" s="43"/>
      <c r="CR730" s="43"/>
      <c r="CS730" s="43"/>
      <c r="CT730" s="43"/>
      <c r="CU730" s="43"/>
      <c r="CV730" s="43"/>
      <c r="CW730" s="43"/>
      <c r="CX730" s="43"/>
      <c r="CY730" s="43"/>
      <c r="CZ730" s="43"/>
      <c r="DA730" s="43"/>
      <c r="DB730" s="43"/>
      <c r="DC730" s="43"/>
      <c r="DD730" s="43"/>
      <c r="DE730" s="43"/>
      <c r="DF730" s="43"/>
      <c r="DG730" s="43"/>
      <c r="DH730" s="43"/>
      <c r="DI730" s="43"/>
      <c r="DJ730" s="43"/>
      <c r="DK730" s="43"/>
      <c r="DL730" s="43"/>
      <c r="DM730" s="43"/>
      <c r="DN730" s="43"/>
      <c r="DO730" s="43"/>
      <c r="DP730" s="43"/>
      <c r="DQ730" s="43"/>
      <c r="DR730" s="43"/>
      <c r="DS730" s="43"/>
      <c r="DT730" s="43"/>
      <c r="DU730" s="43"/>
      <c r="DV730" s="43"/>
      <c r="DW730" s="43"/>
      <c r="DX730" s="43"/>
      <c r="DY730" s="43"/>
      <c r="DZ730" s="43"/>
      <c r="EA730" s="43"/>
      <c r="EB730" s="43"/>
      <c r="EC730" s="43"/>
      <c r="ED730" s="43"/>
      <c r="EE730" s="43"/>
      <c r="EF730" s="43"/>
      <c r="EG730" s="43"/>
      <c r="EH730" s="43"/>
      <c r="EI730" s="43"/>
      <c r="EJ730" s="43"/>
      <c r="EK730" s="43"/>
      <c r="EL730" s="43"/>
      <c r="EM730" s="43"/>
      <c r="EN730" s="43"/>
      <c r="EO730" s="43"/>
      <c r="EP730" s="43"/>
      <c r="EQ730" s="43"/>
      <c r="ER730" s="43"/>
      <c r="ES730" s="43"/>
      <c r="ET730" s="50"/>
      <c r="EU730" s="50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43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43"/>
      <c r="CF731" s="43"/>
      <c r="CG731" s="43"/>
      <c r="CH731" s="43"/>
      <c r="CI731" s="43"/>
      <c r="CJ731" s="43"/>
      <c r="CK731" s="43"/>
      <c r="CL731" s="43"/>
      <c r="CM731" s="43"/>
      <c r="CN731" s="43"/>
      <c r="CO731" s="43"/>
      <c r="CP731" s="43"/>
      <c r="CQ731" s="43"/>
      <c r="CR731" s="43"/>
      <c r="CS731" s="43"/>
      <c r="CT731" s="43"/>
      <c r="CU731" s="43"/>
      <c r="CV731" s="43"/>
      <c r="CW731" s="43"/>
      <c r="CX731" s="43"/>
      <c r="CY731" s="43"/>
      <c r="CZ731" s="43"/>
      <c r="DA731" s="43"/>
      <c r="DB731" s="43"/>
      <c r="DC731" s="43"/>
      <c r="DD731" s="43"/>
      <c r="DE731" s="43"/>
      <c r="DF731" s="43"/>
      <c r="DG731" s="43"/>
      <c r="DH731" s="43"/>
      <c r="DI731" s="43"/>
      <c r="DJ731" s="43"/>
      <c r="DK731" s="43"/>
      <c r="DL731" s="43"/>
      <c r="DM731" s="43"/>
      <c r="DN731" s="43"/>
      <c r="DO731" s="43"/>
      <c r="DP731" s="43"/>
      <c r="DQ731" s="43"/>
      <c r="DR731" s="43"/>
      <c r="DS731" s="43"/>
      <c r="DT731" s="43"/>
      <c r="DU731" s="43"/>
      <c r="DV731" s="43"/>
      <c r="DW731" s="43"/>
      <c r="DX731" s="43"/>
      <c r="DY731" s="43"/>
      <c r="DZ731" s="43"/>
      <c r="EA731" s="43"/>
      <c r="EB731" s="43"/>
      <c r="EC731" s="43"/>
      <c r="ED731" s="43"/>
      <c r="EE731" s="43"/>
      <c r="EF731" s="43"/>
      <c r="EG731" s="43"/>
      <c r="EH731" s="43"/>
      <c r="EI731" s="43"/>
      <c r="EJ731" s="43"/>
      <c r="EK731" s="43"/>
      <c r="EL731" s="43"/>
      <c r="EM731" s="43"/>
      <c r="EN731" s="43"/>
      <c r="EO731" s="43"/>
      <c r="EP731" s="43"/>
      <c r="EQ731" s="43"/>
      <c r="ER731" s="43"/>
      <c r="ES731" s="43"/>
      <c r="ET731" s="50"/>
      <c r="EU731" s="50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43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43"/>
      <c r="CF732" s="43"/>
      <c r="CG732" s="43"/>
      <c r="CH732" s="43"/>
      <c r="CI732" s="43"/>
      <c r="CJ732" s="43"/>
      <c r="CK732" s="43"/>
      <c r="CL732" s="43"/>
      <c r="CM732" s="43"/>
      <c r="CN732" s="43"/>
      <c r="CO732" s="43"/>
      <c r="CP732" s="43"/>
      <c r="CQ732" s="43"/>
      <c r="CR732" s="43"/>
      <c r="CS732" s="43"/>
      <c r="CT732" s="43"/>
      <c r="CU732" s="43"/>
      <c r="CV732" s="43"/>
      <c r="CW732" s="43"/>
      <c r="CX732" s="43"/>
      <c r="CY732" s="43"/>
      <c r="CZ732" s="43"/>
      <c r="DA732" s="43"/>
      <c r="DB732" s="43"/>
      <c r="DC732" s="43"/>
      <c r="DD732" s="43"/>
      <c r="DE732" s="43"/>
      <c r="DF732" s="43"/>
      <c r="DG732" s="43"/>
      <c r="DH732" s="43"/>
      <c r="DI732" s="43"/>
      <c r="DJ732" s="43"/>
      <c r="DK732" s="43"/>
      <c r="DL732" s="43"/>
      <c r="DM732" s="43"/>
      <c r="DN732" s="43"/>
      <c r="DO732" s="43"/>
      <c r="DP732" s="43"/>
      <c r="DQ732" s="43"/>
      <c r="DR732" s="43"/>
      <c r="DS732" s="43"/>
      <c r="DT732" s="43"/>
      <c r="DU732" s="43"/>
      <c r="DV732" s="43"/>
      <c r="DW732" s="43"/>
      <c r="DX732" s="43"/>
      <c r="DY732" s="43"/>
      <c r="DZ732" s="43"/>
      <c r="EA732" s="43"/>
      <c r="EB732" s="43"/>
      <c r="EC732" s="43"/>
      <c r="ED732" s="43"/>
      <c r="EE732" s="43"/>
      <c r="EF732" s="43"/>
      <c r="EG732" s="43"/>
      <c r="EH732" s="43"/>
      <c r="EI732" s="43"/>
      <c r="EJ732" s="43"/>
      <c r="EK732" s="43"/>
      <c r="EL732" s="43"/>
      <c r="EM732" s="43"/>
      <c r="EN732" s="43"/>
      <c r="EO732" s="43"/>
      <c r="EP732" s="43"/>
      <c r="EQ732" s="43"/>
      <c r="ER732" s="43"/>
      <c r="ES732" s="43"/>
      <c r="ET732" s="50"/>
      <c r="EU732" s="50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43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43"/>
      <c r="CF733" s="43"/>
      <c r="CG733" s="43"/>
      <c r="CH733" s="43"/>
      <c r="CI733" s="43"/>
      <c r="CJ733" s="43"/>
      <c r="CK733" s="43"/>
      <c r="CL733" s="43"/>
      <c r="CM733" s="43"/>
      <c r="CN733" s="43"/>
      <c r="CO733" s="43"/>
      <c r="CP733" s="43"/>
      <c r="CQ733" s="43"/>
      <c r="CR733" s="43"/>
      <c r="CS733" s="43"/>
      <c r="CT733" s="43"/>
      <c r="CU733" s="43"/>
      <c r="CV733" s="43"/>
      <c r="CW733" s="43"/>
      <c r="CX733" s="43"/>
      <c r="CY733" s="43"/>
      <c r="CZ733" s="43"/>
      <c r="DA733" s="43"/>
      <c r="DB733" s="43"/>
      <c r="DC733" s="43"/>
      <c r="DD733" s="43"/>
      <c r="DE733" s="43"/>
      <c r="DF733" s="43"/>
      <c r="DG733" s="43"/>
      <c r="DH733" s="43"/>
      <c r="DI733" s="43"/>
      <c r="DJ733" s="43"/>
      <c r="DK733" s="43"/>
      <c r="DL733" s="43"/>
      <c r="DM733" s="43"/>
      <c r="DN733" s="43"/>
      <c r="DO733" s="43"/>
      <c r="DP733" s="43"/>
      <c r="DQ733" s="43"/>
      <c r="DR733" s="43"/>
      <c r="DS733" s="43"/>
      <c r="DT733" s="43"/>
      <c r="DU733" s="43"/>
      <c r="DV733" s="43"/>
      <c r="DW733" s="43"/>
      <c r="DX733" s="43"/>
      <c r="DY733" s="43"/>
      <c r="DZ733" s="43"/>
      <c r="EA733" s="43"/>
      <c r="EB733" s="43"/>
      <c r="EC733" s="43"/>
      <c r="ED733" s="43"/>
      <c r="EE733" s="43"/>
      <c r="EF733" s="43"/>
      <c r="EG733" s="43"/>
      <c r="EH733" s="43"/>
      <c r="EI733" s="43"/>
      <c r="EJ733" s="43"/>
      <c r="EK733" s="43"/>
      <c r="EL733" s="43"/>
      <c r="EM733" s="43"/>
      <c r="EN733" s="43"/>
      <c r="EO733" s="43"/>
      <c r="EP733" s="43"/>
      <c r="EQ733" s="43"/>
      <c r="ER733" s="43"/>
      <c r="ES733" s="43"/>
      <c r="ET733" s="50"/>
      <c r="EU733" s="50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  <c r="CS734" s="43"/>
      <c r="CT734" s="43"/>
      <c r="CU734" s="43"/>
      <c r="CV734" s="43"/>
      <c r="CW734" s="43"/>
      <c r="CX734" s="43"/>
      <c r="CY734" s="43"/>
      <c r="CZ734" s="43"/>
      <c r="DA734" s="43"/>
      <c r="DB734" s="43"/>
      <c r="DC734" s="43"/>
      <c r="DD734" s="43"/>
      <c r="DE734" s="43"/>
      <c r="DF734" s="43"/>
      <c r="DG734" s="43"/>
      <c r="DH734" s="43"/>
      <c r="DI734" s="43"/>
      <c r="DJ734" s="43"/>
      <c r="DK734" s="43"/>
      <c r="DL734" s="43"/>
      <c r="DM734" s="43"/>
      <c r="DN734" s="43"/>
      <c r="DO734" s="43"/>
      <c r="DP734" s="43"/>
      <c r="DQ734" s="43"/>
      <c r="DR734" s="43"/>
      <c r="DS734" s="43"/>
      <c r="DT734" s="43"/>
      <c r="DU734" s="43"/>
      <c r="DV734" s="43"/>
      <c r="DW734" s="43"/>
      <c r="DX734" s="43"/>
      <c r="DY734" s="43"/>
      <c r="DZ734" s="43"/>
      <c r="EA734" s="43"/>
      <c r="EB734" s="43"/>
      <c r="EC734" s="43"/>
      <c r="ED734" s="43"/>
      <c r="EE734" s="43"/>
      <c r="EF734" s="43"/>
      <c r="EG734" s="43"/>
      <c r="EH734" s="43"/>
      <c r="EI734" s="43"/>
      <c r="EJ734" s="43"/>
      <c r="EK734" s="43"/>
      <c r="EL734" s="43"/>
      <c r="EM734" s="43"/>
      <c r="EN734" s="43"/>
      <c r="EO734" s="43"/>
      <c r="EP734" s="43"/>
      <c r="EQ734" s="43"/>
      <c r="ER734" s="43"/>
      <c r="ES734" s="43"/>
      <c r="ET734" s="50"/>
      <c r="EU734" s="50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43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43"/>
      <c r="CF735" s="43"/>
      <c r="CG735" s="43"/>
      <c r="CH735" s="43"/>
      <c r="CI735" s="43"/>
      <c r="CJ735" s="43"/>
      <c r="CK735" s="43"/>
      <c r="CL735" s="43"/>
      <c r="CM735" s="43"/>
      <c r="CN735" s="43"/>
      <c r="CO735" s="43"/>
      <c r="CP735" s="43"/>
      <c r="CQ735" s="43"/>
      <c r="CR735" s="43"/>
      <c r="CS735" s="43"/>
      <c r="CT735" s="43"/>
      <c r="CU735" s="43"/>
      <c r="CV735" s="43"/>
      <c r="CW735" s="43"/>
      <c r="CX735" s="43"/>
      <c r="CY735" s="43"/>
      <c r="CZ735" s="43"/>
      <c r="DA735" s="43"/>
      <c r="DB735" s="43"/>
      <c r="DC735" s="43"/>
      <c r="DD735" s="43"/>
      <c r="DE735" s="43"/>
      <c r="DF735" s="43"/>
      <c r="DG735" s="43"/>
      <c r="DH735" s="43"/>
      <c r="DI735" s="43"/>
      <c r="DJ735" s="43"/>
      <c r="DK735" s="43"/>
      <c r="DL735" s="43"/>
      <c r="DM735" s="43"/>
      <c r="DN735" s="43"/>
      <c r="DO735" s="43"/>
      <c r="DP735" s="43"/>
      <c r="DQ735" s="43"/>
      <c r="DR735" s="43"/>
      <c r="DS735" s="43"/>
      <c r="DT735" s="43"/>
      <c r="DU735" s="43"/>
      <c r="DV735" s="43"/>
      <c r="DW735" s="43"/>
      <c r="DX735" s="43"/>
      <c r="DY735" s="43"/>
      <c r="DZ735" s="43"/>
      <c r="EA735" s="43"/>
      <c r="EB735" s="43"/>
      <c r="EC735" s="43"/>
      <c r="ED735" s="43"/>
      <c r="EE735" s="43"/>
      <c r="EF735" s="43"/>
      <c r="EG735" s="43"/>
      <c r="EH735" s="43"/>
      <c r="EI735" s="43"/>
      <c r="EJ735" s="43"/>
      <c r="EK735" s="43"/>
      <c r="EL735" s="43"/>
      <c r="EM735" s="43"/>
      <c r="EN735" s="43"/>
      <c r="EO735" s="43"/>
      <c r="EP735" s="43"/>
      <c r="EQ735" s="43"/>
      <c r="ER735" s="43"/>
      <c r="ES735" s="43"/>
      <c r="ET735" s="50"/>
      <c r="EU735" s="50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43"/>
      <c r="CF736" s="43"/>
      <c r="CG736" s="43"/>
      <c r="CH736" s="43"/>
      <c r="CI736" s="43"/>
      <c r="CJ736" s="43"/>
      <c r="CK736" s="43"/>
      <c r="CL736" s="43"/>
      <c r="CM736" s="43"/>
      <c r="CN736" s="43"/>
      <c r="CO736" s="43"/>
      <c r="CP736" s="43"/>
      <c r="CQ736" s="43"/>
      <c r="CR736" s="43"/>
      <c r="CS736" s="43"/>
      <c r="CT736" s="43"/>
      <c r="CU736" s="43"/>
      <c r="CV736" s="43"/>
      <c r="CW736" s="43"/>
      <c r="CX736" s="43"/>
      <c r="CY736" s="43"/>
      <c r="CZ736" s="43"/>
      <c r="DA736" s="43"/>
      <c r="DB736" s="43"/>
      <c r="DC736" s="43"/>
      <c r="DD736" s="43"/>
      <c r="DE736" s="43"/>
      <c r="DF736" s="43"/>
      <c r="DG736" s="43"/>
      <c r="DH736" s="43"/>
      <c r="DI736" s="43"/>
      <c r="DJ736" s="43"/>
      <c r="DK736" s="43"/>
      <c r="DL736" s="43"/>
      <c r="DM736" s="43"/>
      <c r="DN736" s="43"/>
      <c r="DO736" s="43"/>
      <c r="DP736" s="43"/>
      <c r="DQ736" s="43"/>
      <c r="DR736" s="43"/>
      <c r="DS736" s="43"/>
      <c r="DT736" s="43"/>
      <c r="DU736" s="43"/>
      <c r="DV736" s="43"/>
      <c r="DW736" s="43"/>
      <c r="DX736" s="43"/>
      <c r="DY736" s="43"/>
      <c r="DZ736" s="43"/>
      <c r="EA736" s="43"/>
      <c r="EB736" s="43"/>
      <c r="EC736" s="43"/>
      <c r="ED736" s="43"/>
      <c r="EE736" s="43"/>
      <c r="EF736" s="43"/>
      <c r="EG736" s="43"/>
      <c r="EH736" s="43"/>
      <c r="EI736" s="43"/>
      <c r="EJ736" s="43"/>
      <c r="EK736" s="43"/>
      <c r="EL736" s="43"/>
      <c r="EM736" s="43"/>
      <c r="EN736" s="43"/>
      <c r="EO736" s="43"/>
      <c r="EP736" s="43"/>
      <c r="EQ736" s="43"/>
      <c r="ER736" s="43"/>
      <c r="ES736" s="43"/>
      <c r="ET736" s="50"/>
      <c r="EU736" s="50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  <c r="CV737" s="43"/>
      <c r="CW737" s="43"/>
      <c r="CX737" s="43"/>
      <c r="CY737" s="43"/>
      <c r="CZ737" s="43"/>
      <c r="DA737" s="43"/>
      <c r="DB737" s="43"/>
      <c r="DC737" s="43"/>
      <c r="DD737" s="43"/>
      <c r="DE737" s="43"/>
      <c r="DF737" s="43"/>
      <c r="DG737" s="43"/>
      <c r="DH737" s="43"/>
      <c r="DI737" s="43"/>
      <c r="DJ737" s="43"/>
      <c r="DK737" s="43"/>
      <c r="DL737" s="43"/>
      <c r="DM737" s="43"/>
      <c r="DN737" s="43"/>
      <c r="DO737" s="43"/>
      <c r="DP737" s="43"/>
      <c r="DQ737" s="43"/>
      <c r="DR737" s="43"/>
      <c r="DS737" s="43"/>
      <c r="DT737" s="43"/>
      <c r="DU737" s="43"/>
      <c r="DV737" s="43"/>
      <c r="DW737" s="43"/>
      <c r="DX737" s="43"/>
      <c r="DY737" s="43"/>
      <c r="DZ737" s="43"/>
      <c r="EA737" s="43"/>
      <c r="EB737" s="43"/>
      <c r="EC737" s="43"/>
      <c r="ED737" s="43"/>
      <c r="EE737" s="43"/>
      <c r="EF737" s="43"/>
      <c r="EG737" s="43"/>
      <c r="EH737" s="43"/>
      <c r="EI737" s="43"/>
      <c r="EJ737" s="43"/>
      <c r="EK737" s="43"/>
      <c r="EL737" s="43"/>
      <c r="EM737" s="43"/>
      <c r="EN737" s="43"/>
      <c r="EO737" s="43"/>
      <c r="EP737" s="43"/>
      <c r="EQ737" s="43"/>
      <c r="ER737" s="43"/>
      <c r="ES737" s="43"/>
      <c r="ET737" s="50"/>
      <c r="EU737" s="50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43"/>
      <c r="BJ738" s="43"/>
      <c r="BK738" s="43"/>
      <c r="BL738" s="43"/>
      <c r="BM738" s="43"/>
      <c r="BN738" s="43"/>
      <c r="BO738" s="43"/>
      <c r="BP738" s="43"/>
      <c r="BQ738" s="43"/>
      <c r="BR738" s="43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43"/>
      <c r="CF738" s="43"/>
      <c r="CG738" s="43"/>
      <c r="CH738" s="43"/>
      <c r="CI738" s="43"/>
      <c r="CJ738" s="43"/>
      <c r="CK738" s="43"/>
      <c r="CL738" s="43"/>
      <c r="CM738" s="43"/>
      <c r="CN738" s="43"/>
      <c r="CO738" s="43"/>
      <c r="CP738" s="43"/>
      <c r="CQ738" s="43"/>
      <c r="CR738" s="43"/>
      <c r="CS738" s="43"/>
      <c r="CT738" s="43"/>
      <c r="CU738" s="43"/>
      <c r="CV738" s="43"/>
      <c r="CW738" s="43"/>
      <c r="CX738" s="43"/>
      <c r="CY738" s="43"/>
      <c r="CZ738" s="43"/>
      <c r="DA738" s="43"/>
      <c r="DB738" s="43"/>
      <c r="DC738" s="43"/>
      <c r="DD738" s="43"/>
      <c r="DE738" s="43"/>
      <c r="DF738" s="43"/>
      <c r="DG738" s="43"/>
      <c r="DH738" s="43"/>
      <c r="DI738" s="43"/>
      <c r="DJ738" s="43"/>
      <c r="DK738" s="43"/>
      <c r="DL738" s="43"/>
      <c r="DM738" s="43"/>
      <c r="DN738" s="43"/>
      <c r="DO738" s="43"/>
      <c r="DP738" s="43"/>
      <c r="DQ738" s="43"/>
      <c r="DR738" s="43"/>
      <c r="DS738" s="43"/>
      <c r="DT738" s="43"/>
      <c r="DU738" s="43"/>
      <c r="DV738" s="43"/>
      <c r="DW738" s="43"/>
      <c r="DX738" s="43"/>
      <c r="DY738" s="43"/>
      <c r="DZ738" s="43"/>
      <c r="EA738" s="43"/>
      <c r="EB738" s="43"/>
      <c r="EC738" s="43"/>
      <c r="ED738" s="43"/>
      <c r="EE738" s="43"/>
      <c r="EF738" s="43"/>
      <c r="EG738" s="43"/>
      <c r="EH738" s="43"/>
      <c r="EI738" s="43"/>
      <c r="EJ738" s="43"/>
      <c r="EK738" s="43"/>
      <c r="EL738" s="43"/>
      <c r="EM738" s="43"/>
      <c r="EN738" s="43"/>
      <c r="EO738" s="43"/>
      <c r="EP738" s="43"/>
      <c r="EQ738" s="43"/>
      <c r="ER738" s="43"/>
      <c r="ES738" s="43"/>
      <c r="ET738" s="50"/>
      <c r="EU738" s="50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43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43"/>
      <c r="CF739" s="43"/>
      <c r="CG739" s="43"/>
      <c r="CH739" s="43"/>
      <c r="CI739" s="43"/>
      <c r="CJ739" s="43"/>
      <c r="CK739" s="43"/>
      <c r="CL739" s="43"/>
      <c r="CM739" s="43"/>
      <c r="CN739" s="43"/>
      <c r="CO739" s="43"/>
      <c r="CP739" s="43"/>
      <c r="CQ739" s="43"/>
      <c r="CR739" s="43"/>
      <c r="CS739" s="43"/>
      <c r="CT739" s="43"/>
      <c r="CU739" s="43"/>
      <c r="CV739" s="43"/>
      <c r="CW739" s="43"/>
      <c r="CX739" s="43"/>
      <c r="CY739" s="43"/>
      <c r="CZ739" s="43"/>
      <c r="DA739" s="43"/>
      <c r="DB739" s="43"/>
      <c r="DC739" s="43"/>
      <c r="DD739" s="43"/>
      <c r="DE739" s="43"/>
      <c r="DF739" s="43"/>
      <c r="DG739" s="43"/>
      <c r="DH739" s="43"/>
      <c r="DI739" s="43"/>
      <c r="DJ739" s="43"/>
      <c r="DK739" s="43"/>
      <c r="DL739" s="43"/>
      <c r="DM739" s="43"/>
      <c r="DN739" s="43"/>
      <c r="DO739" s="43"/>
      <c r="DP739" s="43"/>
      <c r="DQ739" s="43"/>
      <c r="DR739" s="43"/>
      <c r="DS739" s="43"/>
      <c r="DT739" s="43"/>
      <c r="DU739" s="43"/>
      <c r="DV739" s="43"/>
      <c r="DW739" s="43"/>
      <c r="DX739" s="43"/>
      <c r="DY739" s="43"/>
      <c r="DZ739" s="43"/>
      <c r="EA739" s="43"/>
      <c r="EB739" s="43"/>
      <c r="EC739" s="43"/>
      <c r="ED739" s="43"/>
      <c r="EE739" s="43"/>
      <c r="EF739" s="43"/>
      <c r="EG739" s="43"/>
      <c r="EH739" s="43"/>
      <c r="EI739" s="43"/>
      <c r="EJ739" s="43"/>
      <c r="EK739" s="43"/>
      <c r="EL739" s="43"/>
      <c r="EM739" s="43"/>
      <c r="EN739" s="43"/>
      <c r="EO739" s="43"/>
      <c r="EP739" s="43"/>
      <c r="EQ739" s="43"/>
      <c r="ER739" s="43"/>
      <c r="ES739" s="43"/>
      <c r="ET739" s="50"/>
      <c r="EU739" s="50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  <c r="CS740" s="43"/>
      <c r="CT740" s="43"/>
      <c r="CU740" s="43"/>
      <c r="CV740" s="43"/>
      <c r="CW740" s="43"/>
      <c r="CX740" s="43"/>
      <c r="CY740" s="43"/>
      <c r="CZ740" s="43"/>
      <c r="DA740" s="43"/>
      <c r="DB740" s="43"/>
      <c r="DC740" s="43"/>
      <c r="DD740" s="43"/>
      <c r="DE740" s="43"/>
      <c r="DF740" s="43"/>
      <c r="DG740" s="43"/>
      <c r="DH740" s="43"/>
      <c r="DI740" s="43"/>
      <c r="DJ740" s="43"/>
      <c r="DK740" s="43"/>
      <c r="DL740" s="43"/>
      <c r="DM740" s="43"/>
      <c r="DN740" s="43"/>
      <c r="DO740" s="43"/>
      <c r="DP740" s="43"/>
      <c r="DQ740" s="43"/>
      <c r="DR740" s="43"/>
      <c r="DS740" s="43"/>
      <c r="DT740" s="43"/>
      <c r="DU740" s="43"/>
      <c r="DV740" s="43"/>
      <c r="DW740" s="43"/>
      <c r="DX740" s="43"/>
      <c r="DY740" s="43"/>
      <c r="DZ740" s="43"/>
      <c r="EA740" s="43"/>
      <c r="EB740" s="43"/>
      <c r="EC740" s="43"/>
      <c r="ED740" s="43"/>
      <c r="EE740" s="43"/>
      <c r="EF740" s="43"/>
      <c r="EG740" s="43"/>
      <c r="EH740" s="43"/>
      <c r="EI740" s="43"/>
      <c r="EJ740" s="43"/>
      <c r="EK740" s="43"/>
      <c r="EL740" s="43"/>
      <c r="EM740" s="43"/>
      <c r="EN740" s="43"/>
      <c r="EO740" s="43"/>
      <c r="EP740" s="43"/>
      <c r="EQ740" s="43"/>
      <c r="ER740" s="43"/>
      <c r="ES740" s="43"/>
      <c r="ET740" s="50"/>
      <c r="EU740" s="50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43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43"/>
      <c r="CF741" s="43"/>
      <c r="CG741" s="43"/>
      <c r="CH741" s="43"/>
      <c r="CI741" s="43"/>
      <c r="CJ741" s="43"/>
      <c r="CK741" s="43"/>
      <c r="CL741" s="43"/>
      <c r="CM741" s="43"/>
      <c r="CN741" s="43"/>
      <c r="CO741" s="43"/>
      <c r="CP741" s="43"/>
      <c r="CQ741" s="43"/>
      <c r="CR741" s="43"/>
      <c r="CS741" s="43"/>
      <c r="CT741" s="43"/>
      <c r="CU741" s="43"/>
      <c r="CV741" s="43"/>
      <c r="CW741" s="43"/>
      <c r="CX741" s="43"/>
      <c r="CY741" s="43"/>
      <c r="CZ741" s="43"/>
      <c r="DA741" s="43"/>
      <c r="DB741" s="43"/>
      <c r="DC741" s="43"/>
      <c r="DD741" s="43"/>
      <c r="DE741" s="43"/>
      <c r="DF741" s="43"/>
      <c r="DG741" s="43"/>
      <c r="DH741" s="43"/>
      <c r="DI741" s="43"/>
      <c r="DJ741" s="43"/>
      <c r="DK741" s="43"/>
      <c r="DL741" s="43"/>
      <c r="DM741" s="43"/>
      <c r="DN741" s="43"/>
      <c r="DO741" s="43"/>
      <c r="DP741" s="43"/>
      <c r="DQ741" s="43"/>
      <c r="DR741" s="43"/>
      <c r="DS741" s="43"/>
      <c r="DT741" s="43"/>
      <c r="DU741" s="43"/>
      <c r="DV741" s="43"/>
      <c r="DW741" s="43"/>
      <c r="DX741" s="43"/>
      <c r="DY741" s="43"/>
      <c r="DZ741" s="43"/>
      <c r="EA741" s="43"/>
      <c r="EB741" s="43"/>
      <c r="EC741" s="43"/>
      <c r="ED741" s="43"/>
      <c r="EE741" s="43"/>
      <c r="EF741" s="43"/>
      <c r="EG741" s="43"/>
      <c r="EH741" s="43"/>
      <c r="EI741" s="43"/>
      <c r="EJ741" s="43"/>
      <c r="EK741" s="43"/>
      <c r="EL741" s="43"/>
      <c r="EM741" s="43"/>
      <c r="EN741" s="43"/>
      <c r="EO741" s="43"/>
      <c r="EP741" s="43"/>
      <c r="EQ741" s="43"/>
      <c r="ER741" s="43"/>
      <c r="ES741" s="43"/>
      <c r="ET741" s="50"/>
      <c r="EU741" s="50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43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43"/>
      <c r="CF742" s="43"/>
      <c r="CG742" s="43"/>
      <c r="CH742" s="43"/>
      <c r="CI742" s="43"/>
      <c r="CJ742" s="43"/>
      <c r="CK742" s="43"/>
      <c r="CL742" s="43"/>
      <c r="CM742" s="43"/>
      <c r="CN742" s="43"/>
      <c r="CO742" s="43"/>
      <c r="CP742" s="43"/>
      <c r="CQ742" s="43"/>
      <c r="CR742" s="43"/>
      <c r="CS742" s="43"/>
      <c r="CT742" s="43"/>
      <c r="CU742" s="43"/>
      <c r="CV742" s="43"/>
      <c r="CW742" s="43"/>
      <c r="CX742" s="43"/>
      <c r="CY742" s="43"/>
      <c r="CZ742" s="43"/>
      <c r="DA742" s="43"/>
      <c r="DB742" s="43"/>
      <c r="DC742" s="43"/>
      <c r="DD742" s="43"/>
      <c r="DE742" s="43"/>
      <c r="DF742" s="43"/>
      <c r="DG742" s="43"/>
      <c r="DH742" s="43"/>
      <c r="DI742" s="43"/>
      <c r="DJ742" s="43"/>
      <c r="DK742" s="43"/>
      <c r="DL742" s="43"/>
      <c r="DM742" s="43"/>
      <c r="DN742" s="43"/>
      <c r="DO742" s="43"/>
      <c r="DP742" s="43"/>
      <c r="DQ742" s="43"/>
      <c r="DR742" s="43"/>
      <c r="DS742" s="43"/>
      <c r="DT742" s="43"/>
      <c r="DU742" s="43"/>
      <c r="DV742" s="43"/>
      <c r="DW742" s="43"/>
      <c r="DX742" s="43"/>
      <c r="DY742" s="43"/>
      <c r="DZ742" s="43"/>
      <c r="EA742" s="43"/>
      <c r="EB742" s="43"/>
      <c r="EC742" s="43"/>
      <c r="ED742" s="43"/>
      <c r="EE742" s="43"/>
      <c r="EF742" s="43"/>
      <c r="EG742" s="43"/>
      <c r="EH742" s="43"/>
      <c r="EI742" s="43"/>
      <c r="EJ742" s="43"/>
      <c r="EK742" s="43"/>
      <c r="EL742" s="43"/>
      <c r="EM742" s="43"/>
      <c r="EN742" s="43"/>
      <c r="EO742" s="43"/>
      <c r="EP742" s="43"/>
      <c r="EQ742" s="43"/>
      <c r="ER742" s="43"/>
      <c r="ES742" s="43"/>
      <c r="ET742" s="50"/>
      <c r="EU742" s="50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43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43"/>
      <c r="CF743" s="43"/>
      <c r="CG743" s="43"/>
      <c r="CH743" s="43"/>
      <c r="CI743" s="43"/>
      <c r="CJ743" s="43"/>
      <c r="CK743" s="43"/>
      <c r="CL743" s="43"/>
      <c r="CM743" s="43"/>
      <c r="CN743" s="43"/>
      <c r="CO743" s="43"/>
      <c r="CP743" s="43"/>
      <c r="CQ743" s="43"/>
      <c r="CR743" s="43"/>
      <c r="CS743" s="43"/>
      <c r="CT743" s="43"/>
      <c r="CU743" s="43"/>
      <c r="CV743" s="43"/>
      <c r="CW743" s="43"/>
      <c r="CX743" s="43"/>
      <c r="CY743" s="43"/>
      <c r="CZ743" s="43"/>
      <c r="DA743" s="43"/>
      <c r="DB743" s="43"/>
      <c r="DC743" s="43"/>
      <c r="DD743" s="43"/>
      <c r="DE743" s="43"/>
      <c r="DF743" s="43"/>
      <c r="DG743" s="43"/>
      <c r="DH743" s="43"/>
      <c r="DI743" s="43"/>
      <c r="DJ743" s="43"/>
      <c r="DK743" s="43"/>
      <c r="DL743" s="43"/>
      <c r="DM743" s="43"/>
      <c r="DN743" s="43"/>
      <c r="DO743" s="43"/>
      <c r="DP743" s="43"/>
      <c r="DQ743" s="43"/>
      <c r="DR743" s="43"/>
      <c r="DS743" s="43"/>
      <c r="DT743" s="43"/>
      <c r="DU743" s="43"/>
      <c r="DV743" s="43"/>
      <c r="DW743" s="43"/>
      <c r="DX743" s="43"/>
      <c r="DY743" s="43"/>
      <c r="DZ743" s="43"/>
      <c r="EA743" s="43"/>
      <c r="EB743" s="43"/>
      <c r="EC743" s="43"/>
      <c r="ED743" s="43"/>
      <c r="EE743" s="43"/>
      <c r="EF743" s="43"/>
      <c r="EG743" s="43"/>
      <c r="EH743" s="43"/>
      <c r="EI743" s="43"/>
      <c r="EJ743" s="43"/>
      <c r="EK743" s="43"/>
      <c r="EL743" s="43"/>
      <c r="EM743" s="43"/>
      <c r="EN743" s="43"/>
      <c r="EO743" s="43"/>
      <c r="EP743" s="43"/>
      <c r="EQ743" s="43"/>
      <c r="ER743" s="43"/>
      <c r="ES743" s="43"/>
      <c r="ET743" s="50"/>
      <c r="EU743" s="50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43"/>
      <c r="BJ744" s="43"/>
      <c r="BK744" s="43"/>
      <c r="BL744" s="43"/>
      <c r="BM744" s="43"/>
      <c r="BN744" s="43"/>
      <c r="BO744" s="43"/>
      <c r="BP744" s="43"/>
      <c r="BQ744" s="43"/>
      <c r="BR744" s="43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43"/>
      <c r="CF744" s="43"/>
      <c r="CG744" s="43"/>
      <c r="CH744" s="43"/>
      <c r="CI744" s="43"/>
      <c r="CJ744" s="43"/>
      <c r="CK744" s="43"/>
      <c r="CL744" s="43"/>
      <c r="CM744" s="43"/>
      <c r="CN744" s="43"/>
      <c r="CO744" s="43"/>
      <c r="CP744" s="43"/>
      <c r="CQ744" s="43"/>
      <c r="CR744" s="43"/>
      <c r="CS744" s="43"/>
      <c r="CT744" s="43"/>
      <c r="CU744" s="43"/>
      <c r="CV744" s="43"/>
      <c r="CW744" s="43"/>
      <c r="CX744" s="43"/>
      <c r="CY744" s="43"/>
      <c r="CZ744" s="43"/>
      <c r="DA744" s="43"/>
      <c r="DB744" s="43"/>
      <c r="DC744" s="43"/>
      <c r="DD744" s="43"/>
      <c r="DE744" s="43"/>
      <c r="DF744" s="43"/>
      <c r="DG744" s="43"/>
      <c r="DH744" s="43"/>
      <c r="DI744" s="43"/>
      <c r="DJ744" s="43"/>
      <c r="DK744" s="43"/>
      <c r="DL744" s="43"/>
      <c r="DM744" s="43"/>
      <c r="DN744" s="43"/>
      <c r="DO744" s="43"/>
      <c r="DP744" s="43"/>
      <c r="DQ744" s="43"/>
      <c r="DR744" s="43"/>
      <c r="DS744" s="43"/>
      <c r="DT744" s="43"/>
      <c r="DU744" s="43"/>
      <c r="DV744" s="43"/>
      <c r="DW744" s="43"/>
      <c r="DX744" s="43"/>
      <c r="DY744" s="43"/>
      <c r="DZ744" s="43"/>
      <c r="EA744" s="43"/>
      <c r="EB744" s="43"/>
      <c r="EC744" s="43"/>
      <c r="ED744" s="43"/>
      <c r="EE744" s="43"/>
      <c r="EF744" s="43"/>
      <c r="EG744" s="43"/>
      <c r="EH744" s="43"/>
      <c r="EI744" s="43"/>
      <c r="EJ744" s="43"/>
      <c r="EK744" s="43"/>
      <c r="EL744" s="43"/>
      <c r="EM744" s="43"/>
      <c r="EN744" s="43"/>
      <c r="EO744" s="43"/>
      <c r="EP744" s="43"/>
      <c r="EQ744" s="43"/>
      <c r="ER744" s="43"/>
      <c r="ES744" s="43"/>
      <c r="ET744" s="50"/>
      <c r="EU744" s="50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  <c r="BL745" s="43"/>
      <c r="BM745" s="43"/>
      <c r="BN745" s="43"/>
      <c r="BO745" s="43"/>
      <c r="BP745" s="43"/>
      <c r="BQ745" s="43"/>
      <c r="BR745" s="43"/>
      <c r="BS745" s="43"/>
      <c r="BT745" s="43"/>
      <c r="BU745" s="43"/>
      <c r="BV745" s="43"/>
      <c r="BW745" s="43"/>
      <c r="BX745" s="43"/>
      <c r="BY745" s="43"/>
      <c r="BZ745" s="43"/>
      <c r="CA745" s="43"/>
      <c r="CB745" s="43"/>
      <c r="CC745" s="43"/>
      <c r="CD745" s="43"/>
      <c r="CE745" s="43"/>
      <c r="CF745" s="43"/>
      <c r="CG745" s="43"/>
      <c r="CH745" s="43"/>
      <c r="CI745" s="43"/>
      <c r="CJ745" s="43"/>
      <c r="CK745" s="43"/>
      <c r="CL745" s="43"/>
      <c r="CM745" s="43"/>
      <c r="CN745" s="43"/>
      <c r="CO745" s="43"/>
      <c r="CP745" s="43"/>
      <c r="CQ745" s="43"/>
      <c r="CR745" s="43"/>
      <c r="CS745" s="43"/>
      <c r="CT745" s="43"/>
      <c r="CU745" s="43"/>
      <c r="CV745" s="43"/>
      <c r="CW745" s="43"/>
      <c r="CX745" s="43"/>
      <c r="CY745" s="43"/>
      <c r="CZ745" s="43"/>
      <c r="DA745" s="43"/>
      <c r="DB745" s="43"/>
      <c r="DC745" s="43"/>
      <c r="DD745" s="43"/>
      <c r="DE745" s="43"/>
      <c r="DF745" s="43"/>
      <c r="DG745" s="43"/>
      <c r="DH745" s="43"/>
      <c r="DI745" s="43"/>
      <c r="DJ745" s="43"/>
      <c r="DK745" s="43"/>
      <c r="DL745" s="43"/>
      <c r="DM745" s="43"/>
      <c r="DN745" s="43"/>
      <c r="DO745" s="43"/>
      <c r="DP745" s="43"/>
      <c r="DQ745" s="43"/>
      <c r="DR745" s="43"/>
      <c r="DS745" s="43"/>
      <c r="DT745" s="43"/>
      <c r="DU745" s="43"/>
      <c r="DV745" s="43"/>
      <c r="DW745" s="43"/>
      <c r="DX745" s="43"/>
      <c r="DY745" s="43"/>
      <c r="DZ745" s="43"/>
      <c r="EA745" s="43"/>
      <c r="EB745" s="43"/>
      <c r="EC745" s="43"/>
      <c r="ED745" s="43"/>
      <c r="EE745" s="43"/>
      <c r="EF745" s="43"/>
      <c r="EG745" s="43"/>
      <c r="EH745" s="43"/>
      <c r="EI745" s="43"/>
      <c r="EJ745" s="43"/>
      <c r="EK745" s="43"/>
      <c r="EL745" s="43"/>
      <c r="EM745" s="43"/>
      <c r="EN745" s="43"/>
      <c r="EO745" s="43"/>
      <c r="EP745" s="43"/>
      <c r="EQ745" s="43"/>
      <c r="ER745" s="43"/>
      <c r="ES745" s="43"/>
      <c r="ET745" s="50"/>
      <c r="EU745" s="50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43"/>
      <c r="CF746" s="43"/>
      <c r="CG746" s="43"/>
      <c r="CH746" s="43"/>
      <c r="CI746" s="43"/>
      <c r="CJ746" s="43"/>
      <c r="CK746" s="43"/>
      <c r="CL746" s="43"/>
      <c r="CM746" s="43"/>
      <c r="CN746" s="43"/>
      <c r="CO746" s="43"/>
      <c r="CP746" s="43"/>
      <c r="CQ746" s="43"/>
      <c r="CR746" s="43"/>
      <c r="CS746" s="43"/>
      <c r="CT746" s="43"/>
      <c r="CU746" s="43"/>
      <c r="CV746" s="43"/>
      <c r="CW746" s="43"/>
      <c r="CX746" s="43"/>
      <c r="CY746" s="43"/>
      <c r="CZ746" s="43"/>
      <c r="DA746" s="43"/>
      <c r="DB746" s="43"/>
      <c r="DC746" s="43"/>
      <c r="DD746" s="43"/>
      <c r="DE746" s="43"/>
      <c r="DF746" s="43"/>
      <c r="DG746" s="43"/>
      <c r="DH746" s="43"/>
      <c r="DI746" s="43"/>
      <c r="DJ746" s="43"/>
      <c r="DK746" s="43"/>
      <c r="DL746" s="43"/>
      <c r="DM746" s="43"/>
      <c r="DN746" s="43"/>
      <c r="DO746" s="43"/>
      <c r="DP746" s="43"/>
      <c r="DQ746" s="43"/>
      <c r="DR746" s="43"/>
      <c r="DS746" s="43"/>
      <c r="DT746" s="43"/>
      <c r="DU746" s="43"/>
      <c r="DV746" s="43"/>
      <c r="DW746" s="43"/>
      <c r="DX746" s="43"/>
      <c r="DY746" s="43"/>
      <c r="DZ746" s="43"/>
      <c r="EA746" s="43"/>
      <c r="EB746" s="43"/>
      <c r="EC746" s="43"/>
      <c r="ED746" s="43"/>
      <c r="EE746" s="43"/>
      <c r="EF746" s="43"/>
      <c r="EG746" s="43"/>
      <c r="EH746" s="43"/>
      <c r="EI746" s="43"/>
      <c r="EJ746" s="43"/>
      <c r="EK746" s="43"/>
      <c r="EL746" s="43"/>
      <c r="EM746" s="43"/>
      <c r="EN746" s="43"/>
      <c r="EO746" s="43"/>
      <c r="EP746" s="43"/>
      <c r="EQ746" s="43"/>
      <c r="ER746" s="43"/>
      <c r="ES746" s="43"/>
      <c r="ET746" s="50"/>
      <c r="EU746" s="50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3"/>
      <c r="BQ747" s="43"/>
      <c r="BR747" s="43"/>
      <c r="BS747" s="43"/>
      <c r="BT747" s="43"/>
      <c r="BU747" s="43"/>
      <c r="BV747" s="43"/>
      <c r="BW747" s="43"/>
      <c r="BX747" s="43"/>
      <c r="BY747" s="43"/>
      <c r="BZ747" s="43"/>
      <c r="CA747" s="43"/>
      <c r="CB747" s="43"/>
      <c r="CC747" s="43"/>
      <c r="CD747" s="43"/>
      <c r="CE747" s="43"/>
      <c r="CF747" s="43"/>
      <c r="CG747" s="43"/>
      <c r="CH747" s="43"/>
      <c r="CI747" s="43"/>
      <c r="CJ747" s="43"/>
      <c r="CK747" s="43"/>
      <c r="CL747" s="43"/>
      <c r="CM747" s="43"/>
      <c r="CN747" s="43"/>
      <c r="CO747" s="43"/>
      <c r="CP747" s="43"/>
      <c r="CQ747" s="43"/>
      <c r="CR747" s="43"/>
      <c r="CS747" s="43"/>
      <c r="CT747" s="43"/>
      <c r="CU747" s="43"/>
      <c r="CV747" s="43"/>
      <c r="CW747" s="43"/>
      <c r="CX747" s="43"/>
      <c r="CY747" s="43"/>
      <c r="CZ747" s="43"/>
      <c r="DA747" s="43"/>
      <c r="DB747" s="43"/>
      <c r="DC747" s="43"/>
      <c r="DD747" s="43"/>
      <c r="DE747" s="43"/>
      <c r="DF747" s="43"/>
      <c r="DG747" s="43"/>
      <c r="DH747" s="43"/>
      <c r="DI747" s="43"/>
      <c r="DJ747" s="43"/>
      <c r="DK747" s="43"/>
      <c r="DL747" s="43"/>
      <c r="DM747" s="43"/>
      <c r="DN747" s="43"/>
      <c r="DO747" s="43"/>
      <c r="DP747" s="43"/>
      <c r="DQ747" s="43"/>
      <c r="DR747" s="43"/>
      <c r="DS747" s="43"/>
      <c r="DT747" s="43"/>
      <c r="DU747" s="43"/>
      <c r="DV747" s="43"/>
      <c r="DW747" s="43"/>
      <c r="DX747" s="43"/>
      <c r="DY747" s="43"/>
      <c r="DZ747" s="43"/>
      <c r="EA747" s="43"/>
      <c r="EB747" s="43"/>
      <c r="EC747" s="43"/>
      <c r="ED747" s="43"/>
      <c r="EE747" s="43"/>
      <c r="EF747" s="43"/>
      <c r="EG747" s="43"/>
      <c r="EH747" s="43"/>
      <c r="EI747" s="43"/>
      <c r="EJ747" s="43"/>
      <c r="EK747" s="43"/>
      <c r="EL747" s="43"/>
      <c r="EM747" s="43"/>
      <c r="EN747" s="43"/>
      <c r="EO747" s="43"/>
      <c r="EP747" s="43"/>
      <c r="EQ747" s="43"/>
      <c r="ER747" s="43"/>
      <c r="ES747" s="43"/>
      <c r="ET747" s="50"/>
      <c r="EU747" s="50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/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3"/>
      <c r="CA748" s="43"/>
      <c r="CB748" s="43"/>
      <c r="CC748" s="43"/>
      <c r="CD748" s="43"/>
      <c r="CE748" s="43"/>
      <c r="CF748" s="43"/>
      <c r="CG748" s="43"/>
      <c r="CH748" s="43"/>
      <c r="CI748" s="43"/>
      <c r="CJ748" s="43"/>
      <c r="CK748" s="43"/>
      <c r="CL748" s="43"/>
      <c r="CM748" s="43"/>
      <c r="CN748" s="43"/>
      <c r="CO748" s="43"/>
      <c r="CP748" s="43"/>
      <c r="CQ748" s="43"/>
      <c r="CR748" s="43"/>
      <c r="CS748" s="43"/>
      <c r="CT748" s="43"/>
      <c r="CU748" s="43"/>
      <c r="CV748" s="43"/>
      <c r="CW748" s="43"/>
      <c r="CX748" s="43"/>
      <c r="CY748" s="43"/>
      <c r="CZ748" s="43"/>
      <c r="DA748" s="43"/>
      <c r="DB748" s="43"/>
      <c r="DC748" s="43"/>
      <c r="DD748" s="43"/>
      <c r="DE748" s="43"/>
      <c r="DF748" s="43"/>
      <c r="DG748" s="43"/>
      <c r="DH748" s="43"/>
      <c r="DI748" s="43"/>
      <c r="DJ748" s="43"/>
      <c r="DK748" s="43"/>
      <c r="DL748" s="43"/>
      <c r="DM748" s="43"/>
      <c r="DN748" s="43"/>
      <c r="DO748" s="43"/>
      <c r="DP748" s="43"/>
      <c r="DQ748" s="43"/>
      <c r="DR748" s="43"/>
      <c r="DS748" s="43"/>
      <c r="DT748" s="43"/>
      <c r="DU748" s="43"/>
      <c r="DV748" s="43"/>
      <c r="DW748" s="43"/>
      <c r="DX748" s="43"/>
      <c r="DY748" s="43"/>
      <c r="DZ748" s="43"/>
      <c r="EA748" s="43"/>
      <c r="EB748" s="43"/>
      <c r="EC748" s="43"/>
      <c r="ED748" s="43"/>
      <c r="EE748" s="43"/>
      <c r="EF748" s="43"/>
      <c r="EG748" s="43"/>
      <c r="EH748" s="43"/>
      <c r="EI748" s="43"/>
      <c r="EJ748" s="43"/>
      <c r="EK748" s="43"/>
      <c r="EL748" s="43"/>
      <c r="EM748" s="43"/>
      <c r="EN748" s="43"/>
      <c r="EO748" s="43"/>
      <c r="EP748" s="43"/>
      <c r="EQ748" s="43"/>
      <c r="ER748" s="43"/>
      <c r="ES748" s="43"/>
      <c r="ET748" s="50"/>
      <c r="EU748" s="50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43"/>
      <c r="BJ749" s="43"/>
      <c r="BK749" s="43"/>
      <c r="BL749" s="43"/>
      <c r="BM749" s="43"/>
      <c r="BN749" s="43"/>
      <c r="BO749" s="43"/>
      <c r="BP749" s="43"/>
      <c r="BQ749" s="43"/>
      <c r="BR749" s="43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43"/>
      <c r="CF749" s="43"/>
      <c r="CG749" s="43"/>
      <c r="CH749" s="43"/>
      <c r="CI749" s="43"/>
      <c r="CJ749" s="43"/>
      <c r="CK749" s="43"/>
      <c r="CL749" s="43"/>
      <c r="CM749" s="43"/>
      <c r="CN749" s="43"/>
      <c r="CO749" s="43"/>
      <c r="CP749" s="43"/>
      <c r="CQ749" s="43"/>
      <c r="CR749" s="43"/>
      <c r="CS749" s="43"/>
      <c r="CT749" s="43"/>
      <c r="CU749" s="43"/>
      <c r="CV749" s="43"/>
      <c r="CW749" s="43"/>
      <c r="CX749" s="43"/>
      <c r="CY749" s="43"/>
      <c r="CZ749" s="43"/>
      <c r="DA749" s="43"/>
      <c r="DB749" s="43"/>
      <c r="DC749" s="43"/>
      <c r="DD749" s="43"/>
      <c r="DE749" s="43"/>
      <c r="DF749" s="43"/>
      <c r="DG749" s="43"/>
      <c r="DH749" s="43"/>
      <c r="DI749" s="43"/>
      <c r="DJ749" s="43"/>
      <c r="DK749" s="43"/>
      <c r="DL749" s="43"/>
      <c r="DM749" s="43"/>
      <c r="DN749" s="43"/>
      <c r="DO749" s="43"/>
      <c r="DP749" s="43"/>
      <c r="DQ749" s="43"/>
      <c r="DR749" s="43"/>
      <c r="DS749" s="43"/>
      <c r="DT749" s="43"/>
      <c r="DU749" s="43"/>
      <c r="DV749" s="43"/>
      <c r="DW749" s="43"/>
      <c r="DX749" s="43"/>
      <c r="DY749" s="43"/>
      <c r="DZ749" s="43"/>
      <c r="EA749" s="43"/>
      <c r="EB749" s="43"/>
      <c r="EC749" s="43"/>
      <c r="ED749" s="43"/>
      <c r="EE749" s="43"/>
      <c r="EF749" s="43"/>
      <c r="EG749" s="43"/>
      <c r="EH749" s="43"/>
      <c r="EI749" s="43"/>
      <c r="EJ749" s="43"/>
      <c r="EK749" s="43"/>
      <c r="EL749" s="43"/>
      <c r="EM749" s="43"/>
      <c r="EN749" s="43"/>
      <c r="EO749" s="43"/>
      <c r="EP749" s="43"/>
      <c r="EQ749" s="43"/>
      <c r="ER749" s="43"/>
      <c r="ES749" s="43"/>
      <c r="ET749" s="50"/>
      <c r="EU749" s="50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43"/>
      <c r="BJ750" s="43"/>
      <c r="BK750" s="43"/>
      <c r="BL750" s="43"/>
      <c r="BM750" s="43"/>
      <c r="BN750" s="43"/>
      <c r="BO750" s="43"/>
      <c r="BP750" s="43"/>
      <c r="BQ750" s="43"/>
      <c r="BR750" s="43"/>
      <c r="BS750" s="43"/>
      <c r="BT750" s="43"/>
      <c r="BU750" s="43"/>
      <c r="BV750" s="43"/>
      <c r="BW750" s="43"/>
      <c r="BX750" s="43"/>
      <c r="BY750" s="43"/>
      <c r="BZ750" s="43"/>
      <c r="CA750" s="43"/>
      <c r="CB750" s="43"/>
      <c r="CC750" s="43"/>
      <c r="CD750" s="43"/>
      <c r="CE750" s="43"/>
      <c r="CF750" s="43"/>
      <c r="CG750" s="43"/>
      <c r="CH750" s="43"/>
      <c r="CI750" s="43"/>
      <c r="CJ750" s="43"/>
      <c r="CK750" s="43"/>
      <c r="CL750" s="43"/>
      <c r="CM750" s="43"/>
      <c r="CN750" s="43"/>
      <c r="CO750" s="43"/>
      <c r="CP750" s="43"/>
      <c r="CQ750" s="43"/>
      <c r="CR750" s="43"/>
      <c r="CS750" s="43"/>
      <c r="CT750" s="43"/>
      <c r="CU750" s="43"/>
      <c r="CV750" s="43"/>
      <c r="CW750" s="43"/>
      <c r="CX750" s="43"/>
      <c r="CY750" s="43"/>
      <c r="CZ750" s="43"/>
      <c r="DA750" s="43"/>
      <c r="DB750" s="43"/>
      <c r="DC750" s="43"/>
      <c r="DD750" s="43"/>
      <c r="DE750" s="43"/>
      <c r="DF750" s="43"/>
      <c r="DG750" s="43"/>
      <c r="DH750" s="43"/>
      <c r="DI750" s="43"/>
      <c r="DJ750" s="43"/>
      <c r="DK750" s="43"/>
      <c r="DL750" s="43"/>
      <c r="DM750" s="43"/>
      <c r="DN750" s="43"/>
      <c r="DO750" s="43"/>
      <c r="DP750" s="43"/>
      <c r="DQ750" s="43"/>
      <c r="DR750" s="43"/>
      <c r="DS750" s="43"/>
      <c r="DT750" s="43"/>
      <c r="DU750" s="43"/>
      <c r="DV750" s="43"/>
      <c r="DW750" s="43"/>
      <c r="DX750" s="43"/>
      <c r="DY750" s="43"/>
      <c r="DZ750" s="43"/>
      <c r="EA750" s="43"/>
      <c r="EB750" s="43"/>
      <c r="EC750" s="43"/>
      <c r="ED750" s="43"/>
      <c r="EE750" s="43"/>
      <c r="EF750" s="43"/>
      <c r="EG750" s="43"/>
      <c r="EH750" s="43"/>
      <c r="EI750" s="43"/>
      <c r="EJ750" s="43"/>
      <c r="EK750" s="43"/>
      <c r="EL750" s="43"/>
      <c r="EM750" s="43"/>
      <c r="EN750" s="43"/>
      <c r="EO750" s="43"/>
      <c r="EP750" s="43"/>
      <c r="EQ750" s="43"/>
      <c r="ER750" s="43"/>
      <c r="ES750" s="43"/>
      <c r="ET750" s="50"/>
      <c r="EU750" s="50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  <c r="AX751" s="43"/>
      <c r="AY751" s="43"/>
      <c r="AZ751" s="43"/>
      <c r="BA751" s="43"/>
      <c r="BB751" s="43"/>
      <c r="BC751" s="43"/>
      <c r="BD751" s="43"/>
      <c r="BE751" s="43"/>
      <c r="BF751" s="43"/>
      <c r="BG751" s="43"/>
      <c r="BH751" s="43"/>
      <c r="BI751" s="43"/>
      <c r="BJ751" s="43"/>
      <c r="BK751" s="43"/>
      <c r="BL751" s="43"/>
      <c r="BM751" s="43"/>
      <c r="BN751" s="43"/>
      <c r="BO751" s="43"/>
      <c r="BP751" s="43"/>
      <c r="BQ751" s="43"/>
      <c r="BR751" s="43"/>
      <c r="BS751" s="43"/>
      <c r="BT751" s="43"/>
      <c r="BU751" s="43"/>
      <c r="BV751" s="43"/>
      <c r="BW751" s="43"/>
      <c r="BX751" s="43"/>
      <c r="BY751" s="43"/>
      <c r="BZ751" s="43"/>
      <c r="CA751" s="43"/>
      <c r="CB751" s="43"/>
      <c r="CC751" s="43"/>
      <c r="CD751" s="43"/>
      <c r="CE751" s="43"/>
      <c r="CF751" s="43"/>
      <c r="CG751" s="43"/>
      <c r="CH751" s="43"/>
      <c r="CI751" s="43"/>
      <c r="CJ751" s="43"/>
      <c r="CK751" s="43"/>
      <c r="CL751" s="43"/>
      <c r="CM751" s="43"/>
      <c r="CN751" s="43"/>
      <c r="CO751" s="43"/>
      <c r="CP751" s="43"/>
      <c r="CQ751" s="43"/>
      <c r="CR751" s="43"/>
      <c r="CS751" s="43"/>
      <c r="CT751" s="43"/>
      <c r="CU751" s="43"/>
      <c r="CV751" s="43"/>
      <c r="CW751" s="43"/>
      <c r="CX751" s="43"/>
      <c r="CY751" s="43"/>
      <c r="CZ751" s="43"/>
      <c r="DA751" s="43"/>
      <c r="DB751" s="43"/>
      <c r="DC751" s="43"/>
      <c r="DD751" s="43"/>
      <c r="DE751" s="43"/>
      <c r="DF751" s="43"/>
      <c r="DG751" s="43"/>
      <c r="DH751" s="43"/>
      <c r="DI751" s="43"/>
      <c r="DJ751" s="43"/>
      <c r="DK751" s="43"/>
      <c r="DL751" s="43"/>
      <c r="DM751" s="43"/>
      <c r="DN751" s="43"/>
      <c r="DO751" s="43"/>
      <c r="DP751" s="43"/>
      <c r="DQ751" s="43"/>
      <c r="DR751" s="43"/>
      <c r="DS751" s="43"/>
      <c r="DT751" s="43"/>
      <c r="DU751" s="43"/>
      <c r="DV751" s="43"/>
      <c r="DW751" s="43"/>
      <c r="DX751" s="43"/>
      <c r="DY751" s="43"/>
      <c r="DZ751" s="43"/>
      <c r="EA751" s="43"/>
      <c r="EB751" s="43"/>
      <c r="EC751" s="43"/>
      <c r="ED751" s="43"/>
      <c r="EE751" s="43"/>
      <c r="EF751" s="43"/>
      <c r="EG751" s="43"/>
      <c r="EH751" s="43"/>
      <c r="EI751" s="43"/>
      <c r="EJ751" s="43"/>
      <c r="EK751" s="43"/>
      <c r="EL751" s="43"/>
      <c r="EM751" s="43"/>
      <c r="EN751" s="43"/>
      <c r="EO751" s="43"/>
      <c r="EP751" s="43"/>
      <c r="EQ751" s="43"/>
      <c r="ER751" s="43"/>
      <c r="ES751" s="43"/>
      <c r="ET751" s="50"/>
      <c r="EU751" s="50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  <c r="AX752" s="43"/>
      <c r="AY752" s="43"/>
      <c r="AZ752" s="43"/>
      <c r="BA752" s="43"/>
      <c r="BB752" s="43"/>
      <c r="BC752" s="43"/>
      <c r="BD752" s="43"/>
      <c r="BE752" s="43"/>
      <c r="BF752" s="43"/>
      <c r="BG752" s="43"/>
      <c r="BH752" s="43"/>
      <c r="BI752" s="43"/>
      <c r="BJ752" s="43"/>
      <c r="BK752" s="43"/>
      <c r="BL752" s="43"/>
      <c r="BM752" s="43"/>
      <c r="BN752" s="43"/>
      <c r="BO752" s="43"/>
      <c r="BP752" s="43"/>
      <c r="BQ752" s="43"/>
      <c r="BR752" s="43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43"/>
      <c r="CF752" s="43"/>
      <c r="CG752" s="43"/>
      <c r="CH752" s="43"/>
      <c r="CI752" s="43"/>
      <c r="CJ752" s="43"/>
      <c r="CK752" s="43"/>
      <c r="CL752" s="43"/>
      <c r="CM752" s="43"/>
      <c r="CN752" s="43"/>
      <c r="CO752" s="43"/>
      <c r="CP752" s="43"/>
      <c r="CQ752" s="43"/>
      <c r="CR752" s="43"/>
      <c r="CS752" s="43"/>
      <c r="CT752" s="43"/>
      <c r="CU752" s="43"/>
      <c r="CV752" s="43"/>
      <c r="CW752" s="43"/>
      <c r="CX752" s="43"/>
      <c r="CY752" s="43"/>
      <c r="CZ752" s="43"/>
      <c r="DA752" s="43"/>
      <c r="DB752" s="43"/>
      <c r="DC752" s="43"/>
      <c r="DD752" s="43"/>
      <c r="DE752" s="43"/>
      <c r="DF752" s="43"/>
      <c r="DG752" s="43"/>
      <c r="DH752" s="43"/>
      <c r="DI752" s="43"/>
      <c r="DJ752" s="43"/>
      <c r="DK752" s="43"/>
      <c r="DL752" s="43"/>
      <c r="DM752" s="43"/>
      <c r="DN752" s="43"/>
      <c r="DO752" s="43"/>
      <c r="DP752" s="43"/>
      <c r="DQ752" s="43"/>
      <c r="DR752" s="43"/>
      <c r="DS752" s="43"/>
      <c r="DT752" s="43"/>
      <c r="DU752" s="43"/>
      <c r="DV752" s="43"/>
      <c r="DW752" s="43"/>
      <c r="DX752" s="43"/>
      <c r="DY752" s="43"/>
      <c r="DZ752" s="43"/>
      <c r="EA752" s="43"/>
      <c r="EB752" s="43"/>
      <c r="EC752" s="43"/>
      <c r="ED752" s="43"/>
      <c r="EE752" s="43"/>
      <c r="EF752" s="43"/>
      <c r="EG752" s="43"/>
      <c r="EH752" s="43"/>
      <c r="EI752" s="43"/>
      <c r="EJ752" s="43"/>
      <c r="EK752" s="43"/>
      <c r="EL752" s="43"/>
      <c r="EM752" s="43"/>
      <c r="EN752" s="43"/>
      <c r="EO752" s="43"/>
      <c r="EP752" s="43"/>
      <c r="EQ752" s="43"/>
      <c r="ER752" s="43"/>
      <c r="ES752" s="43"/>
      <c r="ET752" s="50"/>
      <c r="EU752" s="50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  <c r="AX753" s="43"/>
      <c r="AY753" s="43"/>
      <c r="AZ753" s="43"/>
      <c r="BA753" s="43"/>
      <c r="BB753" s="43"/>
      <c r="BC753" s="43"/>
      <c r="BD753" s="43"/>
      <c r="BE753" s="43"/>
      <c r="BF753" s="43"/>
      <c r="BG753" s="43"/>
      <c r="BH753" s="43"/>
      <c r="BI753" s="43"/>
      <c r="BJ753" s="43"/>
      <c r="BK753" s="43"/>
      <c r="BL753" s="43"/>
      <c r="BM753" s="43"/>
      <c r="BN753" s="43"/>
      <c r="BO753" s="43"/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3"/>
      <c r="CA753" s="43"/>
      <c r="CB753" s="43"/>
      <c r="CC753" s="43"/>
      <c r="CD753" s="43"/>
      <c r="CE753" s="43"/>
      <c r="CF753" s="43"/>
      <c r="CG753" s="43"/>
      <c r="CH753" s="43"/>
      <c r="CI753" s="43"/>
      <c r="CJ753" s="43"/>
      <c r="CK753" s="43"/>
      <c r="CL753" s="43"/>
      <c r="CM753" s="43"/>
      <c r="CN753" s="43"/>
      <c r="CO753" s="43"/>
      <c r="CP753" s="43"/>
      <c r="CQ753" s="43"/>
      <c r="CR753" s="43"/>
      <c r="CS753" s="43"/>
      <c r="CT753" s="43"/>
      <c r="CU753" s="43"/>
      <c r="CV753" s="43"/>
      <c r="CW753" s="43"/>
      <c r="CX753" s="43"/>
      <c r="CY753" s="43"/>
      <c r="CZ753" s="43"/>
      <c r="DA753" s="43"/>
      <c r="DB753" s="43"/>
      <c r="DC753" s="43"/>
      <c r="DD753" s="43"/>
      <c r="DE753" s="43"/>
      <c r="DF753" s="43"/>
      <c r="DG753" s="43"/>
      <c r="DH753" s="43"/>
      <c r="DI753" s="43"/>
      <c r="DJ753" s="43"/>
      <c r="DK753" s="43"/>
      <c r="DL753" s="43"/>
      <c r="DM753" s="43"/>
      <c r="DN753" s="43"/>
      <c r="DO753" s="43"/>
      <c r="DP753" s="43"/>
      <c r="DQ753" s="43"/>
      <c r="DR753" s="43"/>
      <c r="DS753" s="43"/>
      <c r="DT753" s="43"/>
      <c r="DU753" s="43"/>
      <c r="DV753" s="43"/>
      <c r="DW753" s="43"/>
      <c r="DX753" s="43"/>
      <c r="DY753" s="43"/>
      <c r="DZ753" s="43"/>
      <c r="EA753" s="43"/>
      <c r="EB753" s="43"/>
      <c r="EC753" s="43"/>
      <c r="ED753" s="43"/>
      <c r="EE753" s="43"/>
      <c r="EF753" s="43"/>
      <c r="EG753" s="43"/>
      <c r="EH753" s="43"/>
      <c r="EI753" s="43"/>
      <c r="EJ753" s="43"/>
      <c r="EK753" s="43"/>
      <c r="EL753" s="43"/>
      <c r="EM753" s="43"/>
      <c r="EN753" s="43"/>
      <c r="EO753" s="43"/>
      <c r="EP753" s="43"/>
      <c r="EQ753" s="43"/>
      <c r="ER753" s="43"/>
      <c r="ES753" s="43"/>
      <c r="ET753" s="50"/>
      <c r="EU753" s="50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  <c r="AX754" s="43"/>
      <c r="AY754" s="43"/>
      <c r="AZ754" s="43"/>
      <c r="BA754" s="43"/>
      <c r="BB754" s="43"/>
      <c r="BC754" s="43"/>
      <c r="BD754" s="43"/>
      <c r="BE754" s="43"/>
      <c r="BF754" s="43"/>
      <c r="BG754" s="43"/>
      <c r="BH754" s="43"/>
      <c r="BI754" s="43"/>
      <c r="BJ754" s="43"/>
      <c r="BK754" s="43"/>
      <c r="BL754" s="43"/>
      <c r="BM754" s="43"/>
      <c r="BN754" s="43"/>
      <c r="BO754" s="43"/>
      <c r="BP754" s="43"/>
      <c r="BQ754" s="43"/>
      <c r="BR754" s="43"/>
      <c r="BS754" s="43"/>
      <c r="BT754" s="43"/>
      <c r="BU754" s="43"/>
      <c r="BV754" s="43"/>
      <c r="BW754" s="43"/>
      <c r="BX754" s="43"/>
      <c r="BY754" s="43"/>
      <c r="BZ754" s="43"/>
      <c r="CA754" s="43"/>
      <c r="CB754" s="43"/>
      <c r="CC754" s="43"/>
      <c r="CD754" s="43"/>
      <c r="CE754" s="43"/>
      <c r="CF754" s="43"/>
      <c r="CG754" s="43"/>
      <c r="CH754" s="43"/>
      <c r="CI754" s="43"/>
      <c r="CJ754" s="43"/>
      <c r="CK754" s="43"/>
      <c r="CL754" s="43"/>
      <c r="CM754" s="43"/>
      <c r="CN754" s="43"/>
      <c r="CO754" s="43"/>
      <c r="CP754" s="43"/>
      <c r="CQ754" s="43"/>
      <c r="CR754" s="43"/>
      <c r="CS754" s="43"/>
      <c r="CT754" s="43"/>
      <c r="CU754" s="43"/>
      <c r="CV754" s="43"/>
      <c r="CW754" s="43"/>
      <c r="CX754" s="43"/>
      <c r="CY754" s="43"/>
      <c r="CZ754" s="43"/>
      <c r="DA754" s="43"/>
      <c r="DB754" s="43"/>
      <c r="DC754" s="43"/>
      <c r="DD754" s="43"/>
      <c r="DE754" s="43"/>
      <c r="DF754" s="43"/>
      <c r="DG754" s="43"/>
      <c r="DH754" s="43"/>
      <c r="DI754" s="43"/>
      <c r="DJ754" s="43"/>
      <c r="DK754" s="43"/>
      <c r="DL754" s="43"/>
      <c r="DM754" s="43"/>
      <c r="DN754" s="43"/>
      <c r="DO754" s="43"/>
      <c r="DP754" s="43"/>
      <c r="DQ754" s="43"/>
      <c r="DR754" s="43"/>
      <c r="DS754" s="43"/>
      <c r="DT754" s="43"/>
      <c r="DU754" s="43"/>
      <c r="DV754" s="43"/>
      <c r="DW754" s="43"/>
      <c r="DX754" s="43"/>
      <c r="DY754" s="43"/>
      <c r="DZ754" s="43"/>
      <c r="EA754" s="43"/>
      <c r="EB754" s="43"/>
      <c r="EC754" s="43"/>
      <c r="ED754" s="43"/>
      <c r="EE754" s="43"/>
      <c r="EF754" s="43"/>
      <c r="EG754" s="43"/>
      <c r="EH754" s="43"/>
      <c r="EI754" s="43"/>
      <c r="EJ754" s="43"/>
      <c r="EK754" s="43"/>
      <c r="EL754" s="43"/>
      <c r="EM754" s="43"/>
      <c r="EN754" s="43"/>
      <c r="EO754" s="43"/>
      <c r="EP754" s="43"/>
      <c r="EQ754" s="43"/>
      <c r="ER754" s="43"/>
      <c r="ES754" s="43"/>
      <c r="ET754" s="50"/>
      <c r="EU754" s="50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  <c r="AX755" s="43"/>
      <c r="AY755" s="43"/>
      <c r="AZ755" s="43"/>
      <c r="BA755" s="43"/>
      <c r="BB755" s="43"/>
      <c r="BC755" s="43"/>
      <c r="BD755" s="43"/>
      <c r="BE755" s="43"/>
      <c r="BF755" s="43"/>
      <c r="BG755" s="43"/>
      <c r="BH755" s="43"/>
      <c r="BI755" s="43"/>
      <c r="BJ755" s="43"/>
      <c r="BK755" s="43"/>
      <c r="BL755" s="43"/>
      <c r="BM755" s="43"/>
      <c r="BN755" s="43"/>
      <c r="BO755" s="43"/>
      <c r="BP755" s="43"/>
      <c r="BQ755" s="43"/>
      <c r="BR755" s="43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43"/>
      <c r="CF755" s="43"/>
      <c r="CG755" s="43"/>
      <c r="CH755" s="43"/>
      <c r="CI755" s="43"/>
      <c r="CJ755" s="43"/>
      <c r="CK755" s="43"/>
      <c r="CL755" s="43"/>
      <c r="CM755" s="43"/>
      <c r="CN755" s="43"/>
      <c r="CO755" s="43"/>
      <c r="CP755" s="43"/>
      <c r="CQ755" s="43"/>
      <c r="CR755" s="43"/>
      <c r="CS755" s="43"/>
      <c r="CT755" s="43"/>
      <c r="CU755" s="43"/>
      <c r="CV755" s="43"/>
      <c r="CW755" s="43"/>
      <c r="CX755" s="43"/>
      <c r="CY755" s="43"/>
      <c r="CZ755" s="43"/>
      <c r="DA755" s="43"/>
      <c r="DB755" s="43"/>
      <c r="DC755" s="43"/>
      <c r="DD755" s="43"/>
      <c r="DE755" s="43"/>
      <c r="DF755" s="43"/>
      <c r="DG755" s="43"/>
      <c r="DH755" s="43"/>
      <c r="DI755" s="43"/>
      <c r="DJ755" s="43"/>
      <c r="DK755" s="43"/>
      <c r="DL755" s="43"/>
      <c r="DM755" s="43"/>
      <c r="DN755" s="43"/>
      <c r="DO755" s="43"/>
      <c r="DP755" s="43"/>
      <c r="DQ755" s="43"/>
      <c r="DR755" s="43"/>
      <c r="DS755" s="43"/>
      <c r="DT755" s="43"/>
      <c r="DU755" s="43"/>
      <c r="DV755" s="43"/>
      <c r="DW755" s="43"/>
      <c r="DX755" s="43"/>
      <c r="DY755" s="43"/>
      <c r="DZ755" s="43"/>
      <c r="EA755" s="43"/>
      <c r="EB755" s="43"/>
      <c r="EC755" s="43"/>
      <c r="ED755" s="43"/>
      <c r="EE755" s="43"/>
      <c r="EF755" s="43"/>
      <c r="EG755" s="43"/>
      <c r="EH755" s="43"/>
      <c r="EI755" s="43"/>
      <c r="EJ755" s="43"/>
      <c r="EK755" s="43"/>
      <c r="EL755" s="43"/>
      <c r="EM755" s="43"/>
      <c r="EN755" s="43"/>
      <c r="EO755" s="43"/>
      <c r="EP755" s="43"/>
      <c r="EQ755" s="43"/>
      <c r="ER755" s="43"/>
      <c r="ES755" s="43"/>
      <c r="ET755" s="50"/>
      <c r="EU755" s="50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  <c r="AX756" s="43"/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43"/>
      <c r="BJ756" s="43"/>
      <c r="BK756" s="43"/>
      <c r="BL756" s="43"/>
      <c r="BM756" s="43"/>
      <c r="BN756" s="43"/>
      <c r="BO756" s="43"/>
      <c r="BP756" s="43"/>
      <c r="BQ756" s="43"/>
      <c r="BR756" s="43"/>
      <c r="BS756" s="43"/>
      <c r="BT756" s="43"/>
      <c r="BU756" s="43"/>
      <c r="BV756" s="43"/>
      <c r="BW756" s="43"/>
      <c r="BX756" s="43"/>
      <c r="BY756" s="43"/>
      <c r="BZ756" s="43"/>
      <c r="CA756" s="43"/>
      <c r="CB756" s="43"/>
      <c r="CC756" s="43"/>
      <c r="CD756" s="43"/>
      <c r="CE756" s="43"/>
      <c r="CF756" s="43"/>
      <c r="CG756" s="43"/>
      <c r="CH756" s="43"/>
      <c r="CI756" s="43"/>
      <c r="CJ756" s="43"/>
      <c r="CK756" s="43"/>
      <c r="CL756" s="43"/>
      <c r="CM756" s="43"/>
      <c r="CN756" s="43"/>
      <c r="CO756" s="43"/>
      <c r="CP756" s="43"/>
      <c r="CQ756" s="43"/>
      <c r="CR756" s="43"/>
      <c r="CS756" s="43"/>
      <c r="CT756" s="43"/>
      <c r="CU756" s="43"/>
      <c r="CV756" s="43"/>
      <c r="CW756" s="43"/>
      <c r="CX756" s="43"/>
      <c r="CY756" s="43"/>
      <c r="CZ756" s="43"/>
      <c r="DA756" s="43"/>
      <c r="DB756" s="43"/>
      <c r="DC756" s="43"/>
      <c r="DD756" s="43"/>
      <c r="DE756" s="43"/>
      <c r="DF756" s="43"/>
      <c r="DG756" s="43"/>
      <c r="DH756" s="43"/>
      <c r="DI756" s="43"/>
      <c r="DJ756" s="43"/>
      <c r="DK756" s="43"/>
      <c r="DL756" s="43"/>
      <c r="DM756" s="43"/>
      <c r="DN756" s="43"/>
      <c r="DO756" s="43"/>
      <c r="DP756" s="43"/>
      <c r="DQ756" s="43"/>
      <c r="DR756" s="43"/>
      <c r="DS756" s="43"/>
      <c r="DT756" s="43"/>
      <c r="DU756" s="43"/>
      <c r="DV756" s="43"/>
      <c r="DW756" s="43"/>
      <c r="DX756" s="43"/>
      <c r="DY756" s="43"/>
      <c r="DZ756" s="43"/>
      <c r="EA756" s="43"/>
      <c r="EB756" s="43"/>
      <c r="EC756" s="43"/>
      <c r="ED756" s="43"/>
      <c r="EE756" s="43"/>
      <c r="EF756" s="43"/>
      <c r="EG756" s="43"/>
      <c r="EH756" s="43"/>
      <c r="EI756" s="43"/>
      <c r="EJ756" s="43"/>
      <c r="EK756" s="43"/>
      <c r="EL756" s="43"/>
      <c r="EM756" s="43"/>
      <c r="EN756" s="43"/>
      <c r="EO756" s="43"/>
      <c r="EP756" s="43"/>
      <c r="EQ756" s="43"/>
      <c r="ER756" s="43"/>
      <c r="ES756" s="43"/>
      <c r="ET756" s="50"/>
      <c r="EU756" s="50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  <c r="AX757" s="43"/>
      <c r="AY757" s="43"/>
      <c r="AZ757" s="43"/>
      <c r="BA757" s="43"/>
      <c r="BB757" s="43"/>
      <c r="BC757" s="43"/>
      <c r="BD757" s="43"/>
      <c r="BE757" s="43"/>
      <c r="BF757" s="43"/>
      <c r="BG757" s="43"/>
      <c r="BH757" s="43"/>
      <c r="BI757" s="43"/>
      <c r="BJ757" s="43"/>
      <c r="BK757" s="43"/>
      <c r="BL757" s="43"/>
      <c r="BM757" s="43"/>
      <c r="BN757" s="43"/>
      <c r="BO757" s="43"/>
      <c r="BP757" s="43"/>
      <c r="BQ757" s="43"/>
      <c r="BR757" s="43"/>
      <c r="BS757" s="43"/>
      <c r="BT757" s="43"/>
      <c r="BU757" s="43"/>
      <c r="BV757" s="43"/>
      <c r="BW757" s="43"/>
      <c r="BX757" s="43"/>
      <c r="BY757" s="43"/>
      <c r="BZ757" s="43"/>
      <c r="CA757" s="43"/>
      <c r="CB757" s="43"/>
      <c r="CC757" s="43"/>
      <c r="CD757" s="43"/>
      <c r="CE757" s="43"/>
      <c r="CF757" s="43"/>
      <c r="CG757" s="43"/>
      <c r="CH757" s="43"/>
      <c r="CI757" s="43"/>
      <c r="CJ757" s="43"/>
      <c r="CK757" s="43"/>
      <c r="CL757" s="43"/>
      <c r="CM757" s="43"/>
      <c r="CN757" s="43"/>
      <c r="CO757" s="43"/>
      <c r="CP757" s="43"/>
      <c r="CQ757" s="43"/>
      <c r="CR757" s="43"/>
      <c r="CS757" s="43"/>
      <c r="CT757" s="43"/>
      <c r="CU757" s="43"/>
      <c r="CV757" s="43"/>
      <c r="CW757" s="43"/>
      <c r="CX757" s="43"/>
      <c r="CY757" s="43"/>
      <c r="CZ757" s="43"/>
      <c r="DA757" s="43"/>
      <c r="DB757" s="43"/>
      <c r="DC757" s="43"/>
      <c r="DD757" s="43"/>
      <c r="DE757" s="43"/>
      <c r="DF757" s="43"/>
      <c r="DG757" s="43"/>
      <c r="DH757" s="43"/>
      <c r="DI757" s="43"/>
      <c r="DJ757" s="43"/>
      <c r="DK757" s="43"/>
      <c r="DL757" s="43"/>
      <c r="DM757" s="43"/>
      <c r="DN757" s="43"/>
      <c r="DO757" s="43"/>
      <c r="DP757" s="43"/>
      <c r="DQ757" s="43"/>
      <c r="DR757" s="43"/>
      <c r="DS757" s="43"/>
      <c r="DT757" s="43"/>
      <c r="DU757" s="43"/>
      <c r="DV757" s="43"/>
      <c r="DW757" s="43"/>
      <c r="DX757" s="43"/>
      <c r="DY757" s="43"/>
      <c r="DZ757" s="43"/>
      <c r="EA757" s="43"/>
      <c r="EB757" s="43"/>
      <c r="EC757" s="43"/>
      <c r="ED757" s="43"/>
      <c r="EE757" s="43"/>
      <c r="EF757" s="43"/>
      <c r="EG757" s="43"/>
      <c r="EH757" s="43"/>
      <c r="EI757" s="43"/>
      <c r="EJ757" s="43"/>
      <c r="EK757" s="43"/>
      <c r="EL757" s="43"/>
      <c r="EM757" s="43"/>
      <c r="EN757" s="43"/>
      <c r="EO757" s="43"/>
      <c r="EP757" s="43"/>
      <c r="EQ757" s="43"/>
      <c r="ER757" s="43"/>
      <c r="ES757" s="43"/>
      <c r="ET757" s="50"/>
      <c r="EU757" s="50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  <c r="AX758" s="43"/>
      <c r="AY758" s="43"/>
      <c r="AZ758" s="43"/>
      <c r="BA758" s="43"/>
      <c r="BB758" s="43"/>
      <c r="BC758" s="43"/>
      <c r="BD758" s="43"/>
      <c r="BE758" s="43"/>
      <c r="BF758" s="43"/>
      <c r="BG758" s="43"/>
      <c r="BH758" s="43"/>
      <c r="BI758" s="43"/>
      <c r="BJ758" s="43"/>
      <c r="BK758" s="43"/>
      <c r="BL758" s="43"/>
      <c r="BM758" s="43"/>
      <c r="BN758" s="43"/>
      <c r="BO758" s="43"/>
      <c r="BP758" s="43"/>
      <c r="BQ758" s="43"/>
      <c r="BR758" s="43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43"/>
      <c r="CF758" s="43"/>
      <c r="CG758" s="43"/>
      <c r="CH758" s="43"/>
      <c r="CI758" s="43"/>
      <c r="CJ758" s="43"/>
      <c r="CK758" s="43"/>
      <c r="CL758" s="43"/>
      <c r="CM758" s="43"/>
      <c r="CN758" s="43"/>
      <c r="CO758" s="43"/>
      <c r="CP758" s="43"/>
      <c r="CQ758" s="43"/>
      <c r="CR758" s="43"/>
      <c r="CS758" s="43"/>
      <c r="CT758" s="43"/>
      <c r="CU758" s="43"/>
      <c r="CV758" s="43"/>
      <c r="CW758" s="43"/>
      <c r="CX758" s="43"/>
      <c r="CY758" s="43"/>
      <c r="CZ758" s="43"/>
      <c r="DA758" s="43"/>
      <c r="DB758" s="43"/>
      <c r="DC758" s="43"/>
      <c r="DD758" s="43"/>
      <c r="DE758" s="43"/>
      <c r="DF758" s="43"/>
      <c r="DG758" s="43"/>
      <c r="DH758" s="43"/>
      <c r="DI758" s="43"/>
      <c r="DJ758" s="43"/>
      <c r="DK758" s="43"/>
      <c r="DL758" s="43"/>
      <c r="DM758" s="43"/>
      <c r="DN758" s="43"/>
      <c r="DO758" s="43"/>
      <c r="DP758" s="43"/>
      <c r="DQ758" s="43"/>
      <c r="DR758" s="43"/>
      <c r="DS758" s="43"/>
      <c r="DT758" s="43"/>
      <c r="DU758" s="43"/>
      <c r="DV758" s="43"/>
      <c r="DW758" s="43"/>
      <c r="DX758" s="43"/>
      <c r="DY758" s="43"/>
      <c r="DZ758" s="43"/>
      <c r="EA758" s="43"/>
      <c r="EB758" s="43"/>
      <c r="EC758" s="43"/>
      <c r="ED758" s="43"/>
      <c r="EE758" s="43"/>
      <c r="EF758" s="43"/>
      <c r="EG758" s="43"/>
      <c r="EH758" s="43"/>
      <c r="EI758" s="43"/>
      <c r="EJ758" s="43"/>
      <c r="EK758" s="43"/>
      <c r="EL758" s="43"/>
      <c r="EM758" s="43"/>
      <c r="EN758" s="43"/>
      <c r="EO758" s="43"/>
      <c r="EP758" s="43"/>
      <c r="EQ758" s="43"/>
      <c r="ER758" s="43"/>
      <c r="ES758" s="43"/>
      <c r="ET758" s="50"/>
      <c r="EU758" s="50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  <c r="AX759" s="43"/>
      <c r="AY759" s="43"/>
      <c r="AZ759" s="43"/>
      <c r="BA759" s="43"/>
      <c r="BB759" s="43"/>
      <c r="BC759" s="43"/>
      <c r="BD759" s="43"/>
      <c r="BE759" s="43"/>
      <c r="BF759" s="43"/>
      <c r="BG759" s="43"/>
      <c r="BH759" s="43"/>
      <c r="BI759" s="43"/>
      <c r="BJ759" s="43"/>
      <c r="BK759" s="43"/>
      <c r="BL759" s="43"/>
      <c r="BM759" s="43"/>
      <c r="BN759" s="43"/>
      <c r="BO759" s="43"/>
      <c r="BP759" s="43"/>
      <c r="BQ759" s="43"/>
      <c r="BR759" s="43"/>
      <c r="BS759" s="43"/>
      <c r="BT759" s="43"/>
      <c r="BU759" s="43"/>
      <c r="BV759" s="43"/>
      <c r="BW759" s="43"/>
      <c r="BX759" s="43"/>
      <c r="BY759" s="43"/>
      <c r="BZ759" s="43"/>
      <c r="CA759" s="43"/>
      <c r="CB759" s="43"/>
      <c r="CC759" s="43"/>
      <c r="CD759" s="43"/>
      <c r="CE759" s="43"/>
      <c r="CF759" s="43"/>
      <c r="CG759" s="43"/>
      <c r="CH759" s="43"/>
      <c r="CI759" s="43"/>
      <c r="CJ759" s="43"/>
      <c r="CK759" s="43"/>
      <c r="CL759" s="43"/>
      <c r="CM759" s="43"/>
      <c r="CN759" s="43"/>
      <c r="CO759" s="43"/>
      <c r="CP759" s="43"/>
      <c r="CQ759" s="43"/>
      <c r="CR759" s="43"/>
      <c r="CS759" s="43"/>
      <c r="CT759" s="43"/>
      <c r="CU759" s="43"/>
      <c r="CV759" s="43"/>
      <c r="CW759" s="43"/>
      <c r="CX759" s="43"/>
      <c r="CY759" s="43"/>
      <c r="CZ759" s="43"/>
      <c r="DA759" s="43"/>
      <c r="DB759" s="43"/>
      <c r="DC759" s="43"/>
      <c r="DD759" s="43"/>
      <c r="DE759" s="43"/>
      <c r="DF759" s="43"/>
      <c r="DG759" s="43"/>
      <c r="DH759" s="43"/>
      <c r="DI759" s="43"/>
      <c r="DJ759" s="43"/>
      <c r="DK759" s="43"/>
      <c r="DL759" s="43"/>
      <c r="DM759" s="43"/>
      <c r="DN759" s="43"/>
      <c r="DO759" s="43"/>
      <c r="DP759" s="43"/>
      <c r="DQ759" s="43"/>
      <c r="DR759" s="43"/>
      <c r="DS759" s="43"/>
      <c r="DT759" s="43"/>
      <c r="DU759" s="43"/>
      <c r="DV759" s="43"/>
      <c r="DW759" s="43"/>
      <c r="DX759" s="43"/>
      <c r="DY759" s="43"/>
      <c r="DZ759" s="43"/>
      <c r="EA759" s="43"/>
      <c r="EB759" s="43"/>
      <c r="EC759" s="43"/>
      <c r="ED759" s="43"/>
      <c r="EE759" s="43"/>
      <c r="EF759" s="43"/>
      <c r="EG759" s="43"/>
      <c r="EH759" s="43"/>
      <c r="EI759" s="43"/>
      <c r="EJ759" s="43"/>
      <c r="EK759" s="43"/>
      <c r="EL759" s="43"/>
      <c r="EM759" s="43"/>
      <c r="EN759" s="43"/>
      <c r="EO759" s="43"/>
      <c r="EP759" s="43"/>
      <c r="EQ759" s="43"/>
      <c r="ER759" s="43"/>
      <c r="ES759" s="43"/>
      <c r="ET759" s="50"/>
      <c r="EU759" s="50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  <c r="BL760" s="43"/>
      <c r="BM760" s="43"/>
      <c r="BN760" s="43"/>
      <c r="BO760" s="43"/>
      <c r="BP760" s="43"/>
      <c r="BQ760" s="43"/>
      <c r="BR760" s="43"/>
      <c r="BS760" s="43"/>
      <c r="BT760" s="43"/>
      <c r="BU760" s="43"/>
      <c r="BV760" s="43"/>
      <c r="BW760" s="43"/>
      <c r="BX760" s="43"/>
      <c r="BY760" s="43"/>
      <c r="BZ760" s="43"/>
      <c r="CA760" s="43"/>
      <c r="CB760" s="43"/>
      <c r="CC760" s="43"/>
      <c r="CD760" s="43"/>
      <c r="CE760" s="43"/>
      <c r="CF760" s="43"/>
      <c r="CG760" s="43"/>
      <c r="CH760" s="43"/>
      <c r="CI760" s="43"/>
      <c r="CJ760" s="43"/>
      <c r="CK760" s="43"/>
      <c r="CL760" s="43"/>
      <c r="CM760" s="43"/>
      <c r="CN760" s="43"/>
      <c r="CO760" s="43"/>
      <c r="CP760" s="43"/>
      <c r="CQ760" s="43"/>
      <c r="CR760" s="43"/>
      <c r="CS760" s="43"/>
      <c r="CT760" s="43"/>
      <c r="CU760" s="43"/>
      <c r="CV760" s="43"/>
      <c r="CW760" s="43"/>
      <c r="CX760" s="43"/>
      <c r="CY760" s="43"/>
      <c r="CZ760" s="43"/>
      <c r="DA760" s="43"/>
      <c r="DB760" s="43"/>
      <c r="DC760" s="43"/>
      <c r="DD760" s="43"/>
      <c r="DE760" s="43"/>
      <c r="DF760" s="43"/>
      <c r="DG760" s="43"/>
      <c r="DH760" s="43"/>
      <c r="DI760" s="43"/>
      <c r="DJ760" s="43"/>
      <c r="DK760" s="43"/>
      <c r="DL760" s="43"/>
      <c r="DM760" s="43"/>
      <c r="DN760" s="43"/>
      <c r="DO760" s="43"/>
      <c r="DP760" s="43"/>
      <c r="DQ760" s="43"/>
      <c r="DR760" s="43"/>
      <c r="DS760" s="43"/>
      <c r="DT760" s="43"/>
      <c r="DU760" s="43"/>
      <c r="DV760" s="43"/>
      <c r="DW760" s="43"/>
      <c r="DX760" s="43"/>
      <c r="DY760" s="43"/>
      <c r="DZ760" s="43"/>
      <c r="EA760" s="43"/>
      <c r="EB760" s="43"/>
      <c r="EC760" s="43"/>
      <c r="ED760" s="43"/>
      <c r="EE760" s="43"/>
      <c r="EF760" s="43"/>
      <c r="EG760" s="43"/>
      <c r="EH760" s="43"/>
      <c r="EI760" s="43"/>
      <c r="EJ760" s="43"/>
      <c r="EK760" s="43"/>
      <c r="EL760" s="43"/>
      <c r="EM760" s="43"/>
      <c r="EN760" s="43"/>
      <c r="EO760" s="43"/>
      <c r="EP760" s="43"/>
      <c r="EQ760" s="43"/>
      <c r="ER760" s="43"/>
      <c r="ES760" s="43"/>
      <c r="ET760" s="50"/>
      <c r="EU760" s="50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  <c r="BL761" s="43"/>
      <c r="BM761" s="43"/>
      <c r="BN761" s="43"/>
      <c r="BO761" s="43"/>
      <c r="BP761" s="43"/>
      <c r="BQ761" s="43"/>
      <c r="BR761" s="43"/>
      <c r="BS761" s="43"/>
      <c r="BT761" s="43"/>
      <c r="BU761" s="43"/>
      <c r="BV761" s="43"/>
      <c r="BW761" s="43"/>
      <c r="BX761" s="43"/>
      <c r="BY761" s="43"/>
      <c r="BZ761" s="43"/>
      <c r="CA761" s="43"/>
      <c r="CB761" s="43"/>
      <c r="CC761" s="43"/>
      <c r="CD761" s="43"/>
      <c r="CE761" s="43"/>
      <c r="CF761" s="43"/>
      <c r="CG761" s="43"/>
      <c r="CH761" s="43"/>
      <c r="CI761" s="43"/>
      <c r="CJ761" s="43"/>
      <c r="CK761" s="43"/>
      <c r="CL761" s="43"/>
      <c r="CM761" s="43"/>
      <c r="CN761" s="43"/>
      <c r="CO761" s="43"/>
      <c r="CP761" s="43"/>
      <c r="CQ761" s="43"/>
      <c r="CR761" s="43"/>
      <c r="CS761" s="43"/>
      <c r="CT761" s="43"/>
      <c r="CU761" s="43"/>
      <c r="CV761" s="43"/>
      <c r="CW761" s="43"/>
      <c r="CX761" s="43"/>
      <c r="CY761" s="43"/>
      <c r="CZ761" s="43"/>
      <c r="DA761" s="43"/>
      <c r="DB761" s="43"/>
      <c r="DC761" s="43"/>
      <c r="DD761" s="43"/>
      <c r="DE761" s="43"/>
      <c r="DF761" s="43"/>
      <c r="DG761" s="43"/>
      <c r="DH761" s="43"/>
      <c r="DI761" s="43"/>
      <c r="DJ761" s="43"/>
      <c r="DK761" s="43"/>
      <c r="DL761" s="43"/>
      <c r="DM761" s="43"/>
      <c r="DN761" s="43"/>
      <c r="DO761" s="43"/>
      <c r="DP761" s="43"/>
      <c r="DQ761" s="43"/>
      <c r="DR761" s="43"/>
      <c r="DS761" s="43"/>
      <c r="DT761" s="43"/>
      <c r="DU761" s="43"/>
      <c r="DV761" s="43"/>
      <c r="DW761" s="43"/>
      <c r="DX761" s="43"/>
      <c r="DY761" s="43"/>
      <c r="DZ761" s="43"/>
      <c r="EA761" s="43"/>
      <c r="EB761" s="43"/>
      <c r="EC761" s="43"/>
      <c r="ED761" s="43"/>
      <c r="EE761" s="43"/>
      <c r="EF761" s="43"/>
      <c r="EG761" s="43"/>
      <c r="EH761" s="43"/>
      <c r="EI761" s="43"/>
      <c r="EJ761" s="43"/>
      <c r="EK761" s="43"/>
      <c r="EL761" s="43"/>
      <c r="EM761" s="43"/>
      <c r="EN761" s="43"/>
      <c r="EO761" s="43"/>
      <c r="EP761" s="43"/>
      <c r="EQ761" s="43"/>
      <c r="ER761" s="43"/>
      <c r="ES761" s="43"/>
      <c r="ET761" s="50"/>
      <c r="EU761" s="50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R762" s="43"/>
      <c r="BS762" s="43"/>
      <c r="BT762" s="43"/>
      <c r="BU762" s="43"/>
      <c r="BV762" s="43"/>
      <c r="BW762" s="43"/>
      <c r="BX762" s="43"/>
      <c r="BY762" s="43"/>
      <c r="BZ762" s="43"/>
      <c r="CA762" s="43"/>
      <c r="CB762" s="43"/>
      <c r="CC762" s="43"/>
      <c r="CD762" s="43"/>
      <c r="CE762" s="43"/>
      <c r="CF762" s="43"/>
      <c r="CG762" s="43"/>
      <c r="CH762" s="43"/>
      <c r="CI762" s="43"/>
      <c r="CJ762" s="43"/>
      <c r="CK762" s="43"/>
      <c r="CL762" s="43"/>
      <c r="CM762" s="43"/>
      <c r="CN762" s="43"/>
      <c r="CO762" s="43"/>
      <c r="CP762" s="43"/>
      <c r="CQ762" s="43"/>
      <c r="CR762" s="43"/>
      <c r="CS762" s="43"/>
      <c r="CT762" s="43"/>
      <c r="CU762" s="43"/>
      <c r="CV762" s="43"/>
      <c r="CW762" s="43"/>
      <c r="CX762" s="43"/>
      <c r="CY762" s="43"/>
      <c r="CZ762" s="43"/>
      <c r="DA762" s="43"/>
      <c r="DB762" s="43"/>
      <c r="DC762" s="43"/>
      <c r="DD762" s="43"/>
      <c r="DE762" s="43"/>
      <c r="DF762" s="43"/>
      <c r="DG762" s="43"/>
      <c r="DH762" s="43"/>
      <c r="DI762" s="43"/>
      <c r="DJ762" s="43"/>
      <c r="DK762" s="43"/>
      <c r="DL762" s="43"/>
      <c r="DM762" s="43"/>
      <c r="DN762" s="43"/>
      <c r="DO762" s="43"/>
      <c r="DP762" s="43"/>
      <c r="DQ762" s="43"/>
      <c r="DR762" s="43"/>
      <c r="DS762" s="43"/>
      <c r="DT762" s="43"/>
      <c r="DU762" s="43"/>
      <c r="DV762" s="43"/>
      <c r="DW762" s="43"/>
      <c r="DX762" s="43"/>
      <c r="DY762" s="43"/>
      <c r="DZ762" s="43"/>
      <c r="EA762" s="43"/>
      <c r="EB762" s="43"/>
      <c r="EC762" s="43"/>
      <c r="ED762" s="43"/>
      <c r="EE762" s="43"/>
      <c r="EF762" s="43"/>
      <c r="EG762" s="43"/>
      <c r="EH762" s="43"/>
      <c r="EI762" s="43"/>
      <c r="EJ762" s="43"/>
      <c r="EK762" s="43"/>
      <c r="EL762" s="43"/>
      <c r="EM762" s="43"/>
      <c r="EN762" s="43"/>
      <c r="EO762" s="43"/>
      <c r="EP762" s="43"/>
      <c r="EQ762" s="43"/>
      <c r="ER762" s="43"/>
      <c r="ES762" s="43"/>
      <c r="ET762" s="50"/>
      <c r="EU762" s="50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  <c r="BL763" s="43"/>
      <c r="BM763" s="43"/>
      <c r="BN763" s="43"/>
      <c r="BO763" s="43"/>
      <c r="BP763" s="43"/>
      <c r="BQ763" s="43"/>
      <c r="BR763" s="43"/>
      <c r="BS763" s="43"/>
      <c r="BT763" s="43"/>
      <c r="BU763" s="43"/>
      <c r="BV763" s="43"/>
      <c r="BW763" s="43"/>
      <c r="BX763" s="43"/>
      <c r="BY763" s="43"/>
      <c r="BZ763" s="43"/>
      <c r="CA763" s="43"/>
      <c r="CB763" s="43"/>
      <c r="CC763" s="43"/>
      <c r="CD763" s="43"/>
      <c r="CE763" s="43"/>
      <c r="CF763" s="43"/>
      <c r="CG763" s="43"/>
      <c r="CH763" s="43"/>
      <c r="CI763" s="43"/>
      <c r="CJ763" s="43"/>
      <c r="CK763" s="43"/>
      <c r="CL763" s="43"/>
      <c r="CM763" s="43"/>
      <c r="CN763" s="43"/>
      <c r="CO763" s="43"/>
      <c r="CP763" s="43"/>
      <c r="CQ763" s="43"/>
      <c r="CR763" s="43"/>
      <c r="CS763" s="43"/>
      <c r="CT763" s="43"/>
      <c r="CU763" s="43"/>
      <c r="CV763" s="43"/>
      <c r="CW763" s="43"/>
      <c r="CX763" s="43"/>
      <c r="CY763" s="43"/>
      <c r="CZ763" s="43"/>
      <c r="DA763" s="43"/>
      <c r="DB763" s="43"/>
      <c r="DC763" s="43"/>
      <c r="DD763" s="43"/>
      <c r="DE763" s="43"/>
      <c r="DF763" s="43"/>
      <c r="DG763" s="43"/>
      <c r="DH763" s="43"/>
      <c r="DI763" s="43"/>
      <c r="DJ763" s="43"/>
      <c r="DK763" s="43"/>
      <c r="DL763" s="43"/>
      <c r="DM763" s="43"/>
      <c r="DN763" s="43"/>
      <c r="DO763" s="43"/>
      <c r="DP763" s="43"/>
      <c r="DQ763" s="43"/>
      <c r="DR763" s="43"/>
      <c r="DS763" s="43"/>
      <c r="DT763" s="43"/>
      <c r="DU763" s="43"/>
      <c r="DV763" s="43"/>
      <c r="DW763" s="43"/>
      <c r="DX763" s="43"/>
      <c r="DY763" s="43"/>
      <c r="DZ763" s="43"/>
      <c r="EA763" s="43"/>
      <c r="EB763" s="43"/>
      <c r="EC763" s="43"/>
      <c r="ED763" s="43"/>
      <c r="EE763" s="43"/>
      <c r="EF763" s="43"/>
      <c r="EG763" s="43"/>
      <c r="EH763" s="43"/>
      <c r="EI763" s="43"/>
      <c r="EJ763" s="43"/>
      <c r="EK763" s="43"/>
      <c r="EL763" s="43"/>
      <c r="EM763" s="43"/>
      <c r="EN763" s="43"/>
      <c r="EO763" s="43"/>
      <c r="EP763" s="43"/>
      <c r="EQ763" s="43"/>
      <c r="ER763" s="43"/>
      <c r="ES763" s="43"/>
      <c r="ET763" s="50"/>
      <c r="EU763" s="50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  <c r="BL764" s="43"/>
      <c r="BM764" s="43"/>
      <c r="BN764" s="43"/>
      <c r="BO764" s="43"/>
      <c r="BP764" s="43"/>
      <c r="BQ764" s="43"/>
      <c r="BR764" s="43"/>
      <c r="BS764" s="43"/>
      <c r="BT764" s="43"/>
      <c r="BU764" s="43"/>
      <c r="BV764" s="43"/>
      <c r="BW764" s="43"/>
      <c r="BX764" s="43"/>
      <c r="BY764" s="43"/>
      <c r="BZ764" s="43"/>
      <c r="CA764" s="43"/>
      <c r="CB764" s="43"/>
      <c r="CC764" s="43"/>
      <c r="CD764" s="43"/>
      <c r="CE764" s="43"/>
      <c r="CF764" s="43"/>
      <c r="CG764" s="43"/>
      <c r="CH764" s="43"/>
      <c r="CI764" s="43"/>
      <c r="CJ764" s="43"/>
      <c r="CK764" s="43"/>
      <c r="CL764" s="43"/>
      <c r="CM764" s="43"/>
      <c r="CN764" s="43"/>
      <c r="CO764" s="43"/>
      <c r="CP764" s="43"/>
      <c r="CQ764" s="43"/>
      <c r="CR764" s="43"/>
      <c r="CS764" s="43"/>
      <c r="CT764" s="43"/>
      <c r="CU764" s="43"/>
      <c r="CV764" s="43"/>
      <c r="CW764" s="43"/>
      <c r="CX764" s="43"/>
      <c r="CY764" s="43"/>
      <c r="CZ764" s="43"/>
      <c r="DA764" s="43"/>
      <c r="DB764" s="43"/>
      <c r="DC764" s="43"/>
      <c r="DD764" s="43"/>
      <c r="DE764" s="43"/>
      <c r="DF764" s="43"/>
      <c r="DG764" s="43"/>
      <c r="DH764" s="43"/>
      <c r="DI764" s="43"/>
      <c r="DJ764" s="43"/>
      <c r="DK764" s="43"/>
      <c r="DL764" s="43"/>
      <c r="DM764" s="43"/>
      <c r="DN764" s="43"/>
      <c r="DO764" s="43"/>
      <c r="DP764" s="43"/>
      <c r="DQ764" s="43"/>
      <c r="DR764" s="43"/>
      <c r="DS764" s="43"/>
      <c r="DT764" s="43"/>
      <c r="DU764" s="43"/>
      <c r="DV764" s="43"/>
      <c r="DW764" s="43"/>
      <c r="DX764" s="43"/>
      <c r="DY764" s="43"/>
      <c r="DZ764" s="43"/>
      <c r="EA764" s="43"/>
      <c r="EB764" s="43"/>
      <c r="EC764" s="43"/>
      <c r="ED764" s="43"/>
      <c r="EE764" s="43"/>
      <c r="EF764" s="43"/>
      <c r="EG764" s="43"/>
      <c r="EH764" s="43"/>
      <c r="EI764" s="43"/>
      <c r="EJ764" s="43"/>
      <c r="EK764" s="43"/>
      <c r="EL764" s="43"/>
      <c r="EM764" s="43"/>
      <c r="EN764" s="43"/>
      <c r="EO764" s="43"/>
      <c r="EP764" s="43"/>
      <c r="EQ764" s="43"/>
      <c r="ER764" s="43"/>
      <c r="ES764" s="43"/>
      <c r="ET764" s="50"/>
      <c r="EU764" s="50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43"/>
      <c r="BJ765" s="43"/>
      <c r="BK765" s="43"/>
      <c r="BL765" s="43"/>
      <c r="BM765" s="43"/>
      <c r="BN765" s="43"/>
      <c r="BO765" s="43"/>
      <c r="BP765" s="43"/>
      <c r="BQ765" s="43"/>
      <c r="BR765" s="43"/>
      <c r="BS765" s="43"/>
      <c r="BT765" s="43"/>
      <c r="BU765" s="43"/>
      <c r="BV765" s="43"/>
      <c r="BW765" s="43"/>
      <c r="BX765" s="43"/>
      <c r="BY765" s="43"/>
      <c r="BZ765" s="43"/>
      <c r="CA765" s="43"/>
      <c r="CB765" s="43"/>
      <c r="CC765" s="43"/>
      <c r="CD765" s="43"/>
      <c r="CE765" s="43"/>
      <c r="CF765" s="43"/>
      <c r="CG765" s="43"/>
      <c r="CH765" s="43"/>
      <c r="CI765" s="43"/>
      <c r="CJ765" s="43"/>
      <c r="CK765" s="43"/>
      <c r="CL765" s="43"/>
      <c r="CM765" s="43"/>
      <c r="CN765" s="43"/>
      <c r="CO765" s="43"/>
      <c r="CP765" s="43"/>
      <c r="CQ765" s="43"/>
      <c r="CR765" s="43"/>
      <c r="CS765" s="43"/>
      <c r="CT765" s="43"/>
      <c r="CU765" s="43"/>
      <c r="CV765" s="43"/>
      <c r="CW765" s="43"/>
      <c r="CX765" s="43"/>
      <c r="CY765" s="43"/>
      <c r="CZ765" s="43"/>
      <c r="DA765" s="43"/>
      <c r="DB765" s="43"/>
      <c r="DC765" s="43"/>
      <c r="DD765" s="43"/>
      <c r="DE765" s="43"/>
      <c r="DF765" s="43"/>
      <c r="DG765" s="43"/>
      <c r="DH765" s="43"/>
      <c r="DI765" s="43"/>
      <c r="DJ765" s="43"/>
      <c r="DK765" s="43"/>
      <c r="DL765" s="43"/>
      <c r="DM765" s="43"/>
      <c r="DN765" s="43"/>
      <c r="DO765" s="43"/>
      <c r="DP765" s="43"/>
      <c r="DQ765" s="43"/>
      <c r="DR765" s="43"/>
      <c r="DS765" s="43"/>
      <c r="DT765" s="43"/>
      <c r="DU765" s="43"/>
      <c r="DV765" s="43"/>
      <c r="DW765" s="43"/>
      <c r="DX765" s="43"/>
      <c r="DY765" s="43"/>
      <c r="DZ765" s="43"/>
      <c r="EA765" s="43"/>
      <c r="EB765" s="43"/>
      <c r="EC765" s="43"/>
      <c r="ED765" s="43"/>
      <c r="EE765" s="43"/>
      <c r="EF765" s="43"/>
      <c r="EG765" s="43"/>
      <c r="EH765" s="43"/>
      <c r="EI765" s="43"/>
      <c r="EJ765" s="43"/>
      <c r="EK765" s="43"/>
      <c r="EL765" s="43"/>
      <c r="EM765" s="43"/>
      <c r="EN765" s="43"/>
      <c r="EO765" s="43"/>
      <c r="EP765" s="43"/>
      <c r="EQ765" s="43"/>
      <c r="ER765" s="43"/>
      <c r="ES765" s="43"/>
      <c r="ET765" s="50"/>
      <c r="EU765" s="50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  <c r="AX766" s="43"/>
      <c r="AY766" s="43"/>
      <c r="AZ766" s="43"/>
      <c r="BA766" s="43"/>
      <c r="BB766" s="43"/>
      <c r="BC766" s="43"/>
      <c r="BD766" s="43"/>
      <c r="BE766" s="43"/>
      <c r="BF766" s="43"/>
      <c r="BG766" s="43"/>
      <c r="BH766" s="43"/>
      <c r="BI766" s="43"/>
      <c r="BJ766" s="43"/>
      <c r="BK766" s="43"/>
      <c r="BL766" s="43"/>
      <c r="BM766" s="43"/>
      <c r="BN766" s="43"/>
      <c r="BO766" s="43"/>
      <c r="BP766" s="43"/>
      <c r="BQ766" s="43"/>
      <c r="BR766" s="43"/>
      <c r="BS766" s="43"/>
      <c r="BT766" s="43"/>
      <c r="BU766" s="43"/>
      <c r="BV766" s="43"/>
      <c r="BW766" s="43"/>
      <c r="BX766" s="43"/>
      <c r="BY766" s="43"/>
      <c r="BZ766" s="43"/>
      <c r="CA766" s="43"/>
      <c r="CB766" s="43"/>
      <c r="CC766" s="43"/>
      <c r="CD766" s="43"/>
      <c r="CE766" s="43"/>
      <c r="CF766" s="43"/>
      <c r="CG766" s="43"/>
      <c r="CH766" s="43"/>
      <c r="CI766" s="43"/>
      <c r="CJ766" s="43"/>
      <c r="CK766" s="43"/>
      <c r="CL766" s="43"/>
      <c r="CM766" s="43"/>
      <c r="CN766" s="43"/>
      <c r="CO766" s="43"/>
      <c r="CP766" s="43"/>
      <c r="CQ766" s="43"/>
      <c r="CR766" s="43"/>
      <c r="CS766" s="43"/>
      <c r="CT766" s="43"/>
      <c r="CU766" s="43"/>
      <c r="CV766" s="43"/>
      <c r="CW766" s="43"/>
      <c r="CX766" s="43"/>
      <c r="CY766" s="43"/>
      <c r="CZ766" s="43"/>
      <c r="DA766" s="43"/>
      <c r="DB766" s="43"/>
      <c r="DC766" s="43"/>
      <c r="DD766" s="43"/>
      <c r="DE766" s="43"/>
      <c r="DF766" s="43"/>
      <c r="DG766" s="43"/>
      <c r="DH766" s="43"/>
      <c r="DI766" s="43"/>
      <c r="DJ766" s="43"/>
      <c r="DK766" s="43"/>
      <c r="DL766" s="43"/>
      <c r="DM766" s="43"/>
      <c r="DN766" s="43"/>
      <c r="DO766" s="43"/>
      <c r="DP766" s="43"/>
      <c r="DQ766" s="43"/>
      <c r="DR766" s="43"/>
      <c r="DS766" s="43"/>
      <c r="DT766" s="43"/>
      <c r="DU766" s="43"/>
      <c r="DV766" s="43"/>
      <c r="DW766" s="43"/>
      <c r="DX766" s="43"/>
      <c r="DY766" s="43"/>
      <c r="DZ766" s="43"/>
      <c r="EA766" s="43"/>
      <c r="EB766" s="43"/>
      <c r="EC766" s="43"/>
      <c r="ED766" s="43"/>
      <c r="EE766" s="43"/>
      <c r="EF766" s="43"/>
      <c r="EG766" s="43"/>
      <c r="EH766" s="43"/>
      <c r="EI766" s="43"/>
      <c r="EJ766" s="43"/>
      <c r="EK766" s="43"/>
      <c r="EL766" s="43"/>
      <c r="EM766" s="43"/>
      <c r="EN766" s="43"/>
      <c r="EO766" s="43"/>
      <c r="EP766" s="43"/>
      <c r="EQ766" s="43"/>
      <c r="ER766" s="43"/>
      <c r="ES766" s="43"/>
      <c r="ET766" s="50"/>
      <c r="EU766" s="50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  <c r="AX767" s="43"/>
      <c r="AY767" s="43"/>
      <c r="AZ767" s="43"/>
      <c r="BA767" s="43"/>
      <c r="BB767" s="43"/>
      <c r="BC767" s="43"/>
      <c r="BD767" s="43"/>
      <c r="BE767" s="43"/>
      <c r="BF767" s="43"/>
      <c r="BG767" s="43"/>
      <c r="BH767" s="43"/>
      <c r="BI767" s="43"/>
      <c r="BJ767" s="43"/>
      <c r="BK767" s="43"/>
      <c r="BL767" s="43"/>
      <c r="BM767" s="43"/>
      <c r="BN767" s="43"/>
      <c r="BO767" s="43"/>
      <c r="BP767" s="43"/>
      <c r="BQ767" s="43"/>
      <c r="BR767" s="43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43"/>
      <c r="CF767" s="43"/>
      <c r="CG767" s="43"/>
      <c r="CH767" s="43"/>
      <c r="CI767" s="43"/>
      <c r="CJ767" s="43"/>
      <c r="CK767" s="43"/>
      <c r="CL767" s="43"/>
      <c r="CM767" s="43"/>
      <c r="CN767" s="43"/>
      <c r="CO767" s="43"/>
      <c r="CP767" s="43"/>
      <c r="CQ767" s="43"/>
      <c r="CR767" s="43"/>
      <c r="CS767" s="43"/>
      <c r="CT767" s="43"/>
      <c r="CU767" s="43"/>
      <c r="CV767" s="43"/>
      <c r="CW767" s="43"/>
      <c r="CX767" s="43"/>
      <c r="CY767" s="43"/>
      <c r="CZ767" s="43"/>
      <c r="DA767" s="43"/>
      <c r="DB767" s="43"/>
      <c r="DC767" s="43"/>
      <c r="DD767" s="43"/>
      <c r="DE767" s="43"/>
      <c r="DF767" s="43"/>
      <c r="DG767" s="43"/>
      <c r="DH767" s="43"/>
      <c r="DI767" s="43"/>
      <c r="DJ767" s="43"/>
      <c r="DK767" s="43"/>
      <c r="DL767" s="43"/>
      <c r="DM767" s="43"/>
      <c r="DN767" s="43"/>
      <c r="DO767" s="43"/>
      <c r="DP767" s="43"/>
      <c r="DQ767" s="43"/>
      <c r="DR767" s="43"/>
      <c r="DS767" s="43"/>
      <c r="DT767" s="43"/>
      <c r="DU767" s="43"/>
      <c r="DV767" s="43"/>
      <c r="DW767" s="43"/>
      <c r="DX767" s="43"/>
      <c r="DY767" s="43"/>
      <c r="DZ767" s="43"/>
      <c r="EA767" s="43"/>
      <c r="EB767" s="43"/>
      <c r="EC767" s="43"/>
      <c r="ED767" s="43"/>
      <c r="EE767" s="43"/>
      <c r="EF767" s="43"/>
      <c r="EG767" s="43"/>
      <c r="EH767" s="43"/>
      <c r="EI767" s="43"/>
      <c r="EJ767" s="43"/>
      <c r="EK767" s="43"/>
      <c r="EL767" s="43"/>
      <c r="EM767" s="43"/>
      <c r="EN767" s="43"/>
      <c r="EO767" s="43"/>
      <c r="EP767" s="43"/>
      <c r="EQ767" s="43"/>
      <c r="ER767" s="43"/>
      <c r="ES767" s="43"/>
      <c r="ET767" s="50"/>
      <c r="EU767" s="50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  <c r="AX768" s="43"/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R768" s="43"/>
      <c r="BS768" s="43"/>
      <c r="BT768" s="43"/>
      <c r="BU768" s="43"/>
      <c r="BV768" s="43"/>
      <c r="BW768" s="43"/>
      <c r="BX768" s="43"/>
      <c r="BY768" s="43"/>
      <c r="BZ768" s="43"/>
      <c r="CA768" s="43"/>
      <c r="CB768" s="43"/>
      <c r="CC768" s="43"/>
      <c r="CD768" s="43"/>
      <c r="CE768" s="43"/>
      <c r="CF768" s="43"/>
      <c r="CG768" s="43"/>
      <c r="CH768" s="43"/>
      <c r="CI768" s="43"/>
      <c r="CJ768" s="43"/>
      <c r="CK768" s="43"/>
      <c r="CL768" s="43"/>
      <c r="CM768" s="43"/>
      <c r="CN768" s="43"/>
      <c r="CO768" s="43"/>
      <c r="CP768" s="43"/>
      <c r="CQ768" s="43"/>
      <c r="CR768" s="43"/>
      <c r="CS768" s="43"/>
      <c r="CT768" s="43"/>
      <c r="CU768" s="43"/>
      <c r="CV768" s="43"/>
      <c r="CW768" s="43"/>
      <c r="CX768" s="43"/>
      <c r="CY768" s="43"/>
      <c r="CZ768" s="43"/>
      <c r="DA768" s="43"/>
      <c r="DB768" s="43"/>
      <c r="DC768" s="43"/>
      <c r="DD768" s="43"/>
      <c r="DE768" s="43"/>
      <c r="DF768" s="43"/>
      <c r="DG768" s="43"/>
      <c r="DH768" s="43"/>
      <c r="DI768" s="43"/>
      <c r="DJ768" s="43"/>
      <c r="DK768" s="43"/>
      <c r="DL768" s="43"/>
      <c r="DM768" s="43"/>
      <c r="DN768" s="43"/>
      <c r="DO768" s="43"/>
      <c r="DP768" s="43"/>
      <c r="DQ768" s="43"/>
      <c r="DR768" s="43"/>
      <c r="DS768" s="43"/>
      <c r="DT768" s="43"/>
      <c r="DU768" s="43"/>
      <c r="DV768" s="43"/>
      <c r="DW768" s="43"/>
      <c r="DX768" s="43"/>
      <c r="DY768" s="43"/>
      <c r="DZ768" s="43"/>
      <c r="EA768" s="43"/>
      <c r="EB768" s="43"/>
      <c r="EC768" s="43"/>
      <c r="ED768" s="43"/>
      <c r="EE768" s="43"/>
      <c r="EF768" s="43"/>
      <c r="EG768" s="43"/>
      <c r="EH768" s="43"/>
      <c r="EI768" s="43"/>
      <c r="EJ768" s="43"/>
      <c r="EK768" s="43"/>
      <c r="EL768" s="43"/>
      <c r="EM768" s="43"/>
      <c r="EN768" s="43"/>
      <c r="EO768" s="43"/>
      <c r="EP768" s="43"/>
      <c r="EQ768" s="43"/>
      <c r="ER768" s="43"/>
      <c r="ES768" s="43"/>
      <c r="ET768" s="50"/>
      <c r="EU768" s="50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  <c r="AX769" s="43"/>
      <c r="AY769" s="43"/>
      <c r="AZ769" s="43"/>
      <c r="BA769" s="43"/>
      <c r="BB769" s="43"/>
      <c r="BC769" s="43"/>
      <c r="BD769" s="43"/>
      <c r="BE769" s="43"/>
      <c r="BF769" s="43"/>
      <c r="BG769" s="43"/>
      <c r="BH769" s="43"/>
      <c r="BI769" s="43"/>
      <c r="BJ769" s="43"/>
      <c r="BK769" s="43"/>
      <c r="BL769" s="43"/>
      <c r="BM769" s="43"/>
      <c r="BN769" s="43"/>
      <c r="BO769" s="43"/>
      <c r="BP769" s="43"/>
      <c r="BQ769" s="43"/>
      <c r="BR769" s="43"/>
      <c r="BS769" s="43"/>
      <c r="BT769" s="43"/>
      <c r="BU769" s="43"/>
      <c r="BV769" s="43"/>
      <c r="BW769" s="43"/>
      <c r="BX769" s="43"/>
      <c r="BY769" s="43"/>
      <c r="BZ769" s="43"/>
      <c r="CA769" s="43"/>
      <c r="CB769" s="43"/>
      <c r="CC769" s="43"/>
      <c r="CD769" s="43"/>
      <c r="CE769" s="43"/>
      <c r="CF769" s="43"/>
      <c r="CG769" s="43"/>
      <c r="CH769" s="43"/>
      <c r="CI769" s="43"/>
      <c r="CJ769" s="43"/>
      <c r="CK769" s="43"/>
      <c r="CL769" s="43"/>
      <c r="CM769" s="43"/>
      <c r="CN769" s="43"/>
      <c r="CO769" s="43"/>
      <c r="CP769" s="43"/>
      <c r="CQ769" s="43"/>
      <c r="CR769" s="43"/>
      <c r="CS769" s="43"/>
      <c r="CT769" s="43"/>
      <c r="CU769" s="43"/>
      <c r="CV769" s="43"/>
      <c r="CW769" s="43"/>
      <c r="CX769" s="43"/>
      <c r="CY769" s="43"/>
      <c r="CZ769" s="43"/>
      <c r="DA769" s="43"/>
      <c r="DB769" s="43"/>
      <c r="DC769" s="43"/>
      <c r="DD769" s="43"/>
      <c r="DE769" s="43"/>
      <c r="DF769" s="43"/>
      <c r="DG769" s="43"/>
      <c r="DH769" s="43"/>
      <c r="DI769" s="43"/>
      <c r="DJ769" s="43"/>
      <c r="DK769" s="43"/>
      <c r="DL769" s="43"/>
      <c r="DM769" s="43"/>
      <c r="DN769" s="43"/>
      <c r="DO769" s="43"/>
      <c r="DP769" s="43"/>
      <c r="DQ769" s="43"/>
      <c r="DR769" s="43"/>
      <c r="DS769" s="43"/>
      <c r="DT769" s="43"/>
      <c r="DU769" s="43"/>
      <c r="DV769" s="43"/>
      <c r="DW769" s="43"/>
      <c r="DX769" s="43"/>
      <c r="DY769" s="43"/>
      <c r="DZ769" s="43"/>
      <c r="EA769" s="43"/>
      <c r="EB769" s="43"/>
      <c r="EC769" s="43"/>
      <c r="ED769" s="43"/>
      <c r="EE769" s="43"/>
      <c r="EF769" s="43"/>
      <c r="EG769" s="43"/>
      <c r="EH769" s="43"/>
      <c r="EI769" s="43"/>
      <c r="EJ769" s="43"/>
      <c r="EK769" s="43"/>
      <c r="EL769" s="43"/>
      <c r="EM769" s="43"/>
      <c r="EN769" s="43"/>
      <c r="EO769" s="43"/>
      <c r="EP769" s="43"/>
      <c r="EQ769" s="43"/>
      <c r="ER769" s="43"/>
      <c r="ES769" s="43"/>
      <c r="ET769" s="50"/>
      <c r="EU769" s="50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  <c r="AX770" s="43"/>
      <c r="AY770" s="43"/>
      <c r="AZ770" s="43"/>
      <c r="BA770" s="43"/>
      <c r="BB770" s="43"/>
      <c r="BC770" s="43"/>
      <c r="BD770" s="43"/>
      <c r="BE770" s="43"/>
      <c r="BF770" s="43"/>
      <c r="BG770" s="43"/>
      <c r="BH770" s="43"/>
      <c r="BI770" s="43"/>
      <c r="BJ770" s="43"/>
      <c r="BK770" s="43"/>
      <c r="BL770" s="43"/>
      <c r="BM770" s="43"/>
      <c r="BN770" s="43"/>
      <c r="BO770" s="43"/>
      <c r="BP770" s="43"/>
      <c r="BQ770" s="43"/>
      <c r="BR770" s="43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43"/>
      <c r="CF770" s="43"/>
      <c r="CG770" s="43"/>
      <c r="CH770" s="43"/>
      <c r="CI770" s="43"/>
      <c r="CJ770" s="43"/>
      <c r="CK770" s="43"/>
      <c r="CL770" s="43"/>
      <c r="CM770" s="43"/>
      <c r="CN770" s="43"/>
      <c r="CO770" s="43"/>
      <c r="CP770" s="43"/>
      <c r="CQ770" s="43"/>
      <c r="CR770" s="43"/>
      <c r="CS770" s="43"/>
      <c r="CT770" s="43"/>
      <c r="CU770" s="43"/>
      <c r="CV770" s="43"/>
      <c r="CW770" s="43"/>
      <c r="CX770" s="43"/>
      <c r="CY770" s="43"/>
      <c r="CZ770" s="43"/>
      <c r="DA770" s="43"/>
      <c r="DB770" s="43"/>
      <c r="DC770" s="43"/>
      <c r="DD770" s="43"/>
      <c r="DE770" s="43"/>
      <c r="DF770" s="43"/>
      <c r="DG770" s="43"/>
      <c r="DH770" s="43"/>
      <c r="DI770" s="43"/>
      <c r="DJ770" s="43"/>
      <c r="DK770" s="43"/>
      <c r="DL770" s="43"/>
      <c r="DM770" s="43"/>
      <c r="DN770" s="43"/>
      <c r="DO770" s="43"/>
      <c r="DP770" s="43"/>
      <c r="DQ770" s="43"/>
      <c r="DR770" s="43"/>
      <c r="DS770" s="43"/>
      <c r="DT770" s="43"/>
      <c r="DU770" s="43"/>
      <c r="DV770" s="43"/>
      <c r="DW770" s="43"/>
      <c r="DX770" s="43"/>
      <c r="DY770" s="43"/>
      <c r="DZ770" s="43"/>
      <c r="EA770" s="43"/>
      <c r="EB770" s="43"/>
      <c r="EC770" s="43"/>
      <c r="ED770" s="43"/>
      <c r="EE770" s="43"/>
      <c r="EF770" s="43"/>
      <c r="EG770" s="43"/>
      <c r="EH770" s="43"/>
      <c r="EI770" s="43"/>
      <c r="EJ770" s="43"/>
      <c r="EK770" s="43"/>
      <c r="EL770" s="43"/>
      <c r="EM770" s="43"/>
      <c r="EN770" s="43"/>
      <c r="EO770" s="43"/>
      <c r="EP770" s="43"/>
      <c r="EQ770" s="43"/>
      <c r="ER770" s="43"/>
      <c r="ES770" s="43"/>
      <c r="ET770" s="50"/>
      <c r="EU770" s="50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  <c r="AX771" s="43"/>
      <c r="AY771" s="43"/>
      <c r="AZ771" s="43"/>
      <c r="BA771" s="43"/>
      <c r="BB771" s="43"/>
      <c r="BC771" s="43"/>
      <c r="BD771" s="43"/>
      <c r="BE771" s="43"/>
      <c r="BF771" s="43"/>
      <c r="BG771" s="43"/>
      <c r="BH771" s="43"/>
      <c r="BI771" s="43"/>
      <c r="BJ771" s="43"/>
      <c r="BK771" s="43"/>
      <c r="BL771" s="43"/>
      <c r="BM771" s="43"/>
      <c r="BN771" s="43"/>
      <c r="BO771" s="43"/>
      <c r="BP771" s="43"/>
      <c r="BQ771" s="43"/>
      <c r="BR771" s="43"/>
      <c r="BS771" s="43"/>
      <c r="BT771" s="43"/>
      <c r="BU771" s="43"/>
      <c r="BV771" s="43"/>
      <c r="BW771" s="43"/>
      <c r="BX771" s="43"/>
      <c r="BY771" s="43"/>
      <c r="BZ771" s="43"/>
      <c r="CA771" s="43"/>
      <c r="CB771" s="43"/>
      <c r="CC771" s="43"/>
      <c r="CD771" s="43"/>
      <c r="CE771" s="43"/>
      <c r="CF771" s="43"/>
      <c r="CG771" s="43"/>
      <c r="CH771" s="43"/>
      <c r="CI771" s="43"/>
      <c r="CJ771" s="43"/>
      <c r="CK771" s="43"/>
      <c r="CL771" s="43"/>
      <c r="CM771" s="43"/>
      <c r="CN771" s="43"/>
      <c r="CO771" s="43"/>
      <c r="CP771" s="43"/>
      <c r="CQ771" s="43"/>
      <c r="CR771" s="43"/>
      <c r="CS771" s="43"/>
      <c r="CT771" s="43"/>
      <c r="CU771" s="43"/>
      <c r="CV771" s="43"/>
      <c r="CW771" s="43"/>
      <c r="CX771" s="43"/>
      <c r="CY771" s="43"/>
      <c r="CZ771" s="43"/>
      <c r="DA771" s="43"/>
      <c r="DB771" s="43"/>
      <c r="DC771" s="43"/>
      <c r="DD771" s="43"/>
      <c r="DE771" s="43"/>
      <c r="DF771" s="43"/>
      <c r="DG771" s="43"/>
      <c r="DH771" s="43"/>
      <c r="DI771" s="43"/>
      <c r="DJ771" s="43"/>
      <c r="DK771" s="43"/>
      <c r="DL771" s="43"/>
      <c r="DM771" s="43"/>
      <c r="DN771" s="43"/>
      <c r="DO771" s="43"/>
      <c r="DP771" s="43"/>
      <c r="DQ771" s="43"/>
      <c r="DR771" s="43"/>
      <c r="DS771" s="43"/>
      <c r="DT771" s="43"/>
      <c r="DU771" s="43"/>
      <c r="DV771" s="43"/>
      <c r="DW771" s="43"/>
      <c r="DX771" s="43"/>
      <c r="DY771" s="43"/>
      <c r="DZ771" s="43"/>
      <c r="EA771" s="43"/>
      <c r="EB771" s="43"/>
      <c r="EC771" s="43"/>
      <c r="ED771" s="43"/>
      <c r="EE771" s="43"/>
      <c r="EF771" s="43"/>
      <c r="EG771" s="43"/>
      <c r="EH771" s="43"/>
      <c r="EI771" s="43"/>
      <c r="EJ771" s="43"/>
      <c r="EK771" s="43"/>
      <c r="EL771" s="43"/>
      <c r="EM771" s="43"/>
      <c r="EN771" s="43"/>
      <c r="EO771" s="43"/>
      <c r="EP771" s="43"/>
      <c r="EQ771" s="43"/>
      <c r="ER771" s="43"/>
      <c r="ES771" s="43"/>
      <c r="ET771" s="50"/>
      <c r="EU771" s="50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  <c r="AX772" s="43"/>
      <c r="AY772" s="43"/>
      <c r="AZ772" s="43"/>
      <c r="BA772" s="43"/>
      <c r="BB772" s="43"/>
      <c r="BC772" s="43"/>
      <c r="BD772" s="43"/>
      <c r="BE772" s="43"/>
      <c r="BF772" s="43"/>
      <c r="BG772" s="43"/>
      <c r="BH772" s="43"/>
      <c r="BI772" s="43"/>
      <c r="BJ772" s="43"/>
      <c r="BK772" s="43"/>
      <c r="BL772" s="43"/>
      <c r="BM772" s="43"/>
      <c r="BN772" s="43"/>
      <c r="BO772" s="43"/>
      <c r="BP772" s="43"/>
      <c r="BQ772" s="43"/>
      <c r="BR772" s="43"/>
      <c r="BS772" s="43"/>
      <c r="BT772" s="43"/>
      <c r="BU772" s="43"/>
      <c r="BV772" s="43"/>
      <c r="BW772" s="43"/>
      <c r="BX772" s="43"/>
      <c r="BY772" s="43"/>
      <c r="BZ772" s="43"/>
      <c r="CA772" s="43"/>
      <c r="CB772" s="43"/>
      <c r="CC772" s="43"/>
      <c r="CD772" s="43"/>
      <c r="CE772" s="43"/>
      <c r="CF772" s="43"/>
      <c r="CG772" s="43"/>
      <c r="CH772" s="43"/>
      <c r="CI772" s="43"/>
      <c r="CJ772" s="43"/>
      <c r="CK772" s="43"/>
      <c r="CL772" s="43"/>
      <c r="CM772" s="43"/>
      <c r="CN772" s="43"/>
      <c r="CO772" s="43"/>
      <c r="CP772" s="43"/>
      <c r="CQ772" s="43"/>
      <c r="CR772" s="43"/>
      <c r="CS772" s="43"/>
      <c r="CT772" s="43"/>
      <c r="CU772" s="43"/>
      <c r="CV772" s="43"/>
      <c r="CW772" s="43"/>
      <c r="CX772" s="43"/>
      <c r="CY772" s="43"/>
      <c r="CZ772" s="43"/>
      <c r="DA772" s="43"/>
      <c r="DB772" s="43"/>
      <c r="DC772" s="43"/>
      <c r="DD772" s="43"/>
      <c r="DE772" s="43"/>
      <c r="DF772" s="43"/>
      <c r="DG772" s="43"/>
      <c r="DH772" s="43"/>
      <c r="DI772" s="43"/>
      <c r="DJ772" s="43"/>
      <c r="DK772" s="43"/>
      <c r="DL772" s="43"/>
      <c r="DM772" s="43"/>
      <c r="DN772" s="43"/>
      <c r="DO772" s="43"/>
      <c r="DP772" s="43"/>
      <c r="DQ772" s="43"/>
      <c r="DR772" s="43"/>
      <c r="DS772" s="43"/>
      <c r="DT772" s="43"/>
      <c r="DU772" s="43"/>
      <c r="DV772" s="43"/>
      <c r="DW772" s="43"/>
      <c r="DX772" s="43"/>
      <c r="DY772" s="43"/>
      <c r="DZ772" s="43"/>
      <c r="EA772" s="43"/>
      <c r="EB772" s="43"/>
      <c r="EC772" s="43"/>
      <c r="ED772" s="43"/>
      <c r="EE772" s="43"/>
      <c r="EF772" s="43"/>
      <c r="EG772" s="43"/>
      <c r="EH772" s="43"/>
      <c r="EI772" s="43"/>
      <c r="EJ772" s="43"/>
      <c r="EK772" s="43"/>
      <c r="EL772" s="43"/>
      <c r="EM772" s="43"/>
      <c r="EN772" s="43"/>
      <c r="EO772" s="43"/>
      <c r="EP772" s="43"/>
      <c r="EQ772" s="43"/>
      <c r="ER772" s="43"/>
      <c r="ES772" s="43"/>
      <c r="ET772" s="50"/>
      <c r="EU772" s="50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  <c r="AX773" s="43"/>
      <c r="AY773" s="43"/>
      <c r="AZ773" s="43"/>
      <c r="BA773" s="43"/>
      <c r="BB773" s="43"/>
      <c r="BC773" s="43"/>
      <c r="BD773" s="43"/>
      <c r="BE773" s="43"/>
      <c r="BF773" s="43"/>
      <c r="BG773" s="43"/>
      <c r="BH773" s="43"/>
      <c r="BI773" s="43"/>
      <c r="BJ773" s="43"/>
      <c r="BK773" s="43"/>
      <c r="BL773" s="43"/>
      <c r="BM773" s="43"/>
      <c r="BN773" s="43"/>
      <c r="BO773" s="43"/>
      <c r="BP773" s="43"/>
      <c r="BQ773" s="43"/>
      <c r="BR773" s="43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43"/>
      <c r="CF773" s="43"/>
      <c r="CG773" s="43"/>
      <c r="CH773" s="43"/>
      <c r="CI773" s="43"/>
      <c r="CJ773" s="43"/>
      <c r="CK773" s="43"/>
      <c r="CL773" s="43"/>
      <c r="CM773" s="43"/>
      <c r="CN773" s="43"/>
      <c r="CO773" s="43"/>
      <c r="CP773" s="43"/>
      <c r="CQ773" s="43"/>
      <c r="CR773" s="43"/>
      <c r="CS773" s="43"/>
      <c r="CT773" s="43"/>
      <c r="CU773" s="43"/>
      <c r="CV773" s="43"/>
      <c r="CW773" s="43"/>
      <c r="CX773" s="43"/>
      <c r="CY773" s="43"/>
      <c r="CZ773" s="43"/>
      <c r="DA773" s="43"/>
      <c r="DB773" s="43"/>
      <c r="DC773" s="43"/>
      <c r="DD773" s="43"/>
      <c r="DE773" s="43"/>
      <c r="DF773" s="43"/>
      <c r="DG773" s="43"/>
      <c r="DH773" s="43"/>
      <c r="DI773" s="43"/>
      <c r="DJ773" s="43"/>
      <c r="DK773" s="43"/>
      <c r="DL773" s="43"/>
      <c r="DM773" s="43"/>
      <c r="DN773" s="43"/>
      <c r="DO773" s="43"/>
      <c r="DP773" s="43"/>
      <c r="DQ773" s="43"/>
      <c r="DR773" s="43"/>
      <c r="DS773" s="43"/>
      <c r="DT773" s="43"/>
      <c r="DU773" s="43"/>
      <c r="DV773" s="43"/>
      <c r="DW773" s="43"/>
      <c r="DX773" s="43"/>
      <c r="DY773" s="43"/>
      <c r="DZ773" s="43"/>
      <c r="EA773" s="43"/>
      <c r="EB773" s="43"/>
      <c r="EC773" s="43"/>
      <c r="ED773" s="43"/>
      <c r="EE773" s="43"/>
      <c r="EF773" s="43"/>
      <c r="EG773" s="43"/>
      <c r="EH773" s="43"/>
      <c r="EI773" s="43"/>
      <c r="EJ773" s="43"/>
      <c r="EK773" s="43"/>
      <c r="EL773" s="43"/>
      <c r="EM773" s="43"/>
      <c r="EN773" s="43"/>
      <c r="EO773" s="43"/>
      <c r="EP773" s="43"/>
      <c r="EQ773" s="43"/>
      <c r="ER773" s="43"/>
      <c r="ES773" s="43"/>
      <c r="ET773" s="50"/>
      <c r="EU773" s="50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  <c r="AX774" s="43"/>
      <c r="AY774" s="43"/>
      <c r="AZ774" s="43"/>
      <c r="BA774" s="43"/>
      <c r="BB774" s="43"/>
      <c r="BC774" s="43"/>
      <c r="BD774" s="43"/>
      <c r="BE774" s="43"/>
      <c r="BF774" s="43"/>
      <c r="BG774" s="43"/>
      <c r="BH774" s="43"/>
      <c r="BI774" s="43"/>
      <c r="BJ774" s="43"/>
      <c r="BK774" s="43"/>
      <c r="BL774" s="43"/>
      <c r="BM774" s="43"/>
      <c r="BN774" s="43"/>
      <c r="BO774" s="43"/>
      <c r="BP774" s="43"/>
      <c r="BQ774" s="43"/>
      <c r="BR774" s="43"/>
      <c r="BS774" s="43"/>
      <c r="BT774" s="43"/>
      <c r="BU774" s="43"/>
      <c r="BV774" s="43"/>
      <c r="BW774" s="43"/>
      <c r="BX774" s="43"/>
      <c r="BY774" s="43"/>
      <c r="BZ774" s="43"/>
      <c r="CA774" s="43"/>
      <c r="CB774" s="43"/>
      <c r="CC774" s="43"/>
      <c r="CD774" s="43"/>
      <c r="CE774" s="43"/>
      <c r="CF774" s="43"/>
      <c r="CG774" s="43"/>
      <c r="CH774" s="43"/>
      <c r="CI774" s="43"/>
      <c r="CJ774" s="43"/>
      <c r="CK774" s="43"/>
      <c r="CL774" s="43"/>
      <c r="CM774" s="43"/>
      <c r="CN774" s="43"/>
      <c r="CO774" s="43"/>
      <c r="CP774" s="43"/>
      <c r="CQ774" s="43"/>
      <c r="CR774" s="43"/>
      <c r="CS774" s="43"/>
      <c r="CT774" s="43"/>
      <c r="CU774" s="43"/>
      <c r="CV774" s="43"/>
      <c r="CW774" s="43"/>
      <c r="CX774" s="43"/>
      <c r="CY774" s="43"/>
      <c r="CZ774" s="43"/>
      <c r="DA774" s="43"/>
      <c r="DB774" s="43"/>
      <c r="DC774" s="43"/>
      <c r="DD774" s="43"/>
      <c r="DE774" s="43"/>
      <c r="DF774" s="43"/>
      <c r="DG774" s="43"/>
      <c r="DH774" s="43"/>
      <c r="DI774" s="43"/>
      <c r="DJ774" s="43"/>
      <c r="DK774" s="43"/>
      <c r="DL774" s="43"/>
      <c r="DM774" s="43"/>
      <c r="DN774" s="43"/>
      <c r="DO774" s="43"/>
      <c r="DP774" s="43"/>
      <c r="DQ774" s="43"/>
      <c r="DR774" s="43"/>
      <c r="DS774" s="43"/>
      <c r="DT774" s="43"/>
      <c r="DU774" s="43"/>
      <c r="DV774" s="43"/>
      <c r="DW774" s="43"/>
      <c r="DX774" s="43"/>
      <c r="DY774" s="43"/>
      <c r="DZ774" s="43"/>
      <c r="EA774" s="43"/>
      <c r="EB774" s="43"/>
      <c r="EC774" s="43"/>
      <c r="ED774" s="43"/>
      <c r="EE774" s="43"/>
      <c r="EF774" s="43"/>
      <c r="EG774" s="43"/>
      <c r="EH774" s="43"/>
      <c r="EI774" s="43"/>
      <c r="EJ774" s="43"/>
      <c r="EK774" s="43"/>
      <c r="EL774" s="43"/>
      <c r="EM774" s="43"/>
      <c r="EN774" s="43"/>
      <c r="EO774" s="43"/>
      <c r="EP774" s="43"/>
      <c r="EQ774" s="43"/>
      <c r="ER774" s="43"/>
      <c r="ES774" s="43"/>
      <c r="ET774" s="50"/>
      <c r="EU774" s="50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  <c r="AX775" s="43"/>
      <c r="AY775" s="43"/>
      <c r="AZ775" s="43"/>
      <c r="BA775" s="43"/>
      <c r="BB775" s="43"/>
      <c r="BC775" s="43"/>
      <c r="BD775" s="43"/>
      <c r="BE775" s="43"/>
      <c r="BF775" s="43"/>
      <c r="BG775" s="43"/>
      <c r="BH775" s="43"/>
      <c r="BI775" s="43"/>
      <c r="BJ775" s="43"/>
      <c r="BK775" s="43"/>
      <c r="BL775" s="43"/>
      <c r="BM775" s="43"/>
      <c r="BN775" s="43"/>
      <c r="BO775" s="43"/>
      <c r="BP775" s="43"/>
      <c r="BQ775" s="43"/>
      <c r="BR775" s="43"/>
      <c r="BS775" s="43"/>
      <c r="BT775" s="43"/>
      <c r="BU775" s="43"/>
      <c r="BV775" s="43"/>
      <c r="BW775" s="43"/>
      <c r="BX775" s="43"/>
      <c r="BY775" s="43"/>
      <c r="BZ775" s="43"/>
      <c r="CA775" s="43"/>
      <c r="CB775" s="43"/>
      <c r="CC775" s="43"/>
      <c r="CD775" s="43"/>
      <c r="CE775" s="43"/>
      <c r="CF775" s="43"/>
      <c r="CG775" s="43"/>
      <c r="CH775" s="43"/>
      <c r="CI775" s="43"/>
      <c r="CJ775" s="43"/>
      <c r="CK775" s="43"/>
      <c r="CL775" s="43"/>
      <c r="CM775" s="43"/>
      <c r="CN775" s="43"/>
      <c r="CO775" s="43"/>
      <c r="CP775" s="43"/>
      <c r="CQ775" s="43"/>
      <c r="CR775" s="43"/>
      <c r="CS775" s="43"/>
      <c r="CT775" s="43"/>
      <c r="CU775" s="43"/>
      <c r="CV775" s="43"/>
      <c r="CW775" s="43"/>
      <c r="CX775" s="43"/>
      <c r="CY775" s="43"/>
      <c r="CZ775" s="43"/>
      <c r="DA775" s="43"/>
      <c r="DB775" s="43"/>
      <c r="DC775" s="43"/>
      <c r="DD775" s="43"/>
      <c r="DE775" s="43"/>
      <c r="DF775" s="43"/>
      <c r="DG775" s="43"/>
      <c r="DH775" s="43"/>
      <c r="DI775" s="43"/>
      <c r="DJ775" s="43"/>
      <c r="DK775" s="43"/>
      <c r="DL775" s="43"/>
      <c r="DM775" s="43"/>
      <c r="DN775" s="43"/>
      <c r="DO775" s="43"/>
      <c r="DP775" s="43"/>
      <c r="DQ775" s="43"/>
      <c r="DR775" s="43"/>
      <c r="DS775" s="43"/>
      <c r="DT775" s="43"/>
      <c r="DU775" s="43"/>
      <c r="DV775" s="43"/>
      <c r="DW775" s="43"/>
      <c r="DX775" s="43"/>
      <c r="DY775" s="43"/>
      <c r="DZ775" s="43"/>
      <c r="EA775" s="43"/>
      <c r="EB775" s="43"/>
      <c r="EC775" s="43"/>
      <c r="ED775" s="43"/>
      <c r="EE775" s="43"/>
      <c r="EF775" s="43"/>
      <c r="EG775" s="43"/>
      <c r="EH775" s="43"/>
      <c r="EI775" s="43"/>
      <c r="EJ775" s="43"/>
      <c r="EK775" s="43"/>
      <c r="EL775" s="43"/>
      <c r="EM775" s="43"/>
      <c r="EN775" s="43"/>
      <c r="EO775" s="43"/>
      <c r="EP775" s="43"/>
      <c r="EQ775" s="43"/>
      <c r="ER775" s="43"/>
      <c r="ES775" s="43"/>
      <c r="ET775" s="50"/>
      <c r="EU775" s="50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  <c r="AX776" s="43"/>
      <c r="AY776" s="43"/>
      <c r="AZ776" s="43"/>
      <c r="BA776" s="43"/>
      <c r="BB776" s="43"/>
      <c r="BC776" s="43"/>
      <c r="BD776" s="43"/>
      <c r="BE776" s="43"/>
      <c r="BF776" s="43"/>
      <c r="BG776" s="43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R776" s="43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43"/>
      <c r="CF776" s="43"/>
      <c r="CG776" s="43"/>
      <c r="CH776" s="43"/>
      <c r="CI776" s="43"/>
      <c r="CJ776" s="43"/>
      <c r="CK776" s="43"/>
      <c r="CL776" s="43"/>
      <c r="CM776" s="43"/>
      <c r="CN776" s="43"/>
      <c r="CO776" s="43"/>
      <c r="CP776" s="43"/>
      <c r="CQ776" s="43"/>
      <c r="CR776" s="43"/>
      <c r="CS776" s="43"/>
      <c r="CT776" s="43"/>
      <c r="CU776" s="43"/>
      <c r="CV776" s="43"/>
      <c r="CW776" s="43"/>
      <c r="CX776" s="43"/>
      <c r="CY776" s="43"/>
      <c r="CZ776" s="43"/>
      <c r="DA776" s="43"/>
      <c r="DB776" s="43"/>
      <c r="DC776" s="43"/>
      <c r="DD776" s="43"/>
      <c r="DE776" s="43"/>
      <c r="DF776" s="43"/>
      <c r="DG776" s="43"/>
      <c r="DH776" s="43"/>
      <c r="DI776" s="43"/>
      <c r="DJ776" s="43"/>
      <c r="DK776" s="43"/>
      <c r="DL776" s="43"/>
      <c r="DM776" s="43"/>
      <c r="DN776" s="43"/>
      <c r="DO776" s="43"/>
      <c r="DP776" s="43"/>
      <c r="DQ776" s="43"/>
      <c r="DR776" s="43"/>
      <c r="DS776" s="43"/>
      <c r="DT776" s="43"/>
      <c r="DU776" s="43"/>
      <c r="DV776" s="43"/>
      <c r="DW776" s="43"/>
      <c r="DX776" s="43"/>
      <c r="DY776" s="43"/>
      <c r="DZ776" s="43"/>
      <c r="EA776" s="43"/>
      <c r="EB776" s="43"/>
      <c r="EC776" s="43"/>
      <c r="ED776" s="43"/>
      <c r="EE776" s="43"/>
      <c r="EF776" s="43"/>
      <c r="EG776" s="43"/>
      <c r="EH776" s="43"/>
      <c r="EI776" s="43"/>
      <c r="EJ776" s="43"/>
      <c r="EK776" s="43"/>
      <c r="EL776" s="43"/>
      <c r="EM776" s="43"/>
      <c r="EN776" s="43"/>
      <c r="EO776" s="43"/>
      <c r="EP776" s="43"/>
      <c r="EQ776" s="43"/>
      <c r="ER776" s="43"/>
      <c r="ES776" s="43"/>
      <c r="ET776" s="50"/>
      <c r="EU776" s="50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  <c r="AX777" s="43"/>
      <c r="AY777" s="43"/>
      <c r="AZ777" s="43"/>
      <c r="BA777" s="43"/>
      <c r="BB777" s="43"/>
      <c r="BC777" s="43"/>
      <c r="BD777" s="43"/>
      <c r="BE777" s="43"/>
      <c r="BF777" s="43"/>
      <c r="BG777" s="43"/>
      <c r="BH777" s="43"/>
      <c r="BI777" s="43"/>
      <c r="BJ777" s="43"/>
      <c r="BK777" s="43"/>
      <c r="BL777" s="43"/>
      <c r="BM777" s="43"/>
      <c r="BN777" s="43"/>
      <c r="BO777" s="43"/>
      <c r="BP777" s="43"/>
      <c r="BQ777" s="43"/>
      <c r="BR777" s="43"/>
      <c r="BS777" s="43"/>
      <c r="BT777" s="43"/>
      <c r="BU777" s="43"/>
      <c r="BV777" s="43"/>
      <c r="BW777" s="43"/>
      <c r="BX777" s="43"/>
      <c r="BY777" s="43"/>
      <c r="BZ777" s="43"/>
      <c r="CA777" s="43"/>
      <c r="CB777" s="43"/>
      <c r="CC777" s="43"/>
      <c r="CD777" s="43"/>
      <c r="CE777" s="43"/>
      <c r="CF777" s="43"/>
      <c r="CG777" s="43"/>
      <c r="CH777" s="43"/>
      <c r="CI777" s="43"/>
      <c r="CJ777" s="43"/>
      <c r="CK777" s="43"/>
      <c r="CL777" s="43"/>
      <c r="CM777" s="43"/>
      <c r="CN777" s="43"/>
      <c r="CO777" s="43"/>
      <c r="CP777" s="43"/>
      <c r="CQ777" s="43"/>
      <c r="CR777" s="43"/>
      <c r="CS777" s="43"/>
      <c r="CT777" s="43"/>
      <c r="CU777" s="43"/>
      <c r="CV777" s="43"/>
      <c r="CW777" s="43"/>
      <c r="CX777" s="43"/>
      <c r="CY777" s="43"/>
      <c r="CZ777" s="43"/>
      <c r="DA777" s="43"/>
      <c r="DB777" s="43"/>
      <c r="DC777" s="43"/>
      <c r="DD777" s="43"/>
      <c r="DE777" s="43"/>
      <c r="DF777" s="43"/>
      <c r="DG777" s="43"/>
      <c r="DH777" s="43"/>
      <c r="DI777" s="43"/>
      <c r="DJ777" s="43"/>
      <c r="DK777" s="43"/>
      <c r="DL777" s="43"/>
      <c r="DM777" s="43"/>
      <c r="DN777" s="43"/>
      <c r="DO777" s="43"/>
      <c r="DP777" s="43"/>
      <c r="DQ777" s="43"/>
      <c r="DR777" s="43"/>
      <c r="DS777" s="43"/>
      <c r="DT777" s="43"/>
      <c r="DU777" s="43"/>
      <c r="DV777" s="43"/>
      <c r="DW777" s="43"/>
      <c r="DX777" s="43"/>
      <c r="DY777" s="43"/>
      <c r="DZ777" s="43"/>
      <c r="EA777" s="43"/>
      <c r="EB777" s="43"/>
      <c r="EC777" s="43"/>
      <c r="ED777" s="43"/>
      <c r="EE777" s="43"/>
      <c r="EF777" s="43"/>
      <c r="EG777" s="43"/>
      <c r="EH777" s="43"/>
      <c r="EI777" s="43"/>
      <c r="EJ777" s="43"/>
      <c r="EK777" s="43"/>
      <c r="EL777" s="43"/>
      <c r="EM777" s="43"/>
      <c r="EN777" s="43"/>
      <c r="EO777" s="43"/>
      <c r="EP777" s="43"/>
      <c r="EQ777" s="43"/>
      <c r="ER777" s="43"/>
      <c r="ES777" s="43"/>
      <c r="ET777" s="50"/>
      <c r="EU777" s="50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  <c r="AX778" s="43"/>
      <c r="AY778" s="43"/>
      <c r="AZ778" s="43"/>
      <c r="BA778" s="43"/>
      <c r="BB778" s="43"/>
      <c r="BC778" s="43"/>
      <c r="BD778" s="43"/>
      <c r="BE778" s="43"/>
      <c r="BF778" s="43"/>
      <c r="BG778" s="43"/>
      <c r="BH778" s="43"/>
      <c r="BI778" s="43"/>
      <c r="BJ778" s="43"/>
      <c r="BK778" s="43"/>
      <c r="BL778" s="43"/>
      <c r="BM778" s="43"/>
      <c r="BN778" s="43"/>
      <c r="BO778" s="43"/>
      <c r="BP778" s="43"/>
      <c r="BQ778" s="43"/>
      <c r="BR778" s="43"/>
      <c r="BS778" s="43"/>
      <c r="BT778" s="43"/>
      <c r="BU778" s="43"/>
      <c r="BV778" s="43"/>
      <c r="BW778" s="43"/>
      <c r="BX778" s="43"/>
      <c r="BY778" s="43"/>
      <c r="BZ778" s="43"/>
      <c r="CA778" s="43"/>
      <c r="CB778" s="43"/>
      <c r="CC778" s="43"/>
      <c r="CD778" s="43"/>
      <c r="CE778" s="43"/>
      <c r="CF778" s="43"/>
      <c r="CG778" s="43"/>
      <c r="CH778" s="43"/>
      <c r="CI778" s="43"/>
      <c r="CJ778" s="43"/>
      <c r="CK778" s="43"/>
      <c r="CL778" s="43"/>
      <c r="CM778" s="43"/>
      <c r="CN778" s="43"/>
      <c r="CO778" s="43"/>
      <c r="CP778" s="43"/>
      <c r="CQ778" s="43"/>
      <c r="CR778" s="43"/>
      <c r="CS778" s="43"/>
      <c r="CT778" s="43"/>
      <c r="CU778" s="43"/>
      <c r="CV778" s="43"/>
      <c r="CW778" s="43"/>
      <c r="CX778" s="43"/>
      <c r="CY778" s="43"/>
      <c r="CZ778" s="43"/>
      <c r="DA778" s="43"/>
      <c r="DB778" s="43"/>
      <c r="DC778" s="43"/>
      <c r="DD778" s="43"/>
      <c r="DE778" s="43"/>
      <c r="DF778" s="43"/>
      <c r="DG778" s="43"/>
      <c r="DH778" s="43"/>
      <c r="DI778" s="43"/>
      <c r="DJ778" s="43"/>
      <c r="DK778" s="43"/>
      <c r="DL778" s="43"/>
      <c r="DM778" s="43"/>
      <c r="DN778" s="43"/>
      <c r="DO778" s="43"/>
      <c r="DP778" s="43"/>
      <c r="DQ778" s="43"/>
      <c r="DR778" s="43"/>
      <c r="DS778" s="43"/>
      <c r="DT778" s="43"/>
      <c r="DU778" s="43"/>
      <c r="DV778" s="43"/>
      <c r="DW778" s="43"/>
      <c r="DX778" s="43"/>
      <c r="DY778" s="43"/>
      <c r="DZ778" s="43"/>
      <c r="EA778" s="43"/>
      <c r="EB778" s="43"/>
      <c r="EC778" s="43"/>
      <c r="ED778" s="43"/>
      <c r="EE778" s="43"/>
      <c r="EF778" s="43"/>
      <c r="EG778" s="43"/>
      <c r="EH778" s="43"/>
      <c r="EI778" s="43"/>
      <c r="EJ778" s="43"/>
      <c r="EK778" s="43"/>
      <c r="EL778" s="43"/>
      <c r="EM778" s="43"/>
      <c r="EN778" s="43"/>
      <c r="EO778" s="43"/>
      <c r="EP778" s="43"/>
      <c r="EQ778" s="43"/>
      <c r="ER778" s="43"/>
      <c r="ES778" s="43"/>
      <c r="ET778" s="50"/>
      <c r="EU778" s="50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  <c r="AX779" s="43"/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43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43"/>
      <c r="CF779" s="43"/>
      <c r="CG779" s="43"/>
      <c r="CH779" s="43"/>
      <c r="CI779" s="43"/>
      <c r="CJ779" s="43"/>
      <c r="CK779" s="43"/>
      <c r="CL779" s="43"/>
      <c r="CM779" s="43"/>
      <c r="CN779" s="43"/>
      <c r="CO779" s="43"/>
      <c r="CP779" s="43"/>
      <c r="CQ779" s="43"/>
      <c r="CR779" s="43"/>
      <c r="CS779" s="43"/>
      <c r="CT779" s="43"/>
      <c r="CU779" s="43"/>
      <c r="CV779" s="43"/>
      <c r="CW779" s="43"/>
      <c r="CX779" s="43"/>
      <c r="CY779" s="43"/>
      <c r="CZ779" s="43"/>
      <c r="DA779" s="43"/>
      <c r="DB779" s="43"/>
      <c r="DC779" s="43"/>
      <c r="DD779" s="43"/>
      <c r="DE779" s="43"/>
      <c r="DF779" s="43"/>
      <c r="DG779" s="43"/>
      <c r="DH779" s="43"/>
      <c r="DI779" s="43"/>
      <c r="DJ779" s="43"/>
      <c r="DK779" s="43"/>
      <c r="DL779" s="43"/>
      <c r="DM779" s="43"/>
      <c r="DN779" s="43"/>
      <c r="DO779" s="43"/>
      <c r="DP779" s="43"/>
      <c r="DQ779" s="43"/>
      <c r="DR779" s="43"/>
      <c r="DS779" s="43"/>
      <c r="DT779" s="43"/>
      <c r="DU779" s="43"/>
      <c r="DV779" s="43"/>
      <c r="DW779" s="43"/>
      <c r="DX779" s="43"/>
      <c r="DY779" s="43"/>
      <c r="DZ779" s="43"/>
      <c r="EA779" s="43"/>
      <c r="EB779" s="43"/>
      <c r="EC779" s="43"/>
      <c r="ED779" s="43"/>
      <c r="EE779" s="43"/>
      <c r="EF779" s="43"/>
      <c r="EG779" s="43"/>
      <c r="EH779" s="43"/>
      <c r="EI779" s="43"/>
      <c r="EJ779" s="43"/>
      <c r="EK779" s="43"/>
      <c r="EL779" s="43"/>
      <c r="EM779" s="43"/>
      <c r="EN779" s="43"/>
      <c r="EO779" s="43"/>
      <c r="EP779" s="43"/>
      <c r="EQ779" s="43"/>
      <c r="ER779" s="43"/>
      <c r="ES779" s="43"/>
      <c r="ET779" s="50"/>
      <c r="EU779" s="50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  <c r="AX780" s="43"/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  <c r="BL780" s="43"/>
      <c r="BM780" s="43"/>
      <c r="BN780" s="43"/>
      <c r="BO780" s="43"/>
      <c r="BP780" s="43"/>
      <c r="BQ780" s="43"/>
      <c r="BR780" s="43"/>
      <c r="BS780" s="43"/>
      <c r="BT780" s="43"/>
      <c r="BU780" s="43"/>
      <c r="BV780" s="43"/>
      <c r="BW780" s="43"/>
      <c r="BX780" s="43"/>
      <c r="BY780" s="43"/>
      <c r="BZ780" s="43"/>
      <c r="CA780" s="43"/>
      <c r="CB780" s="43"/>
      <c r="CC780" s="43"/>
      <c r="CD780" s="43"/>
      <c r="CE780" s="43"/>
      <c r="CF780" s="43"/>
      <c r="CG780" s="43"/>
      <c r="CH780" s="43"/>
      <c r="CI780" s="43"/>
      <c r="CJ780" s="43"/>
      <c r="CK780" s="43"/>
      <c r="CL780" s="43"/>
      <c r="CM780" s="43"/>
      <c r="CN780" s="43"/>
      <c r="CO780" s="43"/>
      <c r="CP780" s="43"/>
      <c r="CQ780" s="43"/>
      <c r="CR780" s="43"/>
      <c r="CS780" s="43"/>
      <c r="CT780" s="43"/>
      <c r="CU780" s="43"/>
      <c r="CV780" s="43"/>
      <c r="CW780" s="43"/>
      <c r="CX780" s="43"/>
      <c r="CY780" s="43"/>
      <c r="CZ780" s="43"/>
      <c r="DA780" s="43"/>
      <c r="DB780" s="43"/>
      <c r="DC780" s="43"/>
      <c r="DD780" s="43"/>
      <c r="DE780" s="43"/>
      <c r="DF780" s="43"/>
      <c r="DG780" s="43"/>
      <c r="DH780" s="43"/>
      <c r="DI780" s="43"/>
      <c r="DJ780" s="43"/>
      <c r="DK780" s="43"/>
      <c r="DL780" s="43"/>
      <c r="DM780" s="43"/>
      <c r="DN780" s="43"/>
      <c r="DO780" s="43"/>
      <c r="DP780" s="43"/>
      <c r="DQ780" s="43"/>
      <c r="DR780" s="43"/>
      <c r="DS780" s="43"/>
      <c r="DT780" s="43"/>
      <c r="DU780" s="43"/>
      <c r="DV780" s="43"/>
      <c r="DW780" s="43"/>
      <c r="DX780" s="43"/>
      <c r="DY780" s="43"/>
      <c r="DZ780" s="43"/>
      <c r="EA780" s="43"/>
      <c r="EB780" s="43"/>
      <c r="EC780" s="43"/>
      <c r="ED780" s="43"/>
      <c r="EE780" s="43"/>
      <c r="EF780" s="43"/>
      <c r="EG780" s="43"/>
      <c r="EH780" s="43"/>
      <c r="EI780" s="43"/>
      <c r="EJ780" s="43"/>
      <c r="EK780" s="43"/>
      <c r="EL780" s="43"/>
      <c r="EM780" s="43"/>
      <c r="EN780" s="43"/>
      <c r="EO780" s="43"/>
      <c r="EP780" s="43"/>
      <c r="EQ780" s="43"/>
      <c r="ER780" s="43"/>
      <c r="ES780" s="43"/>
      <c r="ET780" s="50"/>
      <c r="EU780" s="50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  <c r="AX781" s="43"/>
      <c r="AY781" s="43"/>
      <c r="AZ781" s="43"/>
      <c r="BA781" s="43"/>
      <c r="BB781" s="43"/>
      <c r="BC781" s="43"/>
      <c r="BD781" s="43"/>
      <c r="BE781" s="43"/>
      <c r="BF781" s="43"/>
      <c r="BG781" s="43"/>
      <c r="BH781" s="43"/>
      <c r="BI781" s="43"/>
      <c r="BJ781" s="43"/>
      <c r="BK781" s="43"/>
      <c r="BL781" s="43"/>
      <c r="BM781" s="43"/>
      <c r="BN781" s="43"/>
      <c r="BO781" s="43"/>
      <c r="BP781" s="43"/>
      <c r="BQ781" s="43"/>
      <c r="BR781" s="43"/>
      <c r="BS781" s="43"/>
      <c r="BT781" s="43"/>
      <c r="BU781" s="43"/>
      <c r="BV781" s="43"/>
      <c r="BW781" s="43"/>
      <c r="BX781" s="43"/>
      <c r="BY781" s="43"/>
      <c r="BZ781" s="43"/>
      <c r="CA781" s="43"/>
      <c r="CB781" s="43"/>
      <c r="CC781" s="43"/>
      <c r="CD781" s="43"/>
      <c r="CE781" s="43"/>
      <c r="CF781" s="43"/>
      <c r="CG781" s="43"/>
      <c r="CH781" s="43"/>
      <c r="CI781" s="43"/>
      <c r="CJ781" s="43"/>
      <c r="CK781" s="43"/>
      <c r="CL781" s="43"/>
      <c r="CM781" s="43"/>
      <c r="CN781" s="43"/>
      <c r="CO781" s="43"/>
      <c r="CP781" s="43"/>
      <c r="CQ781" s="43"/>
      <c r="CR781" s="43"/>
      <c r="CS781" s="43"/>
      <c r="CT781" s="43"/>
      <c r="CU781" s="43"/>
      <c r="CV781" s="43"/>
      <c r="CW781" s="43"/>
      <c r="CX781" s="43"/>
      <c r="CY781" s="43"/>
      <c r="CZ781" s="43"/>
      <c r="DA781" s="43"/>
      <c r="DB781" s="43"/>
      <c r="DC781" s="43"/>
      <c r="DD781" s="43"/>
      <c r="DE781" s="43"/>
      <c r="DF781" s="43"/>
      <c r="DG781" s="43"/>
      <c r="DH781" s="43"/>
      <c r="DI781" s="43"/>
      <c r="DJ781" s="43"/>
      <c r="DK781" s="43"/>
      <c r="DL781" s="43"/>
      <c r="DM781" s="43"/>
      <c r="DN781" s="43"/>
      <c r="DO781" s="43"/>
      <c r="DP781" s="43"/>
      <c r="DQ781" s="43"/>
      <c r="DR781" s="43"/>
      <c r="DS781" s="43"/>
      <c r="DT781" s="43"/>
      <c r="DU781" s="43"/>
      <c r="DV781" s="43"/>
      <c r="DW781" s="43"/>
      <c r="DX781" s="43"/>
      <c r="DY781" s="43"/>
      <c r="DZ781" s="43"/>
      <c r="EA781" s="43"/>
      <c r="EB781" s="43"/>
      <c r="EC781" s="43"/>
      <c r="ED781" s="43"/>
      <c r="EE781" s="43"/>
      <c r="EF781" s="43"/>
      <c r="EG781" s="43"/>
      <c r="EH781" s="43"/>
      <c r="EI781" s="43"/>
      <c r="EJ781" s="43"/>
      <c r="EK781" s="43"/>
      <c r="EL781" s="43"/>
      <c r="EM781" s="43"/>
      <c r="EN781" s="43"/>
      <c r="EO781" s="43"/>
      <c r="EP781" s="43"/>
      <c r="EQ781" s="43"/>
      <c r="ER781" s="43"/>
      <c r="ES781" s="43"/>
      <c r="ET781" s="50"/>
      <c r="EU781" s="50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  <c r="AX782" s="43"/>
      <c r="AY782" s="43"/>
      <c r="AZ782" s="43"/>
      <c r="BA782" s="43"/>
      <c r="BB782" s="43"/>
      <c r="BC782" s="43"/>
      <c r="BD782" s="43"/>
      <c r="BE782" s="43"/>
      <c r="BF782" s="43"/>
      <c r="BG782" s="43"/>
      <c r="BH782" s="43"/>
      <c r="BI782" s="43"/>
      <c r="BJ782" s="43"/>
      <c r="BK782" s="43"/>
      <c r="BL782" s="43"/>
      <c r="BM782" s="43"/>
      <c r="BN782" s="43"/>
      <c r="BO782" s="43"/>
      <c r="BP782" s="43"/>
      <c r="BQ782" s="43"/>
      <c r="BR782" s="43"/>
      <c r="BS782" s="43"/>
      <c r="BT782" s="43"/>
      <c r="BU782" s="43"/>
      <c r="BV782" s="43"/>
      <c r="BW782" s="43"/>
      <c r="BX782" s="43"/>
      <c r="BY782" s="43"/>
      <c r="BZ782" s="43"/>
      <c r="CA782" s="43"/>
      <c r="CB782" s="43"/>
      <c r="CC782" s="43"/>
      <c r="CD782" s="43"/>
      <c r="CE782" s="43"/>
      <c r="CF782" s="43"/>
      <c r="CG782" s="43"/>
      <c r="CH782" s="43"/>
      <c r="CI782" s="43"/>
      <c r="CJ782" s="43"/>
      <c r="CK782" s="43"/>
      <c r="CL782" s="43"/>
      <c r="CM782" s="43"/>
      <c r="CN782" s="43"/>
      <c r="CO782" s="43"/>
      <c r="CP782" s="43"/>
      <c r="CQ782" s="43"/>
      <c r="CR782" s="43"/>
      <c r="CS782" s="43"/>
      <c r="CT782" s="43"/>
      <c r="CU782" s="43"/>
      <c r="CV782" s="43"/>
      <c r="CW782" s="43"/>
      <c r="CX782" s="43"/>
      <c r="CY782" s="43"/>
      <c r="CZ782" s="43"/>
      <c r="DA782" s="43"/>
      <c r="DB782" s="43"/>
      <c r="DC782" s="43"/>
      <c r="DD782" s="43"/>
      <c r="DE782" s="43"/>
      <c r="DF782" s="43"/>
      <c r="DG782" s="43"/>
      <c r="DH782" s="43"/>
      <c r="DI782" s="43"/>
      <c r="DJ782" s="43"/>
      <c r="DK782" s="43"/>
      <c r="DL782" s="43"/>
      <c r="DM782" s="43"/>
      <c r="DN782" s="43"/>
      <c r="DO782" s="43"/>
      <c r="DP782" s="43"/>
      <c r="DQ782" s="43"/>
      <c r="DR782" s="43"/>
      <c r="DS782" s="43"/>
      <c r="DT782" s="43"/>
      <c r="DU782" s="43"/>
      <c r="DV782" s="43"/>
      <c r="DW782" s="43"/>
      <c r="DX782" s="43"/>
      <c r="DY782" s="43"/>
      <c r="DZ782" s="43"/>
      <c r="EA782" s="43"/>
      <c r="EB782" s="43"/>
      <c r="EC782" s="43"/>
      <c r="ED782" s="43"/>
      <c r="EE782" s="43"/>
      <c r="EF782" s="43"/>
      <c r="EG782" s="43"/>
      <c r="EH782" s="43"/>
      <c r="EI782" s="43"/>
      <c r="EJ782" s="43"/>
      <c r="EK782" s="43"/>
      <c r="EL782" s="43"/>
      <c r="EM782" s="43"/>
      <c r="EN782" s="43"/>
      <c r="EO782" s="43"/>
      <c r="EP782" s="43"/>
      <c r="EQ782" s="43"/>
      <c r="ER782" s="43"/>
      <c r="ES782" s="43"/>
      <c r="ET782" s="50"/>
      <c r="EU782" s="50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  <c r="AX783" s="43"/>
      <c r="AY783" s="43"/>
      <c r="AZ783" s="43"/>
      <c r="BA783" s="43"/>
      <c r="BB783" s="43"/>
      <c r="BC783" s="43"/>
      <c r="BD783" s="43"/>
      <c r="BE783" s="43"/>
      <c r="BF783" s="43"/>
      <c r="BG783" s="43"/>
      <c r="BH783" s="43"/>
      <c r="BI783" s="43"/>
      <c r="BJ783" s="43"/>
      <c r="BK783" s="43"/>
      <c r="BL783" s="43"/>
      <c r="BM783" s="43"/>
      <c r="BN783" s="43"/>
      <c r="BO783" s="43"/>
      <c r="BP783" s="43"/>
      <c r="BQ783" s="43"/>
      <c r="BR783" s="43"/>
      <c r="BS783" s="43"/>
      <c r="BT783" s="43"/>
      <c r="BU783" s="43"/>
      <c r="BV783" s="43"/>
      <c r="BW783" s="43"/>
      <c r="BX783" s="43"/>
      <c r="BY783" s="43"/>
      <c r="BZ783" s="43"/>
      <c r="CA783" s="43"/>
      <c r="CB783" s="43"/>
      <c r="CC783" s="43"/>
      <c r="CD783" s="43"/>
      <c r="CE783" s="43"/>
      <c r="CF783" s="43"/>
      <c r="CG783" s="43"/>
      <c r="CH783" s="43"/>
      <c r="CI783" s="43"/>
      <c r="CJ783" s="43"/>
      <c r="CK783" s="43"/>
      <c r="CL783" s="43"/>
      <c r="CM783" s="43"/>
      <c r="CN783" s="43"/>
      <c r="CO783" s="43"/>
      <c r="CP783" s="43"/>
      <c r="CQ783" s="43"/>
      <c r="CR783" s="43"/>
      <c r="CS783" s="43"/>
      <c r="CT783" s="43"/>
      <c r="CU783" s="43"/>
      <c r="CV783" s="43"/>
      <c r="CW783" s="43"/>
      <c r="CX783" s="43"/>
      <c r="CY783" s="43"/>
      <c r="CZ783" s="43"/>
      <c r="DA783" s="43"/>
      <c r="DB783" s="43"/>
      <c r="DC783" s="43"/>
      <c r="DD783" s="43"/>
      <c r="DE783" s="43"/>
      <c r="DF783" s="43"/>
      <c r="DG783" s="43"/>
      <c r="DH783" s="43"/>
      <c r="DI783" s="43"/>
      <c r="DJ783" s="43"/>
      <c r="DK783" s="43"/>
      <c r="DL783" s="43"/>
      <c r="DM783" s="43"/>
      <c r="DN783" s="43"/>
      <c r="DO783" s="43"/>
      <c r="DP783" s="43"/>
      <c r="DQ783" s="43"/>
      <c r="DR783" s="43"/>
      <c r="DS783" s="43"/>
      <c r="DT783" s="43"/>
      <c r="DU783" s="43"/>
      <c r="DV783" s="43"/>
      <c r="DW783" s="43"/>
      <c r="DX783" s="43"/>
      <c r="DY783" s="43"/>
      <c r="DZ783" s="43"/>
      <c r="EA783" s="43"/>
      <c r="EB783" s="43"/>
      <c r="EC783" s="43"/>
      <c r="ED783" s="43"/>
      <c r="EE783" s="43"/>
      <c r="EF783" s="43"/>
      <c r="EG783" s="43"/>
      <c r="EH783" s="43"/>
      <c r="EI783" s="43"/>
      <c r="EJ783" s="43"/>
      <c r="EK783" s="43"/>
      <c r="EL783" s="43"/>
      <c r="EM783" s="43"/>
      <c r="EN783" s="43"/>
      <c r="EO783" s="43"/>
      <c r="EP783" s="43"/>
      <c r="EQ783" s="43"/>
      <c r="ER783" s="43"/>
      <c r="ES783" s="43"/>
      <c r="ET783" s="50"/>
      <c r="EU783" s="50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43"/>
      <c r="BH784" s="43"/>
      <c r="BI784" s="43"/>
      <c r="BJ784" s="43"/>
      <c r="BK784" s="43"/>
      <c r="BL784" s="43"/>
      <c r="BM784" s="43"/>
      <c r="BN784" s="43"/>
      <c r="BO784" s="43"/>
      <c r="BP784" s="43"/>
      <c r="BQ784" s="43"/>
      <c r="BR784" s="43"/>
      <c r="BS784" s="43"/>
      <c r="BT784" s="43"/>
      <c r="BU784" s="43"/>
      <c r="BV784" s="43"/>
      <c r="BW784" s="43"/>
      <c r="BX784" s="43"/>
      <c r="BY784" s="43"/>
      <c r="BZ784" s="43"/>
      <c r="CA784" s="43"/>
      <c r="CB784" s="43"/>
      <c r="CC784" s="43"/>
      <c r="CD784" s="43"/>
      <c r="CE784" s="43"/>
      <c r="CF784" s="43"/>
      <c r="CG784" s="43"/>
      <c r="CH784" s="43"/>
      <c r="CI784" s="43"/>
      <c r="CJ784" s="43"/>
      <c r="CK784" s="43"/>
      <c r="CL784" s="43"/>
      <c r="CM784" s="43"/>
      <c r="CN784" s="43"/>
      <c r="CO784" s="43"/>
      <c r="CP784" s="43"/>
      <c r="CQ784" s="43"/>
      <c r="CR784" s="43"/>
      <c r="CS784" s="43"/>
      <c r="CT784" s="43"/>
      <c r="CU784" s="43"/>
      <c r="CV784" s="43"/>
      <c r="CW784" s="43"/>
      <c r="CX784" s="43"/>
      <c r="CY784" s="43"/>
      <c r="CZ784" s="43"/>
      <c r="DA784" s="43"/>
      <c r="DB784" s="43"/>
      <c r="DC784" s="43"/>
      <c r="DD784" s="43"/>
      <c r="DE784" s="43"/>
      <c r="DF784" s="43"/>
      <c r="DG784" s="43"/>
      <c r="DH784" s="43"/>
      <c r="DI784" s="43"/>
      <c r="DJ784" s="43"/>
      <c r="DK784" s="43"/>
      <c r="DL784" s="43"/>
      <c r="DM784" s="43"/>
      <c r="DN784" s="43"/>
      <c r="DO784" s="43"/>
      <c r="DP784" s="43"/>
      <c r="DQ784" s="43"/>
      <c r="DR784" s="43"/>
      <c r="DS784" s="43"/>
      <c r="DT784" s="43"/>
      <c r="DU784" s="43"/>
      <c r="DV784" s="43"/>
      <c r="DW784" s="43"/>
      <c r="DX784" s="43"/>
      <c r="DY784" s="43"/>
      <c r="DZ784" s="43"/>
      <c r="EA784" s="43"/>
      <c r="EB784" s="43"/>
      <c r="EC784" s="43"/>
      <c r="ED784" s="43"/>
      <c r="EE784" s="43"/>
      <c r="EF784" s="43"/>
      <c r="EG784" s="43"/>
      <c r="EH784" s="43"/>
      <c r="EI784" s="43"/>
      <c r="EJ784" s="43"/>
      <c r="EK784" s="43"/>
      <c r="EL784" s="43"/>
      <c r="EM784" s="43"/>
      <c r="EN784" s="43"/>
      <c r="EO784" s="43"/>
      <c r="EP784" s="43"/>
      <c r="EQ784" s="43"/>
      <c r="ER784" s="43"/>
      <c r="ES784" s="43"/>
      <c r="ET784" s="50"/>
      <c r="EU784" s="50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43"/>
      <c r="BH785" s="43"/>
      <c r="BI785" s="43"/>
      <c r="BJ785" s="43"/>
      <c r="BK785" s="43"/>
      <c r="BL785" s="43"/>
      <c r="BM785" s="43"/>
      <c r="BN785" s="43"/>
      <c r="BO785" s="43"/>
      <c r="BP785" s="43"/>
      <c r="BQ785" s="43"/>
      <c r="BR785" s="43"/>
      <c r="BS785" s="43"/>
      <c r="BT785" s="43"/>
      <c r="BU785" s="43"/>
      <c r="BV785" s="43"/>
      <c r="BW785" s="43"/>
      <c r="BX785" s="43"/>
      <c r="BY785" s="43"/>
      <c r="BZ785" s="43"/>
      <c r="CA785" s="43"/>
      <c r="CB785" s="43"/>
      <c r="CC785" s="43"/>
      <c r="CD785" s="43"/>
      <c r="CE785" s="43"/>
      <c r="CF785" s="43"/>
      <c r="CG785" s="43"/>
      <c r="CH785" s="43"/>
      <c r="CI785" s="43"/>
      <c r="CJ785" s="43"/>
      <c r="CK785" s="43"/>
      <c r="CL785" s="43"/>
      <c r="CM785" s="43"/>
      <c r="CN785" s="43"/>
      <c r="CO785" s="43"/>
      <c r="CP785" s="43"/>
      <c r="CQ785" s="43"/>
      <c r="CR785" s="43"/>
      <c r="CS785" s="43"/>
      <c r="CT785" s="43"/>
      <c r="CU785" s="43"/>
      <c r="CV785" s="43"/>
      <c r="CW785" s="43"/>
      <c r="CX785" s="43"/>
      <c r="CY785" s="43"/>
      <c r="CZ785" s="43"/>
      <c r="DA785" s="43"/>
      <c r="DB785" s="43"/>
      <c r="DC785" s="43"/>
      <c r="DD785" s="43"/>
      <c r="DE785" s="43"/>
      <c r="DF785" s="43"/>
      <c r="DG785" s="43"/>
      <c r="DH785" s="43"/>
      <c r="DI785" s="43"/>
      <c r="DJ785" s="43"/>
      <c r="DK785" s="43"/>
      <c r="DL785" s="43"/>
      <c r="DM785" s="43"/>
      <c r="DN785" s="43"/>
      <c r="DO785" s="43"/>
      <c r="DP785" s="43"/>
      <c r="DQ785" s="43"/>
      <c r="DR785" s="43"/>
      <c r="DS785" s="43"/>
      <c r="DT785" s="43"/>
      <c r="DU785" s="43"/>
      <c r="DV785" s="43"/>
      <c r="DW785" s="43"/>
      <c r="DX785" s="43"/>
      <c r="DY785" s="43"/>
      <c r="DZ785" s="43"/>
      <c r="EA785" s="43"/>
      <c r="EB785" s="43"/>
      <c r="EC785" s="43"/>
      <c r="ED785" s="43"/>
      <c r="EE785" s="43"/>
      <c r="EF785" s="43"/>
      <c r="EG785" s="43"/>
      <c r="EH785" s="43"/>
      <c r="EI785" s="43"/>
      <c r="EJ785" s="43"/>
      <c r="EK785" s="43"/>
      <c r="EL785" s="43"/>
      <c r="EM785" s="43"/>
      <c r="EN785" s="43"/>
      <c r="EO785" s="43"/>
      <c r="EP785" s="43"/>
      <c r="EQ785" s="43"/>
      <c r="ER785" s="43"/>
      <c r="ES785" s="43"/>
      <c r="ET785" s="50"/>
      <c r="EU785" s="50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43"/>
      <c r="BH786" s="43"/>
      <c r="BI786" s="43"/>
      <c r="BJ786" s="43"/>
      <c r="BK786" s="43"/>
      <c r="BL786" s="43"/>
      <c r="BM786" s="43"/>
      <c r="BN786" s="43"/>
      <c r="BO786" s="43"/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3"/>
      <c r="CA786" s="43"/>
      <c r="CB786" s="43"/>
      <c r="CC786" s="43"/>
      <c r="CD786" s="43"/>
      <c r="CE786" s="43"/>
      <c r="CF786" s="43"/>
      <c r="CG786" s="43"/>
      <c r="CH786" s="43"/>
      <c r="CI786" s="43"/>
      <c r="CJ786" s="43"/>
      <c r="CK786" s="43"/>
      <c r="CL786" s="43"/>
      <c r="CM786" s="43"/>
      <c r="CN786" s="43"/>
      <c r="CO786" s="43"/>
      <c r="CP786" s="43"/>
      <c r="CQ786" s="43"/>
      <c r="CR786" s="43"/>
      <c r="CS786" s="43"/>
      <c r="CT786" s="43"/>
      <c r="CU786" s="43"/>
      <c r="CV786" s="43"/>
      <c r="CW786" s="43"/>
      <c r="CX786" s="43"/>
      <c r="CY786" s="43"/>
      <c r="CZ786" s="43"/>
      <c r="DA786" s="43"/>
      <c r="DB786" s="43"/>
      <c r="DC786" s="43"/>
      <c r="DD786" s="43"/>
      <c r="DE786" s="43"/>
      <c r="DF786" s="43"/>
      <c r="DG786" s="43"/>
      <c r="DH786" s="43"/>
      <c r="DI786" s="43"/>
      <c r="DJ786" s="43"/>
      <c r="DK786" s="43"/>
      <c r="DL786" s="43"/>
      <c r="DM786" s="43"/>
      <c r="DN786" s="43"/>
      <c r="DO786" s="43"/>
      <c r="DP786" s="43"/>
      <c r="DQ786" s="43"/>
      <c r="DR786" s="43"/>
      <c r="DS786" s="43"/>
      <c r="DT786" s="43"/>
      <c r="DU786" s="43"/>
      <c r="DV786" s="43"/>
      <c r="DW786" s="43"/>
      <c r="DX786" s="43"/>
      <c r="DY786" s="43"/>
      <c r="DZ786" s="43"/>
      <c r="EA786" s="43"/>
      <c r="EB786" s="43"/>
      <c r="EC786" s="43"/>
      <c r="ED786" s="43"/>
      <c r="EE786" s="43"/>
      <c r="EF786" s="43"/>
      <c r="EG786" s="43"/>
      <c r="EH786" s="43"/>
      <c r="EI786" s="43"/>
      <c r="EJ786" s="43"/>
      <c r="EK786" s="43"/>
      <c r="EL786" s="43"/>
      <c r="EM786" s="43"/>
      <c r="EN786" s="43"/>
      <c r="EO786" s="43"/>
      <c r="EP786" s="43"/>
      <c r="EQ786" s="43"/>
      <c r="ER786" s="43"/>
      <c r="ES786" s="43"/>
      <c r="ET786" s="50"/>
      <c r="EU786" s="50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43"/>
      <c r="BH787" s="43"/>
      <c r="BI787" s="43"/>
      <c r="BJ787" s="43"/>
      <c r="BK787" s="43"/>
      <c r="BL787" s="43"/>
      <c r="BM787" s="43"/>
      <c r="BN787" s="43"/>
      <c r="BO787" s="43"/>
      <c r="BP787" s="43"/>
      <c r="BQ787" s="43"/>
      <c r="BR787" s="43"/>
      <c r="BS787" s="43"/>
      <c r="BT787" s="43"/>
      <c r="BU787" s="43"/>
      <c r="BV787" s="43"/>
      <c r="BW787" s="43"/>
      <c r="BX787" s="43"/>
      <c r="BY787" s="43"/>
      <c r="BZ787" s="43"/>
      <c r="CA787" s="43"/>
      <c r="CB787" s="43"/>
      <c r="CC787" s="43"/>
      <c r="CD787" s="43"/>
      <c r="CE787" s="43"/>
      <c r="CF787" s="43"/>
      <c r="CG787" s="43"/>
      <c r="CH787" s="43"/>
      <c r="CI787" s="43"/>
      <c r="CJ787" s="43"/>
      <c r="CK787" s="43"/>
      <c r="CL787" s="43"/>
      <c r="CM787" s="43"/>
      <c r="CN787" s="43"/>
      <c r="CO787" s="43"/>
      <c r="CP787" s="43"/>
      <c r="CQ787" s="43"/>
      <c r="CR787" s="43"/>
      <c r="CS787" s="43"/>
      <c r="CT787" s="43"/>
      <c r="CU787" s="43"/>
      <c r="CV787" s="43"/>
      <c r="CW787" s="43"/>
      <c r="CX787" s="43"/>
      <c r="CY787" s="43"/>
      <c r="CZ787" s="43"/>
      <c r="DA787" s="43"/>
      <c r="DB787" s="43"/>
      <c r="DC787" s="43"/>
      <c r="DD787" s="43"/>
      <c r="DE787" s="43"/>
      <c r="DF787" s="43"/>
      <c r="DG787" s="43"/>
      <c r="DH787" s="43"/>
      <c r="DI787" s="43"/>
      <c r="DJ787" s="43"/>
      <c r="DK787" s="43"/>
      <c r="DL787" s="43"/>
      <c r="DM787" s="43"/>
      <c r="DN787" s="43"/>
      <c r="DO787" s="43"/>
      <c r="DP787" s="43"/>
      <c r="DQ787" s="43"/>
      <c r="DR787" s="43"/>
      <c r="DS787" s="43"/>
      <c r="DT787" s="43"/>
      <c r="DU787" s="43"/>
      <c r="DV787" s="43"/>
      <c r="DW787" s="43"/>
      <c r="DX787" s="43"/>
      <c r="DY787" s="43"/>
      <c r="DZ787" s="43"/>
      <c r="EA787" s="43"/>
      <c r="EB787" s="43"/>
      <c r="EC787" s="43"/>
      <c r="ED787" s="43"/>
      <c r="EE787" s="43"/>
      <c r="EF787" s="43"/>
      <c r="EG787" s="43"/>
      <c r="EH787" s="43"/>
      <c r="EI787" s="43"/>
      <c r="EJ787" s="43"/>
      <c r="EK787" s="43"/>
      <c r="EL787" s="43"/>
      <c r="EM787" s="43"/>
      <c r="EN787" s="43"/>
      <c r="EO787" s="43"/>
      <c r="EP787" s="43"/>
      <c r="EQ787" s="43"/>
      <c r="ER787" s="43"/>
      <c r="ES787" s="43"/>
      <c r="ET787" s="50"/>
      <c r="EU787" s="50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/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43"/>
      <c r="CF788" s="43"/>
      <c r="CG788" s="43"/>
      <c r="CH788" s="43"/>
      <c r="CI788" s="43"/>
      <c r="CJ788" s="43"/>
      <c r="CK788" s="43"/>
      <c r="CL788" s="43"/>
      <c r="CM788" s="43"/>
      <c r="CN788" s="43"/>
      <c r="CO788" s="43"/>
      <c r="CP788" s="43"/>
      <c r="CQ788" s="43"/>
      <c r="CR788" s="43"/>
      <c r="CS788" s="43"/>
      <c r="CT788" s="43"/>
      <c r="CU788" s="43"/>
      <c r="CV788" s="43"/>
      <c r="CW788" s="43"/>
      <c r="CX788" s="43"/>
      <c r="CY788" s="43"/>
      <c r="CZ788" s="43"/>
      <c r="DA788" s="43"/>
      <c r="DB788" s="43"/>
      <c r="DC788" s="43"/>
      <c r="DD788" s="43"/>
      <c r="DE788" s="43"/>
      <c r="DF788" s="43"/>
      <c r="DG788" s="43"/>
      <c r="DH788" s="43"/>
      <c r="DI788" s="43"/>
      <c r="DJ788" s="43"/>
      <c r="DK788" s="43"/>
      <c r="DL788" s="43"/>
      <c r="DM788" s="43"/>
      <c r="DN788" s="43"/>
      <c r="DO788" s="43"/>
      <c r="DP788" s="43"/>
      <c r="DQ788" s="43"/>
      <c r="DR788" s="43"/>
      <c r="DS788" s="43"/>
      <c r="DT788" s="43"/>
      <c r="DU788" s="43"/>
      <c r="DV788" s="43"/>
      <c r="DW788" s="43"/>
      <c r="DX788" s="43"/>
      <c r="DY788" s="43"/>
      <c r="DZ788" s="43"/>
      <c r="EA788" s="43"/>
      <c r="EB788" s="43"/>
      <c r="EC788" s="43"/>
      <c r="ED788" s="43"/>
      <c r="EE788" s="43"/>
      <c r="EF788" s="43"/>
      <c r="EG788" s="43"/>
      <c r="EH788" s="43"/>
      <c r="EI788" s="43"/>
      <c r="EJ788" s="43"/>
      <c r="EK788" s="43"/>
      <c r="EL788" s="43"/>
      <c r="EM788" s="43"/>
      <c r="EN788" s="43"/>
      <c r="EO788" s="43"/>
      <c r="EP788" s="43"/>
      <c r="EQ788" s="43"/>
      <c r="ER788" s="43"/>
      <c r="ES788" s="43"/>
      <c r="ET788" s="50"/>
      <c r="EU788" s="50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  <c r="AX789" s="43"/>
      <c r="AY789" s="43"/>
      <c r="AZ789" s="43"/>
      <c r="BA789" s="43"/>
      <c r="BB789" s="43"/>
      <c r="BC789" s="43"/>
      <c r="BD789" s="43"/>
      <c r="BE789" s="43"/>
      <c r="BF789" s="43"/>
      <c r="BG789" s="43"/>
      <c r="BH789" s="43"/>
      <c r="BI789" s="43"/>
      <c r="BJ789" s="43"/>
      <c r="BK789" s="43"/>
      <c r="BL789" s="43"/>
      <c r="BM789" s="43"/>
      <c r="BN789" s="43"/>
      <c r="BO789" s="43"/>
      <c r="BP789" s="43"/>
      <c r="BQ789" s="43"/>
      <c r="BR789" s="43"/>
      <c r="BS789" s="43"/>
      <c r="BT789" s="43"/>
      <c r="BU789" s="43"/>
      <c r="BV789" s="43"/>
      <c r="BW789" s="43"/>
      <c r="BX789" s="43"/>
      <c r="BY789" s="43"/>
      <c r="BZ789" s="43"/>
      <c r="CA789" s="43"/>
      <c r="CB789" s="43"/>
      <c r="CC789" s="43"/>
      <c r="CD789" s="43"/>
      <c r="CE789" s="43"/>
      <c r="CF789" s="43"/>
      <c r="CG789" s="43"/>
      <c r="CH789" s="43"/>
      <c r="CI789" s="43"/>
      <c r="CJ789" s="43"/>
      <c r="CK789" s="43"/>
      <c r="CL789" s="43"/>
      <c r="CM789" s="43"/>
      <c r="CN789" s="43"/>
      <c r="CO789" s="43"/>
      <c r="CP789" s="43"/>
      <c r="CQ789" s="43"/>
      <c r="CR789" s="43"/>
      <c r="CS789" s="43"/>
      <c r="CT789" s="43"/>
      <c r="CU789" s="43"/>
      <c r="CV789" s="43"/>
      <c r="CW789" s="43"/>
      <c r="CX789" s="43"/>
      <c r="CY789" s="43"/>
      <c r="CZ789" s="43"/>
      <c r="DA789" s="43"/>
      <c r="DB789" s="43"/>
      <c r="DC789" s="43"/>
      <c r="DD789" s="43"/>
      <c r="DE789" s="43"/>
      <c r="DF789" s="43"/>
      <c r="DG789" s="43"/>
      <c r="DH789" s="43"/>
      <c r="DI789" s="43"/>
      <c r="DJ789" s="43"/>
      <c r="DK789" s="43"/>
      <c r="DL789" s="43"/>
      <c r="DM789" s="43"/>
      <c r="DN789" s="43"/>
      <c r="DO789" s="43"/>
      <c r="DP789" s="43"/>
      <c r="DQ789" s="43"/>
      <c r="DR789" s="43"/>
      <c r="DS789" s="43"/>
      <c r="DT789" s="43"/>
      <c r="DU789" s="43"/>
      <c r="DV789" s="43"/>
      <c r="DW789" s="43"/>
      <c r="DX789" s="43"/>
      <c r="DY789" s="43"/>
      <c r="DZ789" s="43"/>
      <c r="EA789" s="43"/>
      <c r="EB789" s="43"/>
      <c r="EC789" s="43"/>
      <c r="ED789" s="43"/>
      <c r="EE789" s="43"/>
      <c r="EF789" s="43"/>
      <c r="EG789" s="43"/>
      <c r="EH789" s="43"/>
      <c r="EI789" s="43"/>
      <c r="EJ789" s="43"/>
      <c r="EK789" s="43"/>
      <c r="EL789" s="43"/>
      <c r="EM789" s="43"/>
      <c r="EN789" s="43"/>
      <c r="EO789" s="43"/>
      <c r="EP789" s="43"/>
      <c r="EQ789" s="43"/>
      <c r="ER789" s="43"/>
      <c r="ES789" s="43"/>
      <c r="ET789" s="50"/>
      <c r="EU789" s="50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  <c r="AX790" s="43"/>
      <c r="AY790" s="43"/>
      <c r="AZ790" s="43"/>
      <c r="BA790" s="43"/>
      <c r="BB790" s="43"/>
      <c r="BC790" s="43"/>
      <c r="BD790" s="43"/>
      <c r="BE790" s="43"/>
      <c r="BF790" s="43"/>
      <c r="BG790" s="43"/>
      <c r="BH790" s="43"/>
      <c r="BI790" s="43"/>
      <c r="BJ790" s="43"/>
      <c r="BK790" s="43"/>
      <c r="BL790" s="43"/>
      <c r="BM790" s="43"/>
      <c r="BN790" s="43"/>
      <c r="BO790" s="43"/>
      <c r="BP790" s="43"/>
      <c r="BQ790" s="43"/>
      <c r="BR790" s="43"/>
      <c r="BS790" s="43"/>
      <c r="BT790" s="43"/>
      <c r="BU790" s="43"/>
      <c r="BV790" s="43"/>
      <c r="BW790" s="43"/>
      <c r="BX790" s="43"/>
      <c r="BY790" s="43"/>
      <c r="BZ790" s="43"/>
      <c r="CA790" s="43"/>
      <c r="CB790" s="43"/>
      <c r="CC790" s="43"/>
      <c r="CD790" s="43"/>
      <c r="CE790" s="43"/>
      <c r="CF790" s="43"/>
      <c r="CG790" s="43"/>
      <c r="CH790" s="43"/>
      <c r="CI790" s="43"/>
      <c r="CJ790" s="43"/>
      <c r="CK790" s="43"/>
      <c r="CL790" s="43"/>
      <c r="CM790" s="43"/>
      <c r="CN790" s="43"/>
      <c r="CO790" s="43"/>
      <c r="CP790" s="43"/>
      <c r="CQ790" s="43"/>
      <c r="CR790" s="43"/>
      <c r="CS790" s="43"/>
      <c r="CT790" s="43"/>
      <c r="CU790" s="43"/>
      <c r="CV790" s="43"/>
      <c r="CW790" s="43"/>
      <c r="CX790" s="43"/>
      <c r="CY790" s="43"/>
      <c r="CZ790" s="43"/>
      <c r="DA790" s="43"/>
      <c r="DB790" s="43"/>
      <c r="DC790" s="43"/>
      <c r="DD790" s="43"/>
      <c r="DE790" s="43"/>
      <c r="DF790" s="43"/>
      <c r="DG790" s="43"/>
      <c r="DH790" s="43"/>
      <c r="DI790" s="43"/>
      <c r="DJ790" s="43"/>
      <c r="DK790" s="43"/>
      <c r="DL790" s="43"/>
      <c r="DM790" s="43"/>
      <c r="DN790" s="43"/>
      <c r="DO790" s="43"/>
      <c r="DP790" s="43"/>
      <c r="DQ790" s="43"/>
      <c r="DR790" s="43"/>
      <c r="DS790" s="43"/>
      <c r="DT790" s="43"/>
      <c r="DU790" s="43"/>
      <c r="DV790" s="43"/>
      <c r="DW790" s="43"/>
      <c r="DX790" s="43"/>
      <c r="DY790" s="43"/>
      <c r="DZ790" s="43"/>
      <c r="EA790" s="43"/>
      <c r="EB790" s="43"/>
      <c r="EC790" s="43"/>
      <c r="ED790" s="43"/>
      <c r="EE790" s="43"/>
      <c r="EF790" s="43"/>
      <c r="EG790" s="43"/>
      <c r="EH790" s="43"/>
      <c r="EI790" s="43"/>
      <c r="EJ790" s="43"/>
      <c r="EK790" s="43"/>
      <c r="EL790" s="43"/>
      <c r="EM790" s="43"/>
      <c r="EN790" s="43"/>
      <c r="EO790" s="43"/>
      <c r="EP790" s="43"/>
      <c r="EQ790" s="43"/>
      <c r="ER790" s="43"/>
      <c r="ES790" s="43"/>
      <c r="ET790" s="50"/>
      <c r="EU790" s="50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  <c r="AX791" s="43"/>
      <c r="AY791" s="43"/>
      <c r="AZ791" s="43"/>
      <c r="BA791" s="43"/>
      <c r="BB791" s="43"/>
      <c r="BC791" s="43"/>
      <c r="BD791" s="43"/>
      <c r="BE791" s="43"/>
      <c r="BF791" s="43"/>
      <c r="BG791" s="43"/>
      <c r="BH791" s="43"/>
      <c r="BI791" s="43"/>
      <c r="BJ791" s="43"/>
      <c r="BK791" s="43"/>
      <c r="BL791" s="43"/>
      <c r="BM791" s="43"/>
      <c r="BN791" s="43"/>
      <c r="BO791" s="43"/>
      <c r="BP791" s="43"/>
      <c r="BQ791" s="43"/>
      <c r="BR791" s="43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43"/>
      <c r="CF791" s="43"/>
      <c r="CG791" s="43"/>
      <c r="CH791" s="43"/>
      <c r="CI791" s="43"/>
      <c r="CJ791" s="43"/>
      <c r="CK791" s="43"/>
      <c r="CL791" s="43"/>
      <c r="CM791" s="43"/>
      <c r="CN791" s="43"/>
      <c r="CO791" s="43"/>
      <c r="CP791" s="43"/>
      <c r="CQ791" s="43"/>
      <c r="CR791" s="43"/>
      <c r="CS791" s="43"/>
      <c r="CT791" s="43"/>
      <c r="CU791" s="43"/>
      <c r="CV791" s="43"/>
      <c r="CW791" s="43"/>
      <c r="CX791" s="43"/>
      <c r="CY791" s="43"/>
      <c r="CZ791" s="43"/>
      <c r="DA791" s="43"/>
      <c r="DB791" s="43"/>
      <c r="DC791" s="43"/>
      <c r="DD791" s="43"/>
      <c r="DE791" s="43"/>
      <c r="DF791" s="43"/>
      <c r="DG791" s="43"/>
      <c r="DH791" s="43"/>
      <c r="DI791" s="43"/>
      <c r="DJ791" s="43"/>
      <c r="DK791" s="43"/>
      <c r="DL791" s="43"/>
      <c r="DM791" s="43"/>
      <c r="DN791" s="43"/>
      <c r="DO791" s="43"/>
      <c r="DP791" s="43"/>
      <c r="DQ791" s="43"/>
      <c r="DR791" s="43"/>
      <c r="DS791" s="43"/>
      <c r="DT791" s="43"/>
      <c r="DU791" s="43"/>
      <c r="DV791" s="43"/>
      <c r="DW791" s="43"/>
      <c r="DX791" s="43"/>
      <c r="DY791" s="43"/>
      <c r="DZ791" s="43"/>
      <c r="EA791" s="43"/>
      <c r="EB791" s="43"/>
      <c r="EC791" s="43"/>
      <c r="ED791" s="43"/>
      <c r="EE791" s="43"/>
      <c r="EF791" s="43"/>
      <c r="EG791" s="43"/>
      <c r="EH791" s="43"/>
      <c r="EI791" s="43"/>
      <c r="EJ791" s="43"/>
      <c r="EK791" s="43"/>
      <c r="EL791" s="43"/>
      <c r="EM791" s="43"/>
      <c r="EN791" s="43"/>
      <c r="EO791" s="43"/>
      <c r="EP791" s="43"/>
      <c r="EQ791" s="43"/>
      <c r="ER791" s="43"/>
      <c r="ES791" s="43"/>
      <c r="ET791" s="50"/>
      <c r="EU791" s="50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  <c r="AX792" s="43"/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43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43"/>
      <c r="CF792" s="43"/>
      <c r="CG792" s="43"/>
      <c r="CH792" s="43"/>
      <c r="CI792" s="43"/>
      <c r="CJ792" s="43"/>
      <c r="CK792" s="43"/>
      <c r="CL792" s="43"/>
      <c r="CM792" s="43"/>
      <c r="CN792" s="43"/>
      <c r="CO792" s="43"/>
      <c r="CP792" s="43"/>
      <c r="CQ792" s="43"/>
      <c r="CR792" s="43"/>
      <c r="CS792" s="43"/>
      <c r="CT792" s="43"/>
      <c r="CU792" s="43"/>
      <c r="CV792" s="43"/>
      <c r="CW792" s="43"/>
      <c r="CX792" s="43"/>
      <c r="CY792" s="43"/>
      <c r="CZ792" s="43"/>
      <c r="DA792" s="43"/>
      <c r="DB792" s="43"/>
      <c r="DC792" s="43"/>
      <c r="DD792" s="43"/>
      <c r="DE792" s="43"/>
      <c r="DF792" s="43"/>
      <c r="DG792" s="43"/>
      <c r="DH792" s="43"/>
      <c r="DI792" s="43"/>
      <c r="DJ792" s="43"/>
      <c r="DK792" s="43"/>
      <c r="DL792" s="43"/>
      <c r="DM792" s="43"/>
      <c r="DN792" s="43"/>
      <c r="DO792" s="43"/>
      <c r="DP792" s="43"/>
      <c r="DQ792" s="43"/>
      <c r="DR792" s="43"/>
      <c r="DS792" s="43"/>
      <c r="DT792" s="43"/>
      <c r="DU792" s="43"/>
      <c r="DV792" s="43"/>
      <c r="DW792" s="43"/>
      <c r="DX792" s="43"/>
      <c r="DY792" s="43"/>
      <c r="DZ792" s="43"/>
      <c r="EA792" s="43"/>
      <c r="EB792" s="43"/>
      <c r="EC792" s="43"/>
      <c r="ED792" s="43"/>
      <c r="EE792" s="43"/>
      <c r="EF792" s="43"/>
      <c r="EG792" s="43"/>
      <c r="EH792" s="43"/>
      <c r="EI792" s="43"/>
      <c r="EJ792" s="43"/>
      <c r="EK792" s="43"/>
      <c r="EL792" s="43"/>
      <c r="EM792" s="43"/>
      <c r="EN792" s="43"/>
      <c r="EO792" s="43"/>
      <c r="EP792" s="43"/>
      <c r="EQ792" s="43"/>
      <c r="ER792" s="43"/>
      <c r="ES792" s="43"/>
      <c r="ET792" s="50"/>
      <c r="EU792" s="50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  <c r="AX793" s="43"/>
      <c r="AY793" s="43"/>
      <c r="AZ793" s="43"/>
      <c r="BA793" s="43"/>
      <c r="BB793" s="43"/>
      <c r="BC793" s="43"/>
      <c r="BD793" s="43"/>
      <c r="BE793" s="43"/>
      <c r="BF793" s="43"/>
      <c r="BG793" s="43"/>
      <c r="BH793" s="43"/>
      <c r="BI793" s="43"/>
      <c r="BJ793" s="43"/>
      <c r="BK793" s="43"/>
      <c r="BL793" s="43"/>
      <c r="BM793" s="43"/>
      <c r="BN793" s="43"/>
      <c r="BO793" s="43"/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43"/>
      <c r="CF793" s="43"/>
      <c r="CG793" s="43"/>
      <c r="CH793" s="43"/>
      <c r="CI793" s="43"/>
      <c r="CJ793" s="43"/>
      <c r="CK793" s="43"/>
      <c r="CL793" s="43"/>
      <c r="CM793" s="43"/>
      <c r="CN793" s="43"/>
      <c r="CO793" s="43"/>
      <c r="CP793" s="43"/>
      <c r="CQ793" s="43"/>
      <c r="CR793" s="43"/>
      <c r="CS793" s="43"/>
      <c r="CT793" s="43"/>
      <c r="CU793" s="43"/>
      <c r="CV793" s="43"/>
      <c r="CW793" s="43"/>
      <c r="CX793" s="43"/>
      <c r="CY793" s="43"/>
      <c r="CZ793" s="43"/>
      <c r="DA793" s="43"/>
      <c r="DB793" s="43"/>
      <c r="DC793" s="43"/>
      <c r="DD793" s="43"/>
      <c r="DE793" s="43"/>
      <c r="DF793" s="43"/>
      <c r="DG793" s="43"/>
      <c r="DH793" s="43"/>
      <c r="DI793" s="43"/>
      <c r="DJ793" s="43"/>
      <c r="DK793" s="43"/>
      <c r="DL793" s="43"/>
      <c r="DM793" s="43"/>
      <c r="DN793" s="43"/>
      <c r="DO793" s="43"/>
      <c r="DP793" s="43"/>
      <c r="DQ793" s="43"/>
      <c r="DR793" s="43"/>
      <c r="DS793" s="43"/>
      <c r="DT793" s="43"/>
      <c r="DU793" s="43"/>
      <c r="DV793" s="43"/>
      <c r="DW793" s="43"/>
      <c r="DX793" s="43"/>
      <c r="DY793" s="43"/>
      <c r="DZ793" s="43"/>
      <c r="EA793" s="43"/>
      <c r="EB793" s="43"/>
      <c r="EC793" s="43"/>
      <c r="ED793" s="43"/>
      <c r="EE793" s="43"/>
      <c r="EF793" s="43"/>
      <c r="EG793" s="43"/>
      <c r="EH793" s="43"/>
      <c r="EI793" s="43"/>
      <c r="EJ793" s="43"/>
      <c r="EK793" s="43"/>
      <c r="EL793" s="43"/>
      <c r="EM793" s="43"/>
      <c r="EN793" s="43"/>
      <c r="EO793" s="43"/>
      <c r="EP793" s="43"/>
      <c r="EQ793" s="43"/>
      <c r="ER793" s="43"/>
      <c r="ES793" s="43"/>
      <c r="ET793" s="50"/>
      <c r="EU793" s="50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  <c r="AX794" s="43"/>
      <c r="AY794" s="43"/>
      <c r="AZ794" s="43"/>
      <c r="BA794" s="43"/>
      <c r="BB794" s="43"/>
      <c r="BC794" s="43"/>
      <c r="BD794" s="43"/>
      <c r="BE794" s="43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43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43"/>
      <c r="CF794" s="43"/>
      <c r="CG794" s="43"/>
      <c r="CH794" s="43"/>
      <c r="CI794" s="43"/>
      <c r="CJ794" s="43"/>
      <c r="CK794" s="43"/>
      <c r="CL794" s="43"/>
      <c r="CM794" s="43"/>
      <c r="CN794" s="43"/>
      <c r="CO794" s="43"/>
      <c r="CP794" s="43"/>
      <c r="CQ794" s="43"/>
      <c r="CR794" s="43"/>
      <c r="CS794" s="43"/>
      <c r="CT794" s="43"/>
      <c r="CU794" s="43"/>
      <c r="CV794" s="43"/>
      <c r="CW794" s="43"/>
      <c r="CX794" s="43"/>
      <c r="CY794" s="43"/>
      <c r="CZ794" s="43"/>
      <c r="DA794" s="43"/>
      <c r="DB794" s="43"/>
      <c r="DC794" s="43"/>
      <c r="DD794" s="43"/>
      <c r="DE794" s="43"/>
      <c r="DF794" s="43"/>
      <c r="DG794" s="43"/>
      <c r="DH794" s="43"/>
      <c r="DI794" s="43"/>
      <c r="DJ794" s="43"/>
      <c r="DK794" s="43"/>
      <c r="DL794" s="43"/>
      <c r="DM794" s="43"/>
      <c r="DN794" s="43"/>
      <c r="DO794" s="43"/>
      <c r="DP794" s="43"/>
      <c r="DQ794" s="43"/>
      <c r="DR794" s="43"/>
      <c r="DS794" s="43"/>
      <c r="DT794" s="43"/>
      <c r="DU794" s="43"/>
      <c r="DV794" s="43"/>
      <c r="DW794" s="43"/>
      <c r="DX794" s="43"/>
      <c r="DY794" s="43"/>
      <c r="DZ794" s="43"/>
      <c r="EA794" s="43"/>
      <c r="EB794" s="43"/>
      <c r="EC794" s="43"/>
      <c r="ED794" s="43"/>
      <c r="EE794" s="43"/>
      <c r="EF794" s="43"/>
      <c r="EG794" s="43"/>
      <c r="EH794" s="43"/>
      <c r="EI794" s="43"/>
      <c r="EJ794" s="43"/>
      <c r="EK794" s="43"/>
      <c r="EL794" s="43"/>
      <c r="EM794" s="43"/>
      <c r="EN794" s="43"/>
      <c r="EO794" s="43"/>
      <c r="EP794" s="43"/>
      <c r="EQ794" s="43"/>
      <c r="ER794" s="43"/>
      <c r="ES794" s="43"/>
      <c r="ET794" s="50"/>
      <c r="EU794" s="50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  <c r="AX795" s="43"/>
      <c r="AY795" s="43"/>
      <c r="AZ795" s="43"/>
      <c r="BA795" s="43"/>
      <c r="BB795" s="43"/>
      <c r="BC795" s="43"/>
      <c r="BD795" s="43"/>
      <c r="BE795" s="43"/>
      <c r="BF795" s="43"/>
      <c r="BG795" s="43"/>
      <c r="BH795" s="43"/>
      <c r="BI795" s="43"/>
      <c r="BJ795" s="43"/>
      <c r="BK795" s="43"/>
      <c r="BL795" s="43"/>
      <c r="BM795" s="43"/>
      <c r="BN795" s="43"/>
      <c r="BO795" s="43"/>
      <c r="BP795" s="43"/>
      <c r="BQ795" s="43"/>
      <c r="BR795" s="43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43"/>
      <c r="CF795" s="43"/>
      <c r="CG795" s="43"/>
      <c r="CH795" s="43"/>
      <c r="CI795" s="43"/>
      <c r="CJ795" s="43"/>
      <c r="CK795" s="43"/>
      <c r="CL795" s="43"/>
      <c r="CM795" s="43"/>
      <c r="CN795" s="43"/>
      <c r="CO795" s="43"/>
      <c r="CP795" s="43"/>
      <c r="CQ795" s="43"/>
      <c r="CR795" s="43"/>
      <c r="CS795" s="43"/>
      <c r="CT795" s="43"/>
      <c r="CU795" s="43"/>
      <c r="CV795" s="43"/>
      <c r="CW795" s="43"/>
      <c r="CX795" s="43"/>
      <c r="CY795" s="43"/>
      <c r="CZ795" s="43"/>
      <c r="DA795" s="43"/>
      <c r="DB795" s="43"/>
      <c r="DC795" s="43"/>
      <c r="DD795" s="43"/>
      <c r="DE795" s="43"/>
      <c r="DF795" s="43"/>
      <c r="DG795" s="43"/>
      <c r="DH795" s="43"/>
      <c r="DI795" s="43"/>
      <c r="DJ795" s="43"/>
      <c r="DK795" s="43"/>
      <c r="DL795" s="43"/>
      <c r="DM795" s="43"/>
      <c r="DN795" s="43"/>
      <c r="DO795" s="43"/>
      <c r="DP795" s="43"/>
      <c r="DQ795" s="43"/>
      <c r="DR795" s="43"/>
      <c r="DS795" s="43"/>
      <c r="DT795" s="43"/>
      <c r="DU795" s="43"/>
      <c r="DV795" s="43"/>
      <c r="DW795" s="43"/>
      <c r="DX795" s="43"/>
      <c r="DY795" s="43"/>
      <c r="DZ795" s="43"/>
      <c r="EA795" s="43"/>
      <c r="EB795" s="43"/>
      <c r="EC795" s="43"/>
      <c r="ED795" s="43"/>
      <c r="EE795" s="43"/>
      <c r="EF795" s="43"/>
      <c r="EG795" s="43"/>
      <c r="EH795" s="43"/>
      <c r="EI795" s="43"/>
      <c r="EJ795" s="43"/>
      <c r="EK795" s="43"/>
      <c r="EL795" s="43"/>
      <c r="EM795" s="43"/>
      <c r="EN795" s="43"/>
      <c r="EO795" s="43"/>
      <c r="EP795" s="43"/>
      <c r="EQ795" s="43"/>
      <c r="ER795" s="43"/>
      <c r="ES795" s="43"/>
      <c r="ET795" s="50"/>
      <c r="EU795" s="50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  <c r="AX796" s="43"/>
      <c r="AY796" s="43"/>
      <c r="AZ796" s="43"/>
      <c r="BA796" s="43"/>
      <c r="BB796" s="43"/>
      <c r="BC796" s="43"/>
      <c r="BD796" s="43"/>
      <c r="BE796" s="43"/>
      <c r="BF796" s="43"/>
      <c r="BG796" s="43"/>
      <c r="BH796" s="43"/>
      <c r="BI796" s="43"/>
      <c r="BJ796" s="43"/>
      <c r="BK796" s="43"/>
      <c r="BL796" s="43"/>
      <c r="BM796" s="43"/>
      <c r="BN796" s="43"/>
      <c r="BO796" s="43"/>
      <c r="BP796" s="43"/>
      <c r="BQ796" s="43"/>
      <c r="BR796" s="43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43"/>
      <c r="CF796" s="43"/>
      <c r="CG796" s="43"/>
      <c r="CH796" s="43"/>
      <c r="CI796" s="43"/>
      <c r="CJ796" s="43"/>
      <c r="CK796" s="43"/>
      <c r="CL796" s="43"/>
      <c r="CM796" s="43"/>
      <c r="CN796" s="43"/>
      <c r="CO796" s="43"/>
      <c r="CP796" s="43"/>
      <c r="CQ796" s="43"/>
      <c r="CR796" s="43"/>
      <c r="CS796" s="43"/>
      <c r="CT796" s="43"/>
      <c r="CU796" s="43"/>
      <c r="CV796" s="43"/>
      <c r="CW796" s="43"/>
      <c r="CX796" s="43"/>
      <c r="CY796" s="43"/>
      <c r="CZ796" s="43"/>
      <c r="DA796" s="43"/>
      <c r="DB796" s="43"/>
      <c r="DC796" s="43"/>
      <c r="DD796" s="43"/>
      <c r="DE796" s="43"/>
      <c r="DF796" s="43"/>
      <c r="DG796" s="43"/>
      <c r="DH796" s="43"/>
      <c r="DI796" s="43"/>
      <c r="DJ796" s="43"/>
      <c r="DK796" s="43"/>
      <c r="DL796" s="43"/>
      <c r="DM796" s="43"/>
      <c r="DN796" s="43"/>
      <c r="DO796" s="43"/>
      <c r="DP796" s="43"/>
      <c r="DQ796" s="43"/>
      <c r="DR796" s="43"/>
      <c r="DS796" s="43"/>
      <c r="DT796" s="43"/>
      <c r="DU796" s="43"/>
      <c r="DV796" s="43"/>
      <c r="DW796" s="43"/>
      <c r="DX796" s="43"/>
      <c r="DY796" s="43"/>
      <c r="DZ796" s="43"/>
      <c r="EA796" s="43"/>
      <c r="EB796" s="43"/>
      <c r="EC796" s="43"/>
      <c r="ED796" s="43"/>
      <c r="EE796" s="43"/>
      <c r="EF796" s="43"/>
      <c r="EG796" s="43"/>
      <c r="EH796" s="43"/>
      <c r="EI796" s="43"/>
      <c r="EJ796" s="43"/>
      <c r="EK796" s="43"/>
      <c r="EL796" s="43"/>
      <c r="EM796" s="43"/>
      <c r="EN796" s="43"/>
      <c r="EO796" s="43"/>
      <c r="EP796" s="43"/>
      <c r="EQ796" s="43"/>
      <c r="ER796" s="43"/>
      <c r="ES796" s="43"/>
      <c r="ET796" s="50"/>
      <c r="EU796" s="50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  <c r="AX797" s="43"/>
      <c r="AY797" s="43"/>
      <c r="AZ797" s="43"/>
      <c r="BA797" s="43"/>
      <c r="BB797" s="43"/>
      <c r="BC797" s="43"/>
      <c r="BD797" s="43"/>
      <c r="BE797" s="43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43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43"/>
      <c r="CF797" s="43"/>
      <c r="CG797" s="43"/>
      <c r="CH797" s="43"/>
      <c r="CI797" s="43"/>
      <c r="CJ797" s="43"/>
      <c r="CK797" s="43"/>
      <c r="CL797" s="43"/>
      <c r="CM797" s="43"/>
      <c r="CN797" s="43"/>
      <c r="CO797" s="43"/>
      <c r="CP797" s="43"/>
      <c r="CQ797" s="43"/>
      <c r="CR797" s="43"/>
      <c r="CS797" s="43"/>
      <c r="CT797" s="43"/>
      <c r="CU797" s="43"/>
      <c r="CV797" s="43"/>
      <c r="CW797" s="43"/>
      <c r="CX797" s="43"/>
      <c r="CY797" s="43"/>
      <c r="CZ797" s="43"/>
      <c r="DA797" s="43"/>
      <c r="DB797" s="43"/>
      <c r="DC797" s="43"/>
      <c r="DD797" s="43"/>
      <c r="DE797" s="43"/>
      <c r="DF797" s="43"/>
      <c r="DG797" s="43"/>
      <c r="DH797" s="43"/>
      <c r="DI797" s="43"/>
      <c r="DJ797" s="43"/>
      <c r="DK797" s="43"/>
      <c r="DL797" s="43"/>
      <c r="DM797" s="43"/>
      <c r="DN797" s="43"/>
      <c r="DO797" s="43"/>
      <c r="DP797" s="43"/>
      <c r="DQ797" s="43"/>
      <c r="DR797" s="43"/>
      <c r="DS797" s="43"/>
      <c r="DT797" s="43"/>
      <c r="DU797" s="43"/>
      <c r="DV797" s="43"/>
      <c r="DW797" s="43"/>
      <c r="DX797" s="43"/>
      <c r="DY797" s="43"/>
      <c r="DZ797" s="43"/>
      <c r="EA797" s="43"/>
      <c r="EB797" s="43"/>
      <c r="EC797" s="43"/>
      <c r="ED797" s="43"/>
      <c r="EE797" s="43"/>
      <c r="EF797" s="43"/>
      <c r="EG797" s="43"/>
      <c r="EH797" s="43"/>
      <c r="EI797" s="43"/>
      <c r="EJ797" s="43"/>
      <c r="EK797" s="43"/>
      <c r="EL797" s="43"/>
      <c r="EM797" s="43"/>
      <c r="EN797" s="43"/>
      <c r="EO797" s="43"/>
      <c r="EP797" s="43"/>
      <c r="EQ797" s="43"/>
      <c r="ER797" s="43"/>
      <c r="ES797" s="43"/>
      <c r="ET797" s="50"/>
      <c r="EU797" s="50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43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43"/>
      <c r="CF798" s="43"/>
      <c r="CG798" s="43"/>
      <c r="CH798" s="43"/>
      <c r="CI798" s="43"/>
      <c r="CJ798" s="43"/>
      <c r="CK798" s="43"/>
      <c r="CL798" s="43"/>
      <c r="CM798" s="43"/>
      <c r="CN798" s="43"/>
      <c r="CO798" s="43"/>
      <c r="CP798" s="43"/>
      <c r="CQ798" s="43"/>
      <c r="CR798" s="43"/>
      <c r="CS798" s="43"/>
      <c r="CT798" s="43"/>
      <c r="CU798" s="43"/>
      <c r="CV798" s="43"/>
      <c r="CW798" s="43"/>
      <c r="CX798" s="43"/>
      <c r="CY798" s="43"/>
      <c r="CZ798" s="43"/>
      <c r="DA798" s="43"/>
      <c r="DB798" s="43"/>
      <c r="DC798" s="43"/>
      <c r="DD798" s="43"/>
      <c r="DE798" s="43"/>
      <c r="DF798" s="43"/>
      <c r="DG798" s="43"/>
      <c r="DH798" s="43"/>
      <c r="DI798" s="43"/>
      <c r="DJ798" s="43"/>
      <c r="DK798" s="43"/>
      <c r="DL798" s="43"/>
      <c r="DM798" s="43"/>
      <c r="DN798" s="43"/>
      <c r="DO798" s="43"/>
      <c r="DP798" s="43"/>
      <c r="DQ798" s="43"/>
      <c r="DR798" s="43"/>
      <c r="DS798" s="43"/>
      <c r="DT798" s="43"/>
      <c r="DU798" s="43"/>
      <c r="DV798" s="43"/>
      <c r="DW798" s="43"/>
      <c r="DX798" s="43"/>
      <c r="DY798" s="43"/>
      <c r="DZ798" s="43"/>
      <c r="EA798" s="43"/>
      <c r="EB798" s="43"/>
      <c r="EC798" s="43"/>
      <c r="ED798" s="43"/>
      <c r="EE798" s="43"/>
      <c r="EF798" s="43"/>
      <c r="EG798" s="43"/>
      <c r="EH798" s="43"/>
      <c r="EI798" s="43"/>
      <c r="EJ798" s="43"/>
      <c r="EK798" s="43"/>
      <c r="EL798" s="43"/>
      <c r="EM798" s="43"/>
      <c r="EN798" s="43"/>
      <c r="EO798" s="43"/>
      <c r="EP798" s="43"/>
      <c r="EQ798" s="43"/>
      <c r="ER798" s="43"/>
      <c r="ES798" s="43"/>
      <c r="ET798" s="50"/>
      <c r="EU798" s="50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  <c r="AX799" s="43"/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43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43"/>
      <c r="CF799" s="43"/>
      <c r="CG799" s="43"/>
      <c r="CH799" s="43"/>
      <c r="CI799" s="43"/>
      <c r="CJ799" s="43"/>
      <c r="CK799" s="43"/>
      <c r="CL799" s="43"/>
      <c r="CM799" s="43"/>
      <c r="CN799" s="43"/>
      <c r="CO799" s="43"/>
      <c r="CP799" s="43"/>
      <c r="CQ799" s="43"/>
      <c r="CR799" s="43"/>
      <c r="CS799" s="43"/>
      <c r="CT799" s="43"/>
      <c r="CU799" s="43"/>
      <c r="CV799" s="43"/>
      <c r="CW799" s="43"/>
      <c r="CX799" s="43"/>
      <c r="CY799" s="43"/>
      <c r="CZ799" s="43"/>
      <c r="DA799" s="43"/>
      <c r="DB799" s="43"/>
      <c r="DC799" s="43"/>
      <c r="DD799" s="43"/>
      <c r="DE799" s="43"/>
      <c r="DF799" s="43"/>
      <c r="DG799" s="43"/>
      <c r="DH799" s="43"/>
      <c r="DI799" s="43"/>
      <c r="DJ799" s="43"/>
      <c r="DK799" s="43"/>
      <c r="DL799" s="43"/>
      <c r="DM799" s="43"/>
      <c r="DN799" s="43"/>
      <c r="DO799" s="43"/>
      <c r="DP799" s="43"/>
      <c r="DQ799" s="43"/>
      <c r="DR799" s="43"/>
      <c r="DS799" s="43"/>
      <c r="DT799" s="43"/>
      <c r="DU799" s="43"/>
      <c r="DV799" s="43"/>
      <c r="DW799" s="43"/>
      <c r="DX799" s="43"/>
      <c r="DY799" s="43"/>
      <c r="DZ799" s="43"/>
      <c r="EA799" s="43"/>
      <c r="EB799" s="43"/>
      <c r="EC799" s="43"/>
      <c r="ED799" s="43"/>
      <c r="EE799" s="43"/>
      <c r="EF799" s="43"/>
      <c r="EG799" s="43"/>
      <c r="EH799" s="43"/>
      <c r="EI799" s="43"/>
      <c r="EJ799" s="43"/>
      <c r="EK799" s="43"/>
      <c r="EL799" s="43"/>
      <c r="EM799" s="43"/>
      <c r="EN799" s="43"/>
      <c r="EO799" s="43"/>
      <c r="EP799" s="43"/>
      <c r="EQ799" s="43"/>
      <c r="ER799" s="43"/>
      <c r="ES799" s="43"/>
      <c r="ET799" s="50"/>
      <c r="EU799" s="50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  <c r="AX800" s="43"/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43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43"/>
      <c r="CF800" s="43"/>
      <c r="CG800" s="43"/>
      <c r="CH800" s="43"/>
      <c r="CI800" s="43"/>
      <c r="CJ800" s="43"/>
      <c r="CK800" s="43"/>
      <c r="CL800" s="43"/>
      <c r="CM800" s="43"/>
      <c r="CN800" s="43"/>
      <c r="CO800" s="43"/>
      <c r="CP800" s="43"/>
      <c r="CQ800" s="43"/>
      <c r="CR800" s="43"/>
      <c r="CS800" s="43"/>
      <c r="CT800" s="43"/>
      <c r="CU800" s="43"/>
      <c r="CV800" s="43"/>
      <c r="CW800" s="43"/>
      <c r="CX800" s="43"/>
      <c r="CY800" s="43"/>
      <c r="CZ800" s="43"/>
      <c r="DA800" s="43"/>
      <c r="DB800" s="43"/>
      <c r="DC800" s="43"/>
      <c r="DD800" s="43"/>
      <c r="DE800" s="43"/>
      <c r="DF800" s="43"/>
      <c r="DG800" s="43"/>
      <c r="DH800" s="43"/>
      <c r="DI800" s="43"/>
      <c r="DJ800" s="43"/>
      <c r="DK800" s="43"/>
      <c r="DL800" s="43"/>
      <c r="DM800" s="43"/>
      <c r="DN800" s="43"/>
      <c r="DO800" s="43"/>
      <c r="DP800" s="43"/>
      <c r="DQ800" s="43"/>
      <c r="DR800" s="43"/>
      <c r="DS800" s="43"/>
      <c r="DT800" s="43"/>
      <c r="DU800" s="43"/>
      <c r="DV800" s="43"/>
      <c r="DW800" s="43"/>
      <c r="DX800" s="43"/>
      <c r="DY800" s="43"/>
      <c r="DZ800" s="43"/>
      <c r="EA800" s="43"/>
      <c r="EB800" s="43"/>
      <c r="EC800" s="43"/>
      <c r="ED800" s="43"/>
      <c r="EE800" s="43"/>
      <c r="EF800" s="43"/>
      <c r="EG800" s="43"/>
      <c r="EH800" s="43"/>
      <c r="EI800" s="43"/>
      <c r="EJ800" s="43"/>
      <c r="EK800" s="43"/>
      <c r="EL800" s="43"/>
      <c r="EM800" s="43"/>
      <c r="EN800" s="43"/>
      <c r="EO800" s="43"/>
      <c r="EP800" s="43"/>
      <c r="EQ800" s="43"/>
      <c r="ER800" s="43"/>
      <c r="ES800" s="43"/>
      <c r="ET800" s="50"/>
      <c r="EU800" s="50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43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43"/>
      <c r="CF801" s="43"/>
      <c r="CG801" s="43"/>
      <c r="CH801" s="43"/>
      <c r="CI801" s="43"/>
      <c r="CJ801" s="43"/>
      <c r="CK801" s="43"/>
      <c r="CL801" s="43"/>
      <c r="CM801" s="43"/>
      <c r="CN801" s="43"/>
      <c r="CO801" s="43"/>
      <c r="CP801" s="43"/>
      <c r="CQ801" s="43"/>
      <c r="CR801" s="43"/>
      <c r="CS801" s="43"/>
      <c r="CT801" s="43"/>
      <c r="CU801" s="43"/>
      <c r="CV801" s="43"/>
      <c r="CW801" s="43"/>
      <c r="CX801" s="43"/>
      <c r="CY801" s="43"/>
      <c r="CZ801" s="43"/>
      <c r="DA801" s="43"/>
      <c r="DB801" s="43"/>
      <c r="DC801" s="43"/>
      <c r="DD801" s="43"/>
      <c r="DE801" s="43"/>
      <c r="DF801" s="43"/>
      <c r="DG801" s="43"/>
      <c r="DH801" s="43"/>
      <c r="DI801" s="43"/>
      <c r="DJ801" s="43"/>
      <c r="DK801" s="43"/>
      <c r="DL801" s="43"/>
      <c r="DM801" s="43"/>
      <c r="DN801" s="43"/>
      <c r="DO801" s="43"/>
      <c r="DP801" s="43"/>
      <c r="DQ801" s="43"/>
      <c r="DR801" s="43"/>
      <c r="DS801" s="43"/>
      <c r="DT801" s="43"/>
      <c r="DU801" s="43"/>
      <c r="DV801" s="43"/>
      <c r="DW801" s="43"/>
      <c r="DX801" s="43"/>
      <c r="DY801" s="43"/>
      <c r="DZ801" s="43"/>
      <c r="EA801" s="43"/>
      <c r="EB801" s="43"/>
      <c r="EC801" s="43"/>
      <c r="ED801" s="43"/>
      <c r="EE801" s="43"/>
      <c r="EF801" s="43"/>
      <c r="EG801" s="43"/>
      <c r="EH801" s="43"/>
      <c r="EI801" s="43"/>
      <c r="EJ801" s="43"/>
      <c r="EK801" s="43"/>
      <c r="EL801" s="43"/>
      <c r="EM801" s="43"/>
      <c r="EN801" s="43"/>
      <c r="EO801" s="43"/>
      <c r="EP801" s="43"/>
      <c r="EQ801" s="43"/>
      <c r="ER801" s="43"/>
      <c r="ES801" s="43"/>
      <c r="ET801" s="50"/>
      <c r="EU801" s="50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  <c r="AX802" s="43"/>
      <c r="AY802" s="43"/>
      <c r="AZ802" s="43"/>
      <c r="BA802" s="43"/>
      <c r="BB802" s="43"/>
      <c r="BC802" s="43"/>
      <c r="BD802" s="43"/>
      <c r="BE802" s="43"/>
      <c r="BF802" s="43"/>
      <c r="BG802" s="43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R802" s="43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43"/>
      <c r="CF802" s="43"/>
      <c r="CG802" s="43"/>
      <c r="CH802" s="43"/>
      <c r="CI802" s="43"/>
      <c r="CJ802" s="43"/>
      <c r="CK802" s="43"/>
      <c r="CL802" s="43"/>
      <c r="CM802" s="43"/>
      <c r="CN802" s="43"/>
      <c r="CO802" s="43"/>
      <c r="CP802" s="43"/>
      <c r="CQ802" s="43"/>
      <c r="CR802" s="43"/>
      <c r="CS802" s="43"/>
      <c r="CT802" s="43"/>
      <c r="CU802" s="43"/>
      <c r="CV802" s="43"/>
      <c r="CW802" s="43"/>
      <c r="CX802" s="43"/>
      <c r="CY802" s="43"/>
      <c r="CZ802" s="43"/>
      <c r="DA802" s="43"/>
      <c r="DB802" s="43"/>
      <c r="DC802" s="43"/>
      <c r="DD802" s="43"/>
      <c r="DE802" s="43"/>
      <c r="DF802" s="43"/>
      <c r="DG802" s="43"/>
      <c r="DH802" s="43"/>
      <c r="DI802" s="43"/>
      <c r="DJ802" s="43"/>
      <c r="DK802" s="43"/>
      <c r="DL802" s="43"/>
      <c r="DM802" s="43"/>
      <c r="DN802" s="43"/>
      <c r="DO802" s="43"/>
      <c r="DP802" s="43"/>
      <c r="DQ802" s="43"/>
      <c r="DR802" s="43"/>
      <c r="DS802" s="43"/>
      <c r="DT802" s="43"/>
      <c r="DU802" s="43"/>
      <c r="DV802" s="43"/>
      <c r="DW802" s="43"/>
      <c r="DX802" s="43"/>
      <c r="DY802" s="43"/>
      <c r="DZ802" s="43"/>
      <c r="EA802" s="43"/>
      <c r="EB802" s="43"/>
      <c r="EC802" s="43"/>
      <c r="ED802" s="43"/>
      <c r="EE802" s="43"/>
      <c r="EF802" s="43"/>
      <c r="EG802" s="43"/>
      <c r="EH802" s="43"/>
      <c r="EI802" s="43"/>
      <c r="EJ802" s="43"/>
      <c r="EK802" s="43"/>
      <c r="EL802" s="43"/>
      <c r="EM802" s="43"/>
      <c r="EN802" s="43"/>
      <c r="EO802" s="43"/>
      <c r="EP802" s="43"/>
      <c r="EQ802" s="43"/>
      <c r="ER802" s="43"/>
      <c r="ES802" s="43"/>
      <c r="ET802" s="50"/>
      <c r="EU802" s="50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  <c r="AX803" s="43"/>
      <c r="AY803" s="43"/>
      <c r="AZ803" s="43"/>
      <c r="BA803" s="43"/>
      <c r="BB803" s="43"/>
      <c r="BC803" s="43"/>
      <c r="BD803" s="43"/>
      <c r="BE803" s="43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43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43"/>
      <c r="CF803" s="43"/>
      <c r="CG803" s="43"/>
      <c r="CH803" s="43"/>
      <c r="CI803" s="43"/>
      <c r="CJ803" s="43"/>
      <c r="CK803" s="43"/>
      <c r="CL803" s="43"/>
      <c r="CM803" s="43"/>
      <c r="CN803" s="43"/>
      <c r="CO803" s="43"/>
      <c r="CP803" s="43"/>
      <c r="CQ803" s="43"/>
      <c r="CR803" s="43"/>
      <c r="CS803" s="43"/>
      <c r="CT803" s="43"/>
      <c r="CU803" s="43"/>
      <c r="CV803" s="43"/>
      <c r="CW803" s="43"/>
      <c r="CX803" s="43"/>
      <c r="CY803" s="43"/>
      <c r="CZ803" s="43"/>
      <c r="DA803" s="43"/>
      <c r="DB803" s="43"/>
      <c r="DC803" s="43"/>
      <c r="DD803" s="43"/>
      <c r="DE803" s="43"/>
      <c r="DF803" s="43"/>
      <c r="DG803" s="43"/>
      <c r="DH803" s="43"/>
      <c r="DI803" s="43"/>
      <c r="DJ803" s="43"/>
      <c r="DK803" s="43"/>
      <c r="DL803" s="43"/>
      <c r="DM803" s="43"/>
      <c r="DN803" s="43"/>
      <c r="DO803" s="43"/>
      <c r="DP803" s="43"/>
      <c r="DQ803" s="43"/>
      <c r="DR803" s="43"/>
      <c r="DS803" s="43"/>
      <c r="DT803" s="43"/>
      <c r="DU803" s="43"/>
      <c r="DV803" s="43"/>
      <c r="DW803" s="43"/>
      <c r="DX803" s="43"/>
      <c r="DY803" s="43"/>
      <c r="DZ803" s="43"/>
      <c r="EA803" s="43"/>
      <c r="EB803" s="43"/>
      <c r="EC803" s="43"/>
      <c r="ED803" s="43"/>
      <c r="EE803" s="43"/>
      <c r="EF803" s="43"/>
      <c r="EG803" s="43"/>
      <c r="EH803" s="43"/>
      <c r="EI803" s="43"/>
      <c r="EJ803" s="43"/>
      <c r="EK803" s="43"/>
      <c r="EL803" s="43"/>
      <c r="EM803" s="43"/>
      <c r="EN803" s="43"/>
      <c r="EO803" s="43"/>
      <c r="EP803" s="43"/>
      <c r="EQ803" s="43"/>
      <c r="ER803" s="43"/>
      <c r="ES803" s="43"/>
      <c r="ET803" s="50"/>
      <c r="EU803" s="50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  <c r="AX804" s="43"/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43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43"/>
      <c r="CF804" s="43"/>
      <c r="CG804" s="43"/>
      <c r="CH804" s="43"/>
      <c r="CI804" s="43"/>
      <c r="CJ804" s="43"/>
      <c r="CK804" s="43"/>
      <c r="CL804" s="43"/>
      <c r="CM804" s="43"/>
      <c r="CN804" s="43"/>
      <c r="CO804" s="43"/>
      <c r="CP804" s="43"/>
      <c r="CQ804" s="43"/>
      <c r="CR804" s="43"/>
      <c r="CS804" s="43"/>
      <c r="CT804" s="43"/>
      <c r="CU804" s="43"/>
      <c r="CV804" s="43"/>
      <c r="CW804" s="43"/>
      <c r="CX804" s="43"/>
      <c r="CY804" s="43"/>
      <c r="CZ804" s="43"/>
      <c r="DA804" s="43"/>
      <c r="DB804" s="43"/>
      <c r="DC804" s="43"/>
      <c r="DD804" s="43"/>
      <c r="DE804" s="43"/>
      <c r="DF804" s="43"/>
      <c r="DG804" s="43"/>
      <c r="DH804" s="43"/>
      <c r="DI804" s="43"/>
      <c r="DJ804" s="43"/>
      <c r="DK804" s="43"/>
      <c r="DL804" s="43"/>
      <c r="DM804" s="43"/>
      <c r="DN804" s="43"/>
      <c r="DO804" s="43"/>
      <c r="DP804" s="43"/>
      <c r="DQ804" s="43"/>
      <c r="DR804" s="43"/>
      <c r="DS804" s="43"/>
      <c r="DT804" s="43"/>
      <c r="DU804" s="43"/>
      <c r="DV804" s="43"/>
      <c r="DW804" s="43"/>
      <c r="DX804" s="43"/>
      <c r="DY804" s="43"/>
      <c r="DZ804" s="43"/>
      <c r="EA804" s="43"/>
      <c r="EB804" s="43"/>
      <c r="EC804" s="43"/>
      <c r="ED804" s="43"/>
      <c r="EE804" s="43"/>
      <c r="EF804" s="43"/>
      <c r="EG804" s="43"/>
      <c r="EH804" s="43"/>
      <c r="EI804" s="43"/>
      <c r="EJ804" s="43"/>
      <c r="EK804" s="43"/>
      <c r="EL804" s="43"/>
      <c r="EM804" s="43"/>
      <c r="EN804" s="43"/>
      <c r="EO804" s="43"/>
      <c r="EP804" s="43"/>
      <c r="EQ804" s="43"/>
      <c r="ER804" s="43"/>
      <c r="ES804" s="43"/>
      <c r="ET804" s="50"/>
      <c r="EU804" s="50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43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43"/>
      <c r="CF805" s="43"/>
      <c r="CG805" s="43"/>
      <c r="CH805" s="43"/>
      <c r="CI805" s="43"/>
      <c r="CJ805" s="43"/>
      <c r="CK805" s="43"/>
      <c r="CL805" s="43"/>
      <c r="CM805" s="43"/>
      <c r="CN805" s="43"/>
      <c r="CO805" s="43"/>
      <c r="CP805" s="43"/>
      <c r="CQ805" s="43"/>
      <c r="CR805" s="43"/>
      <c r="CS805" s="43"/>
      <c r="CT805" s="43"/>
      <c r="CU805" s="43"/>
      <c r="CV805" s="43"/>
      <c r="CW805" s="43"/>
      <c r="CX805" s="43"/>
      <c r="CY805" s="43"/>
      <c r="CZ805" s="43"/>
      <c r="DA805" s="43"/>
      <c r="DB805" s="43"/>
      <c r="DC805" s="43"/>
      <c r="DD805" s="43"/>
      <c r="DE805" s="43"/>
      <c r="DF805" s="43"/>
      <c r="DG805" s="43"/>
      <c r="DH805" s="43"/>
      <c r="DI805" s="43"/>
      <c r="DJ805" s="43"/>
      <c r="DK805" s="43"/>
      <c r="DL805" s="43"/>
      <c r="DM805" s="43"/>
      <c r="DN805" s="43"/>
      <c r="DO805" s="43"/>
      <c r="DP805" s="43"/>
      <c r="DQ805" s="43"/>
      <c r="DR805" s="43"/>
      <c r="DS805" s="43"/>
      <c r="DT805" s="43"/>
      <c r="DU805" s="43"/>
      <c r="DV805" s="43"/>
      <c r="DW805" s="43"/>
      <c r="DX805" s="43"/>
      <c r="DY805" s="43"/>
      <c r="DZ805" s="43"/>
      <c r="EA805" s="43"/>
      <c r="EB805" s="43"/>
      <c r="EC805" s="43"/>
      <c r="ED805" s="43"/>
      <c r="EE805" s="43"/>
      <c r="EF805" s="43"/>
      <c r="EG805" s="43"/>
      <c r="EH805" s="43"/>
      <c r="EI805" s="43"/>
      <c r="EJ805" s="43"/>
      <c r="EK805" s="43"/>
      <c r="EL805" s="43"/>
      <c r="EM805" s="43"/>
      <c r="EN805" s="43"/>
      <c r="EO805" s="43"/>
      <c r="EP805" s="43"/>
      <c r="EQ805" s="43"/>
      <c r="ER805" s="43"/>
      <c r="ES805" s="43"/>
      <c r="ET805" s="50"/>
      <c r="EU805" s="50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  <c r="AX806" s="43"/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43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43"/>
      <c r="CF806" s="43"/>
      <c r="CG806" s="43"/>
      <c r="CH806" s="43"/>
      <c r="CI806" s="43"/>
      <c r="CJ806" s="43"/>
      <c r="CK806" s="43"/>
      <c r="CL806" s="43"/>
      <c r="CM806" s="43"/>
      <c r="CN806" s="43"/>
      <c r="CO806" s="43"/>
      <c r="CP806" s="43"/>
      <c r="CQ806" s="43"/>
      <c r="CR806" s="43"/>
      <c r="CS806" s="43"/>
      <c r="CT806" s="43"/>
      <c r="CU806" s="43"/>
      <c r="CV806" s="43"/>
      <c r="CW806" s="43"/>
      <c r="CX806" s="43"/>
      <c r="CY806" s="43"/>
      <c r="CZ806" s="43"/>
      <c r="DA806" s="43"/>
      <c r="DB806" s="43"/>
      <c r="DC806" s="43"/>
      <c r="DD806" s="43"/>
      <c r="DE806" s="43"/>
      <c r="DF806" s="43"/>
      <c r="DG806" s="43"/>
      <c r="DH806" s="43"/>
      <c r="DI806" s="43"/>
      <c r="DJ806" s="43"/>
      <c r="DK806" s="43"/>
      <c r="DL806" s="43"/>
      <c r="DM806" s="43"/>
      <c r="DN806" s="43"/>
      <c r="DO806" s="43"/>
      <c r="DP806" s="43"/>
      <c r="DQ806" s="43"/>
      <c r="DR806" s="43"/>
      <c r="DS806" s="43"/>
      <c r="DT806" s="43"/>
      <c r="DU806" s="43"/>
      <c r="DV806" s="43"/>
      <c r="DW806" s="43"/>
      <c r="DX806" s="43"/>
      <c r="DY806" s="43"/>
      <c r="DZ806" s="43"/>
      <c r="EA806" s="43"/>
      <c r="EB806" s="43"/>
      <c r="EC806" s="43"/>
      <c r="ED806" s="43"/>
      <c r="EE806" s="43"/>
      <c r="EF806" s="43"/>
      <c r="EG806" s="43"/>
      <c r="EH806" s="43"/>
      <c r="EI806" s="43"/>
      <c r="EJ806" s="43"/>
      <c r="EK806" s="43"/>
      <c r="EL806" s="43"/>
      <c r="EM806" s="43"/>
      <c r="EN806" s="43"/>
      <c r="EO806" s="43"/>
      <c r="EP806" s="43"/>
      <c r="EQ806" s="43"/>
      <c r="ER806" s="43"/>
      <c r="ES806" s="43"/>
      <c r="ET806" s="50"/>
      <c r="EU806" s="50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  <c r="AX807" s="43"/>
      <c r="AY807" s="43"/>
      <c r="AZ807" s="43"/>
      <c r="BA807" s="43"/>
      <c r="BB807" s="43"/>
      <c r="BC807" s="43"/>
      <c r="BD807" s="43"/>
      <c r="BE807" s="43"/>
      <c r="BF807" s="43"/>
      <c r="BG807" s="43"/>
      <c r="BH807" s="43"/>
      <c r="BI807" s="43"/>
      <c r="BJ807" s="43"/>
      <c r="BK807" s="43"/>
      <c r="BL807" s="43"/>
      <c r="BM807" s="43"/>
      <c r="BN807" s="43"/>
      <c r="BO807" s="43"/>
      <c r="BP807" s="43"/>
      <c r="BQ807" s="43"/>
      <c r="BR807" s="43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43"/>
      <c r="CF807" s="43"/>
      <c r="CG807" s="43"/>
      <c r="CH807" s="43"/>
      <c r="CI807" s="43"/>
      <c r="CJ807" s="43"/>
      <c r="CK807" s="43"/>
      <c r="CL807" s="43"/>
      <c r="CM807" s="43"/>
      <c r="CN807" s="43"/>
      <c r="CO807" s="43"/>
      <c r="CP807" s="43"/>
      <c r="CQ807" s="43"/>
      <c r="CR807" s="43"/>
      <c r="CS807" s="43"/>
      <c r="CT807" s="43"/>
      <c r="CU807" s="43"/>
      <c r="CV807" s="43"/>
      <c r="CW807" s="43"/>
      <c r="CX807" s="43"/>
      <c r="CY807" s="43"/>
      <c r="CZ807" s="43"/>
      <c r="DA807" s="43"/>
      <c r="DB807" s="43"/>
      <c r="DC807" s="43"/>
      <c r="DD807" s="43"/>
      <c r="DE807" s="43"/>
      <c r="DF807" s="43"/>
      <c r="DG807" s="43"/>
      <c r="DH807" s="43"/>
      <c r="DI807" s="43"/>
      <c r="DJ807" s="43"/>
      <c r="DK807" s="43"/>
      <c r="DL807" s="43"/>
      <c r="DM807" s="43"/>
      <c r="DN807" s="43"/>
      <c r="DO807" s="43"/>
      <c r="DP807" s="43"/>
      <c r="DQ807" s="43"/>
      <c r="DR807" s="43"/>
      <c r="DS807" s="43"/>
      <c r="DT807" s="43"/>
      <c r="DU807" s="43"/>
      <c r="DV807" s="43"/>
      <c r="DW807" s="43"/>
      <c r="DX807" s="43"/>
      <c r="DY807" s="43"/>
      <c r="DZ807" s="43"/>
      <c r="EA807" s="43"/>
      <c r="EB807" s="43"/>
      <c r="EC807" s="43"/>
      <c r="ED807" s="43"/>
      <c r="EE807" s="43"/>
      <c r="EF807" s="43"/>
      <c r="EG807" s="43"/>
      <c r="EH807" s="43"/>
      <c r="EI807" s="43"/>
      <c r="EJ807" s="43"/>
      <c r="EK807" s="43"/>
      <c r="EL807" s="43"/>
      <c r="EM807" s="43"/>
      <c r="EN807" s="43"/>
      <c r="EO807" s="43"/>
      <c r="EP807" s="43"/>
      <c r="EQ807" s="43"/>
      <c r="ER807" s="43"/>
      <c r="ES807" s="43"/>
      <c r="ET807" s="50"/>
      <c r="EU807" s="50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  <c r="AX808" s="43"/>
      <c r="AY808" s="43"/>
      <c r="AZ808" s="43"/>
      <c r="BA808" s="43"/>
      <c r="BB808" s="43"/>
      <c r="BC808" s="43"/>
      <c r="BD808" s="43"/>
      <c r="BE808" s="43"/>
      <c r="BF808" s="43"/>
      <c r="BG808" s="43"/>
      <c r="BH808" s="43"/>
      <c r="BI808" s="43"/>
      <c r="BJ808" s="43"/>
      <c r="BK808" s="43"/>
      <c r="BL808" s="43"/>
      <c r="BM808" s="43"/>
      <c r="BN808" s="43"/>
      <c r="BO808" s="43"/>
      <c r="BP808" s="43"/>
      <c r="BQ808" s="43"/>
      <c r="BR808" s="43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43"/>
      <c r="CF808" s="43"/>
      <c r="CG808" s="43"/>
      <c r="CH808" s="43"/>
      <c r="CI808" s="43"/>
      <c r="CJ808" s="43"/>
      <c r="CK808" s="43"/>
      <c r="CL808" s="43"/>
      <c r="CM808" s="43"/>
      <c r="CN808" s="43"/>
      <c r="CO808" s="43"/>
      <c r="CP808" s="43"/>
      <c r="CQ808" s="43"/>
      <c r="CR808" s="43"/>
      <c r="CS808" s="43"/>
      <c r="CT808" s="43"/>
      <c r="CU808" s="43"/>
      <c r="CV808" s="43"/>
      <c r="CW808" s="43"/>
      <c r="CX808" s="43"/>
      <c r="CY808" s="43"/>
      <c r="CZ808" s="43"/>
      <c r="DA808" s="43"/>
      <c r="DB808" s="43"/>
      <c r="DC808" s="43"/>
      <c r="DD808" s="43"/>
      <c r="DE808" s="43"/>
      <c r="DF808" s="43"/>
      <c r="DG808" s="43"/>
      <c r="DH808" s="43"/>
      <c r="DI808" s="43"/>
      <c r="DJ808" s="43"/>
      <c r="DK808" s="43"/>
      <c r="DL808" s="43"/>
      <c r="DM808" s="43"/>
      <c r="DN808" s="43"/>
      <c r="DO808" s="43"/>
      <c r="DP808" s="43"/>
      <c r="DQ808" s="43"/>
      <c r="DR808" s="43"/>
      <c r="DS808" s="43"/>
      <c r="DT808" s="43"/>
      <c r="DU808" s="43"/>
      <c r="DV808" s="43"/>
      <c r="DW808" s="43"/>
      <c r="DX808" s="43"/>
      <c r="DY808" s="43"/>
      <c r="DZ808" s="43"/>
      <c r="EA808" s="43"/>
      <c r="EB808" s="43"/>
      <c r="EC808" s="43"/>
      <c r="ED808" s="43"/>
      <c r="EE808" s="43"/>
      <c r="EF808" s="43"/>
      <c r="EG808" s="43"/>
      <c r="EH808" s="43"/>
      <c r="EI808" s="43"/>
      <c r="EJ808" s="43"/>
      <c r="EK808" s="43"/>
      <c r="EL808" s="43"/>
      <c r="EM808" s="43"/>
      <c r="EN808" s="43"/>
      <c r="EO808" s="43"/>
      <c r="EP808" s="43"/>
      <c r="EQ808" s="43"/>
      <c r="ER808" s="43"/>
      <c r="ES808" s="43"/>
      <c r="ET808" s="50"/>
      <c r="EU808" s="50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  <c r="AX809" s="43"/>
      <c r="AY809" s="43"/>
      <c r="AZ809" s="43"/>
      <c r="BA809" s="43"/>
      <c r="BB809" s="43"/>
      <c r="BC809" s="43"/>
      <c r="BD809" s="43"/>
      <c r="BE809" s="43"/>
      <c r="BF809" s="43"/>
      <c r="BG809" s="43"/>
      <c r="BH809" s="43"/>
      <c r="BI809" s="43"/>
      <c r="BJ809" s="43"/>
      <c r="BK809" s="43"/>
      <c r="BL809" s="43"/>
      <c r="BM809" s="43"/>
      <c r="BN809" s="43"/>
      <c r="BO809" s="43"/>
      <c r="BP809" s="43"/>
      <c r="BQ809" s="43"/>
      <c r="BR809" s="43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43"/>
      <c r="CF809" s="43"/>
      <c r="CG809" s="43"/>
      <c r="CH809" s="43"/>
      <c r="CI809" s="43"/>
      <c r="CJ809" s="43"/>
      <c r="CK809" s="43"/>
      <c r="CL809" s="43"/>
      <c r="CM809" s="43"/>
      <c r="CN809" s="43"/>
      <c r="CO809" s="43"/>
      <c r="CP809" s="43"/>
      <c r="CQ809" s="43"/>
      <c r="CR809" s="43"/>
      <c r="CS809" s="43"/>
      <c r="CT809" s="43"/>
      <c r="CU809" s="43"/>
      <c r="CV809" s="43"/>
      <c r="CW809" s="43"/>
      <c r="CX809" s="43"/>
      <c r="CY809" s="43"/>
      <c r="CZ809" s="43"/>
      <c r="DA809" s="43"/>
      <c r="DB809" s="43"/>
      <c r="DC809" s="43"/>
      <c r="DD809" s="43"/>
      <c r="DE809" s="43"/>
      <c r="DF809" s="43"/>
      <c r="DG809" s="43"/>
      <c r="DH809" s="43"/>
      <c r="DI809" s="43"/>
      <c r="DJ809" s="43"/>
      <c r="DK809" s="43"/>
      <c r="DL809" s="43"/>
      <c r="DM809" s="43"/>
      <c r="DN809" s="43"/>
      <c r="DO809" s="43"/>
      <c r="DP809" s="43"/>
      <c r="DQ809" s="43"/>
      <c r="DR809" s="43"/>
      <c r="DS809" s="43"/>
      <c r="DT809" s="43"/>
      <c r="DU809" s="43"/>
      <c r="DV809" s="43"/>
      <c r="DW809" s="43"/>
      <c r="DX809" s="43"/>
      <c r="DY809" s="43"/>
      <c r="DZ809" s="43"/>
      <c r="EA809" s="43"/>
      <c r="EB809" s="43"/>
      <c r="EC809" s="43"/>
      <c r="ED809" s="43"/>
      <c r="EE809" s="43"/>
      <c r="EF809" s="43"/>
      <c r="EG809" s="43"/>
      <c r="EH809" s="43"/>
      <c r="EI809" s="43"/>
      <c r="EJ809" s="43"/>
      <c r="EK809" s="43"/>
      <c r="EL809" s="43"/>
      <c r="EM809" s="43"/>
      <c r="EN809" s="43"/>
      <c r="EO809" s="43"/>
      <c r="EP809" s="43"/>
      <c r="EQ809" s="43"/>
      <c r="ER809" s="43"/>
      <c r="ES809" s="43"/>
      <c r="ET809" s="50"/>
      <c r="EU809" s="50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43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43"/>
      <c r="CF810" s="43"/>
      <c r="CG810" s="43"/>
      <c r="CH810" s="43"/>
      <c r="CI810" s="43"/>
      <c r="CJ810" s="43"/>
      <c r="CK810" s="43"/>
      <c r="CL810" s="43"/>
      <c r="CM810" s="43"/>
      <c r="CN810" s="43"/>
      <c r="CO810" s="43"/>
      <c r="CP810" s="43"/>
      <c r="CQ810" s="43"/>
      <c r="CR810" s="43"/>
      <c r="CS810" s="43"/>
      <c r="CT810" s="43"/>
      <c r="CU810" s="43"/>
      <c r="CV810" s="43"/>
      <c r="CW810" s="43"/>
      <c r="CX810" s="43"/>
      <c r="CY810" s="43"/>
      <c r="CZ810" s="43"/>
      <c r="DA810" s="43"/>
      <c r="DB810" s="43"/>
      <c r="DC810" s="43"/>
      <c r="DD810" s="43"/>
      <c r="DE810" s="43"/>
      <c r="DF810" s="43"/>
      <c r="DG810" s="43"/>
      <c r="DH810" s="43"/>
      <c r="DI810" s="43"/>
      <c r="DJ810" s="43"/>
      <c r="DK810" s="43"/>
      <c r="DL810" s="43"/>
      <c r="DM810" s="43"/>
      <c r="DN810" s="43"/>
      <c r="DO810" s="43"/>
      <c r="DP810" s="43"/>
      <c r="DQ810" s="43"/>
      <c r="DR810" s="43"/>
      <c r="DS810" s="43"/>
      <c r="DT810" s="43"/>
      <c r="DU810" s="43"/>
      <c r="DV810" s="43"/>
      <c r="DW810" s="43"/>
      <c r="DX810" s="43"/>
      <c r="DY810" s="43"/>
      <c r="DZ810" s="43"/>
      <c r="EA810" s="43"/>
      <c r="EB810" s="43"/>
      <c r="EC810" s="43"/>
      <c r="ED810" s="43"/>
      <c r="EE810" s="43"/>
      <c r="EF810" s="43"/>
      <c r="EG810" s="43"/>
      <c r="EH810" s="43"/>
      <c r="EI810" s="43"/>
      <c r="EJ810" s="43"/>
      <c r="EK810" s="43"/>
      <c r="EL810" s="43"/>
      <c r="EM810" s="43"/>
      <c r="EN810" s="43"/>
      <c r="EO810" s="43"/>
      <c r="EP810" s="43"/>
      <c r="EQ810" s="43"/>
      <c r="ER810" s="43"/>
      <c r="ES810" s="43"/>
      <c r="ET810" s="50"/>
      <c r="EU810" s="50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  <c r="AX811" s="43"/>
      <c r="AY811" s="43"/>
      <c r="AZ811" s="43"/>
      <c r="BA811" s="43"/>
      <c r="BB811" s="43"/>
      <c r="BC811" s="43"/>
      <c r="BD811" s="43"/>
      <c r="BE811" s="43"/>
      <c r="BF811" s="43"/>
      <c r="BG811" s="43"/>
      <c r="BH811" s="43"/>
      <c r="BI811" s="43"/>
      <c r="BJ811" s="43"/>
      <c r="BK811" s="43"/>
      <c r="BL811" s="43"/>
      <c r="BM811" s="43"/>
      <c r="BN811" s="43"/>
      <c r="BO811" s="43"/>
      <c r="BP811" s="43"/>
      <c r="BQ811" s="43"/>
      <c r="BR811" s="43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43"/>
      <c r="CF811" s="43"/>
      <c r="CG811" s="43"/>
      <c r="CH811" s="43"/>
      <c r="CI811" s="43"/>
      <c r="CJ811" s="43"/>
      <c r="CK811" s="43"/>
      <c r="CL811" s="43"/>
      <c r="CM811" s="43"/>
      <c r="CN811" s="43"/>
      <c r="CO811" s="43"/>
      <c r="CP811" s="43"/>
      <c r="CQ811" s="43"/>
      <c r="CR811" s="43"/>
      <c r="CS811" s="43"/>
      <c r="CT811" s="43"/>
      <c r="CU811" s="43"/>
      <c r="CV811" s="43"/>
      <c r="CW811" s="43"/>
      <c r="CX811" s="43"/>
      <c r="CY811" s="43"/>
      <c r="CZ811" s="43"/>
      <c r="DA811" s="43"/>
      <c r="DB811" s="43"/>
      <c r="DC811" s="43"/>
      <c r="DD811" s="43"/>
      <c r="DE811" s="43"/>
      <c r="DF811" s="43"/>
      <c r="DG811" s="43"/>
      <c r="DH811" s="43"/>
      <c r="DI811" s="43"/>
      <c r="DJ811" s="43"/>
      <c r="DK811" s="43"/>
      <c r="DL811" s="43"/>
      <c r="DM811" s="43"/>
      <c r="DN811" s="43"/>
      <c r="DO811" s="43"/>
      <c r="DP811" s="43"/>
      <c r="DQ811" s="43"/>
      <c r="DR811" s="43"/>
      <c r="DS811" s="43"/>
      <c r="DT811" s="43"/>
      <c r="DU811" s="43"/>
      <c r="DV811" s="43"/>
      <c r="DW811" s="43"/>
      <c r="DX811" s="43"/>
      <c r="DY811" s="43"/>
      <c r="DZ811" s="43"/>
      <c r="EA811" s="43"/>
      <c r="EB811" s="43"/>
      <c r="EC811" s="43"/>
      <c r="ED811" s="43"/>
      <c r="EE811" s="43"/>
      <c r="EF811" s="43"/>
      <c r="EG811" s="43"/>
      <c r="EH811" s="43"/>
      <c r="EI811" s="43"/>
      <c r="EJ811" s="43"/>
      <c r="EK811" s="43"/>
      <c r="EL811" s="43"/>
      <c r="EM811" s="43"/>
      <c r="EN811" s="43"/>
      <c r="EO811" s="43"/>
      <c r="EP811" s="43"/>
      <c r="EQ811" s="43"/>
      <c r="ER811" s="43"/>
      <c r="ES811" s="43"/>
      <c r="ET811" s="50"/>
      <c r="EU811" s="50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  <c r="AX812" s="43"/>
      <c r="AY812" s="43"/>
      <c r="AZ812" s="43"/>
      <c r="BA812" s="43"/>
      <c r="BB812" s="43"/>
      <c r="BC812" s="43"/>
      <c r="BD812" s="43"/>
      <c r="BE812" s="43"/>
      <c r="BF812" s="43"/>
      <c r="BG812" s="43"/>
      <c r="BH812" s="43"/>
      <c r="BI812" s="43"/>
      <c r="BJ812" s="43"/>
      <c r="BK812" s="43"/>
      <c r="BL812" s="43"/>
      <c r="BM812" s="43"/>
      <c r="BN812" s="43"/>
      <c r="BO812" s="43"/>
      <c r="BP812" s="43"/>
      <c r="BQ812" s="43"/>
      <c r="BR812" s="43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43"/>
      <c r="CF812" s="43"/>
      <c r="CG812" s="43"/>
      <c r="CH812" s="43"/>
      <c r="CI812" s="43"/>
      <c r="CJ812" s="43"/>
      <c r="CK812" s="43"/>
      <c r="CL812" s="43"/>
      <c r="CM812" s="43"/>
      <c r="CN812" s="43"/>
      <c r="CO812" s="43"/>
      <c r="CP812" s="43"/>
      <c r="CQ812" s="43"/>
      <c r="CR812" s="43"/>
      <c r="CS812" s="43"/>
      <c r="CT812" s="43"/>
      <c r="CU812" s="43"/>
      <c r="CV812" s="43"/>
      <c r="CW812" s="43"/>
      <c r="CX812" s="43"/>
      <c r="CY812" s="43"/>
      <c r="CZ812" s="43"/>
      <c r="DA812" s="43"/>
      <c r="DB812" s="43"/>
      <c r="DC812" s="43"/>
      <c r="DD812" s="43"/>
      <c r="DE812" s="43"/>
      <c r="DF812" s="43"/>
      <c r="DG812" s="43"/>
      <c r="DH812" s="43"/>
      <c r="DI812" s="43"/>
      <c r="DJ812" s="43"/>
      <c r="DK812" s="43"/>
      <c r="DL812" s="43"/>
      <c r="DM812" s="43"/>
      <c r="DN812" s="43"/>
      <c r="DO812" s="43"/>
      <c r="DP812" s="43"/>
      <c r="DQ812" s="43"/>
      <c r="DR812" s="43"/>
      <c r="DS812" s="43"/>
      <c r="DT812" s="43"/>
      <c r="DU812" s="43"/>
      <c r="DV812" s="43"/>
      <c r="DW812" s="43"/>
      <c r="DX812" s="43"/>
      <c r="DY812" s="43"/>
      <c r="DZ812" s="43"/>
      <c r="EA812" s="43"/>
      <c r="EB812" s="43"/>
      <c r="EC812" s="43"/>
      <c r="ED812" s="43"/>
      <c r="EE812" s="43"/>
      <c r="EF812" s="43"/>
      <c r="EG812" s="43"/>
      <c r="EH812" s="43"/>
      <c r="EI812" s="43"/>
      <c r="EJ812" s="43"/>
      <c r="EK812" s="43"/>
      <c r="EL812" s="43"/>
      <c r="EM812" s="43"/>
      <c r="EN812" s="43"/>
      <c r="EO812" s="43"/>
      <c r="EP812" s="43"/>
      <c r="EQ812" s="43"/>
      <c r="ER812" s="43"/>
      <c r="ES812" s="43"/>
      <c r="ET812" s="50"/>
      <c r="EU812" s="50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  <c r="AX813" s="43"/>
      <c r="AY813" s="43"/>
      <c r="AZ813" s="43"/>
      <c r="BA813" s="43"/>
      <c r="BB813" s="43"/>
      <c r="BC813" s="43"/>
      <c r="BD813" s="43"/>
      <c r="BE813" s="43"/>
      <c r="BF813" s="43"/>
      <c r="BG813" s="43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R813" s="43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43"/>
      <c r="CF813" s="43"/>
      <c r="CG813" s="43"/>
      <c r="CH813" s="43"/>
      <c r="CI813" s="43"/>
      <c r="CJ813" s="43"/>
      <c r="CK813" s="43"/>
      <c r="CL813" s="43"/>
      <c r="CM813" s="43"/>
      <c r="CN813" s="43"/>
      <c r="CO813" s="43"/>
      <c r="CP813" s="43"/>
      <c r="CQ813" s="43"/>
      <c r="CR813" s="43"/>
      <c r="CS813" s="43"/>
      <c r="CT813" s="43"/>
      <c r="CU813" s="43"/>
      <c r="CV813" s="43"/>
      <c r="CW813" s="43"/>
      <c r="CX813" s="43"/>
      <c r="CY813" s="43"/>
      <c r="CZ813" s="43"/>
      <c r="DA813" s="43"/>
      <c r="DB813" s="43"/>
      <c r="DC813" s="43"/>
      <c r="DD813" s="43"/>
      <c r="DE813" s="43"/>
      <c r="DF813" s="43"/>
      <c r="DG813" s="43"/>
      <c r="DH813" s="43"/>
      <c r="DI813" s="43"/>
      <c r="DJ813" s="43"/>
      <c r="DK813" s="43"/>
      <c r="DL813" s="43"/>
      <c r="DM813" s="43"/>
      <c r="DN813" s="43"/>
      <c r="DO813" s="43"/>
      <c r="DP813" s="43"/>
      <c r="DQ813" s="43"/>
      <c r="DR813" s="43"/>
      <c r="DS813" s="43"/>
      <c r="DT813" s="43"/>
      <c r="DU813" s="43"/>
      <c r="DV813" s="43"/>
      <c r="DW813" s="43"/>
      <c r="DX813" s="43"/>
      <c r="DY813" s="43"/>
      <c r="DZ813" s="43"/>
      <c r="EA813" s="43"/>
      <c r="EB813" s="43"/>
      <c r="EC813" s="43"/>
      <c r="ED813" s="43"/>
      <c r="EE813" s="43"/>
      <c r="EF813" s="43"/>
      <c r="EG813" s="43"/>
      <c r="EH813" s="43"/>
      <c r="EI813" s="43"/>
      <c r="EJ813" s="43"/>
      <c r="EK813" s="43"/>
      <c r="EL813" s="43"/>
      <c r="EM813" s="43"/>
      <c r="EN813" s="43"/>
      <c r="EO813" s="43"/>
      <c r="EP813" s="43"/>
      <c r="EQ813" s="43"/>
      <c r="ER813" s="43"/>
      <c r="ES813" s="43"/>
      <c r="ET813" s="50"/>
      <c r="EU813" s="50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43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43"/>
      <c r="CF814" s="43"/>
      <c r="CG814" s="43"/>
      <c r="CH814" s="43"/>
      <c r="CI814" s="43"/>
      <c r="CJ814" s="43"/>
      <c r="CK814" s="43"/>
      <c r="CL814" s="43"/>
      <c r="CM814" s="43"/>
      <c r="CN814" s="43"/>
      <c r="CO814" s="43"/>
      <c r="CP814" s="43"/>
      <c r="CQ814" s="43"/>
      <c r="CR814" s="43"/>
      <c r="CS814" s="43"/>
      <c r="CT814" s="43"/>
      <c r="CU814" s="43"/>
      <c r="CV814" s="43"/>
      <c r="CW814" s="43"/>
      <c r="CX814" s="43"/>
      <c r="CY814" s="43"/>
      <c r="CZ814" s="43"/>
      <c r="DA814" s="43"/>
      <c r="DB814" s="43"/>
      <c r="DC814" s="43"/>
      <c r="DD814" s="43"/>
      <c r="DE814" s="43"/>
      <c r="DF814" s="43"/>
      <c r="DG814" s="43"/>
      <c r="DH814" s="43"/>
      <c r="DI814" s="43"/>
      <c r="DJ814" s="43"/>
      <c r="DK814" s="43"/>
      <c r="DL814" s="43"/>
      <c r="DM814" s="43"/>
      <c r="DN814" s="43"/>
      <c r="DO814" s="43"/>
      <c r="DP814" s="43"/>
      <c r="DQ814" s="43"/>
      <c r="DR814" s="43"/>
      <c r="DS814" s="43"/>
      <c r="DT814" s="43"/>
      <c r="DU814" s="43"/>
      <c r="DV814" s="43"/>
      <c r="DW814" s="43"/>
      <c r="DX814" s="43"/>
      <c r="DY814" s="43"/>
      <c r="DZ814" s="43"/>
      <c r="EA814" s="43"/>
      <c r="EB814" s="43"/>
      <c r="EC814" s="43"/>
      <c r="ED814" s="43"/>
      <c r="EE814" s="43"/>
      <c r="EF814" s="43"/>
      <c r="EG814" s="43"/>
      <c r="EH814" s="43"/>
      <c r="EI814" s="43"/>
      <c r="EJ814" s="43"/>
      <c r="EK814" s="43"/>
      <c r="EL814" s="43"/>
      <c r="EM814" s="43"/>
      <c r="EN814" s="43"/>
      <c r="EO814" s="43"/>
      <c r="EP814" s="43"/>
      <c r="EQ814" s="43"/>
      <c r="ER814" s="43"/>
      <c r="ES814" s="43"/>
      <c r="ET814" s="50"/>
      <c r="EU814" s="50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  <c r="AX815" s="43"/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43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43"/>
      <c r="CF815" s="43"/>
      <c r="CG815" s="43"/>
      <c r="CH815" s="43"/>
      <c r="CI815" s="43"/>
      <c r="CJ815" s="43"/>
      <c r="CK815" s="43"/>
      <c r="CL815" s="43"/>
      <c r="CM815" s="43"/>
      <c r="CN815" s="43"/>
      <c r="CO815" s="43"/>
      <c r="CP815" s="43"/>
      <c r="CQ815" s="43"/>
      <c r="CR815" s="43"/>
      <c r="CS815" s="43"/>
      <c r="CT815" s="43"/>
      <c r="CU815" s="43"/>
      <c r="CV815" s="43"/>
      <c r="CW815" s="43"/>
      <c r="CX815" s="43"/>
      <c r="CY815" s="43"/>
      <c r="CZ815" s="43"/>
      <c r="DA815" s="43"/>
      <c r="DB815" s="43"/>
      <c r="DC815" s="43"/>
      <c r="DD815" s="43"/>
      <c r="DE815" s="43"/>
      <c r="DF815" s="43"/>
      <c r="DG815" s="43"/>
      <c r="DH815" s="43"/>
      <c r="DI815" s="43"/>
      <c r="DJ815" s="43"/>
      <c r="DK815" s="43"/>
      <c r="DL815" s="43"/>
      <c r="DM815" s="43"/>
      <c r="DN815" s="43"/>
      <c r="DO815" s="43"/>
      <c r="DP815" s="43"/>
      <c r="DQ815" s="43"/>
      <c r="DR815" s="43"/>
      <c r="DS815" s="43"/>
      <c r="DT815" s="43"/>
      <c r="DU815" s="43"/>
      <c r="DV815" s="43"/>
      <c r="DW815" s="43"/>
      <c r="DX815" s="43"/>
      <c r="DY815" s="43"/>
      <c r="DZ815" s="43"/>
      <c r="EA815" s="43"/>
      <c r="EB815" s="43"/>
      <c r="EC815" s="43"/>
      <c r="ED815" s="43"/>
      <c r="EE815" s="43"/>
      <c r="EF815" s="43"/>
      <c r="EG815" s="43"/>
      <c r="EH815" s="43"/>
      <c r="EI815" s="43"/>
      <c r="EJ815" s="43"/>
      <c r="EK815" s="43"/>
      <c r="EL815" s="43"/>
      <c r="EM815" s="43"/>
      <c r="EN815" s="43"/>
      <c r="EO815" s="43"/>
      <c r="EP815" s="43"/>
      <c r="EQ815" s="43"/>
      <c r="ER815" s="43"/>
      <c r="ES815" s="43"/>
      <c r="ET815" s="50"/>
      <c r="EU815" s="50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  <c r="AX816" s="43"/>
      <c r="AY816" s="43"/>
      <c r="AZ816" s="43"/>
      <c r="BA816" s="43"/>
      <c r="BB816" s="43"/>
      <c r="BC816" s="43"/>
      <c r="BD816" s="43"/>
      <c r="BE816" s="43"/>
      <c r="BF816" s="43"/>
      <c r="BG816" s="43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R816" s="43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43"/>
      <c r="CF816" s="43"/>
      <c r="CG816" s="43"/>
      <c r="CH816" s="43"/>
      <c r="CI816" s="43"/>
      <c r="CJ816" s="43"/>
      <c r="CK816" s="43"/>
      <c r="CL816" s="43"/>
      <c r="CM816" s="43"/>
      <c r="CN816" s="43"/>
      <c r="CO816" s="43"/>
      <c r="CP816" s="43"/>
      <c r="CQ816" s="43"/>
      <c r="CR816" s="43"/>
      <c r="CS816" s="43"/>
      <c r="CT816" s="43"/>
      <c r="CU816" s="43"/>
      <c r="CV816" s="43"/>
      <c r="CW816" s="43"/>
      <c r="CX816" s="43"/>
      <c r="CY816" s="43"/>
      <c r="CZ816" s="43"/>
      <c r="DA816" s="43"/>
      <c r="DB816" s="43"/>
      <c r="DC816" s="43"/>
      <c r="DD816" s="43"/>
      <c r="DE816" s="43"/>
      <c r="DF816" s="43"/>
      <c r="DG816" s="43"/>
      <c r="DH816" s="43"/>
      <c r="DI816" s="43"/>
      <c r="DJ816" s="43"/>
      <c r="DK816" s="43"/>
      <c r="DL816" s="43"/>
      <c r="DM816" s="43"/>
      <c r="DN816" s="43"/>
      <c r="DO816" s="43"/>
      <c r="DP816" s="43"/>
      <c r="DQ816" s="43"/>
      <c r="DR816" s="43"/>
      <c r="DS816" s="43"/>
      <c r="DT816" s="43"/>
      <c r="DU816" s="43"/>
      <c r="DV816" s="43"/>
      <c r="DW816" s="43"/>
      <c r="DX816" s="43"/>
      <c r="DY816" s="43"/>
      <c r="DZ816" s="43"/>
      <c r="EA816" s="43"/>
      <c r="EB816" s="43"/>
      <c r="EC816" s="43"/>
      <c r="ED816" s="43"/>
      <c r="EE816" s="43"/>
      <c r="EF816" s="43"/>
      <c r="EG816" s="43"/>
      <c r="EH816" s="43"/>
      <c r="EI816" s="43"/>
      <c r="EJ816" s="43"/>
      <c r="EK816" s="43"/>
      <c r="EL816" s="43"/>
      <c r="EM816" s="43"/>
      <c r="EN816" s="43"/>
      <c r="EO816" s="43"/>
      <c r="EP816" s="43"/>
      <c r="EQ816" s="43"/>
      <c r="ER816" s="43"/>
      <c r="ES816" s="43"/>
      <c r="ET816" s="50"/>
      <c r="EU816" s="50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  <c r="AX817" s="43"/>
      <c r="AY817" s="43"/>
      <c r="AZ817" s="43"/>
      <c r="BA817" s="43"/>
      <c r="BB817" s="43"/>
      <c r="BC817" s="43"/>
      <c r="BD817" s="43"/>
      <c r="BE817" s="43"/>
      <c r="BF817" s="43"/>
      <c r="BG817" s="43"/>
      <c r="BH817" s="43"/>
      <c r="BI817" s="43"/>
      <c r="BJ817" s="43"/>
      <c r="BK817" s="43"/>
      <c r="BL817" s="43"/>
      <c r="BM817" s="43"/>
      <c r="BN817" s="43"/>
      <c r="BO817" s="43"/>
      <c r="BP817" s="43"/>
      <c r="BQ817" s="43"/>
      <c r="BR817" s="43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43"/>
      <c r="CF817" s="43"/>
      <c r="CG817" s="43"/>
      <c r="CH817" s="43"/>
      <c r="CI817" s="43"/>
      <c r="CJ817" s="43"/>
      <c r="CK817" s="43"/>
      <c r="CL817" s="43"/>
      <c r="CM817" s="43"/>
      <c r="CN817" s="43"/>
      <c r="CO817" s="43"/>
      <c r="CP817" s="43"/>
      <c r="CQ817" s="43"/>
      <c r="CR817" s="43"/>
      <c r="CS817" s="43"/>
      <c r="CT817" s="43"/>
      <c r="CU817" s="43"/>
      <c r="CV817" s="43"/>
      <c r="CW817" s="43"/>
      <c r="CX817" s="43"/>
      <c r="CY817" s="43"/>
      <c r="CZ817" s="43"/>
      <c r="DA817" s="43"/>
      <c r="DB817" s="43"/>
      <c r="DC817" s="43"/>
      <c r="DD817" s="43"/>
      <c r="DE817" s="43"/>
      <c r="DF817" s="43"/>
      <c r="DG817" s="43"/>
      <c r="DH817" s="43"/>
      <c r="DI817" s="43"/>
      <c r="DJ817" s="43"/>
      <c r="DK817" s="43"/>
      <c r="DL817" s="43"/>
      <c r="DM817" s="43"/>
      <c r="DN817" s="43"/>
      <c r="DO817" s="43"/>
      <c r="DP817" s="43"/>
      <c r="DQ817" s="43"/>
      <c r="DR817" s="43"/>
      <c r="DS817" s="43"/>
      <c r="DT817" s="43"/>
      <c r="DU817" s="43"/>
      <c r="DV817" s="43"/>
      <c r="DW817" s="43"/>
      <c r="DX817" s="43"/>
      <c r="DY817" s="43"/>
      <c r="DZ817" s="43"/>
      <c r="EA817" s="43"/>
      <c r="EB817" s="43"/>
      <c r="EC817" s="43"/>
      <c r="ED817" s="43"/>
      <c r="EE817" s="43"/>
      <c r="EF817" s="43"/>
      <c r="EG817" s="43"/>
      <c r="EH817" s="43"/>
      <c r="EI817" s="43"/>
      <c r="EJ817" s="43"/>
      <c r="EK817" s="43"/>
      <c r="EL817" s="43"/>
      <c r="EM817" s="43"/>
      <c r="EN817" s="43"/>
      <c r="EO817" s="43"/>
      <c r="EP817" s="43"/>
      <c r="EQ817" s="43"/>
      <c r="ER817" s="43"/>
      <c r="ES817" s="43"/>
      <c r="ET817" s="50"/>
      <c r="EU817" s="50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  <c r="CR818" s="43"/>
      <c r="CS818" s="43"/>
      <c r="CT818" s="43"/>
      <c r="CU818" s="43"/>
      <c r="CV818" s="43"/>
      <c r="CW818" s="43"/>
      <c r="CX818" s="43"/>
      <c r="CY818" s="43"/>
      <c r="CZ818" s="43"/>
      <c r="DA818" s="43"/>
      <c r="DB818" s="43"/>
      <c r="DC818" s="43"/>
      <c r="DD818" s="43"/>
      <c r="DE818" s="43"/>
      <c r="DF818" s="43"/>
      <c r="DG818" s="43"/>
      <c r="DH818" s="43"/>
      <c r="DI818" s="43"/>
      <c r="DJ818" s="43"/>
      <c r="DK818" s="43"/>
      <c r="DL818" s="43"/>
      <c r="DM818" s="43"/>
      <c r="DN818" s="43"/>
      <c r="DO818" s="43"/>
      <c r="DP818" s="43"/>
      <c r="DQ818" s="43"/>
      <c r="DR818" s="43"/>
      <c r="DS818" s="43"/>
      <c r="DT818" s="43"/>
      <c r="DU818" s="43"/>
      <c r="DV818" s="43"/>
      <c r="DW818" s="43"/>
      <c r="DX818" s="43"/>
      <c r="DY818" s="43"/>
      <c r="DZ818" s="43"/>
      <c r="EA818" s="43"/>
      <c r="EB818" s="43"/>
      <c r="EC818" s="43"/>
      <c r="ED818" s="43"/>
      <c r="EE818" s="43"/>
      <c r="EF818" s="43"/>
      <c r="EG818" s="43"/>
      <c r="EH818" s="43"/>
      <c r="EI818" s="43"/>
      <c r="EJ818" s="43"/>
      <c r="EK818" s="43"/>
      <c r="EL818" s="43"/>
      <c r="EM818" s="43"/>
      <c r="EN818" s="43"/>
      <c r="EO818" s="43"/>
      <c r="EP818" s="43"/>
      <c r="EQ818" s="43"/>
      <c r="ER818" s="43"/>
      <c r="ES818" s="43"/>
      <c r="ET818" s="50"/>
      <c r="EU818" s="50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  <c r="AX819" s="43"/>
      <c r="AY819" s="43"/>
      <c r="AZ819" s="43"/>
      <c r="BA819" s="43"/>
      <c r="BB819" s="43"/>
      <c r="BC819" s="43"/>
      <c r="BD819" s="43"/>
      <c r="BE819" s="43"/>
      <c r="BF819" s="43"/>
      <c r="BG819" s="43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R819" s="43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43"/>
      <c r="CF819" s="43"/>
      <c r="CG819" s="43"/>
      <c r="CH819" s="43"/>
      <c r="CI819" s="43"/>
      <c r="CJ819" s="43"/>
      <c r="CK819" s="43"/>
      <c r="CL819" s="43"/>
      <c r="CM819" s="43"/>
      <c r="CN819" s="43"/>
      <c r="CO819" s="43"/>
      <c r="CP819" s="43"/>
      <c r="CQ819" s="43"/>
      <c r="CR819" s="43"/>
      <c r="CS819" s="43"/>
      <c r="CT819" s="43"/>
      <c r="CU819" s="43"/>
      <c r="CV819" s="43"/>
      <c r="CW819" s="43"/>
      <c r="CX819" s="43"/>
      <c r="CY819" s="43"/>
      <c r="CZ819" s="43"/>
      <c r="DA819" s="43"/>
      <c r="DB819" s="43"/>
      <c r="DC819" s="43"/>
      <c r="DD819" s="43"/>
      <c r="DE819" s="43"/>
      <c r="DF819" s="43"/>
      <c r="DG819" s="43"/>
      <c r="DH819" s="43"/>
      <c r="DI819" s="43"/>
      <c r="DJ819" s="43"/>
      <c r="DK819" s="43"/>
      <c r="DL819" s="43"/>
      <c r="DM819" s="43"/>
      <c r="DN819" s="43"/>
      <c r="DO819" s="43"/>
      <c r="DP819" s="43"/>
      <c r="DQ819" s="43"/>
      <c r="DR819" s="43"/>
      <c r="DS819" s="43"/>
      <c r="DT819" s="43"/>
      <c r="DU819" s="43"/>
      <c r="DV819" s="43"/>
      <c r="DW819" s="43"/>
      <c r="DX819" s="43"/>
      <c r="DY819" s="43"/>
      <c r="DZ819" s="43"/>
      <c r="EA819" s="43"/>
      <c r="EB819" s="43"/>
      <c r="EC819" s="43"/>
      <c r="ED819" s="43"/>
      <c r="EE819" s="43"/>
      <c r="EF819" s="43"/>
      <c r="EG819" s="43"/>
      <c r="EH819" s="43"/>
      <c r="EI819" s="43"/>
      <c r="EJ819" s="43"/>
      <c r="EK819" s="43"/>
      <c r="EL819" s="43"/>
      <c r="EM819" s="43"/>
      <c r="EN819" s="43"/>
      <c r="EO819" s="43"/>
      <c r="EP819" s="43"/>
      <c r="EQ819" s="43"/>
      <c r="ER819" s="43"/>
      <c r="ES819" s="43"/>
      <c r="ET819" s="50"/>
      <c r="EU819" s="50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  <c r="AX820" s="43"/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43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43"/>
      <c r="CF820" s="43"/>
      <c r="CG820" s="43"/>
      <c r="CH820" s="43"/>
      <c r="CI820" s="43"/>
      <c r="CJ820" s="43"/>
      <c r="CK820" s="43"/>
      <c r="CL820" s="43"/>
      <c r="CM820" s="43"/>
      <c r="CN820" s="43"/>
      <c r="CO820" s="43"/>
      <c r="CP820" s="43"/>
      <c r="CQ820" s="43"/>
      <c r="CR820" s="43"/>
      <c r="CS820" s="43"/>
      <c r="CT820" s="43"/>
      <c r="CU820" s="43"/>
      <c r="CV820" s="43"/>
      <c r="CW820" s="43"/>
      <c r="CX820" s="43"/>
      <c r="CY820" s="43"/>
      <c r="CZ820" s="43"/>
      <c r="DA820" s="43"/>
      <c r="DB820" s="43"/>
      <c r="DC820" s="43"/>
      <c r="DD820" s="43"/>
      <c r="DE820" s="43"/>
      <c r="DF820" s="43"/>
      <c r="DG820" s="43"/>
      <c r="DH820" s="43"/>
      <c r="DI820" s="43"/>
      <c r="DJ820" s="43"/>
      <c r="DK820" s="43"/>
      <c r="DL820" s="43"/>
      <c r="DM820" s="43"/>
      <c r="DN820" s="43"/>
      <c r="DO820" s="43"/>
      <c r="DP820" s="43"/>
      <c r="DQ820" s="43"/>
      <c r="DR820" s="43"/>
      <c r="DS820" s="43"/>
      <c r="DT820" s="43"/>
      <c r="DU820" s="43"/>
      <c r="DV820" s="43"/>
      <c r="DW820" s="43"/>
      <c r="DX820" s="43"/>
      <c r="DY820" s="43"/>
      <c r="DZ820" s="43"/>
      <c r="EA820" s="43"/>
      <c r="EB820" s="43"/>
      <c r="EC820" s="43"/>
      <c r="ED820" s="43"/>
      <c r="EE820" s="43"/>
      <c r="EF820" s="43"/>
      <c r="EG820" s="43"/>
      <c r="EH820" s="43"/>
      <c r="EI820" s="43"/>
      <c r="EJ820" s="43"/>
      <c r="EK820" s="43"/>
      <c r="EL820" s="43"/>
      <c r="EM820" s="43"/>
      <c r="EN820" s="43"/>
      <c r="EO820" s="43"/>
      <c r="EP820" s="43"/>
      <c r="EQ820" s="43"/>
      <c r="ER820" s="43"/>
      <c r="ES820" s="43"/>
      <c r="ET820" s="50"/>
      <c r="EU820" s="50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43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43"/>
      <c r="CF821" s="43"/>
      <c r="CG821" s="43"/>
      <c r="CH821" s="43"/>
      <c r="CI821" s="43"/>
      <c r="CJ821" s="43"/>
      <c r="CK821" s="43"/>
      <c r="CL821" s="43"/>
      <c r="CM821" s="43"/>
      <c r="CN821" s="43"/>
      <c r="CO821" s="43"/>
      <c r="CP821" s="43"/>
      <c r="CQ821" s="43"/>
      <c r="CR821" s="43"/>
      <c r="CS821" s="43"/>
      <c r="CT821" s="43"/>
      <c r="CU821" s="43"/>
      <c r="CV821" s="43"/>
      <c r="CW821" s="43"/>
      <c r="CX821" s="43"/>
      <c r="CY821" s="43"/>
      <c r="CZ821" s="43"/>
      <c r="DA821" s="43"/>
      <c r="DB821" s="43"/>
      <c r="DC821" s="43"/>
      <c r="DD821" s="43"/>
      <c r="DE821" s="43"/>
      <c r="DF821" s="43"/>
      <c r="DG821" s="43"/>
      <c r="DH821" s="43"/>
      <c r="DI821" s="43"/>
      <c r="DJ821" s="43"/>
      <c r="DK821" s="43"/>
      <c r="DL821" s="43"/>
      <c r="DM821" s="43"/>
      <c r="DN821" s="43"/>
      <c r="DO821" s="43"/>
      <c r="DP821" s="43"/>
      <c r="DQ821" s="43"/>
      <c r="DR821" s="43"/>
      <c r="DS821" s="43"/>
      <c r="DT821" s="43"/>
      <c r="DU821" s="43"/>
      <c r="DV821" s="43"/>
      <c r="DW821" s="43"/>
      <c r="DX821" s="43"/>
      <c r="DY821" s="43"/>
      <c r="DZ821" s="43"/>
      <c r="EA821" s="43"/>
      <c r="EB821" s="43"/>
      <c r="EC821" s="43"/>
      <c r="ED821" s="43"/>
      <c r="EE821" s="43"/>
      <c r="EF821" s="43"/>
      <c r="EG821" s="43"/>
      <c r="EH821" s="43"/>
      <c r="EI821" s="43"/>
      <c r="EJ821" s="43"/>
      <c r="EK821" s="43"/>
      <c r="EL821" s="43"/>
      <c r="EM821" s="43"/>
      <c r="EN821" s="43"/>
      <c r="EO821" s="43"/>
      <c r="EP821" s="43"/>
      <c r="EQ821" s="43"/>
      <c r="ER821" s="43"/>
      <c r="ES821" s="43"/>
      <c r="ET821" s="50"/>
      <c r="EU821" s="50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43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43"/>
      <c r="CF822" s="43"/>
      <c r="CG822" s="43"/>
      <c r="CH822" s="43"/>
      <c r="CI822" s="43"/>
      <c r="CJ822" s="43"/>
      <c r="CK822" s="43"/>
      <c r="CL822" s="43"/>
      <c r="CM822" s="43"/>
      <c r="CN822" s="43"/>
      <c r="CO822" s="43"/>
      <c r="CP822" s="43"/>
      <c r="CQ822" s="43"/>
      <c r="CR822" s="43"/>
      <c r="CS822" s="43"/>
      <c r="CT822" s="43"/>
      <c r="CU822" s="43"/>
      <c r="CV822" s="43"/>
      <c r="CW822" s="43"/>
      <c r="CX822" s="43"/>
      <c r="CY822" s="43"/>
      <c r="CZ822" s="43"/>
      <c r="DA822" s="43"/>
      <c r="DB822" s="43"/>
      <c r="DC822" s="43"/>
      <c r="DD822" s="43"/>
      <c r="DE822" s="43"/>
      <c r="DF822" s="43"/>
      <c r="DG822" s="43"/>
      <c r="DH822" s="43"/>
      <c r="DI822" s="43"/>
      <c r="DJ822" s="43"/>
      <c r="DK822" s="43"/>
      <c r="DL822" s="43"/>
      <c r="DM822" s="43"/>
      <c r="DN822" s="43"/>
      <c r="DO822" s="43"/>
      <c r="DP822" s="43"/>
      <c r="DQ822" s="43"/>
      <c r="DR822" s="43"/>
      <c r="DS822" s="43"/>
      <c r="DT822" s="43"/>
      <c r="DU822" s="43"/>
      <c r="DV822" s="43"/>
      <c r="DW822" s="43"/>
      <c r="DX822" s="43"/>
      <c r="DY822" s="43"/>
      <c r="DZ822" s="43"/>
      <c r="EA822" s="43"/>
      <c r="EB822" s="43"/>
      <c r="EC822" s="43"/>
      <c r="ED822" s="43"/>
      <c r="EE822" s="43"/>
      <c r="EF822" s="43"/>
      <c r="EG822" s="43"/>
      <c r="EH822" s="43"/>
      <c r="EI822" s="43"/>
      <c r="EJ822" s="43"/>
      <c r="EK822" s="43"/>
      <c r="EL822" s="43"/>
      <c r="EM822" s="43"/>
      <c r="EN822" s="43"/>
      <c r="EO822" s="43"/>
      <c r="EP822" s="43"/>
      <c r="EQ822" s="43"/>
      <c r="ER822" s="43"/>
      <c r="ES822" s="43"/>
      <c r="ET822" s="50"/>
      <c r="EU822" s="50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  <c r="AX823" s="43"/>
      <c r="AY823" s="43"/>
      <c r="AZ823" s="43"/>
      <c r="BA823" s="43"/>
      <c r="BB823" s="43"/>
      <c r="BC823" s="43"/>
      <c r="BD823" s="43"/>
      <c r="BE823" s="43"/>
      <c r="BF823" s="43"/>
      <c r="BG823" s="43"/>
      <c r="BH823" s="43"/>
      <c r="BI823" s="43"/>
      <c r="BJ823" s="43"/>
      <c r="BK823" s="43"/>
      <c r="BL823" s="43"/>
      <c r="BM823" s="43"/>
      <c r="BN823" s="43"/>
      <c r="BO823" s="43"/>
      <c r="BP823" s="43"/>
      <c r="BQ823" s="43"/>
      <c r="BR823" s="43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43"/>
      <c r="CF823" s="43"/>
      <c r="CG823" s="43"/>
      <c r="CH823" s="43"/>
      <c r="CI823" s="43"/>
      <c r="CJ823" s="43"/>
      <c r="CK823" s="43"/>
      <c r="CL823" s="43"/>
      <c r="CM823" s="43"/>
      <c r="CN823" s="43"/>
      <c r="CO823" s="43"/>
      <c r="CP823" s="43"/>
      <c r="CQ823" s="43"/>
      <c r="CR823" s="43"/>
      <c r="CS823" s="43"/>
      <c r="CT823" s="43"/>
      <c r="CU823" s="43"/>
      <c r="CV823" s="43"/>
      <c r="CW823" s="43"/>
      <c r="CX823" s="43"/>
      <c r="CY823" s="43"/>
      <c r="CZ823" s="43"/>
      <c r="DA823" s="43"/>
      <c r="DB823" s="43"/>
      <c r="DC823" s="43"/>
      <c r="DD823" s="43"/>
      <c r="DE823" s="43"/>
      <c r="DF823" s="43"/>
      <c r="DG823" s="43"/>
      <c r="DH823" s="43"/>
      <c r="DI823" s="43"/>
      <c r="DJ823" s="43"/>
      <c r="DK823" s="43"/>
      <c r="DL823" s="43"/>
      <c r="DM823" s="43"/>
      <c r="DN823" s="43"/>
      <c r="DO823" s="43"/>
      <c r="DP823" s="43"/>
      <c r="DQ823" s="43"/>
      <c r="DR823" s="43"/>
      <c r="DS823" s="43"/>
      <c r="DT823" s="43"/>
      <c r="DU823" s="43"/>
      <c r="DV823" s="43"/>
      <c r="DW823" s="43"/>
      <c r="DX823" s="43"/>
      <c r="DY823" s="43"/>
      <c r="DZ823" s="43"/>
      <c r="EA823" s="43"/>
      <c r="EB823" s="43"/>
      <c r="EC823" s="43"/>
      <c r="ED823" s="43"/>
      <c r="EE823" s="43"/>
      <c r="EF823" s="43"/>
      <c r="EG823" s="43"/>
      <c r="EH823" s="43"/>
      <c r="EI823" s="43"/>
      <c r="EJ823" s="43"/>
      <c r="EK823" s="43"/>
      <c r="EL823" s="43"/>
      <c r="EM823" s="43"/>
      <c r="EN823" s="43"/>
      <c r="EO823" s="43"/>
      <c r="EP823" s="43"/>
      <c r="EQ823" s="43"/>
      <c r="ER823" s="43"/>
      <c r="ES823" s="43"/>
      <c r="ET823" s="50"/>
      <c r="EU823" s="50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  <c r="AX824" s="43"/>
      <c r="AY824" s="43"/>
      <c r="AZ824" s="43"/>
      <c r="BA824" s="43"/>
      <c r="BB824" s="43"/>
      <c r="BC824" s="43"/>
      <c r="BD824" s="43"/>
      <c r="BE824" s="43"/>
      <c r="BF824" s="43"/>
      <c r="BG824" s="43"/>
      <c r="BH824" s="43"/>
      <c r="BI824" s="43"/>
      <c r="BJ824" s="43"/>
      <c r="BK824" s="43"/>
      <c r="BL824" s="43"/>
      <c r="BM824" s="43"/>
      <c r="BN824" s="43"/>
      <c r="BO824" s="43"/>
      <c r="BP824" s="43"/>
      <c r="BQ824" s="43"/>
      <c r="BR824" s="43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43"/>
      <c r="CF824" s="43"/>
      <c r="CG824" s="43"/>
      <c r="CH824" s="43"/>
      <c r="CI824" s="43"/>
      <c r="CJ824" s="43"/>
      <c r="CK824" s="43"/>
      <c r="CL824" s="43"/>
      <c r="CM824" s="43"/>
      <c r="CN824" s="43"/>
      <c r="CO824" s="43"/>
      <c r="CP824" s="43"/>
      <c r="CQ824" s="43"/>
      <c r="CR824" s="43"/>
      <c r="CS824" s="43"/>
      <c r="CT824" s="43"/>
      <c r="CU824" s="43"/>
      <c r="CV824" s="43"/>
      <c r="CW824" s="43"/>
      <c r="CX824" s="43"/>
      <c r="CY824" s="43"/>
      <c r="CZ824" s="43"/>
      <c r="DA824" s="43"/>
      <c r="DB824" s="43"/>
      <c r="DC824" s="43"/>
      <c r="DD824" s="43"/>
      <c r="DE824" s="43"/>
      <c r="DF824" s="43"/>
      <c r="DG824" s="43"/>
      <c r="DH824" s="43"/>
      <c r="DI824" s="43"/>
      <c r="DJ824" s="43"/>
      <c r="DK824" s="43"/>
      <c r="DL824" s="43"/>
      <c r="DM824" s="43"/>
      <c r="DN824" s="43"/>
      <c r="DO824" s="43"/>
      <c r="DP824" s="43"/>
      <c r="DQ824" s="43"/>
      <c r="DR824" s="43"/>
      <c r="DS824" s="43"/>
      <c r="DT824" s="43"/>
      <c r="DU824" s="43"/>
      <c r="DV824" s="43"/>
      <c r="DW824" s="43"/>
      <c r="DX824" s="43"/>
      <c r="DY824" s="43"/>
      <c r="DZ824" s="43"/>
      <c r="EA824" s="43"/>
      <c r="EB824" s="43"/>
      <c r="EC824" s="43"/>
      <c r="ED824" s="43"/>
      <c r="EE824" s="43"/>
      <c r="EF824" s="43"/>
      <c r="EG824" s="43"/>
      <c r="EH824" s="43"/>
      <c r="EI824" s="43"/>
      <c r="EJ824" s="43"/>
      <c r="EK824" s="43"/>
      <c r="EL824" s="43"/>
      <c r="EM824" s="43"/>
      <c r="EN824" s="43"/>
      <c r="EO824" s="43"/>
      <c r="EP824" s="43"/>
      <c r="EQ824" s="43"/>
      <c r="ER824" s="43"/>
      <c r="ES824" s="43"/>
      <c r="ET824" s="50"/>
      <c r="EU824" s="50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  <c r="AX825" s="43"/>
      <c r="AY825" s="43"/>
      <c r="AZ825" s="43"/>
      <c r="BA825" s="43"/>
      <c r="BB825" s="43"/>
      <c r="BC825" s="43"/>
      <c r="BD825" s="43"/>
      <c r="BE825" s="43"/>
      <c r="BF825" s="43"/>
      <c r="BG825" s="43"/>
      <c r="BH825" s="43"/>
      <c r="BI825" s="43"/>
      <c r="BJ825" s="43"/>
      <c r="BK825" s="43"/>
      <c r="BL825" s="43"/>
      <c r="BM825" s="43"/>
      <c r="BN825" s="43"/>
      <c r="BO825" s="43"/>
      <c r="BP825" s="43"/>
      <c r="BQ825" s="43"/>
      <c r="BR825" s="43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43"/>
      <c r="CF825" s="43"/>
      <c r="CG825" s="43"/>
      <c r="CH825" s="43"/>
      <c r="CI825" s="43"/>
      <c r="CJ825" s="43"/>
      <c r="CK825" s="43"/>
      <c r="CL825" s="43"/>
      <c r="CM825" s="43"/>
      <c r="CN825" s="43"/>
      <c r="CO825" s="43"/>
      <c r="CP825" s="43"/>
      <c r="CQ825" s="43"/>
      <c r="CR825" s="43"/>
      <c r="CS825" s="43"/>
      <c r="CT825" s="43"/>
      <c r="CU825" s="43"/>
      <c r="CV825" s="43"/>
      <c r="CW825" s="43"/>
      <c r="CX825" s="43"/>
      <c r="CY825" s="43"/>
      <c r="CZ825" s="43"/>
      <c r="DA825" s="43"/>
      <c r="DB825" s="43"/>
      <c r="DC825" s="43"/>
      <c r="DD825" s="43"/>
      <c r="DE825" s="43"/>
      <c r="DF825" s="43"/>
      <c r="DG825" s="43"/>
      <c r="DH825" s="43"/>
      <c r="DI825" s="43"/>
      <c r="DJ825" s="43"/>
      <c r="DK825" s="43"/>
      <c r="DL825" s="43"/>
      <c r="DM825" s="43"/>
      <c r="DN825" s="43"/>
      <c r="DO825" s="43"/>
      <c r="DP825" s="43"/>
      <c r="DQ825" s="43"/>
      <c r="DR825" s="43"/>
      <c r="DS825" s="43"/>
      <c r="DT825" s="43"/>
      <c r="DU825" s="43"/>
      <c r="DV825" s="43"/>
      <c r="DW825" s="43"/>
      <c r="DX825" s="43"/>
      <c r="DY825" s="43"/>
      <c r="DZ825" s="43"/>
      <c r="EA825" s="43"/>
      <c r="EB825" s="43"/>
      <c r="EC825" s="43"/>
      <c r="ED825" s="43"/>
      <c r="EE825" s="43"/>
      <c r="EF825" s="43"/>
      <c r="EG825" s="43"/>
      <c r="EH825" s="43"/>
      <c r="EI825" s="43"/>
      <c r="EJ825" s="43"/>
      <c r="EK825" s="43"/>
      <c r="EL825" s="43"/>
      <c r="EM825" s="43"/>
      <c r="EN825" s="43"/>
      <c r="EO825" s="43"/>
      <c r="EP825" s="43"/>
      <c r="EQ825" s="43"/>
      <c r="ER825" s="43"/>
      <c r="ES825" s="43"/>
      <c r="ET825" s="50"/>
      <c r="EU825" s="50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43"/>
      <c r="CF826" s="43"/>
      <c r="CG826" s="43"/>
      <c r="CH826" s="43"/>
      <c r="CI826" s="43"/>
      <c r="CJ826" s="43"/>
      <c r="CK826" s="43"/>
      <c r="CL826" s="43"/>
      <c r="CM826" s="43"/>
      <c r="CN826" s="43"/>
      <c r="CO826" s="43"/>
      <c r="CP826" s="43"/>
      <c r="CQ826" s="43"/>
      <c r="CR826" s="43"/>
      <c r="CS826" s="43"/>
      <c r="CT826" s="43"/>
      <c r="CU826" s="43"/>
      <c r="CV826" s="43"/>
      <c r="CW826" s="43"/>
      <c r="CX826" s="43"/>
      <c r="CY826" s="43"/>
      <c r="CZ826" s="43"/>
      <c r="DA826" s="43"/>
      <c r="DB826" s="43"/>
      <c r="DC826" s="43"/>
      <c r="DD826" s="43"/>
      <c r="DE826" s="43"/>
      <c r="DF826" s="43"/>
      <c r="DG826" s="43"/>
      <c r="DH826" s="43"/>
      <c r="DI826" s="43"/>
      <c r="DJ826" s="43"/>
      <c r="DK826" s="43"/>
      <c r="DL826" s="43"/>
      <c r="DM826" s="43"/>
      <c r="DN826" s="43"/>
      <c r="DO826" s="43"/>
      <c r="DP826" s="43"/>
      <c r="DQ826" s="43"/>
      <c r="DR826" s="43"/>
      <c r="DS826" s="43"/>
      <c r="DT826" s="43"/>
      <c r="DU826" s="43"/>
      <c r="DV826" s="43"/>
      <c r="DW826" s="43"/>
      <c r="DX826" s="43"/>
      <c r="DY826" s="43"/>
      <c r="DZ826" s="43"/>
      <c r="EA826" s="43"/>
      <c r="EB826" s="43"/>
      <c r="EC826" s="43"/>
      <c r="ED826" s="43"/>
      <c r="EE826" s="43"/>
      <c r="EF826" s="43"/>
      <c r="EG826" s="43"/>
      <c r="EH826" s="43"/>
      <c r="EI826" s="43"/>
      <c r="EJ826" s="43"/>
      <c r="EK826" s="43"/>
      <c r="EL826" s="43"/>
      <c r="EM826" s="43"/>
      <c r="EN826" s="43"/>
      <c r="EO826" s="43"/>
      <c r="EP826" s="43"/>
      <c r="EQ826" s="43"/>
      <c r="ER826" s="43"/>
      <c r="ES826" s="43"/>
      <c r="ET826" s="50"/>
      <c r="EU826" s="50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  <c r="AX827" s="43"/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43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43"/>
      <c r="CF827" s="43"/>
      <c r="CG827" s="43"/>
      <c r="CH827" s="43"/>
      <c r="CI827" s="43"/>
      <c r="CJ827" s="43"/>
      <c r="CK827" s="43"/>
      <c r="CL827" s="43"/>
      <c r="CM827" s="43"/>
      <c r="CN827" s="43"/>
      <c r="CO827" s="43"/>
      <c r="CP827" s="43"/>
      <c r="CQ827" s="43"/>
      <c r="CR827" s="43"/>
      <c r="CS827" s="43"/>
      <c r="CT827" s="43"/>
      <c r="CU827" s="43"/>
      <c r="CV827" s="43"/>
      <c r="CW827" s="43"/>
      <c r="CX827" s="43"/>
      <c r="CY827" s="43"/>
      <c r="CZ827" s="43"/>
      <c r="DA827" s="43"/>
      <c r="DB827" s="43"/>
      <c r="DC827" s="43"/>
      <c r="DD827" s="43"/>
      <c r="DE827" s="43"/>
      <c r="DF827" s="43"/>
      <c r="DG827" s="43"/>
      <c r="DH827" s="43"/>
      <c r="DI827" s="43"/>
      <c r="DJ827" s="43"/>
      <c r="DK827" s="43"/>
      <c r="DL827" s="43"/>
      <c r="DM827" s="43"/>
      <c r="DN827" s="43"/>
      <c r="DO827" s="43"/>
      <c r="DP827" s="43"/>
      <c r="DQ827" s="43"/>
      <c r="DR827" s="43"/>
      <c r="DS827" s="43"/>
      <c r="DT827" s="43"/>
      <c r="DU827" s="43"/>
      <c r="DV827" s="43"/>
      <c r="DW827" s="43"/>
      <c r="DX827" s="43"/>
      <c r="DY827" s="43"/>
      <c r="DZ827" s="43"/>
      <c r="EA827" s="43"/>
      <c r="EB827" s="43"/>
      <c r="EC827" s="43"/>
      <c r="ED827" s="43"/>
      <c r="EE827" s="43"/>
      <c r="EF827" s="43"/>
      <c r="EG827" s="43"/>
      <c r="EH827" s="43"/>
      <c r="EI827" s="43"/>
      <c r="EJ827" s="43"/>
      <c r="EK827" s="43"/>
      <c r="EL827" s="43"/>
      <c r="EM827" s="43"/>
      <c r="EN827" s="43"/>
      <c r="EO827" s="43"/>
      <c r="EP827" s="43"/>
      <c r="EQ827" s="43"/>
      <c r="ER827" s="43"/>
      <c r="ES827" s="43"/>
      <c r="ET827" s="50"/>
      <c r="EU827" s="50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/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/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43"/>
      <c r="CF828" s="43"/>
      <c r="CG828" s="43"/>
      <c r="CH828" s="43"/>
      <c r="CI828" s="43"/>
      <c r="CJ828" s="43"/>
      <c r="CK828" s="43"/>
      <c r="CL828" s="43"/>
      <c r="CM828" s="43"/>
      <c r="CN828" s="43"/>
      <c r="CO828" s="43"/>
      <c r="CP828" s="43"/>
      <c r="CQ828" s="43"/>
      <c r="CR828" s="43"/>
      <c r="CS828" s="43"/>
      <c r="CT828" s="43"/>
      <c r="CU828" s="43"/>
      <c r="CV828" s="43"/>
      <c r="CW828" s="43"/>
      <c r="CX828" s="43"/>
      <c r="CY828" s="43"/>
      <c r="CZ828" s="43"/>
      <c r="DA828" s="43"/>
      <c r="DB828" s="43"/>
      <c r="DC828" s="43"/>
      <c r="DD828" s="43"/>
      <c r="DE828" s="43"/>
      <c r="DF828" s="43"/>
      <c r="DG828" s="43"/>
      <c r="DH828" s="43"/>
      <c r="DI828" s="43"/>
      <c r="DJ828" s="43"/>
      <c r="DK828" s="43"/>
      <c r="DL828" s="43"/>
      <c r="DM828" s="43"/>
      <c r="DN828" s="43"/>
      <c r="DO828" s="43"/>
      <c r="DP828" s="43"/>
      <c r="DQ828" s="43"/>
      <c r="DR828" s="43"/>
      <c r="DS828" s="43"/>
      <c r="DT828" s="43"/>
      <c r="DU828" s="43"/>
      <c r="DV828" s="43"/>
      <c r="DW828" s="43"/>
      <c r="DX828" s="43"/>
      <c r="DY828" s="43"/>
      <c r="DZ828" s="43"/>
      <c r="EA828" s="43"/>
      <c r="EB828" s="43"/>
      <c r="EC828" s="43"/>
      <c r="ED828" s="43"/>
      <c r="EE828" s="43"/>
      <c r="EF828" s="43"/>
      <c r="EG828" s="43"/>
      <c r="EH828" s="43"/>
      <c r="EI828" s="43"/>
      <c r="EJ828" s="43"/>
      <c r="EK828" s="43"/>
      <c r="EL828" s="43"/>
      <c r="EM828" s="43"/>
      <c r="EN828" s="43"/>
      <c r="EO828" s="43"/>
      <c r="EP828" s="43"/>
      <c r="EQ828" s="43"/>
      <c r="ER828" s="43"/>
      <c r="ES828" s="43"/>
      <c r="ET828" s="50"/>
      <c r="EU828" s="50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  <c r="AX829" s="43"/>
      <c r="AY829" s="43"/>
      <c r="AZ829" s="43"/>
      <c r="BA829" s="43"/>
      <c r="BB829" s="43"/>
      <c r="BC829" s="43"/>
      <c r="BD829" s="43"/>
      <c r="BE829" s="43"/>
      <c r="BF829" s="43"/>
      <c r="BG829" s="43"/>
      <c r="BH829" s="43"/>
      <c r="BI829" s="43"/>
      <c r="BJ829" s="43"/>
      <c r="BK829" s="43"/>
      <c r="BL829" s="43"/>
      <c r="BM829" s="43"/>
      <c r="BN829" s="43"/>
      <c r="BO829" s="43"/>
      <c r="BP829" s="43"/>
      <c r="BQ829" s="43"/>
      <c r="BR829" s="43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43"/>
      <c r="CF829" s="43"/>
      <c r="CG829" s="43"/>
      <c r="CH829" s="43"/>
      <c r="CI829" s="43"/>
      <c r="CJ829" s="43"/>
      <c r="CK829" s="43"/>
      <c r="CL829" s="43"/>
      <c r="CM829" s="43"/>
      <c r="CN829" s="43"/>
      <c r="CO829" s="43"/>
      <c r="CP829" s="43"/>
      <c r="CQ829" s="43"/>
      <c r="CR829" s="43"/>
      <c r="CS829" s="43"/>
      <c r="CT829" s="43"/>
      <c r="CU829" s="43"/>
      <c r="CV829" s="43"/>
      <c r="CW829" s="43"/>
      <c r="CX829" s="43"/>
      <c r="CY829" s="43"/>
      <c r="CZ829" s="43"/>
      <c r="DA829" s="43"/>
      <c r="DB829" s="43"/>
      <c r="DC829" s="43"/>
      <c r="DD829" s="43"/>
      <c r="DE829" s="43"/>
      <c r="DF829" s="43"/>
      <c r="DG829" s="43"/>
      <c r="DH829" s="43"/>
      <c r="DI829" s="43"/>
      <c r="DJ829" s="43"/>
      <c r="DK829" s="43"/>
      <c r="DL829" s="43"/>
      <c r="DM829" s="43"/>
      <c r="DN829" s="43"/>
      <c r="DO829" s="43"/>
      <c r="DP829" s="43"/>
      <c r="DQ829" s="43"/>
      <c r="DR829" s="43"/>
      <c r="DS829" s="43"/>
      <c r="DT829" s="43"/>
      <c r="DU829" s="43"/>
      <c r="DV829" s="43"/>
      <c r="DW829" s="43"/>
      <c r="DX829" s="43"/>
      <c r="DY829" s="43"/>
      <c r="DZ829" s="43"/>
      <c r="EA829" s="43"/>
      <c r="EB829" s="43"/>
      <c r="EC829" s="43"/>
      <c r="ED829" s="43"/>
      <c r="EE829" s="43"/>
      <c r="EF829" s="43"/>
      <c r="EG829" s="43"/>
      <c r="EH829" s="43"/>
      <c r="EI829" s="43"/>
      <c r="EJ829" s="43"/>
      <c r="EK829" s="43"/>
      <c r="EL829" s="43"/>
      <c r="EM829" s="43"/>
      <c r="EN829" s="43"/>
      <c r="EO829" s="43"/>
      <c r="EP829" s="43"/>
      <c r="EQ829" s="43"/>
      <c r="ER829" s="43"/>
      <c r="ES829" s="43"/>
      <c r="ET829" s="50"/>
      <c r="EU829" s="50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  <c r="AX830" s="43"/>
      <c r="AY830" s="43"/>
      <c r="AZ830" s="43"/>
      <c r="BA830" s="43"/>
      <c r="BB830" s="43"/>
      <c r="BC830" s="43"/>
      <c r="BD830" s="43"/>
      <c r="BE830" s="43"/>
      <c r="BF830" s="43"/>
      <c r="BG830" s="43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R830" s="43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43"/>
      <c r="CF830" s="43"/>
      <c r="CG830" s="43"/>
      <c r="CH830" s="43"/>
      <c r="CI830" s="43"/>
      <c r="CJ830" s="43"/>
      <c r="CK830" s="43"/>
      <c r="CL830" s="43"/>
      <c r="CM830" s="43"/>
      <c r="CN830" s="43"/>
      <c r="CO830" s="43"/>
      <c r="CP830" s="43"/>
      <c r="CQ830" s="43"/>
      <c r="CR830" s="43"/>
      <c r="CS830" s="43"/>
      <c r="CT830" s="43"/>
      <c r="CU830" s="43"/>
      <c r="CV830" s="43"/>
      <c r="CW830" s="43"/>
      <c r="CX830" s="43"/>
      <c r="CY830" s="43"/>
      <c r="CZ830" s="43"/>
      <c r="DA830" s="43"/>
      <c r="DB830" s="43"/>
      <c r="DC830" s="43"/>
      <c r="DD830" s="43"/>
      <c r="DE830" s="43"/>
      <c r="DF830" s="43"/>
      <c r="DG830" s="43"/>
      <c r="DH830" s="43"/>
      <c r="DI830" s="43"/>
      <c r="DJ830" s="43"/>
      <c r="DK830" s="43"/>
      <c r="DL830" s="43"/>
      <c r="DM830" s="43"/>
      <c r="DN830" s="43"/>
      <c r="DO830" s="43"/>
      <c r="DP830" s="43"/>
      <c r="DQ830" s="43"/>
      <c r="DR830" s="43"/>
      <c r="DS830" s="43"/>
      <c r="DT830" s="43"/>
      <c r="DU830" s="43"/>
      <c r="DV830" s="43"/>
      <c r="DW830" s="43"/>
      <c r="DX830" s="43"/>
      <c r="DY830" s="43"/>
      <c r="DZ830" s="43"/>
      <c r="EA830" s="43"/>
      <c r="EB830" s="43"/>
      <c r="EC830" s="43"/>
      <c r="ED830" s="43"/>
      <c r="EE830" s="43"/>
      <c r="EF830" s="43"/>
      <c r="EG830" s="43"/>
      <c r="EH830" s="43"/>
      <c r="EI830" s="43"/>
      <c r="EJ830" s="43"/>
      <c r="EK830" s="43"/>
      <c r="EL830" s="43"/>
      <c r="EM830" s="43"/>
      <c r="EN830" s="43"/>
      <c r="EO830" s="43"/>
      <c r="EP830" s="43"/>
      <c r="EQ830" s="43"/>
      <c r="ER830" s="43"/>
      <c r="ES830" s="43"/>
      <c r="ET830" s="50"/>
      <c r="EU830" s="50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  <c r="AX831" s="43"/>
      <c r="AY831" s="43"/>
      <c r="AZ831" s="43"/>
      <c r="BA831" s="43"/>
      <c r="BB831" s="43"/>
      <c r="BC831" s="43"/>
      <c r="BD831" s="43"/>
      <c r="BE831" s="43"/>
      <c r="BF831" s="43"/>
      <c r="BG831" s="43"/>
      <c r="BH831" s="43"/>
      <c r="BI831" s="43"/>
      <c r="BJ831" s="43"/>
      <c r="BK831" s="43"/>
      <c r="BL831" s="43"/>
      <c r="BM831" s="43"/>
      <c r="BN831" s="43"/>
      <c r="BO831" s="43"/>
      <c r="BP831" s="43"/>
      <c r="BQ831" s="43"/>
      <c r="BR831" s="43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43"/>
      <c r="CF831" s="43"/>
      <c r="CG831" s="43"/>
      <c r="CH831" s="43"/>
      <c r="CI831" s="43"/>
      <c r="CJ831" s="43"/>
      <c r="CK831" s="43"/>
      <c r="CL831" s="43"/>
      <c r="CM831" s="43"/>
      <c r="CN831" s="43"/>
      <c r="CO831" s="43"/>
      <c r="CP831" s="43"/>
      <c r="CQ831" s="43"/>
      <c r="CR831" s="43"/>
      <c r="CS831" s="43"/>
      <c r="CT831" s="43"/>
      <c r="CU831" s="43"/>
      <c r="CV831" s="43"/>
      <c r="CW831" s="43"/>
      <c r="CX831" s="43"/>
      <c r="CY831" s="43"/>
      <c r="CZ831" s="43"/>
      <c r="DA831" s="43"/>
      <c r="DB831" s="43"/>
      <c r="DC831" s="43"/>
      <c r="DD831" s="43"/>
      <c r="DE831" s="43"/>
      <c r="DF831" s="43"/>
      <c r="DG831" s="43"/>
      <c r="DH831" s="43"/>
      <c r="DI831" s="43"/>
      <c r="DJ831" s="43"/>
      <c r="DK831" s="43"/>
      <c r="DL831" s="43"/>
      <c r="DM831" s="43"/>
      <c r="DN831" s="43"/>
      <c r="DO831" s="43"/>
      <c r="DP831" s="43"/>
      <c r="DQ831" s="43"/>
      <c r="DR831" s="43"/>
      <c r="DS831" s="43"/>
      <c r="DT831" s="43"/>
      <c r="DU831" s="43"/>
      <c r="DV831" s="43"/>
      <c r="DW831" s="43"/>
      <c r="DX831" s="43"/>
      <c r="DY831" s="43"/>
      <c r="DZ831" s="43"/>
      <c r="EA831" s="43"/>
      <c r="EB831" s="43"/>
      <c r="EC831" s="43"/>
      <c r="ED831" s="43"/>
      <c r="EE831" s="43"/>
      <c r="EF831" s="43"/>
      <c r="EG831" s="43"/>
      <c r="EH831" s="43"/>
      <c r="EI831" s="43"/>
      <c r="EJ831" s="43"/>
      <c r="EK831" s="43"/>
      <c r="EL831" s="43"/>
      <c r="EM831" s="43"/>
      <c r="EN831" s="43"/>
      <c r="EO831" s="43"/>
      <c r="EP831" s="43"/>
      <c r="EQ831" s="43"/>
      <c r="ER831" s="43"/>
      <c r="ES831" s="43"/>
      <c r="ET831" s="50"/>
      <c r="EU831" s="50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  <c r="AX832" s="43"/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43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43"/>
      <c r="CF832" s="43"/>
      <c r="CG832" s="43"/>
      <c r="CH832" s="43"/>
      <c r="CI832" s="43"/>
      <c r="CJ832" s="43"/>
      <c r="CK832" s="43"/>
      <c r="CL832" s="43"/>
      <c r="CM832" s="43"/>
      <c r="CN832" s="43"/>
      <c r="CO832" s="43"/>
      <c r="CP832" s="43"/>
      <c r="CQ832" s="43"/>
      <c r="CR832" s="43"/>
      <c r="CS832" s="43"/>
      <c r="CT832" s="43"/>
      <c r="CU832" s="43"/>
      <c r="CV832" s="43"/>
      <c r="CW832" s="43"/>
      <c r="CX832" s="43"/>
      <c r="CY832" s="43"/>
      <c r="CZ832" s="43"/>
      <c r="DA832" s="43"/>
      <c r="DB832" s="43"/>
      <c r="DC832" s="43"/>
      <c r="DD832" s="43"/>
      <c r="DE832" s="43"/>
      <c r="DF832" s="43"/>
      <c r="DG832" s="43"/>
      <c r="DH832" s="43"/>
      <c r="DI832" s="43"/>
      <c r="DJ832" s="43"/>
      <c r="DK832" s="43"/>
      <c r="DL832" s="43"/>
      <c r="DM832" s="43"/>
      <c r="DN832" s="43"/>
      <c r="DO832" s="43"/>
      <c r="DP832" s="43"/>
      <c r="DQ832" s="43"/>
      <c r="DR832" s="43"/>
      <c r="DS832" s="43"/>
      <c r="DT832" s="43"/>
      <c r="DU832" s="43"/>
      <c r="DV832" s="43"/>
      <c r="DW832" s="43"/>
      <c r="DX832" s="43"/>
      <c r="DY832" s="43"/>
      <c r="DZ832" s="43"/>
      <c r="EA832" s="43"/>
      <c r="EB832" s="43"/>
      <c r="EC832" s="43"/>
      <c r="ED832" s="43"/>
      <c r="EE832" s="43"/>
      <c r="EF832" s="43"/>
      <c r="EG832" s="43"/>
      <c r="EH832" s="43"/>
      <c r="EI832" s="43"/>
      <c r="EJ832" s="43"/>
      <c r="EK832" s="43"/>
      <c r="EL832" s="43"/>
      <c r="EM832" s="43"/>
      <c r="EN832" s="43"/>
      <c r="EO832" s="43"/>
      <c r="EP832" s="43"/>
      <c r="EQ832" s="43"/>
      <c r="ER832" s="43"/>
      <c r="ES832" s="43"/>
      <c r="ET832" s="50"/>
      <c r="EU832" s="50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  <c r="AX833" s="43"/>
      <c r="AY833" s="43"/>
      <c r="AZ833" s="43"/>
      <c r="BA833" s="43"/>
      <c r="BB833" s="43"/>
      <c r="BC833" s="43"/>
      <c r="BD833" s="43"/>
      <c r="BE833" s="43"/>
      <c r="BF833" s="43"/>
      <c r="BG833" s="43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43"/>
      <c r="CF833" s="43"/>
      <c r="CG833" s="43"/>
      <c r="CH833" s="43"/>
      <c r="CI833" s="43"/>
      <c r="CJ833" s="43"/>
      <c r="CK833" s="43"/>
      <c r="CL833" s="43"/>
      <c r="CM833" s="43"/>
      <c r="CN833" s="43"/>
      <c r="CO833" s="43"/>
      <c r="CP833" s="43"/>
      <c r="CQ833" s="43"/>
      <c r="CR833" s="43"/>
      <c r="CS833" s="43"/>
      <c r="CT833" s="43"/>
      <c r="CU833" s="43"/>
      <c r="CV833" s="43"/>
      <c r="CW833" s="43"/>
      <c r="CX833" s="43"/>
      <c r="CY833" s="43"/>
      <c r="CZ833" s="43"/>
      <c r="DA833" s="43"/>
      <c r="DB833" s="43"/>
      <c r="DC833" s="43"/>
      <c r="DD833" s="43"/>
      <c r="DE833" s="43"/>
      <c r="DF833" s="43"/>
      <c r="DG833" s="43"/>
      <c r="DH833" s="43"/>
      <c r="DI833" s="43"/>
      <c r="DJ833" s="43"/>
      <c r="DK833" s="43"/>
      <c r="DL833" s="43"/>
      <c r="DM833" s="43"/>
      <c r="DN833" s="43"/>
      <c r="DO833" s="43"/>
      <c r="DP833" s="43"/>
      <c r="DQ833" s="43"/>
      <c r="DR833" s="43"/>
      <c r="DS833" s="43"/>
      <c r="DT833" s="43"/>
      <c r="DU833" s="43"/>
      <c r="DV833" s="43"/>
      <c r="DW833" s="43"/>
      <c r="DX833" s="43"/>
      <c r="DY833" s="43"/>
      <c r="DZ833" s="43"/>
      <c r="EA833" s="43"/>
      <c r="EB833" s="43"/>
      <c r="EC833" s="43"/>
      <c r="ED833" s="43"/>
      <c r="EE833" s="43"/>
      <c r="EF833" s="43"/>
      <c r="EG833" s="43"/>
      <c r="EH833" s="43"/>
      <c r="EI833" s="43"/>
      <c r="EJ833" s="43"/>
      <c r="EK833" s="43"/>
      <c r="EL833" s="43"/>
      <c r="EM833" s="43"/>
      <c r="EN833" s="43"/>
      <c r="EO833" s="43"/>
      <c r="EP833" s="43"/>
      <c r="EQ833" s="43"/>
      <c r="ER833" s="43"/>
      <c r="ES833" s="43"/>
      <c r="ET833" s="50"/>
      <c r="EU833" s="50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43"/>
      <c r="BG834" s="43"/>
      <c r="BH834" s="43"/>
      <c r="BI834" s="43"/>
      <c r="BJ834" s="43"/>
      <c r="BK834" s="43"/>
      <c r="BL834" s="43"/>
      <c r="BM834" s="43"/>
      <c r="BN834" s="43"/>
      <c r="BO834" s="43"/>
      <c r="BP834" s="43"/>
      <c r="BQ834" s="43"/>
      <c r="BR834" s="43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43"/>
      <c r="CF834" s="43"/>
      <c r="CG834" s="43"/>
      <c r="CH834" s="43"/>
      <c r="CI834" s="43"/>
      <c r="CJ834" s="43"/>
      <c r="CK834" s="43"/>
      <c r="CL834" s="43"/>
      <c r="CM834" s="43"/>
      <c r="CN834" s="43"/>
      <c r="CO834" s="43"/>
      <c r="CP834" s="43"/>
      <c r="CQ834" s="43"/>
      <c r="CR834" s="43"/>
      <c r="CS834" s="43"/>
      <c r="CT834" s="43"/>
      <c r="CU834" s="43"/>
      <c r="CV834" s="43"/>
      <c r="CW834" s="43"/>
      <c r="CX834" s="43"/>
      <c r="CY834" s="43"/>
      <c r="CZ834" s="43"/>
      <c r="DA834" s="43"/>
      <c r="DB834" s="43"/>
      <c r="DC834" s="43"/>
      <c r="DD834" s="43"/>
      <c r="DE834" s="43"/>
      <c r="DF834" s="43"/>
      <c r="DG834" s="43"/>
      <c r="DH834" s="43"/>
      <c r="DI834" s="43"/>
      <c r="DJ834" s="43"/>
      <c r="DK834" s="43"/>
      <c r="DL834" s="43"/>
      <c r="DM834" s="43"/>
      <c r="DN834" s="43"/>
      <c r="DO834" s="43"/>
      <c r="DP834" s="43"/>
      <c r="DQ834" s="43"/>
      <c r="DR834" s="43"/>
      <c r="DS834" s="43"/>
      <c r="DT834" s="43"/>
      <c r="DU834" s="43"/>
      <c r="DV834" s="43"/>
      <c r="DW834" s="43"/>
      <c r="DX834" s="43"/>
      <c r="DY834" s="43"/>
      <c r="DZ834" s="43"/>
      <c r="EA834" s="43"/>
      <c r="EB834" s="43"/>
      <c r="EC834" s="43"/>
      <c r="ED834" s="43"/>
      <c r="EE834" s="43"/>
      <c r="EF834" s="43"/>
      <c r="EG834" s="43"/>
      <c r="EH834" s="43"/>
      <c r="EI834" s="43"/>
      <c r="EJ834" s="43"/>
      <c r="EK834" s="43"/>
      <c r="EL834" s="43"/>
      <c r="EM834" s="43"/>
      <c r="EN834" s="43"/>
      <c r="EO834" s="43"/>
      <c r="EP834" s="43"/>
      <c r="EQ834" s="43"/>
      <c r="ER834" s="43"/>
      <c r="ES834" s="43"/>
      <c r="ET834" s="50"/>
      <c r="EU834" s="50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  <c r="AX835" s="43"/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43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43"/>
      <c r="CF835" s="43"/>
      <c r="CG835" s="43"/>
      <c r="CH835" s="43"/>
      <c r="CI835" s="43"/>
      <c r="CJ835" s="43"/>
      <c r="CK835" s="43"/>
      <c r="CL835" s="43"/>
      <c r="CM835" s="43"/>
      <c r="CN835" s="43"/>
      <c r="CO835" s="43"/>
      <c r="CP835" s="43"/>
      <c r="CQ835" s="43"/>
      <c r="CR835" s="43"/>
      <c r="CS835" s="43"/>
      <c r="CT835" s="43"/>
      <c r="CU835" s="43"/>
      <c r="CV835" s="43"/>
      <c r="CW835" s="43"/>
      <c r="CX835" s="43"/>
      <c r="CY835" s="43"/>
      <c r="CZ835" s="43"/>
      <c r="DA835" s="43"/>
      <c r="DB835" s="43"/>
      <c r="DC835" s="43"/>
      <c r="DD835" s="43"/>
      <c r="DE835" s="43"/>
      <c r="DF835" s="43"/>
      <c r="DG835" s="43"/>
      <c r="DH835" s="43"/>
      <c r="DI835" s="43"/>
      <c r="DJ835" s="43"/>
      <c r="DK835" s="43"/>
      <c r="DL835" s="43"/>
      <c r="DM835" s="43"/>
      <c r="DN835" s="43"/>
      <c r="DO835" s="43"/>
      <c r="DP835" s="43"/>
      <c r="DQ835" s="43"/>
      <c r="DR835" s="43"/>
      <c r="DS835" s="43"/>
      <c r="DT835" s="43"/>
      <c r="DU835" s="43"/>
      <c r="DV835" s="43"/>
      <c r="DW835" s="43"/>
      <c r="DX835" s="43"/>
      <c r="DY835" s="43"/>
      <c r="DZ835" s="43"/>
      <c r="EA835" s="43"/>
      <c r="EB835" s="43"/>
      <c r="EC835" s="43"/>
      <c r="ED835" s="43"/>
      <c r="EE835" s="43"/>
      <c r="EF835" s="43"/>
      <c r="EG835" s="43"/>
      <c r="EH835" s="43"/>
      <c r="EI835" s="43"/>
      <c r="EJ835" s="43"/>
      <c r="EK835" s="43"/>
      <c r="EL835" s="43"/>
      <c r="EM835" s="43"/>
      <c r="EN835" s="43"/>
      <c r="EO835" s="43"/>
      <c r="EP835" s="43"/>
      <c r="EQ835" s="43"/>
      <c r="ER835" s="43"/>
      <c r="ES835" s="43"/>
      <c r="ET835" s="50"/>
      <c r="EU835" s="50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  <c r="AX836" s="43"/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43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/>
      <c r="CK836" s="43"/>
      <c r="CL836" s="43"/>
      <c r="CM836" s="43"/>
      <c r="CN836" s="43"/>
      <c r="CO836" s="43"/>
      <c r="CP836" s="43"/>
      <c r="CQ836" s="43"/>
      <c r="CR836" s="43"/>
      <c r="CS836" s="43"/>
      <c r="CT836" s="43"/>
      <c r="CU836" s="43"/>
      <c r="CV836" s="43"/>
      <c r="CW836" s="43"/>
      <c r="CX836" s="43"/>
      <c r="CY836" s="43"/>
      <c r="CZ836" s="43"/>
      <c r="DA836" s="43"/>
      <c r="DB836" s="43"/>
      <c r="DC836" s="43"/>
      <c r="DD836" s="43"/>
      <c r="DE836" s="43"/>
      <c r="DF836" s="43"/>
      <c r="DG836" s="43"/>
      <c r="DH836" s="43"/>
      <c r="DI836" s="43"/>
      <c r="DJ836" s="43"/>
      <c r="DK836" s="43"/>
      <c r="DL836" s="43"/>
      <c r="DM836" s="43"/>
      <c r="DN836" s="43"/>
      <c r="DO836" s="43"/>
      <c r="DP836" s="43"/>
      <c r="DQ836" s="43"/>
      <c r="DR836" s="43"/>
      <c r="DS836" s="43"/>
      <c r="DT836" s="43"/>
      <c r="DU836" s="43"/>
      <c r="DV836" s="43"/>
      <c r="DW836" s="43"/>
      <c r="DX836" s="43"/>
      <c r="DY836" s="43"/>
      <c r="DZ836" s="43"/>
      <c r="EA836" s="43"/>
      <c r="EB836" s="43"/>
      <c r="EC836" s="43"/>
      <c r="ED836" s="43"/>
      <c r="EE836" s="43"/>
      <c r="EF836" s="43"/>
      <c r="EG836" s="43"/>
      <c r="EH836" s="43"/>
      <c r="EI836" s="43"/>
      <c r="EJ836" s="43"/>
      <c r="EK836" s="43"/>
      <c r="EL836" s="43"/>
      <c r="EM836" s="43"/>
      <c r="EN836" s="43"/>
      <c r="EO836" s="43"/>
      <c r="EP836" s="43"/>
      <c r="EQ836" s="43"/>
      <c r="ER836" s="43"/>
      <c r="ES836" s="43"/>
      <c r="ET836" s="50"/>
      <c r="EU836" s="50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  <c r="AX837" s="43"/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43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43"/>
      <c r="CF837" s="43"/>
      <c r="CG837" s="43"/>
      <c r="CH837" s="43"/>
      <c r="CI837" s="43"/>
      <c r="CJ837" s="43"/>
      <c r="CK837" s="43"/>
      <c r="CL837" s="43"/>
      <c r="CM837" s="43"/>
      <c r="CN837" s="43"/>
      <c r="CO837" s="43"/>
      <c r="CP837" s="43"/>
      <c r="CQ837" s="43"/>
      <c r="CR837" s="43"/>
      <c r="CS837" s="43"/>
      <c r="CT837" s="43"/>
      <c r="CU837" s="43"/>
      <c r="CV837" s="43"/>
      <c r="CW837" s="43"/>
      <c r="CX837" s="43"/>
      <c r="CY837" s="43"/>
      <c r="CZ837" s="43"/>
      <c r="DA837" s="43"/>
      <c r="DB837" s="43"/>
      <c r="DC837" s="43"/>
      <c r="DD837" s="43"/>
      <c r="DE837" s="43"/>
      <c r="DF837" s="43"/>
      <c r="DG837" s="43"/>
      <c r="DH837" s="43"/>
      <c r="DI837" s="43"/>
      <c r="DJ837" s="43"/>
      <c r="DK837" s="43"/>
      <c r="DL837" s="43"/>
      <c r="DM837" s="43"/>
      <c r="DN837" s="43"/>
      <c r="DO837" s="43"/>
      <c r="DP837" s="43"/>
      <c r="DQ837" s="43"/>
      <c r="DR837" s="43"/>
      <c r="DS837" s="43"/>
      <c r="DT837" s="43"/>
      <c r="DU837" s="43"/>
      <c r="DV837" s="43"/>
      <c r="DW837" s="43"/>
      <c r="DX837" s="43"/>
      <c r="DY837" s="43"/>
      <c r="DZ837" s="43"/>
      <c r="EA837" s="43"/>
      <c r="EB837" s="43"/>
      <c r="EC837" s="43"/>
      <c r="ED837" s="43"/>
      <c r="EE837" s="43"/>
      <c r="EF837" s="43"/>
      <c r="EG837" s="43"/>
      <c r="EH837" s="43"/>
      <c r="EI837" s="43"/>
      <c r="EJ837" s="43"/>
      <c r="EK837" s="43"/>
      <c r="EL837" s="43"/>
      <c r="EM837" s="43"/>
      <c r="EN837" s="43"/>
      <c r="EO837" s="43"/>
      <c r="EP837" s="43"/>
      <c r="EQ837" s="43"/>
      <c r="ER837" s="43"/>
      <c r="ES837" s="43"/>
      <c r="ET837" s="50"/>
      <c r="EU837" s="50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  <c r="AX838" s="43"/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43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43"/>
      <c r="CF838" s="43"/>
      <c r="CG838" s="43"/>
      <c r="CH838" s="43"/>
      <c r="CI838" s="43"/>
      <c r="CJ838" s="43"/>
      <c r="CK838" s="43"/>
      <c r="CL838" s="43"/>
      <c r="CM838" s="43"/>
      <c r="CN838" s="43"/>
      <c r="CO838" s="43"/>
      <c r="CP838" s="43"/>
      <c r="CQ838" s="43"/>
      <c r="CR838" s="43"/>
      <c r="CS838" s="43"/>
      <c r="CT838" s="43"/>
      <c r="CU838" s="43"/>
      <c r="CV838" s="43"/>
      <c r="CW838" s="43"/>
      <c r="CX838" s="43"/>
      <c r="CY838" s="43"/>
      <c r="CZ838" s="43"/>
      <c r="DA838" s="43"/>
      <c r="DB838" s="43"/>
      <c r="DC838" s="43"/>
      <c r="DD838" s="43"/>
      <c r="DE838" s="43"/>
      <c r="DF838" s="43"/>
      <c r="DG838" s="43"/>
      <c r="DH838" s="43"/>
      <c r="DI838" s="43"/>
      <c r="DJ838" s="43"/>
      <c r="DK838" s="43"/>
      <c r="DL838" s="43"/>
      <c r="DM838" s="43"/>
      <c r="DN838" s="43"/>
      <c r="DO838" s="43"/>
      <c r="DP838" s="43"/>
      <c r="DQ838" s="43"/>
      <c r="DR838" s="43"/>
      <c r="DS838" s="43"/>
      <c r="DT838" s="43"/>
      <c r="DU838" s="43"/>
      <c r="DV838" s="43"/>
      <c r="DW838" s="43"/>
      <c r="DX838" s="43"/>
      <c r="DY838" s="43"/>
      <c r="DZ838" s="43"/>
      <c r="EA838" s="43"/>
      <c r="EB838" s="43"/>
      <c r="EC838" s="43"/>
      <c r="ED838" s="43"/>
      <c r="EE838" s="43"/>
      <c r="EF838" s="43"/>
      <c r="EG838" s="43"/>
      <c r="EH838" s="43"/>
      <c r="EI838" s="43"/>
      <c r="EJ838" s="43"/>
      <c r="EK838" s="43"/>
      <c r="EL838" s="43"/>
      <c r="EM838" s="43"/>
      <c r="EN838" s="43"/>
      <c r="EO838" s="43"/>
      <c r="EP838" s="43"/>
      <c r="EQ838" s="43"/>
      <c r="ER838" s="43"/>
      <c r="ES838" s="43"/>
      <c r="ET838" s="50"/>
      <c r="EU838" s="50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43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43"/>
      <c r="CF839" s="43"/>
      <c r="CG839" s="43"/>
      <c r="CH839" s="43"/>
      <c r="CI839" s="43"/>
      <c r="CJ839" s="43"/>
      <c r="CK839" s="43"/>
      <c r="CL839" s="43"/>
      <c r="CM839" s="43"/>
      <c r="CN839" s="43"/>
      <c r="CO839" s="43"/>
      <c r="CP839" s="43"/>
      <c r="CQ839" s="43"/>
      <c r="CR839" s="43"/>
      <c r="CS839" s="43"/>
      <c r="CT839" s="43"/>
      <c r="CU839" s="43"/>
      <c r="CV839" s="43"/>
      <c r="CW839" s="43"/>
      <c r="CX839" s="43"/>
      <c r="CY839" s="43"/>
      <c r="CZ839" s="43"/>
      <c r="DA839" s="43"/>
      <c r="DB839" s="43"/>
      <c r="DC839" s="43"/>
      <c r="DD839" s="43"/>
      <c r="DE839" s="43"/>
      <c r="DF839" s="43"/>
      <c r="DG839" s="43"/>
      <c r="DH839" s="43"/>
      <c r="DI839" s="43"/>
      <c r="DJ839" s="43"/>
      <c r="DK839" s="43"/>
      <c r="DL839" s="43"/>
      <c r="DM839" s="43"/>
      <c r="DN839" s="43"/>
      <c r="DO839" s="43"/>
      <c r="DP839" s="43"/>
      <c r="DQ839" s="43"/>
      <c r="DR839" s="43"/>
      <c r="DS839" s="43"/>
      <c r="DT839" s="43"/>
      <c r="DU839" s="43"/>
      <c r="DV839" s="43"/>
      <c r="DW839" s="43"/>
      <c r="DX839" s="43"/>
      <c r="DY839" s="43"/>
      <c r="DZ839" s="43"/>
      <c r="EA839" s="43"/>
      <c r="EB839" s="43"/>
      <c r="EC839" s="43"/>
      <c r="ED839" s="43"/>
      <c r="EE839" s="43"/>
      <c r="EF839" s="43"/>
      <c r="EG839" s="43"/>
      <c r="EH839" s="43"/>
      <c r="EI839" s="43"/>
      <c r="EJ839" s="43"/>
      <c r="EK839" s="43"/>
      <c r="EL839" s="43"/>
      <c r="EM839" s="43"/>
      <c r="EN839" s="43"/>
      <c r="EO839" s="43"/>
      <c r="EP839" s="43"/>
      <c r="EQ839" s="43"/>
      <c r="ER839" s="43"/>
      <c r="ES839" s="43"/>
      <c r="ET839" s="50"/>
      <c r="EU839" s="50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  <c r="AX840" s="43"/>
      <c r="AY840" s="43"/>
      <c r="AZ840" s="43"/>
      <c r="BA840" s="43"/>
      <c r="BB840" s="43"/>
      <c r="BC840" s="43"/>
      <c r="BD840" s="43"/>
      <c r="BE840" s="43"/>
      <c r="BF840" s="43"/>
      <c r="BG840" s="43"/>
      <c r="BH840" s="43"/>
      <c r="BI840" s="43"/>
      <c r="BJ840" s="43"/>
      <c r="BK840" s="43"/>
      <c r="BL840" s="43"/>
      <c r="BM840" s="43"/>
      <c r="BN840" s="43"/>
      <c r="BO840" s="43"/>
      <c r="BP840" s="43"/>
      <c r="BQ840" s="43"/>
      <c r="BR840" s="43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43"/>
      <c r="CF840" s="43"/>
      <c r="CG840" s="43"/>
      <c r="CH840" s="43"/>
      <c r="CI840" s="43"/>
      <c r="CJ840" s="43"/>
      <c r="CK840" s="43"/>
      <c r="CL840" s="43"/>
      <c r="CM840" s="43"/>
      <c r="CN840" s="43"/>
      <c r="CO840" s="43"/>
      <c r="CP840" s="43"/>
      <c r="CQ840" s="43"/>
      <c r="CR840" s="43"/>
      <c r="CS840" s="43"/>
      <c r="CT840" s="43"/>
      <c r="CU840" s="43"/>
      <c r="CV840" s="43"/>
      <c r="CW840" s="43"/>
      <c r="CX840" s="43"/>
      <c r="CY840" s="43"/>
      <c r="CZ840" s="43"/>
      <c r="DA840" s="43"/>
      <c r="DB840" s="43"/>
      <c r="DC840" s="43"/>
      <c r="DD840" s="43"/>
      <c r="DE840" s="43"/>
      <c r="DF840" s="43"/>
      <c r="DG840" s="43"/>
      <c r="DH840" s="43"/>
      <c r="DI840" s="43"/>
      <c r="DJ840" s="43"/>
      <c r="DK840" s="43"/>
      <c r="DL840" s="43"/>
      <c r="DM840" s="43"/>
      <c r="DN840" s="43"/>
      <c r="DO840" s="43"/>
      <c r="DP840" s="43"/>
      <c r="DQ840" s="43"/>
      <c r="DR840" s="43"/>
      <c r="DS840" s="43"/>
      <c r="DT840" s="43"/>
      <c r="DU840" s="43"/>
      <c r="DV840" s="43"/>
      <c r="DW840" s="43"/>
      <c r="DX840" s="43"/>
      <c r="DY840" s="43"/>
      <c r="DZ840" s="43"/>
      <c r="EA840" s="43"/>
      <c r="EB840" s="43"/>
      <c r="EC840" s="43"/>
      <c r="ED840" s="43"/>
      <c r="EE840" s="43"/>
      <c r="EF840" s="43"/>
      <c r="EG840" s="43"/>
      <c r="EH840" s="43"/>
      <c r="EI840" s="43"/>
      <c r="EJ840" s="43"/>
      <c r="EK840" s="43"/>
      <c r="EL840" s="43"/>
      <c r="EM840" s="43"/>
      <c r="EN840" s="43"/>
      <c r="EO840" s="43"/>
      <c r="EP840" s="43"/>
      <c r="EQ840" s="43"/>
      <c r="ER840" s="43"/>
      <c r="ES840" s="43"/>
      <c r="ET840" s="50"/>
      <c r="EU840" s="50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  <c r="AX841" s="43"/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43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43"/>
      <c r="CF841" s="43"/>
      <c r="CG841" s="43"/>
      <c r="CH841" s="43"/>
      <c r="CI841" s="43"/>
      <c r="CJ841" s="43"/>
      <c r="CK841" s="43"/>
      <c r="CL841" s="43"/>
      <c r="CM841" s="43"/>
      <c r="CN841" s="43"/>
      <c r="CO841" s="43"/>
      <c r="CP841" s="43"/>
      <c r="CQ841" s="43"/>
      <c r="CR841" s="43"/>
      <c r="CS841" s="43"/>
      <c r="CT841" s="43"/>
      <c r="CU841" s="43"/>
      <c r="CV841" s="43"/>
      <c r="CW841" s="43"/>
      <c r="CX841" s="43"/>
      <c r="CY841" s="43"/>
      <c r="CZ841" s="43"/>
      <c r="DA841" s="43"/>
      <c r="DB841" s="43"/>
      <c r="DC841" s="43"/>
      <c r="DD841" s="43"/>
      <c r="DE841" s="43"/>
      <c r="DF841" s="43"/>
      <c r="DG841" s="43"/>
      <c r="DH841" s="43"/>
      <c r="DI841" s="43"/>
      <c r="DJ841" s="43"/>
      <c r="DK841" s="43"/>
      <c r="DL841" s="43"/>
      <c r="DM841" s="43"/>
      <c r="DN841" s="43"/>
      <c r="DO841" s="43"/>
      <c r="DP841" s="43"/>
      <c r="DQ841" s="43"/>
      <c r="DR841" s="43"/>
      <c r="DS841" s="43"/>
      <c r="DT841" s="43"/>
      <c r="DU841" s="43"/>
      <c r="DV841" s="43"/>
      <c r="DW841" s="43"/>
      <c r="DX841" s="43"/>
      <c r="DY841" s="43"/>
      <c r="DZ841" s="43"/>
      <c r="EA841" s="43"/>
      <c r="EB841" s="43"/>
      <c r="EC841" s="43"/>
      <c r="ED841" s="43"/>
      <c r="EE841" s="43"/>
      <c r="EF841" s="43"/>
      <c r="EG841" s="43"/>
      <c r="EH841" s="43"/>
      <c r="EI841" s="43"/>
      <c r="EJ841" s="43"/>
      <c r="EK841" s="43"/>
      <c r="EL841" s="43"/>
      <c r="EM841" s="43"/>
      <c r="EN841" s="43"/>
      <c r="EO841" s="43"/>
      <c r="EP841" s="43"/>
      <c r="EQ841" s="43"/>
      <c r="ER841" s="43"/>
      <c r="ES841" s="43"/>
      <c r="ET841" s="50"/>
      <c r="EU841" s="50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  <c r="AX842" s="43"/>
      <c r="AY842" s="43"/>
      <c r="AZ842" s="43"/>
      <c r="BA842" s="43"/>
      <c r="BB842" s="43"/>
      <c r="BC842" s="43"/>
      <c r="BD842" s="43"/>
      <c r="BE842" s="43"/>
      <c r="BF842" s="43"/>
      <c r="BG842" s="43"/>
      <c r="BH842" s="43"/>
      <c r="BI842" s="43"/>
      <c r="BJ842" s="43"/>
      <c r="BK842" s="43"/>
      <c r="BL842" s="43"/>
      <c r="BM842" s="43"/>
      <c r="BN842" s="43"/>
      <c r="BO842" s="43"/>
      <c r="BP842" s="43"/>
      <c r="BQ842" s="43"/>
      <c r="BR842" s="43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43"/>
      <c r="CF842" s="43"/>
      <c r="CG842" s="43"/>
      <c r="CH842" s="43"/>
      <c r="CI842" s="43"/>
      <c r="CJ842" s="43"/>
      <c r="CK842" s="43"/>
      <c r="CL842" s="43"/>
      <c r="CM842" s="43"/>
      <c r="CN842" s="43"/>
      <c r="CO842" s="43"/>
      <c r="CP842" s="43"/>
      <c r="CQ842" s="43"/>
      <c r="CR842" s="43"/>
      <c r="CS842" s="43"/>
      <c r="CT842" s="43"/>
      <c r="CU842" s="43"/>
      <c r="CV842" s="43"/>
      <c r="CW842" s="43"/>
      <c r="CX842" s="43"/>
      <c r="CY842" s="43"/>
      <c r="CZ842" s="43"/>
      <c r="DA842" s="43"/>
      <c r="DB842" s="43"/>
      <c r="DC842" s="43"/>
      <c r="DD842" s="43"/>
      <c r="DE842" s="43"/>
      <c r="DF842" s="43"/>
      <c r="DG842" s="43"/>
      <c r="DH842" s="43"/>
      <c r="DI842" s="43"/>
      <c r="DJ842" s="43"/>
      <c r="DK842" s="43"/>
      <c r="DL842" s="43"/>
      <c r="DM842" s="43"/>
      <c r="DN842" s="43"/>
      <c r="DO842" s="43"/>
      <c r="DP842" s="43"/>
      <c r="DQ842" s="43"/>
      <c r="DR842" s="43"/>
      <c r="DS842" s="43"/>
      <c r="DT842" s="43"/>
      <c r="DU842" s="43"/>
      <c r="DV842" s="43"/>
      <c r="DW842" s="43"/>
      <c r="DX842" s="43"/>
      <c r="DY842" s="43"/>
      <c r="DZ842" s="43"/>
      <c r="EA842" s="43"/>
      <c r="EB842" s="43"/>
      <c r="EC842" s="43"/>
      <c r="ED842" s="43"/>
      <c r="EE842" s="43"/>
      <c r="EF842" s="43"/>
      <c r="EG842" s="43"/>
      <c r="EH842" s="43"/>
      <c r="EI842" s="43"/>
      <c r="EJ842" s="43"/>
      <c r="EK842" s="43"/>
      <c r="EL842" s="43"/>
      <c r="EM842" s="43"/>
      <c r="EN842" s="43"/>
      <c r="EO842" s="43"/>
      <c r="EP842" s="43"/>
      <c r="EQ842" s="43"/>
      <c r="ER842" s="43"/>
      <c r="ES842" s="43"/>
      <c r="ET842" s="50"/>
      <c r="EU842" s="50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  <c r="AX843" s="43"/>
      <c r="AY843" s="43"/>
      <c r="AZ843" s="43"/>
      <c r="BA843" s="43"/>
      <c r="BB843" s="43"/>
      <c r="BC843" s="43"/>
      <c r="BD843" s="43"/>
      <c r="BE843" s="43"/>
      <c r="BF843" s="43"/>
      <c r="BG843" s="43"/>
      <c r="BH843" s="43"/>
      <c r="BI843" s="43"/>
      <c r="BJ843" s="43"/>
      <c r="BK843" s="43"/>
      <c r="BL843" s="43"/>
      <c r="BM843" s="43"/>
      <c r="BN843" s="43"/>
      <c r="BO843" s="43"/>
      <c r="BP843" s="43"/>
      <c r="BQ843" s="43"/>
      <c r="BR843" s="43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43"/>
      <c r="CF843" s="43"/>
      <c r="CG843" s="43"/>
      <c r="CH843" s="43"/>
      <c r="CI843" s="43"/>
      <c r="CJ843" s="43"/>
      <c r="CK843" s="43"/>
      <c r="CL843" s="43"/>
      <c r="CM843" s="43"/>
      <c r="CN843" s="43"/>
      <c r="CO843" s="43"/>
      <c r="CP843" s="43"/>
      <c r="CQ843" s="43"/>
      <c r="CR843" s="43"/>
      <c r="CS843" s="43"/>
      <c r="CT843" s="43"/>
      <c r="CU843" s="43"/>
      <c r="CV843" s="43"/>
      <c r="CW843" s="43"/>
      <c r="CX843" s="43"/>
      <c r="CY843" s="43"/>
      <c r="CZ843" s="43"/>
      <c r="DA843" s="43"/>
      <c r="DB843" s="43"/>
      <c r="DC843" s="43"/>
      <c r="DD843" s="43"/>
      <c r="DE843" s="43"/>
      <c r="DF843" s="43"/>
      <c r="DG843" s="43"/>
      <c r="DH843" s="43"/>
      <c r="DI843" s="43"/>
      <c r="DJ843" s="43"/>
      <c r="DK843" s="43"/>
      <c r="DL843" s="43"/>
      <c r="DM843" s="43"/>
      <c r="DN843" s="43"/>
      <c r="DO843" s="43"/>
      <c r="DP843" s="43"/>
      <c r="DQ843" s="43"/>
      <c r="DR843" s="43"/>
      <c r="DS843" s="43"/>
      <c r="DT843" s="43"/>
      <c r="DU843" s="43"/>
      <c r="DV843" s="43"/>
      <c r="DW843" s="43"/>
      <c r="DX843" s="43"/>
      <c r="DY843" s="43"/>
      <c r="DZ843" s="43"/>
      <c r="EA843" s="43"/>
      <c r="EB843" s="43"/>
      <c r="EC843" s="43"/>
      <c r="ED843" s="43"/>
      <c r="EE843" s="43"/>
      <c r="EF843" s="43"/>
      <c r="EG843" s="43"/>
      <c r="EH843" s="43"/>
      <c r="EI843" s="43"/>
      <c r="EJ843" s="43"/>
      <c r="EK843" s="43"/>
      <c r="EL843" s="43"/>
      <c r="EM843" s="43"/>
      <c r="EN843" s="43"/>
      <c r="EO843" s="43"/>
      <c r="EP843" s="43"/>
      <c r="EQ843" s="43"/>
      <c r="ER843" s="43"/>
      <c r="ES843" s="43"/>
      <c r="ET843" s="50"/>
      <c r="EU843" s="50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43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43"/>
      <c r="CF844" s="43"/>
      <c r="CG844" s="43"/>
      <c r="CH844" s="43"/>
      <c r="CI844" s="43"/>
      <c r="CJ844" s="43"/>
      <c r="CK844" s="43"/>
      <c r="CL844" s="43"/>
      <c r="CM844" s="43"/>
      <c r="CN844" s="43"/>
      <c r="CO844" s="43"/>
      <c r="CP844" s="43"/>
      <c r="CQ844" s="43"/>
      <c r="CR844" s="43"/>
      <c r="CS844" s="43"/>
      <c r="CT844" s="43"/>
      <c r="CU844" s="43"/>
      <c r="CV844" s="43"/>
      <c r="CW844" s="43"/>
      <c r="CX844" s="43"/>
      <c r="CY844" s="43"/>
      <c r="CZ844" s="43"/>
      <c r="DA844" s="43"/>
      <c r="DB844" s="43"/>
      <c r="DC844" s="43"/>
      <c r="DD844" s="43"/>
      <c r="DE844" s="43"/>
      <c r="DF844" s="43"/>
      <c r="DG844" s="43"/>
      <c r="DH844" s="43"/>
      <c r="DI844" s="43"/>
      <c r="DJ844" s="43"/>
      <c r="DK844" s="43"/>
      <c r="DL844" s="43"/>
      <c r="DM844" s="43"/>
      <c r="DN844" s="43"/>
      <c r="DO844" s="43"/>
      <c r="DP844" s="43"/>
      <c r="DQ844" s="43"/>
      <c r="DR844" s="43"/>
      <c r="DS844" s="43"/>
      <c r="DT844" s="43"/>
      <c r="DU844" s="43"/>
      <c r="DV844" s="43"/>
      <c r="DW844" s="43"/>
      <c r="DX844" s="43"/>
      <c r="DY844" s="43"/>
      <c r="DZ844" s="43"/>
      <c r="EA844" s="43"/>
      <c r="EB844" s="43"/>
      <c r="EC844" s="43"/>
      <c r="ED844" s="43"/>
      <c r="EE844" s="43"/>
      <c r="EF844" s="43"/>
      <c r="EG844" s="43"/>
      <c r="EH844" s="43"/>
      <c r="EI844" s="43"/>
      <c r="EJ844" s="43"/>
      <c r="EK844" s="43"/>
      <c r="EL844" s="43"/>
      <c r="EM844" s="43"/>
      <c r="EN844" s="43"/>
      <c r="EO844" s="43"/>
      <c r="EP844" s="43"/>
      <c r="EQ844" s="43"/>
      <c r="ER844" s="43"/>
      <c r="ES844" s="43"/>
      <c r="ET844" s="50"/>
      <c r="EU844" s="50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  <c r="AX845" s="43"/>
      <c r="AY845" s="43"/>
      <c r="AZ845" s="43"/>
      <c r="BA845" s="43"/>
      <c r="BB845" s="43"/>
      <c r="BC845" s="43"/>
      <c r="BD845" s="43"/>
      <c r="BE845" s="43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43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43"/>
      <c r="CF845" s="43"/>
      <c r="CG845" s="43"/>
      <c r="CH845" s="43"/>
      <c r="CI845" s="43"/>
      <c r="CJ845" s="43"/>
      <c r="CK845" s="43"/>
      <c r="CL845" s="43"/>
      <c r="CM845" s="43"/>
      <c r="CN845" s="43"/>
      <c r="CO845" s="43"/>
      <c r="CP845" s="43"/>
      <c r="CQ845" s="43"/>
      <c r="CR845" s="43"/>
      <c r="CS845" s="43"/>
      <c r="CT845" s="43"/>
      <c r="CU845" s="43"/>
      <c r="CV845" s="43"/>
      <c r="CW845" s="43"/>
      <c r="CX845" s="43"/>
      <c r="CY845" s="43"/>
      <c r="CZ845" s="43"/>
      <c r="DA845" s="43"/>
      <c r="DB845" s="43"/>
      <c r="DC845" s="43"/>
      <c r="DD845" s="43"/>
      <c r="DE845" s="43"/>
      <c r="DF845" s="43"/>
      <c r="DG845" s="43"/>
      <c r="DH845" s="43"/>
      <c r="DI845" s="43"/>
      <c r="DJ845" s="43"/>
      <c r="DK845" s="43"/>
      <c r="DL845" s="43"/>
      <c r="DM845" s="43"/>
      <c r="DN845" s="43"/>
      <c r="DO845" s="43"/>
      <c r="DP845" s="43"/>
      <c r="DQ845" s="43"/>
      <c r="DR845" s="43"/>
      <c r="DS845" s="43"/>
      <c r="DT845" s="43"/>
      <c r="DU845" s="43"/>
      <c r="DV845" s="43"/>
      <c r="DW845" s="43"/>
      <c r="DX845" s="43"/>
      <c r="DY845" s="43"/>
      <c r="DZ845" s="43"/>
      <c r="EA845" s="43"/>
      <c r="EB845" s="43"/>
      <c r="EC845" s="43"/>
      <c r="ED845" s="43"/>
      <c r="EE845" s="43"/>
      <c r="EF845" s="43"/>
      <c r="EG845" s="43"/>
      <c r="EH845" s="43"/>
      <c r="EI845" s="43"/>
      <c r="EJ845" s="43"/>
      <c r="EK845" s="43"/>
      <c r="EL845" s="43"/>
      <c r="EM845" s="43"/>
      <c r="EN845" s="43"/>
      <c r="EO845" s="43"/>
      <c r="EP845" s="43"/>
      <c r="EQ845" s="43"/>
      <c r="ER845" s="43"/>
      <c r="ES845" s="43"/>
      <c r="ET845" s="50"/>
      <c r="EU845" s="50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  <c r="AX846" s="43"/>
      <c r="AY846" s="43"/>
      <c r="AZ846" s="43"/>
      <c r="BA846" s="43"/>
      <c r="BB846" s="43"/>
      <c r="BC846" s="43"/>
      <c r="BD846" s="43"/>
      <c r="BE846" s="43"/>
      <c r="BF846" s="43"/>
      <c r="BG846" s="43"/>
      <c r="BH846" s="43"/>
      <c r="BI846" s="43"/>
      <c r="BJ846" s="43"/>
      <c r="BK846" s="43"/>
      <c r="BL846" s="43"/>
      <c r="BM846" s="43"/>
      <c r="BN846" s="43"/>
      <c r="BO846" s="43"/>
      <c r="BP846" s="43"/>
      <c r="BQ846" s="43"/>
      <c r="BR846" s="43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43"/>
      <c r="CF846" s="43"/>
      <c r="CG846" s="43"/>
      <c r="CH846" s="43"/>
      <c r="CI846" s="43"/>
      <c r="CJ846" s="43"/>
      <c r="CK846" s="43"/>
      <c r="CL846" s="43"/>
      <c r="CM846" s="43"/>
      <c r="CN846" s="43"/>
      <c r="CO846" s="43"/>
      <c r="CP846" s="43"/>
      <c r="CQ846" s="43"/>
      <c r="CR846" s="43"/>
      <c r="CS846" s="43"/>
      <c r="CT846" s="43"/>
      <c r="CU846" s="43"/>
      <c r="CV846" s="43"/>
      <c r="CW846" s="43"/>
      <c r="CX846" s="43"/>
      <c r="CY846" s="43"/>
      <c r="CZ846" s="43"/>
      <c r="DA846" s="43"/>
      <c r="DB846" s="43"/>
      <c r="DC846" s="43"/>
      <c r="DD846" s="43"/>
      <c r="DE846" s="43"/>
      <c r="DF846" s="43"/>
      <c r="DG846" s="43"/>
      <c r="DH846" s="43"/>
      <c r="DI846" s="43"/>
      <c r="DJ846" s="43"/>
      <c r="DK846" s="43"/>
      <c r="DL846" s="43"/>
      <c r="DM846" s="43"/>
      <c r="DN846" s="43"/>
      <c r="DO846" s="43"/>
      <c r="DP846" s="43"/>
      <c r="DQ846" s="43"/>
      <c r="DR846" s="43"/>
      <c r="DS846" s="43"/>
      <c r="DT846" s="43"/>
      <c r="DU846" s="43"/>
      <c r="DV846" s="43"/>
      <c r="DW846" s="43"/>
      <c r="DX846" s="43"/>
      <c r="DY846" s="43"/>
      <c r="DZ846" s="43"/>
      <c r="EA846" s="43"/>
      <c r="EB846" s="43"/>
      <c r="EC846" s="43"/>
      <c r="ED846" s="43"/>
      <c r="EE846" s="43"/>
      <c r="EF846" s="43"/>
      <c r="EG846" s="43"/>
      <c r="EH846" s="43"/>
      <c r="EI846" s="43"/>
      <c r="EJ846" s="43"/>
      <c r="EK846" s="43"/>
      <c r="EL846" s="43"/>
      <c r="EM846" s="43"/>
      <c r="EN846" s="43"/>
      <c r="EO846" s="43"/>
      <c r="EP846" s="43"/>
      <c r="EQ846" s="43"/>
      <c r="ER846" s="43"/>
      <c r="ES846" s="43"/>
      <c r="ET846" s="50"/>
      <c r="EU846" s="50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43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43"/>
      <c r="CF847" s="43"/>
      <c r="CG847" s="43"/>
      <c r="CH847" s="43"/>
      <c r="CI847" s="43"/>
      <c r="CJ847" s="43"/>
      <c r="CK847" s="43"/>
      <c r="CL847" s="43"/>
      <c r="CM847" s="43"/>
      <c r="CN847" s="43"/>
      <c r="CO847" s="43"/>
      <c r="CP847" s="43"/>
      <c r="CQ847" s="43"/>
      <c r="CR847" s="43"/>
      <c r="CS847" s="43"/>
      <c r="CT847" s="43"/>
      <c r="CU847" s="43"/>
      <c r="CV847" s="43"/>
      <c r="CW847" s="43"/>
      <c r="CX847" s="43"/>
      <c r="CY847" s="43"/>
      <c r="CZ847" s="43"/>
      <c r="DA847" s="43"/>
      <c r="DB847" s="43"/>
      <c r="DC847" s="43"/>
      <c r="DD847" s="43"/>
      <c r="DE847" s="43"/>
      <c r="DF847" s="43"/>
      <c r="DG847" s="43"/>
      <c r="DH847" s="43"/>
      <c r="DI847" s="43"/>
      <c r="DJ847" s="43"/>
      <c r="DK847" s="43"/>
      <c r="DL847" s="43"/>
      <c r="DM847" s="43"/>
      <c r="DN847" s="43"/>
      <c r="DO847" s="43"/>
      <c r="DP847" s="43"/>
      <c r="DQ847" s="43"/>
      <c r="DR847" s="43"/>
      <c r="DS847" s="43"/>
      <c r="DT847" s="43"/>
      <c r="DU847" s="43"/>
      <c r="DV847" s="43"/>
      <c r="DW847" s="43"/>
      <c r="DX847" s="43"/>
      <c r="DY847" s="43"/>
      <c r="DZ847" s="43"/>
      <c r="EA847" s="43"/>
      <c r="EB847" s="43"/>
      <c r="EC847" s="43"/>
      <c r="ED847" s="43"/>
      <c r="EE847" s="43"/>
      <c r="EF847" s="43"/>
      <c r="EG847" s="43"/>
      <c r="EH847" s="43"/>
      <c r="EI847" s="43"/>
      <c r="EJ847" s="43"/>
      <c r="EK847" s="43"/>
      <c r="EL847" s="43"/>
      <c r="EM847" s="43"/>
      <c r="EN847" s="43"/>
      <c r="EO847" s="43"/>
      <c r="EP847" s="43"/>
      <c r="EQ847" s="43"/>
      <c r="ER847" s="43"/>
      <c r="ES847" s="43"/>
      <c r="ET847" s="50"/>
      <c r="EU847" s="50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  <c r="AX848" s="43"/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43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43"/>
      <c r="CF848" s="43"/>
      <c r="CG848" s="43"/>
      <c r="CH848" s="43"/>
      <c r="CI848" s="43"/>
      <c r="CJ848" s="43"/>
      <c r="CK848" s="43"/>
      <c r="CL848" s="43"/>
      <c r="CM848" s="43"/>
      <c r="CN848" s="43"/>
      <c r="CO848" s="43"/>
      <c r="CP848" s="43"/>
      <c r="CQ848" s="43"/>
      <c r="CR848" s="43"/>
      <c r="CS848" s="43"/>
      <c r="CT848" s="43"/>
      <c r="CU848" s="43"/>
      <c r="CV848" s="43"/>
      <c r="CW848" s="43"/>
      <c r="CX848" s="43"/>
      <c r="CY848" s="43"/>
      <c r="CZ848" s="43"/>
      <c r="DA848" s="43"/>
      <c r="DB848" s="43"/>
      <c r="DC848" s="43"/>
      <c r="DD848" s="43"/>
      <c r="DE848" s="43"/>
      <c r="DF848" s="43"/>
      <c r="DG848" s="43"/>
      <c r="DH848" s="43"/>
      <c r="DI848" s="43"/>
      <c r="DJ848" s="43"/>
      <c r="DK848" s="43"/>
      <c r="DL848" s="43"/>
      <c r="DM848" s="43"/>
      <c r="DN848" s="43"/>
      <c r="DO848" s="43"/>
      <c r="DP848" s="43"/>
      <c r="DQ848" s="43"/>
      <c r="DR848" s="43"/>
      <c r="DS848" s="43"/>
      <c r="DT848" s="43"/>
      <c r="DU848" s="43"/>
      <c r="DV848" s="43"/>
      <c r="DW848" s="43"/>
      <c r="DX848" s="43"/>
      <c r="DY848" s="43"/>
      <c r="DZ848" s="43"/>
      <c r="EA848" s="43"/>
      <c r="EB848" s="43"/>
      <c r="EC848" s="43"/>
      <c r="ED848" s="43"/>
      <c r="EE848" s="43"/>
      <c r="EF848" s="43"/>
      <c r="EG848" s="43"/>
      <c r="EH848" s="43"/>
      <c r="EI848" s="43"/>
      <c r="EJ848" s="43"/>
      <c r="EK848" s="43"/>
      <c r="EL848" s="43"/>
      <c r="EM848" s="43"/>
      <c r="EN848" s="43"/>
      <c r="EO848" s="43"/>
      <c r="EP848" s="43"/>
      <c r="EQ848" s="43"/>
      <c r="ER848" s="43"/>
      <c r="ES848" s="43"/>
      <c r="ET848" s="50"/>
      <c r="EU848" s="50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  <c r="AX849" s="43"/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43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43"/>
      <c r="CF849" s="43"/>
      <c r="CG849" s="43"/>
      <c r="CH849" s="43"/>
      <c r="CI849" s="43"/>
      <c r="CJ849" s="43"/>
      <c r="CK849" s="43"/>
      <c r="CL849" s="43"/>
      <c r="CM849" s="43"/>
      <c r="CN849" s="43"/>
      <c r="CO849" s="43"/>
      <c r="CP849" s="43"/>
      <c r="CQ849" s="43"/>
      <c r="CR849" s="43"/>
      <c r="CS849" s="43"/>
      <c r="CT849" s="43"/>
      <c r="CU849" s="43"/>
      <c r="CV849" s="43"/>
      <c r="CW849" s="43"/>
      <c r="CX849" s="43"/>
      <c r="CY849" s="43"/>
      <c r="CZ849" s="43"/>
      <c r="DA849" s="43"/>
      <c r="DB849" s="43"/>
      <c r="DC849" s="43"/>
      <c r="DD849" s="43"/>
      <c r="DE849" s="43"/>
      <c r="DF849" s="43"/>
      <c r="DG849" s="43"/>
      <c r="DH849" s="43"/>
      <c r="DI849" s="43"/>
      <c r="DJ849" s="43"/>
      <c r="DK849" s="43"/>
      <c r="DL849" s="43"/>
      <c r="DM849" s="43"/>
      <c r="DN849" s="43"/>
      <c r="DO849" s="43"/>
      <c r="DP849" s="43"/>
      <c r="DQ849" s="43"/>
      <c r="DR849" s="43"/>
      <c r="DS849" s="43"/>
      <c r="DT849" s="43"/>
      <c r="DU849" s="43"/>
      <c r="DV849" s="43"/>
      <c r="DW849" s="43"/>
      <c r="DX849" s="43"/>
      <c r="DY849" s="43"/>
      <c r="DZ849" s="43"/>
      <c r="EA849" s="43"/>
      <c r="EB849" s="43"/>
      <c r="EC849" s="43"/>
      <c r="ED849" s="43"/>
      <c r="EE849" s="43"/>
      <c r="EF849" s="43"/>
      <c r="EG849" s="43"/>
      <c r="EH849" s="43"/>
      <c r="EI849" s="43"/>
      <c r="EJ849" s="43"/>
      <c r="EK849" s="43"/>
      <c r="EL849" s="43"/>
      <c r="EM849" s="43"/>
      <c r="EN849" s="43"/>
      <c r="EO849" s="43"/>
      <c r="EP849" s="43"/>
      <c r="EQ849" s="43"/>
      <c r="ER849" s="43"/>
      <c r="ES849" s="43"/>
      <c r="ET849" s="50"/>
      <c r="EU849" s="50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  <c r="AX850" s="43"/>
      <c r="AY850" s="43"/>
      <c r="AZ850" s="43"/>
      <c r="BA850" s="43"/>
      <c r="BB850" s="43"/>
      <c r="BC850" s="43"/>
      <c r="BD850" s="43"/>
      <c r="BE850" s="43"/>
      <c r="BF850" s="43"/>
      <c r="BG850" s="43"/>
      <c r="BH850" s="43"/>
      <c r="BI850" s="43"/>
      <c r="BJ850" s="43"/>
      <c r="BK850" s="43"/>
      <c r="BL850" s="43"/>
      <c r="BM850" s="43"/>
      <c r="BN850" s="43"/>
      <c r="BO850" s="43"/>
      <c r="BP850" s="43"/>
      <c r="BQ850" s="43"/>
      <c r="BR850" s="43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43"/>
      <c r="CF850" s="43"/>
      <c r="CG850" s="43"/>
      <c r="CH850" s="43"/>
      <c r="CI850" s="43"/>
      <c r="CJ850" s="43"/>
      <c r="CK850" s="43"/>
      <c r="CL850" s="43"/>
      <c r="CM850" s="43"/>
      <c r="CN850" s="43"/>
      <c r="CO850" s="43"/>
      <c r="CP850" s="43"/>
      <c r="CQ850" s="43"/>
      <c r="CR850" s="43"/>
      <c r="CS850" s="43"/>
      <c r="CT850" s="43"/>
      <c r="CU850" s="43"/>
      <c r="CV850" s="43"/>
      <c r="CW850" s="43"/>
      <c r="CX850" s="43"/>
      <c r="CY850" s="43"/>
      <c r="CZ850" s="43"/>
      <c r="DA850" s="43"/>
      <c r="DB850" s="43"/>
      <c r="DC850" s="43"/>
      <c r="DD850" s="43"/>
      <c r="DE850" s="43"/>
      <c r="DF850" s="43"/>
      <c r="DG850" s="43"/>
      <c r="DH850" s="43"/>
      <c r="DI850" s="43"/>
      <c r="DJ850" s="43"/>
      <c r="DK850" s="43"/>
      <c r="DL850" s="43"/>
      <c r="DM850" s="43"/>
      <c r="DN850" s="43"/>
      <c r="DO850" s="43"/>
      <c r="DP850" s="43"/>
      <c r="DQ850" s="43"/>
      <c r="DR850" s="43"/>
      <c r="DS850" s="43"/>
      <c r="DT850" s="43"/>
      <c r="DU850" s="43"/>
      <c r="DV850" s="43"/>
      <c r="DW850" s="43"/>
      <c r="DX850" s="43"/>
      <c r="DY850" s="43"/>
      <c r="DZ850" s="43"/>
      <c r="EA850" s="43"/>
      <c r="EB850" s="43"/>
      <c r="EC850" s="43"/>
      <c r="ED850" s="43"/>
      <c r="EE850" s="43"/>
      <c r="EF850" s="43"/>
      <c r="EG850" s="43"/>
      <c r="EH850" s="43"/>
      <c r="EI850" s="43"/>
      <c r="EJ850" s="43"/>
      <c r="EK850" s="43"/>
      <c r="EL850" s="43"/>
      <c r="EM850" s="43"/>
      <c r="EN850" s="43"/>
      <c r="EO850" s="43"/>
      <c r="EP850" s="43"/>
      <c r="EQ850" s="43"/>
      <c r="ER850" s="43"/>
      <c r="ES850" s="43"/>
      <c r="ET850" s="50"/>
      <c r="EU850" s="50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  <c r="AX851" s="43"/>
      <c r="AY851" s="43"/>
      <c r="AZ851" s="43"/>
      <c r="BA851" s="43"/>
      <c r="BB851" s="43"/>
      <c r="BC851" s="43"/>
      <c r="BD851" s="43"/>
      <c r="BE851" s="43"/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43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43"/>
      <c r="CF851" s="43"/>
      <c r="CG851" s="43"/>
      <c r="CH851" s="43"/>
      <c r="CI851" s="43"/>
      <c r="CJ851" s="43"/>
      <c r="CK851" s="43"/>
      <c r="CL851" s="43"/>
      <c r="CM851" s="43"/>
      <c r="CN851" s="43"/>
      <c r="CO851" s="43"/>
      <c r="CP851" s="43"/>
      <c r="CQ851" s="43"/>
      <c r="CR851" s="43"/>
      <c r="CS851" s="43"/>
      <c r="CT851" s="43"/>
      <c r="CU851" s="43"/>
      <c r="CV851" s="43"/>
      <c r="CW851" s="43"/>
      <c r="CX851" s="43"/>
      <c r="CY851" s="43"/>
      <c r="CZ851" s="43"/>
      <c r="DA851" s="43"/>
      <c r="DB851" s="43"/>
      <c r="DC851" s="43"/>
      <c r="DD851" s="43"/>
      <c r="DE851" s="43"/>
      <c r="DF851" s="43"/>
      <c r="DG851" s="43"/>
      <c r="DH851" s="43"/>
      <c r="DI851" s="43"/>
      <c r="DJ851" s="43"/>
      <c r="DK851" s="43"/>
      <c r="DL851" s="43"/>
      <c r="DM851" s="43"/>
      <c r="DN851" s="43"/>
      <c r="DO851" s="43"/>
      <c r="DP851" s="43"/>
      <c r="DQ851" s="43"/>
      <c r="DR851" s="43"/>
      <c r="DS851" s="43"/>
      <c r="DT851" s="43"/>
      <c r="DU851" s="43"/>
      <c r="DV851" s="43"/>
      <c r="DW851" s="43"/>
      <c r="DX851" s="43"/>
      <c r="DY851" s="43"/>
      <c r="DZ851" s="43"/>
      <c r="EA851" s="43"/>
      <c r="EB851" s="43"/>
      <c r="EC851" s="43"/>
      <c r="ED851" s="43"/>
      <c r="EE851" s="43"/>
      <c r="EF851" s="43"/>
      <c r="EG851" s="43"/>
      <c r="EH851" s="43"/>
      <c r="EI851" s="43"/>
      <c r="EJ851" s="43"/>
      <c r="EK851" s="43"/>
      <c r="EL851" s="43"/>
      <c r="EM851" s="43"/>
      <c r="EN851" s="43"/>
      <c r="EO851" s="43"/>
      <c r="EP851" s="43"/>
      <c r="EQ851" s="43"/>
      <c r="ER851" s="43"/>
      <c r="ES851" s="43"/>
      <c r="ET851" s="50"/>
      <c r="EU851" s="50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  <c r="AX852" s="43"/>
      <c r="AY852" s="43"/>
      <c r="AZ852" s="43"/>
      <c r="BA852" s="43"/>
      <c r="BB852" s="43"/>
      <c r="BC852" s="43"/>
      <c r="BD852" s="43"/>
      <c r="BE852" s="43"/>
      <c r="BF852" s="43"/>
      <c r="BG852" s="43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R852" s="43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43"/>
      <c r="CF852" s="43"/>
      <c r="CG852" s="43"/>
      <c r="CH852" s="43"/>
      <c r="CI852" s="43"/>
      <c r="CJ852" s="43"/>
      <c r="CK852" s="43"/>
      <c r="CL852" s="43"/>
      <c r="CM852" s="43"/>
      <c r="CN852" s="43"/>
      <c r="CO852" s="43"/>
      <c r="CP852" s="43"/>
      <c r="CQ852" s="43"/>
      <c r="CR852" s="43"/>
      <c r="CS852" s="43"/>
      <c r="CT852" s="43"/>
      <c r="CU852" s="43"/>
      <c r="CV852" s="43"/>
      <c r="CW852" s="43"/>
      <c r="CX852" s="43"/>
      <c r="CY852" s="43"/>
      <c r="CZ852" s="43"/>
      <c r="DA852" s="43"/>
      <c r="DB852" s="43"/>
      <c r="DC852" s="43"/>
      <c r="DD852" s="43"/>
      <c r="DE852" s="43"/>
      <c r="DF852" s="43"/>
      <c r="DG852" s="43"/>
      <c r="DH852" s="43"/>
      <c r="DI852" s="43"/>
      <c r="DJ852" s="43"/>
      <c r="DK852" s="43"/>
      <c r="DL852" s="43"/>
      <c r="DM852" s="43"/>
      <c r="DN852" s="43"/>
      <c r="DO852" s="43"/>
      <c r="DP852" s="43"/>
      <c r="DQ852" s="43"/>
      <c r="DR852" s="43"/>
      <c r="DS852" s="43"/>
      <c r="DT852" s="43"/>
      <c r="DU852" s="43"/>
      <c r="DV852" s="43"/>
      <c r="DW852" s="43"/>
      <c r="DX852" s="43"/>
      <c r="DY852" s="43"/>
      <c r="DZ852" s="43"/>
      <c r="EA852" s="43"/>
      <c r="EB852" s="43"/>
      <c r="EC852" s="43"/>
      <c r="ED852" s="43"/>
      <c r="EE852" s="43"/>
      <c r="EF852" s="43"/>
      <c r="EG852" s="43"/>
      <c r="EH852" s="43"/>
      <c r="EI852" s="43"/>
      <c r="EJ852" s="43"/>
      <c r="EK852" s="43"/>
      <c r="EL852" s="43"/>
      <c r="EM852" s="43"/>
      <c r="EN852" s="43"/>
      <c r="EO852" s="43"/>
      <c r="EP852" s="43"/>
      <c r="EQ852" s="43"/>
      <c r="ER852" s="43"/>
      <c r="ES852" s="43"/>
      <c r="ET852" s="50"/>
      <c r="EU852" s="50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  <c r="AX853" s="43"/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43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43"/>
      <c r="CF853" s="43"/>
      <c r="CG853" s="43"/>
      <c r="CH853" s="43"/>
      <c r="CI853" s="43"/>
      <c r="CJ853" s="43"/>
      <c r="CK853" s="43"/>
      <c r="CL853" s="43"/>
      <c r="CM853" s="43"/>
      <c r="CN853" s="43"/>
      <c r="CO853" s="43"/>
      <c r="CP853" s="43"/>
      <c r="CQ853" s="43"/>
      <c r="CR853" s="43"/>
      <c r="CS853" s="43"/>
      <c r="CT853" s="43"/>
      <c r="CU853" s="43"/>
      <c r="CV853" s="43"/>
      <c r="CW853" s="43"/>
      <c r="CX853" s="43"/>
      <c r="CY853" s="43"/>
      <c r="CZ853" s="43"/>
      <c r="DA853" s="43"/>
      <c r="DB853" s="43"/>
      <c r="DC853" s="43"/>
      <c r="DD853" s="43"/>
      <c r="DE853" s="43"/>
      <c r="DF853" s="43"/>
      <c r="DG853" s="43"/>
      <c r="DH853" s="43"/>
      <c r="DI853" s="43"/>
      <c r="DJ853" s="43"/>
      <c r="DK853" s="43"/>
      <c r="DL853" s="43"/>
      <c r="DM853" s="43"/>
      <c r="DN853" s="43"/>
      <c r="DO853" s="43"/>
      <c r="DP853" s="43"/>
      <c r="DQ853" s="43"/>
      <c r="DR853" s="43"/>
      <c r="DS853" s="43"/>
      <c r="DT853" s="43"/>
      <c r="DU853" s="43"/>
      <c r="DV853" s="43"/>
      <c r="DW853" s="43"/>
      <c r="DX853" s="43"/>
      <c r="DY853" s="43"/>
      <c r="DZ853" s="43"/>
      <c r="EA853" s="43"/>
      <c r="EB853" s="43"/>
      <c r="EC853" s="43"/>
      <c r="ED853" s="43"/>
      <c r="EE853" s="43"/>
      <c r="EF853" s="43"/>
      <c r="EG853" s="43"/>
      <c r="EH853" s="43"/>
      <c r="EI853" s="43"/>
      <c r="EJ853" s="43"/>
      <c r="EK853" s="43"/>
      <c r="EL853" s="43"/>
      <c r="EM853" s="43"/>
      <c r="EN853" s="43"/>
      <c r="EO853" s="43"/>
      <c r="EP853" s="43"/>
      <c r="EQ853" s="43"/>
      <c r="ER853" s="43"/>
      <c r="ES853" s="43"/>
      <c r="ET853" s="50"/>
      <c r="EU853" s="50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  <c r="AX854" s="43"/>
      <c r="AY854" s="43"/>
      <c r="AZ854" s="43"/>
      <c r="BA854" s="43"/>
      <c r="BB854" s="43"/>
      <c r="BC854" s="43"/>
      <c r="BD854" s="43"/>
      <c r="BE854" s="43"/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43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43"/>
      <c r="CF854" s="43"/>
      <c r="CG854" s="43"/>
      <c r="CH854" s="43"/>
      <c r="CI854" s="43"/>
      <c r="CJ854" s="43"/>
      <c r="CK854" s="43"/>
      <c r="CL854" s="43"/>
      <c r="CM854" s="43"/>
      <c r="CN854" s="43"/>
      <c r="CO854" s="43"/>
      <c r="CP854" s="43"/>
      <c r="CQ854" s="43"/>
      <c r="CR854" s="43"/>
      <c r="CS854" s="43"/>
      <c r="CT854" s="43"/>
      <c r="CU854" s="43"/>
      <c r="CV854" s="43"/>
      <c r="CW854" s="43"/>
      <c r="CX854" s="43"/>
      <c r="CY854" s="43"/>
      <c r="CZ854" s="43"/>
      <c r="DA854" s="43"/>
      <c r="DB854" s="43"/>
      <c r="DC854" s="43"/>
      <c r="DD854" s="43"/>
      <c r="DE854" s="43"/>
      <c r="DF854" s="43"/>
      <c r="DG854" s="43"/>
      <c r="DH854" s="43"/>
      <c r="DI854" s="43"/>
      <c r="DJ854" s="43"/>
      <c r="DK854" s="43"/>
      <c r="DL854" s="43"/>
      <c r="DM854" s="43"/>
      <c r="DN854" s="43"/>
      <c r="DO854" s="43"/>
      <c r="DP854" s="43"/>
      <c r="DQ854" s="43"/>
      <c r="DR854" s="43"/>
      <c r="DS854" s="43"/>
      <c r="DT854" s="43"/>
      <c r="DU854" s="43"/>
      <c r="DV854" s="43"/>
      <c r="DW854" s="43"/>
      <c r="DX854" s="43"/>
      <c r="DY854" s="43"/>
      <c r="DZ854" s="43"/>
      <c r="EA854" s="43"/>
      <c r="EB854" s="43"/>
      <c r="EC854" s="43"/>
      <c r="ED854" s="43"/>
      <c r="EE854" s="43"/>
      <c r="EF854" s="43"/>
      <c r="EG854" s="43"/>
      <c r="EH854" s="43"/>
      <c r="EI854" s="43"/>
      <c r="EJ854" s="43"/>
      <c r="EK854" s="43"/>
      <c r="EL854" s="43"/>
      <c r="EM854" s="43"/>
      <c r="EN854" s="43"/>
      <c r="EO854" s="43"/>
      <c r="EP854" s="43"/>
      <c r="EQ854" s="43"/>
      <c r="ER854" s="43"/>
      <c r="ES854" s="43"/>
      <c r="ET854" s="50"/>
      <c r="EU854" s="50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43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43"/>
      <c r="CF855" s="43"/>
      <c r="CG855" s="43"/>
      <c r="CH855" s="43"/>
      <c r="CI855" s="43"/>
      <c r="CJ855" s="43"/>
      <c r="CK855" s="43"/>
      <c r="CL855" s="43"/>
      <c r="CM855" s="43"/>
      <c r="CN855" s="43"/>
      <c r="CO855" s="43"/>
      <c r="CP855" s="43"/>
      <c r="CQ855" s="43"/>
      <c r="CR855" s="43"/>
      <c r="CS855" s="43"/>
      <c r="CT855" s="43"/>
      <c r="CU855" s="43"/>
      <c r="CV855" s="43"/>
      <c r="CW855" s="43"/>
      <c r="CX855" s="43"/>
      <c r="CY855" s="43"/>
      <c r="CZ855" s="43"/>
      <c r="DA855" s="43"/>
      <c r="DB855" s="43"/>
      <c r="DC855" s="43"/>
      <c r="DD855" s="43"/>
      <c r="DE855" s="43"/>
      <c r="DF855" s="43"/>
      <c r="DG855" s="43"/>
      <c r="DH855" s="43"/>
      <c r="DI855" s="43"/>
      <c r="DJ855" s="43"/>
      <c r="DK855" s="43"/>
      <c r="DL855" s="43"/>
      <c r="DM855" s="43"/>
      <c r="DN855" s="43"/>
      <c r="DO855" s="43"/>
      <c r="DP855" s="43"/>
      <c r="DQ855" s="43"/>
      <c r="DR855" s="43"/>
      <c r="DS855" s="43"/>
      <c r="DT855" s="43"/>
      <c r="DU855" s="43"/>
      <c r="DV855" s="43"/>
      <c r="DW855" s="43"/>
      <c r="DX855" s="43"/>
      <c r="DY855" s="43"/>
      <c r="DZ855" s="43"/>
      <c r="EA855" s="43"/>
      <c r="EB855" s="43"/>
      <c r="EC855" s="43"/>
      <c r="ED855" s="43"/>
      <c r="EE855" s="43"/>
      <c r="EF855" s="43"/>
      <c r="EG855" s="43"/>
      <c r="EH855" s="43"/>
      <c r="EI855" s="43"/>
      <c r="EJ855" s="43"/>
      <c r="EK855" s="43"/>
      <c r="EL855" s="43"/>
      <c r="EM855" s="43"/>
      <c r="EN855" s="43"/>
      <c r="EO855" s="43"/>
      <c r="EP855" s="43"/>
      <c r="EQ855" s="43"/>
      <c r="ER855" s="43"/>
      <c r="ES855" s="43"/>
      <c r="ET855" s="50"/>
      <c r="EU855" s="50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  <c r="AX856" s="43"/>
      <c r="AY856" s="43"/>
      <c r="AZ856" s="43"/>
      <c r="BA856" s="43"/>
      <c r="BB856" s="43"/>
      <c r="BC856" s="43"/>
      <c r="BD856" s="43"/>
      <c r="BE856" s="43"/>
      <c r="BF856" s="43"/>
      <c r="BG856" s="43"/>
      <c r="BH856" s="43"/>
      <c r="BI856" s="43"/>
      <c r="BJ856" s="43"/>
      <c r="BK856" s="43"/>
      <c r="BL856" s="43"/>
      <c r="BM856" s="43"/>
      <c r="BN856" s="43"/>
      <c r="BO856" s="43"/>
      <c r="BP856" s="43"/>
      <c r="BQ856" s="43"/>
      <c r="BR856" s="43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43"/>
      <c r="CF856" s="43"/>
      <c r="CG856" s="43"/>
      <c r="CH856" s="43"/>
      <c r="CI856" s="43"/>
      <c r="CJ856" s="43"/>
      <c r="CK856" s="43"/>
      <c r="CL856" s="43"/>
      <c r="CM856" s="43"/>
      <c r="CN856" s="43"/>
      <c r="CO856" s="43"/>
      <c r="CP856" s="43"/>
      <c r="CQ856" s="43"/>
      <c r="CR856" s="43"/>
      <c r="CS856" s="43"/>
      <c r="CT856" s="43"/>
      <c r="CU856" s="43"/>
      <c r="CV856" s="43"/>
      <c r="CW856" s="43"/>
      <c r="CX856" s="43"/>
      <c r="CY856" s="43"/>
      <c r="CZ856" s="43"/>
      <c r="DA856" s="43"/>
      <c r="DB856" s="43"/>
      <c r="DC856" s="43"/>
      <c r="DD856" s="43"/>
      <c r="DE856" s="43"/>
      <c r="DF856" s="43"/>
      <c r="DG856" s="43"/>
      <c r="DH856" s="43"/>
      <c r="DI856" s="43"/>
      <c r="DJ856" s="43"/>
      <c r="DK856" s="43"/>
      <c r="DL856" s="43"/>
      <c r="DM856" s="43"/>
      <c r="DN856" s="43"/>
      <c r="DO856" s="43"/>
      <c r="DP856" s="43"/>
      <c r="DQ856" s="43"/>
      <c r="DR856" s="43"/>
      <c r="DS856" s="43"/>
      <c r="DT856" s="43"/>
      <c r="DU856" s="43"/>
      <c r="DV856" s="43"/>
      <c r="DW856" s="43"/>
      <c r="DX856" s="43"/>
      <c r="DY856" s="43"/>
      <c r="DZ856" s="43"/>
      <c r="EA856" s="43"/>
      <c r="EB856" s="43"/>
      <c r="EC856" s="43"/>
      <c r="ED856" s="43"/>
      <c r="EE856" s="43"/>
      <c r="EF856" s="43"/>
      <c r="EG856" s="43"/>
      <c r="EH856" s="43"/>
      <c r="EI856" s="43"/>
      <c r="EJ856" s="43"/>
      <c r="EK856" s="43"/>
      <c r="EL856" s="43"/>
      <c r="EM856" s="43"/>
      <c r="EN856" s="43"/>
      <c r="EO856" s="43"/>
      <c r="EP856" s="43"/>
      <c r="EQ856" s="43"/>
      <c r="ER856" s="43"/>
      <c r="ES856" s="43"/>
      <c r="ET856" s="50"/>
      <c r="EU856" s="50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  <c r="AX857" s="43"/>
      <c r="AY857" s="43"/>
      <c r="AZ857" s="43"/>
      <c r="BA857" s="43"/>
      <c r="BB857" s="43"/>
      <c r="BC857" s="43"/>
      <c r="BD857" s="43"/>
      <c r="BE857" s="43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43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43"/>
      <c r="CF857" s="43"/>
      <c r="CG857" s="43"/>
      <c r="CH857" s="43"/>
      <c r="CI857" s="43"/>
      <c r="CJ857" s="43"/>
      <c r="CK857" s="43"/>
      <c r="CL857" s="43"/>
      <c r="CM857" s="43"/>
      <c r="CN857" s="43"/>
      <c r="CO857" s="43"/>
      <c r="CP857" s="43"/>
      <c r="CQ857" s="43"/>
      <c r="CR857" s="43"/>
      <c r="CS857" s="43"/>
      <c r="CT857" s="43"/>
      <c r="CU857" s="43"/>
      <c r="CV857" s="43"/>
      <c r="CW857" s="43"/>
      <c r="CX857" s="43"/>
      <c r="CY857" s="43"/>
      <c r="CZ857" s="43"/>
      <c r="DA857" s="43"/>
      <c r="DB857" s="43"/>
      <c r="DC857" s="43"/>
      <c r="DD857" s="43"/>
      <c r="DE857" s="43"/>
      <c r="DF857" s="43"/>
      <c r="DG857" s="43"/>
      <c r="DH857" s="43"/>
      <c r="DI857" s="43"/>
      <c r="DJ857" s="43"/>
      <c r="DK857" s="43"/>
      <c r="DL857" s="43"/>
      <c r="DM857" s="43"/>
      <c r="DN857" s="43"/>
      <c r="DO857" s="43"/>
      <c r="DP857" s="43"/>
      <c r="DQ857" s="43"/>
      <c r="DR857" s="43"/>
      <c r="DS857" s="43"/>
      <c r="DT857" s="43"/>
      <c r="DU857" s="43"/>
      <c r="DV857" s="43"/>
      <c r="DW857" s="43"/>
      <c r="DX857" s="43"/>
      <c r="DY857" s="43"/>
      <c r="DZ857" s="43"/>
      <c r="EA857" s="43"/>
      <c r="EB857" s="43"/>
      <c r="EC857" s="43"/>
      <c r="ED857" s="43"/>
      <c r="EE857" s="43"/>
      <c r="EF857" s="43"/>
      <c r="EG857" s="43"/>
      <c r="EH857" s="43"/>
      <c r="EI857" s="43"/>
      <c r="EJ857" s="43"/>
      <c r="EK857" s="43"/>
      <c r="EL857" s="43"/>
      <c r="EM857" s="43"/>
      <c r="EN857" s="43"/>
      <c r="EO857" s="43"/>
      <c r="EP857" s="43"/>
      <c r="EQ857" s="43"/>
      <c r="ER857" s="43"/>
      <c r="ES857" s="43"/>
      <c r="ET857" s="50"/>
      <c r="EU857" s="50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  <c r="AX858" s="43"/>
      <c r="AY858" s="43"/>
      <c r="AZ858" s="43"/>
      <c r="BA858" s="43"/>
      <c r="BB858" s="43"/>
      <c r="BC858" s="43"/>
      <c r="BD858" s="43"/>
      <c r="BE858" s="43"/>
      <c r="BF858" s="43"/>
      <c r="BG858" s="43"/>
      <c r="BH858" s="43"/>
      <c r="BI858" s="43"/>
      <c r="BJ858" s="43"/>
      <c r="BK858" s="43"/>
      <c r="BL858" s="43"/>
      <c r="BM858" s="43"/>
      <c r="BN858" s="43"/>
      <c r="BO858" s="43"/>
      <c r="BP858" s="43"/>
      <c r="BQ858" s="43"/>
      <c r="BR858" s="43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43"/>
      <c r="CF858" s="43"/>
      <c r="CG858" s="43"/>
      <c r="CH858" s="43"/>
      <c r="CI858" s="43"/>
      <c r="CJ858" s="43"/>
      <c r="CK858" s="43"/>
      <c r="CL858" s="43"/>
      <c r="CM858" s="43"/>
      <c r="CN858" s="43"/>
      <c r="CO858" s="43"/>
      <c r="CP858" s="43"/>
      <c r="CQ858" s="43"/>
      <c r="CR858" s="43"/>
      <c r="CS858" s="43"/>
      <c r="CT858" s="43"/>
      <c r="CU858" s="43"/>
      <c r="CV858" s="43"/>
      <c r="CW858" s="43"/>
      <c r="CX858" s="43"/>
      <c r="CY858" s="43"/>
      <c r="CZ858" s="43"/>
      <c r="DA858" s="43"/>
      <c r="DB858" s="43"/>
      <c r="DC858" s="43"/>
      <c r="DD858" s="43"/>
      <c r="DE858" s="43"/>
      <c r="DF858" s="43"/>
      <c r="DG858" s="43"/>
      <c r="DH858" s="43"/>
      <c r="DI858" s="43"/>
      <c r="DJ858" s="43"/>
      <c r="DK858" s="43"/>
      <c r="DL858" s="43"/>
      <c r="DM858" s="43"/>
      <c r="DN858" s="43"/>
      <c r="DO858" s="43"/>
      <c r="DP858" s="43"/>
      <c r="DQ858" s="43"/>
      <c r="DR858" s="43"/>
      <c r="DS858" s="43"/>
      <c r="DT858" s="43"/>
      <c r="DU858" s="43"/>
      <c r="DV858" s="43"/>
      <c r="DW858" s="43"/>
      <c r="DX858" s="43"/>
      <c r="DY858" s="43"/>
      <c r="DZ858" s="43"/>
      <c r="EA858" s="43"/>
      <c r="EB858" s="43"/>
      <c r="EC858" s="43"/>
      <c r="ED858" s="43"/>
      <c r="EE858" s="43"/>
      <c r="EF858" s="43"/>
      <c r="EG858" s="43"/>
      <c r="EH858" s="43"/>
      <c r="EI858" s="43"/>
      <c r="EJ858" s="43"/>
      <c r="EK858" s="43"/>
      <c r="EL858" s="43"/>
      <c r="EM858" s="43"/>
      <c r="EN858" s="43"/>
      <c r="EO858" s="43"/>
      <c r="EP858" s="43"/>
      <c r="EQ858" s="43"/>
      <c r="ER858" s="43"/>
      <c r="ES858" s="43"/>
      <c r="ET858" s="50"/>
      <c r="EU858" s="50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  <c r="AX859" s="43"/>
      <c r="AY859" s="43"/>
      <c r="AZ859" s="43"/>
      <c r="BA859" s="43"/>
      <c r="BB859" s="43"/>
      <c r="BC859" s="43"/>
      <c r="BD859" s="43"/>
      <c r="BE859" s="43"/>
      <c r="BF859" s="43"/>
      <c r="BG859" s="43"/>
      <c r="BH859" s="43"/>
      <c r="BI859" s="43"/>
      <c r="BJ859" s="43"/>
      <c r="BK859" s="43"/>
      <c r="BL859" s="43"/>
      <c r="BM859" s="43"/>
      <c r="BN859" s="43"/>
      <c r="BO859" s="43"/>
      <c r="BP859" s="43"/>
      <c r="BQ859" s="43"/>
      <c r="BR859" s="43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43"/>
      <c r="CF859" s="43"/>
      <c r="CG859" s="43"/>
      <c r="CH859" s="43"/>
      <c r="CI859" s="43"/>
      <c r="CJ859" s="43"/>
      <c r="CK859" s="43"/>
      <c r="CL859" s="43"/>
      <c r="CM859" s="43"/>
      <c r="CN859" s="43"/>
      <c r="CO859" s="43"/>
      <c r="CP859" s="43"/>
      <c r="CQ859" s="43"/>
      <c r="CR859" s="43"/>
      <c r="CS859" s="43"/>
      <c r="CT859" s="43"/>
      <c r="CU859" s="43"/>
      <c r="CV859" s="43"/>
      <c r="CW859" s="43"/>
      <c r="CX859" s="43"/>
      <c r="CY859" s="43"/>
      <c r="CZ859" s="43"/>
      <c r="DA859" s="43"/>
      <c r="DB859" s="43"/>
      <c r="DC859" s="43"/>
      <c r="DD859" s="43"/>
      <c r="DE859" s="43"/>
      <c r="DF859" s="43"/>
      <c r="DG859" s="43"/>
      <c r="DH859" s="43"/>
      <c r="DI859" s="43"/>
      <c r="DJ859" s="43"/>
      <c r="DK859" s="43"/>
      <c r="DL859" s="43"/>
      <c r="DM859" s="43"/>
      <c r="DN859" s="43"/>
      <c r="DO859" s="43"/>
      <c r="DP859" s="43"/>
      <c r="DQ859" s="43"/>
      <c r="DR859" s="43"/>
      <c r="DS859" s="43"/>
      <c r="DT859" s="43"/>
      <c r="DU859" s="43"/>
      <c r="DV859" s="43"/>
      <c r="DW859" s="43"/>
      <c r="DX859" s="43"/>
      <c r="DY859" s="43"/>
      <c r="DZ859" s="43"/>
      <c r="EA859" s="43"/>
      <c r="EB859" s="43"/>
      <c r="EC859" s="43"/>
      <c r="ED859" s="43"/>
      <c r="EE859" s="43"/>
      <c r="EF859" s="43"/>
      <c r="EG859" s="43"/>
      <c r="EH859" s="43"/>
      <c r="EI859" s="43"/>
      <c r="EJ859" s="43"/>
      <c r="EK859" s="43"/>
      <c r="EL859" s="43"/>
      <c r="EM859" s="43"/>
      <c r="EN859" s="43"/>
      <c r="EO859" s="43"/>
      <c r="EP859" s="43"/>
      <c r="EQ859" s="43"/>
      <c r="ER859" s="43"/>
      <c r="ES859" s="43"/>
      <c r="ET859" s="50"/>
      <c r="EU859" s="50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  <c r="AX860" s="43"/>
      <c r="AY860" s="43"/>
      <c r="AZ860" s="43"/>
      <c r="BA860" s="43"/>
      <c r="BB860" s="43"/>
      <c r="BC860" s="43"/>
      <c r="BD860" s="43"/>
      <c r="BE860" s="43"/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43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43"/>
      <c r="CF860" s="43"/>
      <c r="CG860" s="43"/>
      <c r="CH860" s="43"/>
      <c r="CI860" s="43"/>
      <c r="CJ860" s="43"/>
      <c r="CK860" s="43"/>
      <c r="CL860" s="43"/>
      <c r="CM860" s="43"/>
      <c r="CN860" s="43"/>
      <c r="CO860" s="43"/>
      <c r="CP860" s="43"/>
      <c r="CQ860" s="43"/>
      <c r="CR860" s="43"/>
      <c r="CS860" s="43"/>
      <c r="CT860" s="43"/>
      <c r="CU860" s="43"/>
      <c r="CV860" s="43"/>
      <c r="CW860" s="43"/>
      <c r="CX860" s="43"/>
      <c r="CY860" s="43"/>
      <c r="CZ860" s="43"/>
      <c r="DA860" s="43"/>
      <c r="DB860" s="43"/>
      <c r="DC860" s="43"/>
      <c r="DD860" s="43"/>
      <c r="DE860" s="43"/>
      <c r="DF860" s="43"/>
      <c r="DG860" s="43"/>
      <c r="DH860" s="43"/>
      <c r="DI860" s="43"/>
      <c r="DJ860" s="43"/>
      <c r="DK860" s="43"/>
      <c r="DL860" s="43"/>
      <c r="DM860" s="43"/>
      <c r="DN860" s="43"/>
      <c r="DO860" s="43"/>
      <c r="DP860" s="43"/>
      <c r="DQ860" s="43"/>
      <c r="DR860" s="43"/>
      <c r="DS860" s="43"/>
      <c r="DT860" s="43"/>
      <c r="DU860" s="43"/>
      <c r="DV860" s="43"/>
      <c r="DW860" s="43"/>
      <c r="DX860" s="43"/>
      <c r="DY860" s="43"/>
      <c r="DZ860" s="43"/>
      <c r="EA860" s="43"/>
      <c r="EB860" s="43"/>
      <c r="EC860" s="43"/>
      <c r="ED860" s="43"/>
      <c r="EE860" s="43"/>
      <c r="EF860" s="43"/>
      <c r="EG860" s="43"/>
      <c r="EH860" s="43"/>
      <c r="EI860" s="43"/>
      <c r="EJ860" s="43"/>
      <c r="EK860" s="43"/>
      <c r="EL860" s="43"/>
      <c r="EM860" s="43"/>
      <c r="EN860" s="43"/>
      <c r="EO860" s="43"/>
      <c r="EP860" s="43"/>
      <c r="EQ860" s="43"/>
      <c r="ER860" s="43"/>
      <c r="ES860" s="43"/>
      <c r="ET860" s="50"/>
      <c r="EU860" s="50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  <c r="AX861" s="43"/>
      <c r="AY861" s="43"/>
      <c r="AZ861" s="43"/>
      <c r="BA861" s="43"/>
      <c r="BB861" s="43"/>
      <c r="BC861" s="43"/>
      <c r="BD861" s="43"/>
      <c r="BE861" s="43"/>
      <c r="BF861" s="43"/>
      <c r="BG861" s="43"/>
      <c r="BH861" s="43"/>
      <c r="BI861" s="43"/>
      <c r="BJ861" s="43"/>
      <c r="BK861" s="43"/>
      <c r="BL861" s="43"/>
      <c r="BM861" s="43"/>
      <c r="BN861" s="43"/>
      <c r="BO861" s="43"/>
      <c r="BP861" s="43"/>
      <c r="BQ861" s="43"/>
      <c r="BR861" s="43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43"/>
      <c r="CF861" s="43"/>
      <c r="CG861" s="43"/>
      <c r="CH861" s="43"/>
      <c r="CI861" s="43"/>
      <c r="CJ861" s="43"/>
      <c r="CK861" s="43"/>
      <c r="CL861" s="43"/>
      <c r="CM861" s="43"/>
      <c r="CN861" s="43"/>
      <c r="CO861" s="43"/>
      <c r="CP861" s="43"/>
      <c r="CQ861" s="43"/>
      <c r="CR861" s="43"/>
      <c r="CS861" s="43"/>
      <c r="CT861" s="43"/>
      <c r="CU861" s="43"/>
      <c r="CV861" s="43"/>
      <c r="CW861" s="43"/>
      <c r="CX861" s="43"/>
      <c r="CY861" s="43"/>
      <c r="CZ861" s="43"/>
      <c r="DA861" s="43"/>
      <c r="DB861" s="43"/>
      <c r="DC861" s="43"/>
      <c r="DD861" s="43"/>
      <c r="DE861" s="43"/>
      <c r="DF861" s="43"/>
      <c r="DG861" s="43"/>
      <c r="DH861" s="43"/>
      <c r="DI861" s="43"/>
      <c r="DJ861" s="43"/>
      <c r="DK861" s="43"/>
      <c r="DL861" s="43"/>
      <c r="DM861" s="43"/>
      <c r="DN861" s="43"/>
      <c r="DO861" s="43"/>
      <c r="DP861" s="43"/>
      <c r="DQ861" s="43"/>
      <c r="DR861" s="43"/>
      <c r="DS861" s="43"/>
      <c r="DT861" s="43"/>
      <c r="DU861" s="43"/>
      <c r="DV861" s="43"/>
      <c r="DW861" s="43"/>
      <c r="DX861" s="43"/>
      <c r="DY861" s="43"/>
      <c r="DZ861" s="43"/>
      <c r="EA861" s="43"/>
      <c r="EB861" s="43"/>
      <c r="EC861" s="43"/>
      <c r="ED861" s="43"/>
      <c r="EE861" s="43"/>
      <c r="EF861" s="43"/>
      <c r="EG861" s="43"/>
      <c r="EH861" s="43"/>
      <c r="EI861" s="43"/>
      <c r="EJ861" s="43"/>
      <c r="EK861" s="43"/>
      <c r="EL861" s="43"/>
      <c r="EM861" s="43"/>
      <c r="EN861" s="43"/>
      <c r="EO861" s="43"/>
      <c r="EP861" s="43"/>
      <c r="EQ861" s="43"/>
      <c r="ER861" s="43"/>
      <c r="ES861" s="43"/>
      <c r="ET861" s="50"/>
      <c r="EU861" s="50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  <c r="AX862" s="43"/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43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43"/>
      <c r="CF862" s="43"/>
      <c r="CG862" s="43"/>
      <c r="CH862" s="43"/>
      <c r="CI862" s="43"/>
      <c r="CJ862" s="43"/>
      <c r="CK862" s="43"/>
      <c r="CL862" s="43"/>
      <c r="CM862" s="43"/>
      <c r="CN862" s="43"/>
      <c r="CO862" s="43"/>
      <c r="CP862" s="43"/>
      <c r="CQ862" s="43"/>
      <c r="CR862" s="43"/>
      <c r="CS862" s="43"/>
      <c r="CT862" s="43"/>
      <c r="CU862" s="43"/>
      <c r="CV862" s="43"/>
      <c r="CW862" s="43"/>
      <c r="CX862" s="43"/>
      <c r="CY862" s="43"/>
      <c r="CZ862" s="43"/>
      <c r="DA862" s="43"/>
      <c r="DB862" s="43"/>
      <c r="DC862" s="43"/>
      <c r="DD862" s="43"/>
      <c r="DE862" s="43"/>
      <c r="DF862" s="43"/>
      <c r="DG862" s="43"/>
      <c r="DH862" s="43"/>
      <c r="DI862" s="43"/>
      <c r="DJ862" s="43"/>
      <c r="DK862" s="43"/>
      <c r="DL862" s="43"/>
      <c r="DM862" s="43"/>
      <c r="DN862" s="43"/>
      <c r="DO862" s="43"/>
      <c r="DP862" s="43"/>
      <c r="DQ862" s="43"/>
      <c r="DR862" s="43"/>
      <c r="DS862" s="43"/>
      <c r="DT862" s="43"/>
      <c r="DU862" s="43"/>
      <c r="DV862" s="43"/>
      <c r="DW862" s="43"/>
      <c r="DX862" s="43"/>
      <c r="DY862" s="43"/>
      <c r="DZ862" s="43"/>
      <c r="EA862" s="43"/>
      <c r="EB862" s="43"/>
      <c r="EC862" s="43"/>
      <c r="ED862" s="43"/>
      <c r="EE862" s="43"/>
      <c r="EF862" s="43"/>
      <c r="EG862" s="43"/>
      <c r="EH862" s="43"/>
      <c r="EI862" s="43"/>
      <c r="EJ862" s="43"/>
      <c r="EK862" s="43"/>
      <c r="EL862" s="43"/>
      <c r="EM862" s="43"/>
      <c r="EN862" s="43"/>
      <c r="EO862" s="43"/>
      <c r="EP862" s="43"/>
      <c r="EQ862" s="43"/>
      <c r="ER862" s="43"/>
      <c r="ES862" s="43"/>
      <c r="ET862" s="50"/>
      <c r="EU862" s="50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  <c r="AX863" s="43"/>
      <c r="AY863" s="43"/>
      <c r="AZ863" s="43"/>
      <c r="BA863" s="43"/>
      <c r="BB863" s="43"/>
      <c r="BC863" s="43"/>
      <c r="BD863" s="43"/>
      <c r="BE863" s="43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43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43"/>
      <c r="CF863" s="43"/>
      <c r="CG863" s="43"/>
      <c r="CH863" s="43"/>
      <c r="CI863" s="43"/>
      <c r="CJ863" s="43"/>
      <c r="CK863" s="43"/>
      <c r="CL863" s="43"/>
      <c r="CM863" s="43"/>
      <c r="CN863" s="43"/>
      <c r="CO863" s="43"/>
      <c r="CP863" s="43"/>
      <c r="CQ863" s="43"/>
      <c r="CR863" s="43"/>
      <c r="CS863" s="43"/>
      <c r="CT863" s="43"/>
      <c r="CU863" s="43"/>
      <c r="CV863" s="43"/>
      <c r="CW863" s="43"/>
      <c r="CX863" s="43"/>
      <c r="CY863" s="43"/>
      <c r="CZ863" s="43"/>
      <c r="DA863" s="43"/>
      <c r="DB863" s="43"/>
      <c r="DC863" s="43"/>
      <c r="DD863" s="43"/>
      <c r="DE863" s="43"/>
      <c r="DF863" s="43"/>
      <c r="DG863" s="43"/>
      <c r="DH863" s="43"/>
      <c r="DI863" s="43"/>
      <c r="DJ863" s="43"/>
      <c r="DK863" s="43"/>
      <c r="DL863" s="43"/>
      <c r="DM863" s="43"/>
      <c r="DN863" s="43"/>
      <c r="DO863" s="43"/>
      <c r="DP863" s="43"/>
      <c r="DQ863" s="43"/>
      <c r="DR863" s="43"/>
      <c r="DS863" s="43"/>
      <c r="DT863" s="43"/>
      <c r="DU863" s="43"/>
      <c r="DV863" s="43"/>
      <c r="DW863" s="43"/>
      <c r="DX863" s="43"/>
      <c r="DY863" s="43"/>
      <c r="DZ863" s="43"/>
      <c r="EA863" s="43"/>
      <c r="EB863" s="43"/>
      <c r="EC863" s="43"/>
      <c r="ED863" s="43"/>
      <c r="EE863" s="43"/>
      <c r="EF863" s="43"/>
      <c r="EG863" s="43"/>
      <c r="EH863" s="43"/>
      <c r="EI863" s="43"/>
      <c r="EJ863" s="43"/>
      <c r="EK863" s="43"/>
      <c r="EL863" s="43"/>
      <c r="EM863" s="43"/>
      <c r="EN863" s="43"/>
      <c r="EO863" s="43"/>
      <c r="EP863" s="43"/>
      <c r="EQ863" s="43"/>
      <c r="ER863" s="43"/>
      <c r="ES863" s="43"/>
      <c r="ET863" s="50"/>
      <c r="EU863" s="50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  <c r="AX864" s="43"/>
      <c r="AY864" s="43"/>
      <c r="AZ864" s="43"/>
      <c r="BA864" s="43"/>
      <c r="BB864" s="43"/>
      <c r="BC864" s="43"/>
      <c r="BD864" s="43"/>
      <c r="BE864" s="43"/>
      <c r="BF864" s="43"/>
      <c r="BG864" s="43"/>
      <c r="BH864" s="43"/>
      <c r="BI864" s="43"/>
      <c r="BJ864" s="43"/>
      <c r="BK864" s="43"/>
      <c r="BL864" s="43"/>
      <c r="BM864" s="43"/>
      <c r="BN864" s="43"/>
      <c r="BO864" s="43"/>
      <c r="BP864" s="43"/>
      <c r="BQ864" s="43"/>
      <c r="BR864" s="43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43"/>
      <c r="CF864" s="43"/>
      <c r="CG864" s="43"/>
      <c r="CH864" s="43"/>
      <c r="CI864" s="43"/>
      <c r="CJ864" s="43"/>
      <c r="CK864" s="43"/>
      <c r="CL864" s="43"/>
      <c r="CM864" s="43"/>
      <c r="CN864" s="43"/>
      <c r="CO864" s="43"/>
      <c r="CP864" s="43"/>
      <c r="CQ864" s="43"/>
      <c r="CR864" s="43"/>
      <c r="CS864" s="43"/>
      <c r="CT864" s="43"/>
      <c r="CU864" s="43"/>
      <c r="CV864" s="43"/>
      <c r="CW864" s="43"/>
      <c r="CX864" s="43"/>
      <c r="CY864" s="43"/>
      <c r="CZ864" s="43"/>
      <c r="DA864" s="43"/>
      <c r="DB864" s="43"/>
      <c r="DC864" s="43"/>
      <c r="DD864" s="43"/>
      <c r="DE864" s="43"/>
      <c r="DF864" s="43"/>
      <c r="DG864" s="43"/>
      <c r="DH864" s="43"/>
      <c r="DI864" s="43"/>
      <c r="DJ864" s="43"/>
      <c r="DK864" s="43"/>
      <c r="DL864" s="43"/>
      <c r="DM864" s="43"/>
      <c r="DN864" s="43"/>
      <c r="DO864" s="43"/>
      <c r="DP864" s="43"/>
      <c r="DQ864" s="43"/>
      <c r="DR864" s="43"/>
      <c r="DS864" s="43"/>
      <c r="DT864" s="43"/>
      <c r="DU864" s="43"/>
      <c r="DV864" s="43"/>
      <c r="DW864" s="43"/>
      <c r="DX864" s="43"/>
      <c r="DY864" s="43"/>
      <c r="DZ864" s="43"/>
      <c r="EA864" s="43"/>
      <c r="EB864" s="43"/>
      <c r="EC864" s="43"/>
      <c r="ED864" s="43"/>
      <c r="EE864" s="43"/>
      <c r="EF864" s="43"/>
      <c r="EG864" s="43"/>
      <c r="EH864" s="43"/>
      <c r="EI864" s="43"/>
      <c r="EJ864" s="43"/>
      <c r="EK864" s="43"/>
      <c r="EL864" s="43"/>
      <c r="EM864" s="43"/>
      <c r="EN864" s="43"/>
      <c r="EO864" s="43"/>
      <c r="EP864" s="43"/>
      <c r="EQ864" s="43"/>
      <c r="ER864" s="43"/>
      <c r="ES864" s="43"/>
      <c r="ET864" s="50"/>
      <c r="EU864" s="50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  <c r="BD865" s="43"/>
      <c r="BE865" s="43"/>
      <c r="BF865" s="43"/>
      <c r="BG865" s="43"/>
      <c r="BH865" s="43"/>
      <c r="BI865" s="43"/>
      <c r="BJ865" s="43"/>
      <c r="BK865" s="43"/>
      <c r="BL865" s="43"/>
      <c r="BM865" s="43"/>
      <c r="BN865" s="43"/>
      <c r="BO865" s="43"/>
      <c r="BP865" s="43"/>
      <c r="BQ865" s="43"/>
      <c r="BR865" s="43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43"/>
      <c r="CF865" s="43"/>
      <c r="CG865" s="43"/>
      <c r="CH865" s="43"/>
      <c r="CI865" s="43"/>
      <c r="CJ865" s="43"/>
      <c r="CK865" s="43"/>
      <c r="CL865" s="43"/>
      <c r="CM865" s="43"/>
      <c r="CN865" s="43"/>
      <c r="CO865" s="43"/>
      <c r="CP865" s="43"/>
      <c r="CQ865" s="43"/>
      <c r="CR865" s="43"/>
      <c r="CS865" s="43"/>
      <c r="CT865" s="43"/>
      <c r="CU865" s="43"/>
      <c r="CV865" s="43"/>
      <c r="CW865" s="43"/>
      <c r="CX865" s="43"/>
      <c r="CY865" s="43"/>
      <c r="CZ865" s="43"/>
      <c r="DA865" s="43"/>
      <c r="DB865" s="43"/>
      <c r="DC865" s="43"/>
      <c r="DD865" s="43"/>
      <c r="DE865" s="43"/>
      <c r="DF865" s="43"/>
      <c r="DG865" s="43"/>
      <c r="DH865" s="43"/>
      <c r="DI865" s="43"/>
      <c r="DJ865" s="43"/>
      <c r="DK865" s="43"/>
      <c r="DL865" s="43"/>
      <c r="DM865" s="43"/>
      <c r="DN865" s="43"/>
      <c r="DO865" s="43"/>
      <c r="DP865" s="43"/>
      <c r="DQ865" s="43"/>
      <c r="DR865" s="43"/>
      <c r="DS865" s="43"/>
      <c r="DT865" s="43"/>
      <c r="DU865" s="43"/>
      <c r="DV865" s="43"/>
      <c r="DW865" s="43"/>
      <c r="DX865" s="43"/>
      <c r="DY865" s="43"/>
      <c r="DZ865" s="43"/>
      <c r="EA865" s="43"/>
      <c r="EB865" s="43"/>
      <c r="EC865" s="43"/>
      <c r="ED865" s="43"/>
      <c r="EE865" s="43"/>
      <c r="EF865" s="43"/>
      <c r="EG865" s="43"/>
      <c r="EH865" s="43"/>
      <c r="EI865" s="43"/>
      <c r="EJ865" s="43"/>
      <c r="EK865" s="43"/>
      <c r="EL865" s="43"/>
      <c r="EM865" s="43"/>
      <c r="EN865" s="43"/>
      <c r="EO865" s="43"/>
      <c r="EP865" s="43"/>
      <c r="EQ865" s="43"/>
      <c r="ER865" s="43"/>
      <c r="ES865" s="43"/>
      <c r="ET865" s="50"/>
      <c r="EU865" s="50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  <c r="BD866" s="43"/>
      <c r="BE866" s="43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43"/>
      <c r="CF866" s="43"/>
      <c r="CG866" s="43"/>
      <c r="CH866" s="43"/>
      <c r="CI866" s="43"/>
      <c r="CJ866" s="43"/>
      <c r="CK866" s="43"/>
      <c r="CL866" s="43"/>
      <c r="CM866" s="43"/>
      <c r="CN866" s="43"/>
      <c r="CO866" s="43"/>
      <c r="CP866" s="43"/>
      <c r="CQ866" s="43"/>
      <c r="CR866" s="43"/>
      <c r="CS866" s="43"/>
      <c r="CT866" s="43"/>
      <c r="CU866" s="43"/>
      <c r="CV866" s="43"/>
      <c r="CW866" s="43"/>
      <c r="CX866" s="43"/>
      <c r="CY866" s="43"/>
      <c r="CZ866" s="43"/>
      <c r="DA866" s="43"/>
      <c r="DB866" s="43"/>
      <c r="DC866" s="43"/>
      <c r="DD866" s="43"/>
      <c r="DE866" s="43"/>
      <c r="DF866" s="43"/>
      <c r="DG866" s="43"/>
      <c r="DH866" s="43"/>
      <c r="DI866" s="43"/>
      <c r="DJ866" s="43"/>
      <c r="DK866" s="43"/>
      <c r="DL866" s="43"/>
      <c r="DM866" s="43"/>
      <c r="DN866" s="43"/>
      <c r="DO866" s="43"/>
      <c r="DP866" s="43"/>
      <c r="DQ866" s="43"/>
      <c r="DR866" s="43"/>
      <c r="DS866" s="43"/>
      <c r="DT866" s="43"/>
      <c r="DU866" s="43"/>
      <c r="DV866" s="43"/>
      <c r="DW866" s="43"/>
      <c r="DX866" s="43"/>
      <c r="DY866" s="43"/>
      <c r="DZ866" s="43"/>
      <c r="EA866" s="43"/>
      <c r="EB866" s="43"/>
      <c r="EC866" s="43"/>
      <c r="ED866" s="43"/>
      <c r="EE866" s="43"/>
      <c r="EF866" s="43"/>
      <c r="EG866" s="43"/>
      <c r="EH866" s="43"/>
      <c r="EI866" s="43"/>
      <c r="EJ866" s="43"/>
      <c r="EK866" s="43"/>
      <c r="EL866" s="43"/>
      <c r="EM866" s="43"/>
      <c r="EN866" s="43"/>
      <c r="EO866" s="43"/>
      <c r="EP866" s="43"/>
      <c r="EQ866" s="43"/>
      <c r="ER866" s="43"/>
      <c r="ES866" s="43"/>
      <c r="ET866" s="50"/>
      <c r="EU866" s="50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  <c r="BD867" s="43"/>
      <c r="BE867" s="43"/>
      <c r="BF867" s="43"/>
      <c r="BG867" s="43"/>
      <c r="BH867" s="43"/>
      <c r="BI867" s="43"/>
      <c r="BJ867" s="43"/>
      <c r="BK867" s="43"/>
      <c r="BL867" s="43"/>
      <c r="BM867" s="43"/>
      <c r="BN867" s="43"/>
      <c r="BO867" s="43"/>
      <c r="BP867" s="43"/>
      <c r="BQ867" s="43"/>
      <c r="BR867" s="43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43"/>
      <c r="CF867" s="43"/>
      <c r="CG867" s="43"/>
      <c r="CH867" s="43"/>
      <c r="CI867" s="43"/>
      <c r="CJ867" s="43"/>
      <c r="CK867" s="43"/>
      <c r="CL867" s="43"/>
      <c r="CM867" s="43"/>
      <c r="CN867" s="43"/>
      <c r="CO867" s="43"/>
      <c r="CP867" s="43"/>
      <c r="CQ867" s="43"/>
      <c r="CR867" s="43"/>
      <c r="CS867" s="43"/>
      <c r="CT867" s="43"/>
      <c r="CU867" s="43"/>
      <c r="CV867" s="43"/>
      <c r="CW867" s="43"/>
      <c r="CX867" s="43"/>
      <c r="CY867" s="43"/>
      <c r="CZ867" s="43"/>
      <c r="DA867" s="43"/>
      <c r="DB867" s="43"/>
      <c r="DC867" s="43"/>
      <c r="DD867" s="43"/>
      <c r="DE867" s="43"/>
      <c r="DF867" s="43"/>
      <c r="DG867" s="43"/>
      <c r="DH867" s="43"/>
      <c r="DI867" s="43"/>
      <c r="DJ867" s="43"/>
      <c r="DK867" s="43"/>
      <c r="DL867" s="43"/>
      <c r="DM867" s="43"/>
      <c r="DN867" s="43"/>
      <c r="DO867" s="43"/>
      <c r="DP867" s="43"/>
      <c r="DQ867" s="43"/>
      <c r="DR867" s="43"/>
      <c r="DS867" s="43"/>
      <c r="DT867" s="43"/>
      <c r="DU867" s="43"/>
      <c r="DV867" s="43"/>
      <c r="DW867" s="43"/>
      <c r="DX867" s="43"/>
      <c r="DY867" s="43"/>
      <c r="DZ867" s="43"/>
      <c r="EA867" s="43"/>
      <c r="EB867" s="43"/>
      <c r="EC867" s="43"/>
      <c r="ED867" s="43"/>
      <c r="EE867" s="43"/>
      <c r="EF867" s="43"/>
      <c r="EG867" s="43"/>
      <c r="EH867" s="43"/>
      <c r="EI867" s="43"/>
      <c r="EJ867" s="43"/>
      <c r="EK867" s="43"/>
      <c r="EL867" s="43"/>
      <c r="EM867" s="43"/>
      <c r="EN867" s="43"/>
      <c r="EO867" s="43"/>
      <c r="EP867" s="43"/>
      <c r="EQ867" s="43"/>
      <c r="ER867" s="43"/>
      <c r="ES867" s="43"/>
      <c r="ET867" s="50"/>
      <c r="EU867" s="50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43"/>
      <c r="CF868" s="43"/>
      <c r="CG868" s="43"/>
      <c r="CH868" s="43"/>
      <c r="CI868" s="43"/>
      <c r="CJ868" s="43"/>
      <c r="CK868" s="43"/>
      <c r="CL868" s="43"/>
      <c r="CM868" s="43"/>
      <c r="CN868" s="43"/>
      <c r="CO868" s="43"/>
      <c r="CP868" s="43"/>
      <c r="CQ868" s="43"/>
      <c r="CR868" s="43"/>
      <c r="CS868" s="43"/>
      <c r="CT868" s="43"/>
      <c r="CU868" s="43"/>
      <c r="CV868" s="43"/>
      <c r="CW868" s="43"/>
      <c r="CX868" s="43"/>
      <c r="CY868" s="43"/>
      <c r="CZ868" s="43"/>
      <c r="DA868" s="43"/>
      <c r="DB868" s="43"/>
      <c r="DC868" s="43"/>
      <c r="DD868" s="43"/>
      <c r="DE868" s="43"/>
      <c r="DF868" s="43"/>
      <c r="DG868" s="43"/>
      <c r="DH868" s="43"/>
      <c r="DI868" s="43"/>
      <c r="DJ868" s="43"/>
      <c r="DK868" s="43"/>
      <c r="DL868" s="43"/>
      <c r="DM868" s="43"/>
      <c r="DN868" s="43"/>
      <c r="DO868" s="43"/>
      <c r="DP868" s="43"/>
      <c r="DQ868" s="43"/>
      <c r="DR868" s="43"/>
      <c r="DS868" s="43"/>
      <c r="DT868" s="43"/>
      <c r="DU868" s="43"/>
      <c r="DV868" s="43"/>
      <c r="DW868" s="43"/>
      <c r="DX868" s="43"/>
      <c r="DY868" s="43"/>
      <c r="DZ868" s="43"/>
      <c r="EA868" s="43"/>
      <c r="EB868" s="43"/>
      <c r="EC868" s="43"/>
      <c r="ED868" s="43"/>
      <c r="EE868" s="43"/>
      <c r="EF868" s="43"/>
      <c r="EG868" s="43"/>
      <c r="EH868" s="43"/>
      <c r="EI868" s="43"/>
      <c r="EJ868" s="43"/>
      <c r="EK868" s="43"/>
      <c r="EL868" s="43"/>
      <c r="EM868" s="43"/>
      <c r="EN868" s="43"/>
      <c r="EO868" s="43"/>
      <c r="EP868" s="43"/>
      <c r="EQ868" s="43"/>
      <c r="ER868" s="43"/>
      <c r="ES868" s="43"/>
      <c r="ET868" s="50"/>
      <c r="EU868" s="50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  <c r="BD869" s="43"/>
      <c r="BE869" s="43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43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43"/>
      <c r="CF869" s="43"/>
      <c r="CG869" s="43"/>
      <c r="CH869" s="43"/>
      <c r="CI869" s="43"/>
      <c r="CJ869" s="43"/>
      <c r="CK869" s="43"/>
      <c r="CL869" s="43"/>
      <c r="CM869" s="43"/>
      <c r="CN869" s="43"/>
      <c r="CO869" s="43"/>
      <c r="CP869" s="43"/>
      <c r="CQ869" s="43"/>
      <c r="CR869" s="43"/>
      <c r="CS869" s="43"/>
      <c r="CT869" s="43"/>
      <c r="CU869" s="43"/>
      <c r="CV869" s="43"/>
      <c r="CW869" s="43"/>
      <c r="CX869" s="43"/>
      <c r="CY869" s="43"/>
      <c r="CZ869" s="43"/>
      <c r="DA869" s="43"/>
      <c r="DB869" s="43"/>
      <c r="DC869" s="43"/>
      <c r="DD869" s="43"/>
      <c r="DE869" s="43"/>
      <c r="DF869" s="43"/>
      <c r="DG869" s="43"/>
      <c r="DH869" s="43"/>
      <c r="DI869" s="43"/>
      <c r="DJ869" s="43"/>
      <c r="DK869" s="43"/>
      <c r="DL869" s="43"/>
      <c r="DM869" s="43"/>
      <c r="DN869" s="43"/>
      <c r="DO869" s="43"/>
      <c r="DP869" s="43"/>
      <c r="DQ869" s="43"/>
      <c r="DR869" s="43"/>
      <c r="DS869" s="43"/>
      <c r="DT869" s="43"/>
      <c r="DU869" s="43"/>
      <c r="DV869" s="43"/>
      <c r="DW869" s="43"/>
      <c r="DX869" s="43"/>
      <c r="DY869" s="43"/>
      <c r="DZ869" s="43"/>
      <c r="EA869" s="43"/>
      <c r="EB869" s="43"/>
      <c r="EC869" s="43"/>
      <c r="ED869" s="43"/>
      <c r="EE869" s="43"/>
      <c r="EF869" s="43"/>
      <c r="EG869" s="43"/>
      <c r="EH869" s="43"/>
      <c r="EI869" s="43"/>
      <c r="EJ869" s="43"/>
      <c r="EK869" s="43"/>
      <c r="EL869" s="43"/>
      <c r="EM869" s="43"/>
      <c r="EN869" s="43"/>
      <c r="EO869" s="43"/>
      <c r="EP869" s="43"/>
      <c r="EQ869" s="43"/>
      <c r="ER869" s="43"/>
      <c r="ES869" s="43"/>
      <c r="ET869" s="50"/>
      <c r="EU869" s="50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43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43"/>
      <c r="CF870" s="43"/>
      <c r="CG870" s="43"/>
      <c r="CH870" s="43"/>
      <c r="CI870" s="43"/>
      <c r="CJ870" s="43"/>
      <c r="CK870" s="43"/>
      <c r="CL870" s="43"/>
      <c r="CM870" s="43"/>
      <c r="CN870" s="43"/>
      <c r="CO870" s="43"/>
      <c r="CP870" s="43"/>
      <c r="CQ870" s="43"/>
      <c r="CR870" s="43"/>
      <c r="CS870" s="43"/>
      <c r="CT870" s="43"/>
      <c r="CU870" s="43"/>
      <c r="CV870" s="43"/>
      <c r="CW870" s="43"/>
      <c r="CX870" s="43"/>
      <c r="CY870" s="43"/>
      <c r="CZ870" s="43"/>
      <c r="DA870" s="43"/>
      <c r="DB870" s="43"/>
      <c r="DC870" s="43"/>
      <c r="DD870" s="43"/>
      <c r="DE870" s="43"/>
      <c r="DF870" s="43"/>
      <c r="DG870" s="43"/>
      <c r="DH870" s="43"/>
      <c r="DI870" s="43"/>
      <c r="DJ870" s="43"/>
      <c r="DK870" s="43"/>
      <c r="DL870" s="43"/>
      <c r="DM870" s="43"/>
      <c r="DN870" s="43"/>
      <c r="DO870" s="43"/>
      <c r="DP870" s="43"/>
      <c r="DQ870" s="43"/>
      <c r="DR870" s="43"/>
      <c r="DS870" s="43"/>
      <c r="DT870" s="43"/>
      <c r="DU870" s="43"/>
      <c r="DV870" s="43"/>
      <c r="DW870" s="43"/>
      <c r="DX870" s="43"/>
      <c r="DY870" s="43"/>
      <c r="DZ870" s="43"/>
      <c r="EA870" s="43"/>
      <c r="EB870" s="43"/>
      <c r="EC870" s="43"/>
      <c r="ED870" s="43"/>
      <c r="EE870" s="43"/>
      <c r="EF870" s="43"/>
      <c r="EG870" s="43"/>
      <c r="EH870" s="43"/>
      <c r="EI870" s="43"/>
      <c r="EJ870" s="43"/>
      <c r="EK870" s="43"/>
      <c r="EL870" s="43"/>
      <c r="EM870" s="43"/>
      <c r="EN870" s="43"/>
      <c r="EO870" s="43"/>
      <c r="EP870" s="43"/>
      <c r="EQ870" s="43"/>
      <c r="ER870" s="43"/>
      <c r="ES870" s="43"/>
      <c r="ET870" s="50"/>
      <c r="EU870" s="50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  <c r="BD871" s="43"/>
      <c r="BE871" s="43"/>
      <c r="BF871" s="43"/>
      <c r="BG871" s="43"/>
      <c r="BH871" s="43"/>
      <c r="BI871" s="43"/>
      <c r="BJ871" s="43"/>
      <c r="BK871" s="43"/>
      <c r="BL871" s="43"/>
      <c r="BM871" s="43"/>
      <c r="BN871" s="43"/>
      <c r="BO871" s="43"/>
      <c r="BP871" s="43"/>
      <c r="BQ871" s="43"/>
      <c r="BR871" s="43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43"/>
      <c r="CF871" s="43"/>
      <c r="CG871" s="43"/>
      <c r="CH871" s="43"/>
      <c r="CI871" s="43"/>
      <c r="CJ871" s="43"/>
      <c r="CK871" s="43"/>
      <c r="CL871" s="43"/>
      <c r="CM871" s="43"/>
      <c r="CN871" s="43"/>
      <c r="CO871" s="43"/>
      <c r="CP871" s="43"/>
      <c r="CQ871" s="43"/>
      <c r="CR871" s="43"/>
      <c r="CS871" s="43"/>
      <c r="CT871" s="43"/>
      <c r="CU871" s="43"/>
      <c r="CV871" s="43"/>
      <c r="CW871" s="43"/>
      <c r="CX871" s="43"/>
      <c r="CY871" s="43"/>
      <c r="CZ871" s="43"/>
      <c r="DA871" s="43"/>
      <c r="DB871" s="43"/>
      <c r="DC871" s="43"/>
      <c r="DD871" s="43"/>
      <c r="DE871" s="43"/>
      <c r="DF871" s="43"/>
      <c r="DG871" s="43"/>
      <c r="DH871" s="43"/>
      <c r="DI871" s="43"/>
      <c r="DJ871" s="43"/>
      <c r="DK871" s="43"/>
      <c r="DL871" s="43"/>
      <c r="DM871" s="43"/>
      <c r="DN871" s="43"/>
      <c r="DO871" s="43"/>
      <c r="DP871" s="43"/>
      <c r="DQ871" s="43"/>
      <c r="DR871" s="43"/>
      <c r="DS871" s="43"/>
      <c r="DT871" s="43"/>
      <c r="DU871" s="43"/>
      <c r="DV871" s="43"/>
      <c r="DW871" s="43"/>
      <c r="DX871" s="43"/>
      <c r="DY871" s="43"/>
      <c r="DZ871" s="43"/>
      <c r="EA871" s="43"/>
      <c r="EB871" s="43"/>
      <c r="EC871" s="43"/>
      <c r="ED871" s="43"/>
      <c r="EE871" s="43"/>
      <c r="EF871" s="43"/>
      <c r="EG871" s="43"/>
      <c r="EH871" s="43"/>
      <c r="EI871" s="43"/>
      <c r="EJ871" s="43"/>
      <c r="EK871" s="43"/>
      <c r="EL871" s="43"/>
      <c r="EM871" s="43"/>
      <c r="EN871" s="43"/>
      <c r="EO871" s="43"/>
      <c r="EP871" s="43"/>
      <c r="EQ871" s="43"/>
      <c r="ER871" s="43"/>
      <c r="ES871" s="43"/>
      <c r="ET871" s="50"/>
      <c r="EU871" s="50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43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43"/>
      <c r="CF872" s="43"/>
      <c r="CG872" s="43"/>
      <c r="CH872" s="43"/>
      <c r="CI872" s="43"/>
      <c r="CJ872" s="43"/>
      <c r="CK872" s="43"/>
      <c r="CL872" s="43"/>
      <c r="CM872" s="43"/>
      <c r="CN872" s="43"/>
      <c r="CO872" s="43"/>
      <c r="CP872" s="43"/>
      <c r="CQ872" s="43"/>
      <c r="CR872" s="43"/>
      <c r="CS872" s="43"/>
      <c r="CT872" s="43"/>
      <c r="CU872" s="43"/>
      <c r="CV872" s="43"/>
      <c r="CW872" s="43"/>
      <c r="CX872" s="43"/>
      <c r="CY872" s="43"/>
      <c r="CZ872" s="43"/>
      <c r="DA872" s="43"/>
      <c r="DB872" s="43"/>
      <c r="DC872" s="43"/>
      <c r="DD872" s="43"/>
      <c r="DE872" s="43"/>
      <c r="DF872" s="43"/>
      <c r="DG872" s="43"/>
      <c r="DH872" s="43"/>
      <c r="DI872" s="43"/>
      <c r="DJ872" s="43"/>
      <c r="DK872" s="43"/>
      <c r="DL872" s="43"/>
      <c r="DM872" s="43"/>
      <c r="DN872" s="43"/>
      <c r="DO872" s="43"/>
      <c r="DP872" s="43"/>
      <c r="DQ872" s="43"/>
      <c r="DR872" s="43"/>
      <c r="DS872" s="43"/>
      <c r="DT872" s="43"/>
      <c r="DU872" s="43"/>
      <c r="DV872" s="43"/>
      <c r="DW872" s="43"/>
      <c r="DX872" s="43"/>
      <c r="DY872" s="43"/>
      <c r="DZ872" s="43"/>
      <c r="EA872" s="43"/>
      <c r="EB872" s="43"/>
      <c r="EC872" s="43"/>
      <c r="ED872" s="43"/>
      <c r="EE872" s="43"/>
      <c r="EF872" s="43"/>
      <c r="EG872" s="43"/>
      <c r="EH872" s="43"/>
      <c r="EI872" s="43"/>
      <c r="EJ872" s="43"/>
      <c r="EK872" s="43"/>
      <c r="EL872" s="43"/>
      <c r="EM872" s="43"/>
      <c r="EN872" s="43"/>
      <c r="EO872" s="43"/>
      <c r="EP872" s="43"/>
      <c r="EQ872" s="43"/>
      <c r="ER872" s="43"/>
      <c r="ES872" s="43"/>
      <c r="ET872" s="50"/>
      <c r="EU872" s="50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43"/>
      <c r="CF873" s="43"/>
      <c r="CG873" s="43"/>
      <c r="CH873" s="43"/>
      <c r="CI873" s="43"/>
      <c r="CJ873" s="43"/>
      <c r="CK873" s="43"/>
      <c r="CL873" s="43"/>
      <c r="CM873" s="43"/>
      <c r="CN873" s="43"/>
      <c r="CO873" s="43"/>
      <c r="CP873" s="43"/>
      <c r="CQ873" s="43"/>
      <c r="CR873" s="43"/>
      <c r="CS873" s="43"/>
      <c r="CT873" s="43"/>
      <c r="CU873" s="43"/>
      <c r="CV873" s="43"/>
      <c r="CW873" s="43"/>
      <c r="CX873" s="43"/>
      <c r="CY873" s="43"/>
      <c r="CZ873" s="43"/>
      <c r="DA873" s="43"/>
      <c r="DB873" s="43"/>
      <c r="DC873" s="43"/>
      <c r="DD873" s="43"/>
      <c r="DE873" s="43"/>
      <c r="DF873" s="43"/>
      <c r="DG873" s="43"/>
      <c r="DH873" s="43"/>
      <c r="DI873" s="43"/>
      <c r="DJ873" s="43"/>
      <c r="DK873" s="43"/>
      <c r="DL873" s="43"/>
      <c r="DM873" s="43"/>
      <c r="DN873" s="43"/>
      <c r="DO873" s="43"/>
      <c r="DP873" s="43"/>
      <c r="DQ873" s="43"/>
      <c r="DR873" s="43"/>
      <c r="DS873" s="43"/>
      <c r="DT873" s="43"/>
      <c r="DU873" s="43"/>
      <c r="DV873" s="43"/>
      <c r="DW873" s="43"/>
      <c r="DX873" s="43"/>
      <c r="DY873" s="43"/>
      <c r="DZ873" s="43"/>
      <c r="EA873" s="43"/>
      <c r="EB873" s="43"/>
      <c r="EC873" s="43"/>
      <c r="ED873" s="43"/>
      <c r="EE873" s="43"/>
      <c r="EF873" s="43"/>
      <c r="EG873" s="43"/>
      <c r="EH873" s="43"/>
      <c r="EI873" s="43"/>
      <c r="EJ873" s="43"/>
      <c r="EK873" s="43"/>
      <c r="EL873" s="43"/>
      <c r="EM873" s="43"/>
      <c r="EN873" s="43"/>
      <c r="EO873" s="43"/>
      <c r="EP873" s="43"/>
      <c r="EQ873" s="43"/>
      <c r="ER873" s="43"/>
      <c r="ES873" s="43"/>
      <c r="ET873" s="50"/>
      <c r="EU873" s="50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  <c r="BD874" s="43"/>
      <c r="BE874" s="43"/>
      <c r="BF874" s="43"/>
      <c r="BG874" s="43"/>
      <c r="BH874" s="43"/>
      <c r="BI874" s="43"/>
      <c r="BJ874" s="43"/>
      <c r="BK874" s="43"/>
      <c r="BL874" s="43"/>
      <c r="BM874" s="43"/>
      <c r="BN874" s="43"/>
      <c r="BO874" s="43"/>
      <c r="BP874" s="43"/>
      <c r="BQ874" s="43"/>
      <c r="BR874" s="43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43"/>
      <c r="CF874" s="43"/>
      <c r="CG874" s="43"/>
      <c r="CH874" s="43"/>
      <c r="CI874" s="43"/>
      <c r="CJ874" s="43"/>
      <c r="CK874" s="43"/>
      <c r="CL874" s="43"/>
      <c r="CM874" s="43"/>
      <c r="CN874" s="43"/>
      <c r="CO874" s="43"/>
      <c r="CP874" s="43"/>
      <c r="CQ874" s="43"/>
      <c r="CR874" s="43"/>
      <c r="CS874" s="43"/>
      <c r="CT874" s="43"/>
      <c r="CU874" s="43"/>
      <c r="CV874" s="43"/>
      <c r="CW874" s="43"/>
      <c r="CX874" s="43"/>
      <c r="CY874" s="43"/>
      <c r="CZ874" s="43"/>
      <c r="DA874" s="43"/>
      <c r="DB874" s="43"/>
      <c r="DC874" s="43"/>
      <c r="DD874" s="43"/>
      <c r="DE874" s="43"/>
      <c r="DF874" s="43"/>
      <c r="DG874" s="43"/>
      <c r="DH874" s="43"/>
      <c r="DI874" s="43"/>
      <c r="DJ874" s="43"/>
      <c r="DK874" s="43"/>
      <c r="DL874" s="43"/>
      <c r="DM874" s="43"/>
      <c r="DN874" s="43"/>
      <c r="DO874" s="43"/>
      <c r="DP874" s="43"/>
      <c r="DQ874" s="43"/>
      <c r="DR874" s="43"/>
      <c r="DS874" s="43"/>
      <c r="DT874" s="43"/>
      <c r="DU874" s="43"/>
      <c r="DV874" s="43"/>
      <c r="DW874" s="43"/>
      <c r="DX874" s="43"/>
      <c r="DY874" s="43"/>
      <c r="DZ874" s="43"/>
      <c r="EA874" s="43"/>
      <c r="EB874" s="43"/>
      <c r="EC874" s="43"/>
      <c r="ED874" s="43"/>
      <c r="EE874" s="43"/>
      <c r="EF874" s="43"/>
      <c r="EG874" s="43"/>
      <c r="EH874" s="43"/>
      <c r="EI874" s="43"/>
      <c r="EJ874" s="43"/>
      <c r="EK874" s="43"/>
      <c r="EL874" s="43"/>
      <c r="EM874" s="43"/>
      <c r="EN874" s="43"/>
      <c r="EO874" s="43"/>
      <c r="EP874" s="43"/>
      <c r="EQ874" s="43"/>
      <c r="ER874" s="43"/>
      <c r="ES874" s="43"/>
      <c r="ET874" s="50"/>
      <c r="EU874" s="50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  <c r="BD875" s="43"/>
      <c r="BE875" s="43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43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43"/>
      <c r="CF875" s="43"/>
      <c r="CG875" s="43"/>
      <c r="CH875" s="43"/>
      <c r="CI875" s="43"/>
      <c r="CJ875" s="43"/>
      <c r="CK875" s="43"/>
      <c r="CL875" s="43"/>
      <c r="CM875" s="43"/>
      <c r="CN875" s="43"/>
      <c r="CO875" s="43"/>
      <c r="CP875" s="43"/>
      <c r="CQ875" s="43"/>
      <c r="CR875" s="43"/>
      <c r="CS875" s="43"/>
      <c r="CT875" s="43"/>
      <c r="CU875" s="43"/>
      <c r="CV875" s="43"/>
      <c r="CW875" s="43"/>
      <c r="CX875" s="43"/>
      <c r="CY875" s="43"/>
      <c r="CZ875" s="43"/>
      <c r="DA875" s="43"/>
      <c r="DB875" s="43"/>
      <c r="DC875" s="43"/>
      <c r="DD875" s="43"/>
      <c r="DE875" s="43"/>
      <c r="DF875" s="43"/>
      <c r="DG875" s="43"/>
      <c r="DH875" s="43"/>
      <c r="DI875" s="43"/>
      <c r="DJ875" s="43"/>
      <c r="DK875" s="43"/>
      <c r="DL875" s="43"/>
      <c r="DM875" s="43"/>
      <c r="DN875" s="43"/>
      <c r="DO875" s="43"/>
      <c r="DP875" s="43"/>
      <c r="DQ875" s="43"/>
      <c r="DR875" s="43"/>
      <c r="DS875" s="43"/>
      <c r="DT875" s="43"/>
      <c r="DU875" s="43"/>
      <c r="DV875" s="43"/>
      <c r="DW875" s="43"/>
      <c r="DX875" s="43"/>
      <c r="DY875" s="43"/>
      <c r="DZ875" s="43"/>
      <c r="EA875" s="43"/>
      <c r="EB875" s="43"/>
      <c r="EC875" s="43"/>
      <c r="ED875" s="43"/>
      <c r="EE875" s="43"/>
      <c r="EF875" s="43"/>
      <c r="EG875" s="43"/>
      <c r="EH875" s="43"/>
      <c r="EI875" s="43"/>
      <c r="EJ875" s="43"/>
      <c r="EK875" s="43"/>
      <c r="EL875" s="43"/>
      <c r="EM875" s="43"/>
      <c r="EN875" s="43"/>
      <c r="EO875" s="43"/>
      <c r="EP875" s="43"/>
      <c r="EQ875" s="43"/>
      <c r="ER875" s="43"/>
      <c r="ES875" s="43"/>
      <c r="ET875" s="50"/>
      <c r="EU875" s="50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  <c r="BD876" s="43"/>
      <c r="BE876" s="43"/>
      <c r="BF876" s="43"/>
      <c r="BG876" s="43"/>
      <c r="BH876" s="43"/>
      <c r="BI876" s="43"/>
      <c r="BJ876" s="43"/>
      <c r="BK876" s="43"/>
      <c r="BL876" s="43"/>
      <c r="BM876" s="43"/>
      <c r="BN876" s="43"/>
      <c r="BO876" s="43"/>
      <c r="BP876" s="43"/>
      <c r="BQ876" s="43"/>
      <c r="BR876" s="43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43"/>
      <c r="CF876" s="43"/>
      <c r="CG876" s="43"/>
      <c r="CH876" s="43"/>
      <c r="CI876" s="43"/>
      <c r="CJ876" s="43"/>
      <c r="CK876" s="43"/>
      <c r="CL876" s="43"/>
      <c r="CM876" s="43"/>
      <c r="CN876" s="43"/>
      <c r="CO876" s="43"/>
      <c r="CP876" s="43"/>
      <c r="CQ876" s="43"/>
      <c r="CR876" s="43"/>
      <c r="CS876" s="43"/>
      <c r="CT876" s="43"/>
      <c r="CU876" s="43"/>
      <c r="CV876" s="43"/>
      <c r="CW876" s="43"/>
      <c r="CX876" s="43"/>
      <c r="CY876" s="43"/>
      <c r="CZ876" s="43"/>
      <c r="DA876" s="43"/>
      <c r="DB876" s="43"/>
      <c r="DC876" s="43"/>
      <c r="DD876" s="43"/>
      <c r="DE876" s="43"/>
      <c r="DF876" s="43"/>
      <c r="DG876" s="43"/>
      <c r="DH876" s="43"/>
      <c r="DI876" s="43"/>
      <c r="DJ876" s="43"/>
      <c r="DK876" s="43"/>
      <c r="DL876" s="43"/>
      <c r="DM876" s="43"/>
      <c r="DN876" s="43"/>
      <c r="DO876" s="43"/>
      <c r="DP876" s="43"/>
      <c r="DQ876" s="43"/>
      <c r="DR876" s="43"/>
      <c r="DS876" s="43"/>
      <c r="DT876" s="43"/>
      <c r="DU876" s="43"/>
      <c r="DV876" s="43"/>
      <c r="DW876" s="43"/>
      <c r="DX876" s="43"/>
      <c r="DY876" s="43"/>
      <c r="DZ876" s="43"/>
      <c r="EA876" s="43"/>
      <c r="EB876" s="43"/>
      <c r="EC876" s="43"/>
      <c r="ED876" s="43"/>
      <c r="EE876" s="43"/>
      <c r="EF876" s="43"/>
      <c r="EG876" s="43"/>
      <c r="EH876" s="43"/>
      <c r="EI876" s="43"/>
      <c r="EJ876" s="43"/>
      <c r="EK876" s="43"/>
      <c r="EL876" s="43"/>
      <c r="EM876" s="43"/>
      <c r="EN876" s="43"/>
      <c r="EO876" s="43"/>
      <c r="EP876" s="43"/>
      <c r="EQ876" s="43"/>
      <c r="ER876" s="43"/>
      <c r="ES876" s="43"/>
      <c r="ET876" s="50"/>
      <c r="EU876" s="50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  <c r="BD877" s="43"/>
      <c r="BE877" s="43"/>
      <c r="BF877" s="43"/>
      <c r="BG877" s="43"/>
      <c r="BH877" s="43"/>
      <c r="BI877" s="43"/>
      <c r="BJ877" s="43"/>
      <c r="BK877" s="43"/>
      <c r="BL877" s="43"/>
      <c r="BM877" s="43"/>
      <c r="BN877" s="43"/>
      <c r="BO877" s="43"/>
      <c r="BP877" s="43"/>
      <c r="BQ877" s="43"/>
      <c r="BR877" s="43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43"/>
      <c r="CF877" s="43"/>
      <c r="CG877" s="43"/>
      <c r="CH877" s="43"/>
      <c r="CI877" s="43"/>
      <c r="CJ877" s="43"/>
      <c r="CK877" s="43"/>
      <c r="CL877" s="43"/>
      <c r="CM877" s="43"/>
      <c r="CN877" s="43"/>
      <c r="CO877" s="43"/>
      <c r="CP877" s="43"/>
      <c r="CQ877" s="43"/>
      <c r="CR877" s="43"/>
      <c r="CS877" s="43"/>
      <c r="CT877" s="43"/>
      <c r="CU877" s="43"/>
      <c r="CV877" s="43"/>
      <c r="CW877" s="43"/>
      <c r="CX877" s="43"/>
      <c r="CY877" s="43"/>
      <c r="CZ877" s="43"/>
      <c r="DA877" s="43"/>
      <c r="DB877" s="43"/>
      <c r="DC877" s="43"/>
      <c r="DD877" s="43"/>
      <c r="DE877" s="43"/>
      <c r="DF877" s="43"/>
      <c r="DG877" s="43"/>
      <c r="DH877" s="43"/>
      <c r="DI877" s="43"/>
      <c r="DJ877" s="43"/>
      <c r="DK877" s="43"/>
      <c r="DL877" s="43"/>
      <c r="DM877" s="43"/>
      <c r="DN877" s="43"/>
      <c r="DO877" s="43"/>
      <c r="DP877" s="43"/>
      <c r="DQ877" s="43"/>
      <c r="DR877" s="43"/>
      <c r="DS877" s="43"/>
      <c r="DT877" s="43"/>
      <c r="DU877" s="43"/>
      <c r="DV877" s="43"/>
      <c r="DW877" s="43"/>
      <c r="DX877" s="43"/>
      <c r="DY877" s="43"/>
      <c r="DZ877" s="43"/>
      <c r="EA877" s="43"/>
      <c r="EB877" s="43"/>
      <c r="EC877" s="43"/>
      <c r="ED877" s="43"/>
      <c r="EE877" s="43"/>
      <c r="EF877" s="43"/>
      <c r="EG877" s="43"/>
      <c r="EH877" s="43"/>
      <c r="EI877" s="43"/>
      <c r="EJ877" s="43"/>
      <c r="EK877" s="43"/>
      <c r="EL877" s="43"/>
      <c r="EM877" s="43"/>
      <c r="EN877" s="43"/>
      <c r="EO877" s="43"/>
      <c r="EP877" s="43"/>
      <c r="EQ877" s="43"/>
      <c r="ER877" s="43"/>
      <c r="ES877" s="43"/>
      <c r="ET877" s="50"/>
      <c r="EU877" s="50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43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43"/>
      <c r="CF878" s="43"/>
      <c r="CG878" s="43"/>
      <c r="CH878" s="43"/>
      <c r="CI878" s="43"/>
      <c r="CJ878" s="43"/>
      <c r="CK878" s="43"/>
      <c r="CL878" s="43"/>
      <c r="CM878" s="43"/>
      <c r="CN878" s="43"/>
      <c r="CO878" s="43"/>
      <c r="CP878" s="43"/>
      <c r="CQ878" s="43"/>
      <c r="CR878" s="43"/>
      <c r="CS878" s="43"/>
      <c r="CT878" s="43"/>
      <c r="CU878" s="43"/>
      <c r="CV878" s="43"/>
      <c r="CW878" s="43"/>
      <c r="CX878" s="43"/>
      <c r="CY878" s="43"/>
      <c r="CZ878" s="43"/>
      <c r="DA878" s="43"/>
      <c r="DB878" s="43"/>
      <c r="DC878" s="43"/>
      <c r="DD878" s="43"/>
      <c r="DE878" s="43"/>
      <c r="DF878" s="43"/>
      <c r="DG878" s="43"/>
      <c r="DH878" s="43"/>
      <c r="DI878" s="43"/>
      <c r="DJ878" s="43"/>
      <c r="DK878" s="43"/>
      <c r="DL878" s="43"/>
      <c r="DM878" s="43"/>
      <c r="DN878" s="43"/>
      <c r="DO878" s="43"/>
      <c r="DP878" s="43"/>
      <c r="DQ878" s="43"/>
      <c r="DR878" s="43"/>
      <c r="DS878" s="43"/>
      <c r="DT878" s="43"/>
      <c r="DU878" s="43"/>
      <c r="DV878" s="43"/>
      <c r="DW878" s="43"/>
      <c r="DX878" s="43"/>
      <c r="DY878" s="43"/>
      <c r="DZ878" s="43"/>
      <c r="EA878" s="43"/>
      <c r="EB878" s="43"/>
      <c r="EC878" s="43"/>
      <c r="ED878" s="43"/>
      <c r="EE878" s="43"/>
      <c r="EF878" s="43"/>
      <c r="EG878" s="43"/>
      <c r="EH878" s="43"/>
      <c r="EI878" s="43"/>
      <c r="EJ878" s="43"/>
      <c r="EK878" s="43"/>
      <c r="EL878" s="43"/>
      <c r="EM878" s="43"/>
      <c r="EN878" s="43"/>
      <c r="EO878" s="43"/>
      <c r="EP878" s="43"/>
      <c r="EQ878" s="43"/>
      <c r="ER878" s="43"/>
      <c r="ES878" s="43"/>
      <c r="ET878" s="50"/>
      <c r="EU878" s="50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43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43"/>
      <c r="CF879" s="43"/>
      <c r="CG879" s="43"/>
      <c r="CH879" s="43"/>
      <c r="CI879" s="43"/>
      <c r="CJ879" s="43"/>
      <c r="CK879" s="43"/>
      <c r="CL879" s="43"/>
      <c r="CM879" s="43"/>
      <c r="CN879" s="43"/>
      <c r="CO879" s="43"/>
      <c r="CP879" s="43"/>
      <c r="CQ879" s="43"/>
      <c r="CR879" s="43"/>
      <c r="CS879" s="43"/>
      <c r="CT879" s="43"/>
      <c r="CU879" s="43"/>
      <c r="CV879" s="43"/>
      <c r="CW879" s="43"/>
      <c r="CX879" s="43"/>
      <c r="CY879" s="43"/>
      <c r="CZ879" s="43"/>
      <c r="DA879" s="43"/>
      <c r="DB879" s="43"/>
      <c r="DC879" s="43"/>
      <c r="DD879" s="43"/>
      <c r="DE879" s="43"/>
      <c r="DF879" s="43"/>
      <c r="DG879" s="43"/>
      <c r="DH879" s="43"/>
      <c r="DI879" s="43"/>
      <c r="DJ879" s="43"/>
      <c r="DK879" s="43"/>
      <c r="DL879" s="43"/>
      <c r="DM879" s="43"/>
      <c r="DN879" s="43"/>
      <c r="DO879" s="43"/>
      <c r="DP879" s="43"/>
      <c r="DQ879" s="43"/>
      <c r="DR879" s="43"/>
      <c r="DS879" s="43"/>
      <c r="DT879" s="43"/>
      <c r="DU879" s="43"/>
      <c r="DV879" s="43"/>
      <c r="DW879" s="43"/>
      <c r="DX879" s="43"/>
      <c r="DY879" s="43"/>
      <c r="DZ879" s="43"/>
      <c r="EA879" s="43"/>
      <c r="EB879" s="43"/>
      <c r="EC879" s="43"/>
      <c r="ED879" s="43"/>
      <c r="EE879" s="43"/>
      <c r="EF879" s="43"/>
      <c r="EG879" s="43"/>
      <c r="EH879" s="43"/>
      <c r="EI879" s="43"/>
      <c r="EJ879" s="43"/>
      <c r="EK879" s="43"/>
      <c r="EL879" s="43"/>
      <c r="EM879" s="43"/>
      <c r="EN879" s="43"/>
      <c r="EO879" s="43"/>
      <c r="EP879" s="43"/>
      <c r="EQ879" s="43"/>
      <c r="ER879" s="43"/>
      <c r="ES879" s="43"/>
      <c r="ET879" s="50"/>
      <c r="EU879" s="50"/>
    </row>
  </sheetData>
  <mergeCells count="2">
    <mergeCell ref="B1:C2"/>
    <mergeCell ref="A10:C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9</v>
      </c>
      <c r="C2" s="29"/>
      <c r="D2" s="42" t="s">
        <v>10</v>
      </c>
      <c r="E2" s="28"/>
      <c r="F2" s="28"/>
      <c r="G2" s="28"/>
      <c r="H2" s="28"/>
      <c r="I2" s="28"/>
      <c r="J2" s="28"/>
      <c r="K2" s="28"/>
      <c r="L2" s="28"/>
      <c r="M2" s="29"/>
    </row>
    <row r="3">
      <c r="B3" s="30"/>
      <c r="C3" s="32"/>
      <c r="D3" s="30"/>
      <c r="E3" s="31"/>
      <c r="F3" s="31"/>
      <c r="G3" s="31"/>
      <c r="H3" s="31"/>
      <c r="I3" s="31"/>
      <c r="J3" s="31"/>
      <c r="K3" s="31"/>
      <c r="L3" s="31"/>
      <c r="M3" s="32"/>
    </row>
    <row r="4">
      <c r="A4" s="33" t="s">
        <v>2265</v>
      </c>
      <c r="B4" s="54" t="s">
        <v>139</v>
      </c>
      <c r="C4" s="54" t="s">
        <v>122</v>
      </c>
      <c r="D4" s="41" t="s">
        <v>36</v>
      </c>
      <c r="E4" s="41" t="s">
        <v>37</v>
      </c>
      <c r="F4" s="41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1" t="s">
        <v>43</v>
      </c>
      <c r="L4" s="41" t="s">
        <v>44</v>
      </c>
      <c r="M4" s="41" t="s">
        <v>45</v>
      </c>
    </row>
    <row r="5">
      <c r="A5" s="33" t="s">
        <v>2266</v>
      </c>
      <c r="B5" s="36">
        <v>52.0</v>
      </c>
      <c r="C5" s="36">
        <v>12.0</v>
      </c>
      <c r="D5" s="36">
        <v>2.0</v>
      </c>
      <c r="E5" s="35"/>
      <c r="F5" s="35"/>
      <c r="G5" s="35"/>
      <c r="H5" s="36">
        <v>1.0</v>
      </c>
      <c r="I5" s="35"/>
      <c r="J5" s="36">
        <v>4.0</v>
      </c>
      <c r="K5" s="36">
        <v>4.0</v>
      </c>
      <c r="L5" s="36">
        <v>4.0</v>
      </c>
      <c r="M5" s="36">
        <v>3.0</v>
      </c>
    </row>
    <row r="6">
      <c r="A6" s="33" t="s">
        <v>606</v>
      </c>
      <c r="B6" s="36">
        <v>256.0</v>
      </c>
      <c r="C6" s="36">
        <v>34.0</v>
      </c>
      <c r="D6" s="36">
        <v>13.0</v>
      </c>
      <c r="E6" s="36">
        <v>2.0</v>
      </c>
      <c r="F6" s="36">
        <v>2.0</v>
      </c>
      <c r="G6" s="36">
        <v>2.0</v>
      </c>
      <c r="H6" s="35"/>
      <c r="I6" s="36">
        <v>2.0</v>
      </c>
      <c r="J6" s="36">
        <v>12.0</v>
      </c>
      <c r="K6" s="36">
        <v>12.0</v>
      </c>
      <c r="L6" s="36">
        <v>6.0</v>
      </c>
      <c r="M6" s="36">
        <v>13.0</v>
      </c>
    </row>
    <row r="7">
      <c r="A7" s="33" t="s">
        <v>1875</v>
      </c>
      <c r="B7" s="36">
        <v>55.0</v>
      </c>
      <c r="C7" s="36">
        <v>15.0</v>
      </c>
      <c r="D7" s="36">
        <v>31.0</v>
      </c>
      <c r="E7" s="36">
        <v>3.0</v>
      </c>
      <c r="F7" s="36">
        <v>2.0</v>
      </c>
      <c r="G7" s="35"/>
      <c r="H7" s="36">
        <v>5.0</v>
      </c>
      <c r="I7" s="36">
        <v>4.0</v>
      </c>
      <c r="J7" s="36">
        <v>5.0</v>
      </c>
      <c r="K7" s="36">
        <v>5.0</v>
      </c>
      <c r="L7" s="36">
        <v>7.0</v>
      </c>
      <c r="M7" s="36">
        <v>1.0</v>
      </c>
    </row>
    <row r="8">
      <c r="A8" s="33" t="s">
        <v>2267</v>
      </c>
      <c r="B8" s="37">
        <f t="shared" ref="B8:M8" si="1">SUM(B5:B7)</f>
        <v>363</v>
      </c>
      <c r="C8" s="37">
        <f t="shared" si="1"/>
        <v>61</v>
      </c>
      <c r="D8" s="37">
        <f t="shared" si="1"/>
        <v>46</v>
      </c>
      <c r="E8" s="37">
        <f t="shared" si="1"/>
        <v>5</v>
      </c>
      <c r="F8" s="37">
        <f t="shared" si="1"/>
        <v>4</v>
      </c>
      <c r="G8" s="37">
        <f t="shared" si="1"/>
        <v>2</v>
      </c>
      <c r="H8" s="37">
        <f t="shared" si="1"/>
        <v>6</v>
      </c>
      <c r="I8" s="37">
        <f t="shared" si="1"/>
        <v>6</v>
      </c>
      <c r="J8" s="37">
        <f t="shared" si="1"/>
        <v>21</v>
      </c>
      <c r="K8" s="37">
        <f t="shared" si="1"/>
        <v>21</v>
      </c>
      <c r="L8" s="37">
        <f t="shared" si="1"/>
        <v>17</v>
      </c>
      <c r="M8" s="37">
        <f t="shared" si="1"/>
        <v>17</v>
      </c>
    </row>
    <row r="9">
      <c r="A9" s="33" t="s">
        <v>2265</v>
      </c>
      <c r="B9" s="16" t="s">
        <v>1259</v>
      </c>
      <c r="C9" s="16" t="s">
        <v>875</v>
      </c>
      <c r="D9" s="16" t="s">
        <v>1669</v>
      </c>
      <c r="E9" s="55" t="s">
        <v>2273</v>
      </c>
      <c r="F9" s="16" t="s">
        <v>1375</v>
      </c>
      <c r="G9" s="56"/>
      <c r="H9" s="43"/>
      <c r="I9" s="43"/>
      <c r="J9" s="43"/>
      <c r="K9" s="43"/>
      <c r="L9" s="43"/>
      <c r="M9" s="43"/>
    </row>
    <row r="10">
      <c r="A10" s="33" t="s">
        <v>2266</v>
      </c>
      <c r="B10" s="35"/>
      <c r="C10" s="35"/>
      <c r="D10" s="35"/>
      <c r="E10" s="36">
        <v>2.0</v>
      </c>
      <c r="F10" s="35"/>
      <c r="G10" s="57"/>
      <c r="H10" s="43"/>
      <c r="I10" s="43"/>
      <c r="J10" s="43"/>
      <c r="K10" s="43"/>
      <c r="L10" s="43"/>
      <c r="M10" s="43"/>
    </row>
    <row r="11">
      <c r="A11" s="33" t="s">
        <v>606</v>
      </c>
      <c r="B11" s="36">
        <v>1.0</v>
      </c>
      <c r="C11" s="36">
        <v>1.0</v>
      </c>
      <c r="D11" s="36">
        <v>2.0</v>
      </c>
      <c r="E11" s="36">
        <v>2.0</v>
      </c>
      <c r="F11" s="36">
        <v>5.0</v>
      </c>
      <c r="G11" s="57"/>
      <c r="H11" s="43"/>
      <c r="I11" s="43"/>
      <c r="J11" s="43"/>
      <c r="K11" s="43"/>
      <c r="L11" s="43"/>
      <c r="M11" s="43"/>
    </row>
    <row r="12">
      <c r="A12" s="33" t="s">
        <v>1875</v>
      </c>
      <c r="B12" s="35"/>
      <c r="C12" s="35"/>
      <c r="D12" s="35"/>
      <c r="E12" s="36">
        <v>1.0</v>
      </c>
      <c r="F12" s="35"/>
      <c r="G12" s="57"/>
      <c r="H12" s="43"/>
      <c r="I12" s="43"/>
      <c r="J12" s="43"/>
      <c r="K12" s="43"/>
      <c r="L12" s="43"/>
      <c r="M12" s="43"/>
    </row>
    <row r="13">
      <c r="A13" s="33"/>
    </row>
    <row r="15">
      <c r="A15" s="58" t="s">
        <v>2274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59"/>
    </row>
    <row r="16">
      <c r="C16" s="60" t="s">
        <v>2275</v>
      </c>
      <c r="D16" s="60" t="s">
        <v>36</v>
      </c>
      <c r="E16" s="60" t="s">
        <v>37</v>
      </c>
      <c r="F16" s="60" t="s">
        <v>38</v>
      </c>
      <c r="G16" s="60" t="s">
        <v>39</v>
      </c>
      <c r="H16" s="60" t="s">
        <v>40</v>
      </c>
      <c r="I16" s="60" t="s">
        <v>41</v>
      </c>
      <c r="J16" s="60" t="s">
        <v>42</v>
      </c>
      <c r="K16" s="60" t="s">
        <v>43</v>
      </c>
      <c r="L16" s="60" t="s">
        <v>44</v>
      </c>
      <c r="M16" s="60" t="s">
        <v>45</v>
      </c>
      <c r="O16" s="61" t="s">
        <v>9</v>
      </c>
      <c r="P16" s="61" t="s">
        <v>139</v>
      </c>
      <c r="Q16" s="61" t="s">
        <v>122</v>
      </c>
    </row>
    <row r="17" ht="24.0" customHeight="1">
      <c r="C17" s="60" t="s">
        <v>2274</v>
      </c>
      <c r="D17" s="62">
        <f t="shared" ref="D17:M17" si="2">D8/424*100</f>
        <v>10.8490566</v>
      </c>
      <c r="E17" s="62">
        <f t="shared" si="2"/>
        <v>1.179245283</v>
      </c>
      <c r="F17" s="62">
        <f t="shared" si="2"/>
        <v>0.9433962264</v>
      </c>
      <c r="G17" s="62">
        <f t="shared" si="2"/>
        <v>0.4716981132</v>
      </c>
      <c r="H17" s="62">
        <f t="shared" si="2"/>
        <v>1.41509434</v>
      </c>
      <c r="I17" s="62">
        <f t="shared" si="2"/>
        <v>1.41509434</v>
      </c>
      <c r="J17" s="62">
        <f t="shared" si="2"/>
        <v>4.952830189</v>
      </c>
      <c r="K17" s="62">
        <f t="shared" si="2"/>
        <v>4.952830189</v>
      </c>
      <c r="L17" s="62">
        <f t="shared" si="2"/>
        <v>4.009433962</v>
      </c>
      <c r="M17" s="62">
        <f t="shared" si="2"/>
        <v>4.009433962</v>
      </c>
      <c r="O17" s="61" t="s">
        <v>2272</v>
      </c>
      <c r="P17" s="62">
        <v>85.61320754716981</v>
      </c>
      <c r="Q17" s="62">
        <v>14.38679245283019</v>
      </c>
    </row>
  </sheetData>
  <mergeCells count="3">
    <mergeCell ref="B2:C3"/>
    <mergeCell ref="D2:M3"/>
    <mergeCell ref="A15:L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11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>
      <c r="B3" s="30"/>
      <c r="C3" s="31"/>
      <c r="D3" s="31"/>
      <c r="E3" s="31"/>
      <c r="F3" s="31"/>
      <c r="G3" s="31"/>
      <c r="H3" s="31"/>
      <c r="I3" s="31"/>
      <c r="J3" s="31"/>
      <c r="K3" s="31"/>
      <c r="L3" s="32"/>
    </row>
    <row r="4">
      <c r="A4" s="33" t="s">
        <v>2265</v>
      </c>
      <c r="B4" s="41" t="s">
        <v>46</v>
      </c>
      <c r="C4" s="41" t="s">
        <v>47</v>
      </c>
      <c r="D4" s="41" t="s">
        <v>48</v>
      </c>
      <c r="E4" s="41" t="s">
        <v>49</v>
      </c>
      <c r="F4" s="41" t="s">
        <v>50</v>
      </c>
      <c r="G4" s="41" t="s">
        <v>51</v>
      </c>
      <c r="H4" s="41" t="s">
        <v>52</v>
      </c>
      <c r="I4" s="41" t="s">
        <v>53</v>
      </c>
      <c r="J4" s="41" t="s">
        <v>54</v>
      </c>
      <c r="K4" s="41" t="s">
        <v>55</v>
      </c>
      <c r="L4" s="41" t="s">
        <v>56</v>
      </c>
    </row>
    <row r="5">
      <c r="A5" s="33" t="s">
        <v>2266</v>
      </c>
      <c r="B5" s="36">
        <v>28.0</v>
      </c>
      <c r="C5" s="36">
        <v>39.0</v>
      </c>
      <c r="D5" s="36">
        <v>9.0</v>
      </c>
      <c r="E5" s="36">
        <v>4.0</v>
      </c>
      <c r="F5" s="36">
        <v>8.0</v>
      </c>
      <c r="G5" s="36">
        <v>19.0</v>
      </c>
      <c r="H5" s="36">
        <v>19.0</v>
      </c>
      <c r="I5" s="36">
        <v>1.0</v>
      </c>
      <c r="J5" s="36">
        <v>1.0</v>
      </c>
      <c r="K5" s="36">
        <v>18.0</v>
      </c>
      <c r="L5" s="36">
        <v>5.0</v>
      </c>
    </row>
    <row r="6">
      <c r="A6" s="33" t="s">
        <v>606</v>
      </c>
      <c r="B6" s="36">
        <v>132.0</v>
      </c>
      <c r="C6" s="36">
        <v>139.0</v>
      </c>
      <c r="D6" s="36">
        <v>80.0</v>
      </c>
      <c r="E6" s="36">
        <v>9.0</v>
      </c>
      <c r="F6" s="36">
        <v>63.0</v>
      </c>
      <c r="G6" s="36">
        <v>50.0</v>
      </c>
      <c r="H6" s="36">
        <v>33.0</v>
      </c>
      <c r="I6" s="36">
        <v>4.0</v>
      </c>
      <c r="J6" s="36">
        <v>2.0</v>
      </c>
      <c r="K6" s="36">
        <v>25.0</v>
      </c>
      <c r="L6" s="36">
        <v>14.0</v>
      </c>
    </row>
    <row r="7">
      <c r="A7" s="33" t="s">
        <v>1875</v>
      </c>
      <c r="B7" s="36">
        <v>36.0</v>
      </c>
      <c r="C7" s="36">
        <v>30.0</v>
      </c>
      <c r="D7" s="36">
        <v>37.0</v>
      </c>
      <c r="E7" s="36">
        <v>5.0</v>
      </c>
      <c r="F7" s="36">
        <v>24.0</v>
      </c>
      <c r="G7" s="36">
        <v>17.0</v>
      </c>
      <c r="H7" s="36">
        <v>20.0</v>
      </c>
      <c r="I7" s="36">
        <v>2.0</v>
      </c>
      <c r="J7" s="36">
        <v>6.0</v>
      </c>
      <c r="K7" s="36">
        <v>8.0</v>
      </c>
      <c r="L7" s="36"/>
    </row>
    <row r="8">
      <c r="A8" s="33" t="s">
        <v>2267</v>
      </c>
      <c r="B8" s="37">
        <f t="shared" ref="B8:L8" si="1">SUM(B5:B7)</f>
        <v>196</v>
      </c>
      <c r="C8" s="37">
        <f t="shared" si="1"/>
        <v>208</v>
      </c>
      <c r="D8" s="37">
        <f t="shared" si="1"/>
        <v>126</v>
      </c>
      <c r="E8" s="37">
        <f t="shared" si="1"/>
        <v>18</v>
      </c>
      <c r="F8" s="37">
        <f t="shared" si="1"/>
        <v>95</v>
      </c>
      <c r="G8" s="37">
        <f t="shared" si="1"/>
        <v>86</v>
      </c>
      <c r="H8" s="37">
        <f t="shared" si="1"/>
        <v>72</v>
      </c>
      <c r="I8" s="37">
        <f t="shared" si="1"/>
        <v>7</v>
      </c>
      <c r="J8" s="37">
        <f t="shared" si="1"/>
        <v>9</v>
      </c>
      <c r="K8" s="37">
        <f t="shared" si="1"/>
        <v>51</v>
      </c>
      <c r="L8" s="37">
        <f t="shared" si="1"/>
        <v>19</v>
      </c>
    </row>
    <row r="9">
      <c r="B9" s="63" t="s">
        <v>2276</v>
      </c>
      <c r="C9" s="16" t="s">
        <v>2277</v>
      </c>
      <c r="D9" s="16" t="s">
        <v>423</v>
      </c>
      <c r="E9" s="16" t="s">
        <v>428</v>
      </c>
      <c r="F9" s="16" t="s">
        <v>440</v>
      </c>
      <c r="G9" s="16" t="s">
        <v>516</v>
      </c>
      <c r="H9" s="16" t="s">
        <v>1011</v>
      </c>
      <c r="I9" s="16" t="s">
        <v>1125</v>
      </c>
      <c r="J9" s="16" t="s">
        <v>1706</v>
      </c>
      <c r="K9" s="56" t="s">
        <v>2278</v>
      </c>
    </row>
    <row r="10">
      <c r="B10" s="48" t="s">
        <v>2270</v>
      </c>
      <c r="C10" s="36">
        <v>1.0</v>
      </c>
      <c r="D10" s="36">
        <v>1.0</v>
      </c>
      <c r="E10" s="36">
        <v>1.0</v>
      </c>
      <c r="F10" s="36">
        <v>1.0</v>
      </c>
      <c r="G10" s="36">
        <v>1.0</v>
      </c>
      <c r="H10" s="35"/>
      <c r="I10" s="35"/>
      <c r="J10" s="35"/>
      <c r="K10" s="57">
        <f t="shared" ref="K10:K11" si="2">SUM(B10:J10)</f>
        <v>5</v>
      </c>
    </row>
    <row r="11">
      <c r="B11" s="48" t="s">
        <v>547</v>
      </c>
      <c r="C11" s="36">
        <v>1.0</v>
      </c>
      <c r="D11" s="35"/>
      <c r="E11" s="35"/>
      <c r="F11" s="36">
        <v>2.0</v>
      </c>
      <c r="G11" s="36">
        <v>3.0</v>
      </c>
      <c r="H11" s="36">
        <v>5.0</v>
      </c>
      <c r="I11" s="36">
        <v>2.0</v>
      </c>
      <c r="J11" s="36">
        <v>1.0</v>
      </c>
      <c r="K11" s="57">
        <f t="shared" si="2"/>
        <v>14</v>
      </c>
    </row>
    <row r="14">
      <c r="B14" s="41" t="s">
        <v>46</v>
      </c>
      <c r="C14" s="41" t="s">
        <v>47</v>
      </c>
      <c r="D14" s="41" t="s">
        <v>48</v>
      </c>
      <c r="E14" s="41" t="s">
        <v>49</v>
      </c>
      <c r="F14" s="41" t="s">
        <v>50</v>
      </c>
      <c r="G14" s="41" t="s">
        <v>51</v>
      </c>
      <c r="H14" s="41" t="s">
        <v>52</v>
      </c>
      <c r="I14" s="41" t="s">
        <v>53</v>
      </c>
      <c r="J14" s="41" t="s">
        <v>54</v>
      </c>
      <c r="K14" s="41" t="s">
        <v>55</v>
      </c>
    </row>
    <row r="15">
      <c r="A15" s="64" t="s">
        <v>2272</v>
      </c>
      <c r="B15" s="65">
        <v>46.11764705882353</v>
      </c>
      <c r="C15" s="65">
        <v>48.94117647058824</v>
      </c>
      <c r="D15" s="65">
        <v>29.64705882352941</v>
      </c>
      <c r="E15" s="65">
        <v>4.235294117647059</v>
      </c>
      <c r="F15" s="65">
        <v>22.35294117647059</v>
      </c>
      <c r="G15" s="65">
        <v>20.235294117647058</v>
      </c>
      <c r="H15" s="65">
        <v>16.941176470588236</v>
      </c>
      <c r="I15" s="65">
        <v>1.647058823529412</v>
      </c>
      <c r="J15" s="65">
        <v>2.1176470588235294</v>
      </c>
      <c r="K15" s="65">
        <v>12.0</v>
      </c>
    </row>
  </sheetData>
  <mergeCells count="1">
    <mergeCell ref="B2:L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8" max="8" width="18.13"/>
  </cols>
  <sheetData>
    <row r="2">
      <c r="B2" s="42" t="s">
        <v>12</v>
      </c>
      <c r="C2" s="28"/>
      <c r="D2" s="28"/>
      <c r="E2" s="28"/>
      <c r="F2" s="28"/>
      <c r="G2" s="28"/>
      <c r="H2" s="41" t="s">
        <v>57</v>
      </c>
    </row>
    <row r="3">
      <c r="B3" s="30"/>
      <c r="C3" s="31"/>
      <c r="D3" s="31"/>
      <c r="E3" s="31"/>
      <c r="F3" s="31"/>
      <c r="G3" s="31"/>
      <c r="H3" s="66"/>
    </row>
    <row r="4" ht="32.25" customHeight="1">
      <c r="A4" s="33" t="s">
        <v>2265</v>
      </c>
      <c r="B4" s="67" t="s">
        <v>357</v>
      </c>
      <c r="C4" s="67" t="s">
        <v>167</v>
      </c>
      <c r="D4" s="67" t="s">
        <v>228</v>
      </c>
      <c r="E4" s="67" t="s">
        <v>123</v>
      </c>
      <c r="F4" s="67" t="s">
        <v>313</v>
      </c>
      <c r="G4" s="67" t="s">
        <v>152</v>
      </c>
      <c r="H4" s="66"/>
    </row>
    <row r="5">
      <c r="A5" s="33" t="s">
        <v>2266</v>
      </c>
      <c r="B5" s="36">
        <v>3.0</v>
      </c>
      <c r="C5" s="36">
        <v>2.0</v>
      </c>
      <c r="D5" s="36">
        <v>5.0</v>
      </c>
      <c r="E5" s="36">
        <v>33.0</v>
      </c>
      <c r="F5" s="36">
        <v>1.0</v>
      </c>
      <c r="G5" s="36">
        <v>11.0</v>
      </c>
      <c r="H5" s="36">
        <v>3.0</v>
      </c>
    </row>
    <row r="6">
      <c r="A6" s="33" t="s">
        <v>606</v>
      </c>
      <c r="B6" s="36">
        <v>25.0</v>
      </c>
      <c r="C6" s="36">
        <v>1.0</v>
      </c>
      <c r="D6" s="36">
        <v>20.0</v>
      </c>
      <c r="E6" s="36">
        <v>138.0</v>
      </c>
      <c r="F6" s="36">
        <v>1.0</v>
      </c>
      <c r="G6" s="36">
        <v>38.0</v>
      </c>
      <c r="H6" s="36">
        <v>53.0</v>
      </c>
    </row>
    <row r="7">
      <c r="A7" s="33" t="s">
        <v>1875</v>
      </c>
      <c r="B7" s="36">
        <v>12.0</v>
      </c>
      <c r="C7" s="35"/>
      <c r="D7" s="36">
        <v>4.0</v>
      </c>
      <c r="E7" s="36">
        <v>37.0</v>
      </c>
      <c r="F7" s="36">
        <v>2.0</v>
      </c>
      <c r="G7" s="36">
        <v>9.0</v>
      </c>
      <c r="H7" s="36">
        <v>1.0</v>
      </c>
    </row>
    <row r="8">
      <c r="A8" s="33" t="s">
        <v>2267</v>
      </c>
      <c r="B8" s="37">
        <f t="shared" ref="B8:H8" si="1">SUM(B5:B7)</f>
        <v>40</v>
      </c>
      <c r="C8" s="37">
        <f t="shared" si="1"/>
        <v>3</v>
      </c>
      <c r="D8" s="37">
        <f t="shared" si="1"/>
        <v>29</v>
      </c>
      <c r="E8" s="37">
        <f t="shared" si="1"/>
        <v>208</v>
      </c>
      <c r="F8" s="37">
        <f t="shared" si="1"/>
        <v>4</v>
      </c>
      <c r="G8" s="37">
        <f t="shared" si="1"/>
        <v>58</v>
      </c>
      <c r="H8" s="37">
        <f t="shared" si="1"/>
        <v>57</v>
      </c>
    </row>
    <row r="11">
      <c r="A11" s="59"/>
      <c r="B11" s="68" t="s">
        <v>12</v>
      </c>
      <c r="C11" s="22"/>
      <c r="D11" s="22"/>
      <c r="E11" s="22"/>
      <c r="F11" s="22"/>
      <c r="G11" s="22"/>
      <c r="H11" s="23"/>
    </row>
    <row r="12">
      <c r="A12" s="59"/>
      <c r="B12" s="69" t="s">
        <v>357</v>
      </c>
      <c r="C12" s="69" t="s">
        <v>167</v>
      </c>
      <c r="D12" s="69" t="s">
        <v>228</v>
      </c>
      <c r="E12" s="69" t="s">
        <v>123</v>
      </c>
      <c r="F12" s="69" t="s">
        <v>313</v>
      </c>
      <c r="G12" s="69" t="s">
        <v>152</v>
      </c>
      <c r="H12" s="69" t="s">
        <v>57</v>
      </c>
    </row>
    <row r="13">
      <c r="A13" s="70" t="s">
        <v>2272</v>
      </c>
      <c r="B13" s="71">
        <f t="shared" ref="B13:H13" si="2">B8/399*100</f>
        <v>10.02506266</v>
      </c>
      <c r="C13" s="71">
        <f t="shared" si="2"/>
        <v>0.7518796992</v>
      </c>
      <c r="D13" s="71">
        <f t="shared" si="2"/>
        <v>7.268170426</v>
      </c>
      <c r="E13" s="71">
        <f t="shared" si="2"/>
        <v>52.13032581</v>
      </c>
      <c r="F13" s="71">
        <f t="shared" si="2"/>
        <v>1.002506266</v>
      </c>
      <c r="G13" s="71">
        <f t="shared" si="2"/>
        <v>14.53634085</v>
      </c>
      <c r="H13" s="71">
        <f t="shared" si="2"/>
        <v>14.28571429</v>
      </c>
    </row>
  </sheetData>
  <mergeCells count="3">
    <mergeCell ref="B2:G3"/>
    <mergeCell ref="H2:H4"/>
    <mergeCell ref="B11:H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13</v>
      </c>
      <c r="C2" s="28"/>
      <c r="D2" s="28"/>
      <c r="E2" s="28"/>
      <c r="F2" s="28"/>
      <c r="G2" s="28"/>
      <c r="H2" s="28"/>
      <c r="I2" s="28"/>
      <c r="J2" s="28"/>
    </row>
    <row r="3">
      <c r="B3" s="30"/>
      <c r="C3" s="31"/>
      <c r="D3" s="31"/>
      <c r="E3" s="31"/>
      <c r="F3" s="31"/>
      <c r="G3" s="31"/>
      <c r="H3" s="31"/>
      <c r="I3" s="31"/>
      <c r="J3" s="31"/>
    </row>
    <row r="4">
      <c r="A4" s="33" t="s">
        <v>2265</v>
      </c>
      <c r="B4" s="34" t="s">
        <v>663</v>
      </c>
      <c r="C4" s="34" t="s">
        <v>1690</v>
      </c>
      <c r="D4" s="34" t="s">
        <v>764</v>
      </c>
      <c r="E4" s="34" t="s">
        <v>482</v>
      </c>
      <c r="F4" s="67" t="s">
        <v>141</v>
      </c>
      <c r="G4" s="67" t="s">
        <v>449</v>
      </c>
      <c r="H4" s="67" t="s">
        <v>243</v>
      </c>
      <c r="I4" s="67" t="s">
        <v>124</v>
      </c>
      <c r="J4" s="67" t="s">
        <v>168</v>
      </c>
    </row>
    <row r="5">
      <c r="A5" s="33" t="s">
        <v>2266</v>
      </c>
      <c r="B5" s="36"/>
      <c r="C5" s="36"/>
      <c r="D5" s="36"/>
      <c r="E5" s="36">
        <v>2.0</v>
      </c>
      <c r="F5" s="36">
        <v>2.0</v>
      </c>
      <c r="G5" s="36">
        <v>4.0</v>
      </c>
      <c r="H5" s="36">
        <v>2.0</v>
      </c>
      <c r="I5" s="36">
        <v>23.0</v>
      </c>
      <c r="J5" s="36">
        <v>28.0</v>
      </c>
    </row>
    <row r="6">
      <c r="A6" s="33" t="s">
        <v>606</v>
      </c>
      <c r="B6" s="36">
        <v>28.0</v>
      </c>
      <c r="C6" s="36">
        <v>1.0</v>
      </c>
      <c r="D6" s="36">
        <v>9.0</v>
      </c>
      <c r="E6" s="36">
        <v>2.0</v>
      </c>
      <c r="F6" s="36">
        <v>5.0</v>
      </c>
      <c r="G6" s="36">
        <v>13.0</v>
      </c>
      <c r="H6" s="36">
        <v>8.0</v>
      </c>
      <c r="I6" s="36">
        <v>92.0</v>
      </c>
      <c r="J6" s="36">
        <v>125.0</v>
      </c>
    </row>
    <row r="7">
      <c r="A7" s="33" t="s">
        <v>1875</v>
      </c>
      <c r="B7" s="35"/>
      <c r="C7" s="35"/>
      <c r="D7" s="35"/>
      <c r="E7" s="35"/>
      <c r="F7" s="35"/>
      <c r="G7" s="35"/>
      <c r="H7" s="36">
        <v>7.0</v>
      </c>
      <c r="I7" s="36">
        <v>30.0</v>
      </c>
      <c r="J7" s="36">
        <v>30.0</v>
      </c>
    </row>
    <row r="8">
      <c r="A8" s="33" t="s">
        <v>2267</v>
      </c>
      <c r="B8" s="37">
        <f t="shared" ref="B8:J8" si="1">SUM(B5:B7)</f>
        <v>28</v>
      </c>
      <c r="C8" s="37">
        <f t="shared" si="1"/>
        <v>1</v>
      </c>
      <c r="D8" s="37">
        <f t="shared" si="1"/>
        <v>9</v>
      </c>
      <c r="E8" s="37">
        <f t="shared" si="1"/>
        <v>4</v>
      </c>
      <c r="F8" s="37">
        <f t="shared" si="1"/>
        <v>7</v>
      </c>
      <c r="G8" s="37">
        <f t="shared" si="1"/>
        <v>17</v>
      </c>
      <c r="H8" s="37">
        <f t="shared" si="1"/>
        <v>17</v>
      </c>
      <c r="I8" s="37">
        <f t="shared" si="1"/>
        <v>145</v>
      </c>
      <c r="J8" s="37">
        <f t="shared" si="1"/>
        <v>183</v>
      </c>
    </row>
    <row r="10">
      <c r="A10" s="72" t="s">
        <v>2279</v>
      </c>
      <c r="B10" s="34" t="s">
        <v>663</v>
      </c>
      <c r="C10" s="34" t="s">
        <v>1690</v>
      </c>
      <c r="D10" s="34" t="s">
        <v>764</v>
      </c>
      <c r="E10" s="34" t="s">
        <v>482</v>
      </c>
      <c r="F10" s="67" t="s">
        <v>141</v>
      </c>
      <c r="G10" s="67" t="s">
        <v>449</v>
      </c>
      <c r="H10" s="67" t="s">
        <v>243</v>
      </c>
      <c r="I10" s="67" t="s">
        <v>124</v>
      </c>
      <c r="J10" s="67" t="s">
        <v>168</v>
      </c>
    </row>
    <row r="11">
      <c r="A11" s="33" t="s">
        <v>2280</v>
      </c>
      <c r="B11" s="73">
        <f t="shared" ref="B11:J11" si="2">B8/411*100</f>
        <v>6.812652068</v>
      </c>
      <c r="C11" s="73">
        <f t="shared" si="2"/>
        <v>0.2433090024</v>
      </c>
      <c r="D11" s="73">
        <f t="shared" si="2"/>
        <v>2.189781022</v>
      </c>
      <c r="E11" s="73">
        <f t="shared" si="2"/>
        <v>0.9732360097</v>
      </c>
      <c r="F11" s="73">
        <f t="shared" si="2"/>
        <v>1.703163017</v>
      </c>
      <c r="G11" s="73">
        <f t="shared" si="2"/>
        <v>4.136253041</v>
      </c>
      <c r="H11" s="73">
        <f t="shared" si="2"/>
        <v>4.136253041</v>
      </c>
      <c r="I11" s="73">
        <f t="shared" si="2"/>
        <v>35.27980535</v>
      </c>
      <c r="J11" s="73">
        <f t="shared" si="2"/>
        <v>44.52554745</v>
      </c>
    </row>
  </sheetData>
  <mergeCells count="2">
    <mergeCell ref="A2:A3"/>
    <mergeCell ref="B2:J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58</v>
      </c>
      <c r="C2" s="28"/>
      <c r="D2" s="28"/>
      <c r="E2" s="29"/>
    </row>
    <row r="3">
      <c r="A3" s="33" t="s">
        <v>2265</v>
      </c>
      <c r="B3" s="74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36"/>
      <c r="C4" s="36"/>
      <c r="D4" s="36">
        <v>34.0</v>
      </c>
      <c r="E4" s="36">
        <v>14.0</v>
      </c>
    </row>
    <row r="5">
      <c r="A5" s="33" t="s">
        <v>606</v>
      </c>
      <c r="B5" s="36">
        <v>6.0</v>
      </c>
      <c r="C5" s="36">
        <v>12.0</v>
      </c>
      <c r="D5" s="36">
        <v>97.0</v>
      </c>
      <c r="E5" s="36">
        <v>168.0</v>
      </c>
    </row>
    <row r="6">
      <c r="A6" s="33" t="s">
        <v>1875</v>
      </c>
      <c r="B6" s="36"/>
      <c r="C6" s="36"/>
      <c r="D6" s="36">
        <v>30.0</v>
      </c>
      <c r="E6" s="36">
        <v>34.0</v>
      </c>
    </row>
    <row r="7">
      <c r="A7" s="33" t="s">
        <v>2267</v>
      </c>
      <c r="B7" s="37">
        <f t="shared" ref="B7:E7" si="1">SUM(B4:B6)</f>
        <v>6</v>
      </c>
      <c r="C7" s="37">
        <f t="shared" si="1"/>
        <v>12</v>
      </c>
      <c r="D7" s="37">
        <f t="shared" si="1"/>
        <v>161</v>
      </c>
      <c r="E7" s="37">
        <f t="shared" si="1"/>
        <v>216</v>
      </c>
    </row>
    <row r="10">
      <c r="B10" s="42" t="s">
        <v>58</v>
      </c>
      <c r="C10" s="28"/>
      <c r="D10" s="28"/>
      <c r="E10" s="29"/>
    </row>
    <row r="11">
      <c r="B11" s="74" t="s">
        <v>597</v>
      </c>
      <c r="C11" s="74" t="s">
        <v>2281</v>
      </c>
      <c r="D11" s="74" t="s">
        <v>126</v>
      </c>
      <c r="E11" s="74" t="s">
        <v>181</v>
      </c>
    </row>
    <row r="12">
      <c r="A12" s="33" t="s">
        <v>2272</v>
      </c>
      <c r="B12" s="73">
        <f t="shared" ref="B12:E12" si="2">B7/395*100</f>
        <v>1.518987342</v>
      </c>
      <c r="C12" s="73">
        <f t="shared" si="2"/>
        <v>3.037974684</v>
      </c>
      <c r="D12" s="73">
        <f t="shared" si="2"/>
        <v>40.75949367</v>
      </c>
      <c r="E12" s="73">
        <f t="shared" si="2"/>
        <v>54.6835443</v>
      </c>
    </row>
  </sheetData>
  <mergeCells count="2">
    <mergeCell ref="B2:E2"/>
    <mergeCell ref="B10:E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59</v>
      </c>
      <c r="C2" s="28"/>
      <c r="D2" s="28"/>
      <c r="E2" s="29"/>
    </row>
    <row r="3">
      <c r="A3" s="33" t="s">
        <v>2265</v>
      </c>
      <c r="B3" s="75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36"/>
      <c r="C4" s="36">
        <v>19.0</v>
      </c>
      <c r="D4" s="36">
        <v>28.0</v>
      </c>
      <c r="E4" s="36">
        <v>13.0</v>
      </c>
    </row>
    <row r="5">
      <c r="A5" s="33" t="s">
        <v>606</v>
      </c>
      <c r="B5" s="36">
        <v>1.0</v>
      </c>
      <c r="C5" s="36">
        <v>14.0</v>
      </c>
      <c r="D5" s="36">
        <v>116.0</v>
      </c>
      <c r="E5" s="36">
        <v>148.0</v>
      </c>
    </row>
    <row r="6">
      <c r="A6" s="33" t="s">
        <v>1875</v>
      </c>
      <c r="B6" s="35"/>
      <c r="C6" s="36">
        <v>4.0</v>
      </c>
      <c r="D6" s="36">
        <v>31.0</v>
      </c>
      <c r="E6" s="36">
        <v>33.0</v>
      </c>
    </row>
    <row r="7">
      <c r="A7" s="33" t="s">
        <v>2267</v>
      </c>
      <c r="B7" s="37">
        <f t="shared" ref="B7:E7" si="1">SUM(B4:B6)</f>
        <v>1</v>
      </c>
      <c r="C7" s="37">
        <f t="shared" si="1"/>
        <v>37</v>
      </c>
      <c r="D7" s="37">
        <f t="shared" si="1"/>
        <v>175</v>
      </c>
      <c r="E7" s="37">
        <f t="shared" si="1"/>
        <v>194</v>
      </c>
      <c r="F7" s="76">
        <f>E7+D7+C7+B7</f>
        <v>407</v>
      </c>
    </row>
    <row r="9">
      <c r="A9" s="77"/>
      <c r="B9" s="78" t="s">
        <v>597</v>
      </c>
      <c r="C9" s="79" t="s">
        <v>2282</v>
      </c>
      <c r="D9" s="79" t="s">
        <v>126</v>
      </c>
      <c r="E9" s="79" t="s">
        <v>181</v>
      </c>
    </row>
    <row r="10">
      <c r="A10" s="80" t="s">
        <v>2283</v>
      </c>
      <c r="B10" s="77">
        <f>B7/F7*100</f>
        <v>0.2457002457</v>
      </c>
      <c r="C10" s="77">
        <f>C7/F7*100</f>
        <v>9.090909091</v>
      </c>
      <c r="D10" s="77">
        <f>D7/F7*100</f>
        <v>42.997543</v>
      </c>
      <c r="E10" s="77">
        <f>E7/F7*100</f>
        <v>47.66584767</v>
      </c>
    </row>
  </sheetData>
  <mergeCells count="1">
    <mergeCell ref="B2:E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61</v>
      </c>
      <c r="C2" s="28"/>
      <c r="D2" s="28"/>
      <c r="E2" s="29"/>
    </row>
    <row r="3">
      <c r="A3" s="33" t="s">
        <v>2265</v>
      </c>
      <c r="B3" s="75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48"/>
      <c r="C4" s="36">
        <v>9.0</v>
      </c>
      <c r="D4" s="36">
        <v>34.0</v>
      </c>
      <c r="E4" s="36">
        <v>18.0</v>
      </c>
    </row>
    <row r="5">
      <c r="A5" s="33" t="s">
        <v>606</v>
      </c>
      <c r="B5" s="36">
        <v>1.0</v>
      </c>
      <c r="C5" s="36">
        <v>15.0</v>
      </c>
      <c r="D5" s="36">
        <v>96.0</v>
      </c>
      <c r="E5" s="36">
        <v>71.0</v>
      </c>
    </row>
    <row r="6">
      <c r="A6" s="33" t="s">
        <v>1875</v>
      </c>
      <c r="B6" s="35"/>
      <c r="C6" s="36">
        <v>3.0</v>
      </c>
      <c r="D6" s="36">
        <v>27.0</v>
      </c>
      <c r="E6" s="36">
        <v>37.0</v>
      </c>
    </row>
    <row r="7">
      <c r="A7" s="33" t="s">
        <v>2267</v>
      </c>
      <c r="B7" s="37">
        <f t="shared" ref="B7:E7" si="1">SUM(B4:B6)</f>
        <v>1</v>
      </c>
      <c r="C7" s="37">
        <f t="shared" si="1"/>
        <v>27</v>
      </c>
      <c r="D7" s="37">
        <f t="shared" si="1"/>
        <v>157</v>
      </c>
      <c r="E7" s="37">
        <f t="shared" si="1"/>
        <v>126</v>
      </c>
    </row>
    <row r="10">
      <c r="C10" s="42" t="s">
        <v>61</v>
      </c>
      <c r="D10" s="28"/>
      <c r="E10" s="28"/>
      <c r="F10" s="29"/>
    </row>
    <row r="11">
      <c r="B11" s="33" t="s">
        <v>2265</v>
      </c>
      <c r="C11" s="75" t="s">
        <v>597</v>
      </c>
      <c r="D11" s="74" t="s">
        <v>2281</v>
      </c>
      <c r="E11" s="74" t="s">
        <v>126</v>
      </c>
      <c r="F11" s="74" t="s">
        <v>181</v>
      </c>
    </row>
    <row r="12" ht="34.5" customHeight="1">
      <c r="B12" s="33" t="s">
        <v>2272</v>
      </c>
      <c r="C12" s="73">
        <f t="shared" ref="C12:F12" si="2">B7/311*100</f>
        <v>0.3215434084</v>
      </c>
      <c r="D12" s="73">
        <f t="shared" si="2"/>
        <v>8.681672026</v>
      </c>
      <c r="E12" s="73">
        <f t="shared" si="2"/>
        <v>50.48231511</v>
      </c>
      <c r="F12" s="73">
        <f t="shared" si="2"/>
        <v>40.51446945</v>
      </c>
    </row>
  </sheetData>
  <mergeCells count="2">
    <mergeCell ref="B2:E2"/>
    <mergeCell ref="C10:F1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60</v>
      </c>
      <c r="C2" s="28"/>
      <c r="D2" s="28"/>
      <c r="E2" s="28"/>
      <c r="F2" s="29"/>
      <c r="H2" s="81"/>
    </row>
    <row r="3">
      <c r="A3" s="33" t="s">
        <v>2265</v>
      </c>
      <c r="B3" s="75" t="s">
        <v>2284</v>
      </c>
      <c r="C3" s="74" t="s">
        <v>597</v>
      </c>
      <c r="D3" s="74" t="s">
        <v>2281</v>
      </c>
      <c r="E3" s="74" t="s">
        <v>126</v>
      </c>
      <c r="F3" s="74" t="s">
        <v>181</v>
      </c>
      <c r="H3" s="81"/>
    </row>
    <row r="4">
      <c r="A4" s="33" t="s">
        <v>2266</v>
      </c>
      <c r="B4" s="36"/>
      <c r="C4" s="36"/>
      <c r="D4" s="36">
        <v>13.0</v>
      </c>
      <c r="E4" s="36">
        <v>38.0</v>
      </c>
      <c r="F4" s="36">
        <v>9.0</v>
      </c>
      <c r="H4" s="81"/>
    </row>
    <row r="5">
      <c r="A5" s="33" t="s">
        <v>606</v>
      </c>
      <c r="B5" s="36">
        <v>4.0</v>
      </c>
      <c r="C5" s="36">
        <v>3.0</v>
      </c>
      <c r="D5" s="36">
        <v>12.0</v>
      </c>
      <c r="E5" s="36">
        <v>88.0</v>
      </c>
      <c r="F5" s="36">
        <v>174.0</v>
      </c>
      <c r="H5" s="81"/>
    </row>
    <row r="6" ht="18.0" customHeight="1">
      <c r="A6" s="33" t="s">
        <v>1875</v>
      </c>
      <c r="B6" s="35"/>
      <c r="C6" s="36">
        <v>1.0</v>
      </c>
      <c r="D6" s="36">
        <v>7.0</v>
      </c>
      <c r="E6" s="36">
        <v>22.0</v>
      </c>
      <c r="F6" s="36">
        <v>38.0</v>
      </c>
      <c r="H6" s="81"/>
    </row>
    <row r="7">
      <c r="A7" s="33" t="s">
        <v>2285</v>
      </c>
      <c r="B7" s="33">
        <f t="shared" ref="B7:F7" si="1">SUM(B4:B6)</f>
        <v>4</v>
      </c>
      <c r="C7" s="33">
        <f t="shared" si="1"/>
        <v>4</v>
      </c>
      <c r="D7" s="33">
        <f t="shared" si="1"/>
        <v>32</v>
      </c>
      <c r="E7" s="33">
        <f t="shared" si="1"/>
        <v>148</v>
      </c>
      <c r="F7" s="33">
        <f t="shared" si="1"/>
        <v>221</v>
      </c>
      <c r="H7" s="81"/>
    </row>
    <row r="10">
      <c r="B10" s="42" t="s">
        <v>60</v>
      </c>
      <c r="C10" s="28"/>
      <c r="D10" s="28"/>
      <c r="E10" s="28"/>
      <c r="F10" s="29"/>
    </row>
    <row r="11">
      <c r="B11" s="75" t="s">
        <v>2284</v>
      </c>
      <c r="C11" s="74" t="s">
        <v>597</v>
      </c>
      <c r="D11" s="74" t="s">
        <v>2281</v>
      </c>
      <c r="E11" s="74" t="s">
        <v>126</v>
      </c>
      <c r="F11" s="74" t="s">
        <v>181</v>
      </c>
    </row>
    <row r="12">
      <c r="A12" s="33" t="s">
        <v>2286</v>
      </c>
      <c r="B12" s="73">
        <f t="shared" ref="B12:F12" si="2">B7/409*100</f>
        <v>0.97799511</v>
      </c>
      <c r="C12" s="73">
        <f t="shared" si="2"/>
        <v>0.97799511</v>
      </c>
      <c r="D12" s="73">
        <f t="shared" si="2"/>
        <v>7.82396088</v>
      </c>
      <c r="E12" s="73">
        <f t="shared" si="2"/>
        <v>36.18581907</v>
      </c>
      <c r="F12" s="73">
        <f t="shared" si="2"/>
        <v>54.03422983</v>
      </c>
    </row>
  </sheetData>
  <mergeCells count="2">
    <mergeCell ref="B2:F2"/>
    <mergeCell ref="B10:F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82" t="s">
        <v>62</v>
      </c>
      <c r="C2" s="22"/>
      <c r="D2" s="22"/>
      <c r="E2" s="23"/>
    </row>
    <row r="3">
      <c r="A3" s="33" t="s">
        <v>2265</v>
      </c>
      <c r="B3" s="74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35"/>
      <c r="C4" s="36">
        <v>15.0</v>
      </c>
      <c r="D4" s="36">
        <v>28.0</v>
      </c>
      <c r="E4" s="36">
        <v>18.0</v>
      </c>
    </row>
    <row r="5">
      <c r="A5" s="33" t="s">
        <v>606</v>
      </c>
      <c r="B5" s="36">
        <v>5.0</v>
      </c>
      <c r="C5" s="36">
        <v>11.0</v>
      </c>
      <c r="D5" s="36">
        <v>93.0</v>
      </c>
      <c r="E5" s="36">
        <v>168.0</v>
      </c>
    </row>
    <row r="6">
      <c r="A6" s="33" t="s">
        <v>1875</v>
      </c>
      <c r="B6" s="36">
        <v>1.0</v>
      </c>
      <c r="C6" s="36">
        <v>1.0</v>
      </c>
      <c r="D6" s="36">
        <v>26.0</v>
      </c>
      <c r="E6" s="36">
        <v>40.0</v>
      </c>
    </row>
    <row r="7">
      <c r="A7" s="33" t="s">
        <v>2267</v>
      </c>
      <c r="B7" s="83">
        <f t="shared" ref="B7:E7" si="1">SUM(B4:B6)</f>
        <v>6</v>
      </c>
      <c r="C7" s="83">
        <f t="shared" si="1"/>
        <v>27</v>
      </c>
      <c r="D7" s="83">
        <f t="shared" si="1"/>
        <v>147</v>
      </c>
      <c r="E7" s="83">
        <f t="shared" si="1"/>
        <v>226</v>
      </c>
    </row>
    <row r="9">
      <c r="A9" s="81"/>
    </row>
    <row r="10">
      <c r="A10" s="83"/>
      <c r="B10" s="83" t="s">
        <v>597</v>
      </c>
      <c r="C10" s="83" t="s">
        <v>2281</v>
      </c>
      <c r="D10" s="83" t="s">
        <v>126</v>
      </c>
      <c r="E10" s="83" t="s">
        <v>181</v>
      </c>
    </row>
    <row r="11">
      <c r="A11" s="33" t="s">
        <v>2268</v>
      </c>
      <c r="B11" s="73">
        <f t="shared" ref="B11:E11" si="2">B7/406*100</f>
        <v>1.477832512</v>
      </c>
      <c r="C11" s="73">
        <f t="shared" si="2"/>
        <v>6.650246305</v>
      </c>
      <c r="D11" s="73">
        <f t="shared" si="2"/>
        <v>36.20689655</v>
      </c>
      <c r="E11" s="73">
        <f t="shared" si="2"/>
        <v>55.66502463</v>
      </c>
      <c r="F11" s="84" t="s">
        <v>2269</v>
      </c>
    </row>
  </sheetData>
  <mergeCells count="1">
    <mergeCell ref="B2:E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19</v>
      </c>
      <c r="C2" s="28"/>
      <c r="D2" s="28"/>
      <c r="E2" s="28"/>
      <c r="F2" s="28"/>
      <c r="G2" s="28"/>
      <c r="H2" s="28"/>
      <c r="I2" s="29"/>
    </row>
    <row r="3">
      <c r="B3" s="30"/>
      <c r="C3" s="31"/>
      <c r="D3" s="31"/>
      <c r="E3" s="31"/>
      <c r="F3" s="31"/>
      <c r="G3" s="31"/>
      <c r="H3" s="31"/>
      <c r="I3" s="32"/>
    </row>
    <row r="4">
      <c r="A4" s="33" t="s">
        <v>2265</v>
      </c>
      <c r="B4" s="85" t="s">
        <v>86</v>
      </c>
      <c r="C4" s="85" t="s">
        <v>87</v>
      </c>
      <c r="D4" s="85" t="s">
        <v>88</v>
      </c>
      <c r="E4" s="85" t="s">
        <v>89</v>
      </c>
      <c r="F4" s="85" t="s">
        <v>90</v>
      </c>
      <c r="G4" s="85" t="s">
        <v>91</v>
      </c>
      <c r="H4" s="85" t="s">
        <v>92</v>
      </c>
      <c r="I4" s="85" t="s">
        <v>45</v>
      </c>
    </row>
    <row r="5">
      <c r="A5" s="33" t="s">
        <v>2266</v>
      </c>
      <c r="B5" s="36">
        <v>4.0</v>
      </c>
      <c r="C5" s="36">
        <v>1.0</v>
      </c>
      <c r="D5" s="36">
        <v>9.0</v>
      </c>
      <c r="E5" s="36">
        <v>4.0</v>
      </c>
      <c r="F5" s="36">
        <v>7.0</v>
      </c>
      <c r="G5" s="36">
        <v>3.0</v>
      </c>
      <c r="H5" s="36">
        <v>17.0</v>
      </c>
      <c r="I5" s="36">
        <v>2.0</v>
      </c>
    </row>
    <row r="6">
      <c r="A6" s="33" t="s">
        <v>606</v>
      </c>
      <c r="B6" s="36">
        <v>7.0</v>
      </c>
      <c r="C6" s="36">
        <v>4.0</v>
      </c>
      <c r="D6" s="36">
        <v>32.0</v>
      </c>
      <c r="E6" s="36">
        <v>8.0</v>
      </c>
      <c r="F6" s="36">
        <v>27.0</v>
      </c>
      <c r="G6" s="36">
        <v>22.0</v>
      </c>
      <c r="H6" s="36">
        <v>93.0</v>
      </c>
      <c r="I6" s="36">
        <v>9.0</v>
      </c>
    </row>
    <row r="7">
      <c r="A7" s="33" t="s">
        <v>1875</v>
      </c>
      <c r="B7" s="36">
        <v>1.0</v>
      </c>
      <c r="C7" s="36">
        <v>2.0</v>
      </c>
      <c r="D7" s="36">
        <v>15.0</v>
      </c>
      <c r="E7" s="36">
        <v>10.0</v>
      </c>
      <c r="F7" s="36">
        <v>18.0</v>
      </c>
      <c r="G7" s="36">
        <v>14.0</v>
      </c>
      <c r="H7" s="36">
        <v>23.0</v>
      </c>
      <c r="I7" s="36">
        <v>1.0</v>
      </c>
    </row>
    <row r="8">
      <c r="A8" s="33" t="s">
        <v>2267</v>
      </c>
      <c r="B8" s="37">
        <f t="shared" ref="B8:I8" si="1">SUM(B5:B7)</f>
        <v>12</v>
      </c>
      <c r="C8" s="37">
        <f t="shared" si="1"/>
        <v>7</v>
      </c>
      <c r="D8" s="37">
        <f t="shared" si="1"/>
        <v>56</v>
      </c>
      <c r="E8" s="37">
        <f t="shared" si="1"/>
        <v>22</v>
      </c>
      <c r="F8" s="37">
        <f t="shared" si="1"/>
        <v>52</v>
      </c>
      <c r="G8" s="37">
        <f t="shared" si="1"/>
        <v>39</v>
      </c>
      <c r="H8" s="37">
        <f t="shared" si="1"/>
        <v>133</v>
      </c>
      <c r="I8" s="37">
        <f t="shared" si="1"/>
        <v>12</v>
      </c>
    </row>
    <row r="9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43"/>
    </row>
    <row r="10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43"/>
    </row>
    <row r="11" ht="18.75" customHeight="1">
      <c r="A11" s="87"/>
      <c r="B11" s="88" t="s">
        <v>19</v>
      </c>
      <c r="C11" s="22"/>
      <c r="D11" s="22"/>
      <c r="E11" s="22"/>
      <c r="F11" s="22"/>
      <c r="G11" s="22"/>
      <c r="H11" s="22"/>
      <c r="I11" s="23"/>
      <c r="J11" s="86"/>
      <c r="K11" s="86"/>
      <c r="L11" s="86"/>
      <c r="M11" s="43"/>
    </row>
    <row r="12">
      <c r="A12" s="87"/>
      <c r="B12" s="89" t="s">
        <v>86</v>
      </c>
      <c r="C12" s="89" t="s">
        <v>87</v>
      </c>
      <c r="D12" s="89" t="s">
        <v>88</v>
      </c>
      <c r="E12" s="89" t="s">
        <v>89</v>
      </c>
      <c r="F12" s="89" t="s">
        <v>90</v>
      </c>
      <c r="G12" s="89" t="s">
        <v>91</v>
      </c>
      <c r="H12" s="89" t="s">
        <v>92</v>
      </c>
      <c r="I12" s="89" t="s">
        <v>45</v>
      </c>
      <c r="J12" s="86"/>
      <c r="K12" s="86"/>
      <c r="L12" s="86"/>
      <c r="M12" s="43"/>
    </row>
    <row r="13">
      <c r="A13" s="90" t="s">
        <v>2286</v>
      </c>
      <c r="B13" s="91">
        <f t="shared" ref="B13:I13" si="2">B8/133*100</f>
        <v>9.022556391</v>
      </c>
      <c r="C13" s="91">
        <f t="shared" si="2"/>
        <v>5.263157895</v>
      </c>
      <c r="D13" s="91">
        <f t="shared" si="2"/>
        <v>42.10526316</v>
      </c>
      <c r="E13" s="91">
        <f t="shared" si="2"/>
        <v>16.54135338</v>
      </c>
      <c r="F13" s="91">
        <f t="shared" si="2"/>
        <v>39.09774436</v>
      </c>
      <c r="G13" s="91">
        <f t="shared" si="2"/>
        <v>29.32330827</v>
      </c>
      <c r="H13" s="91">
        <f t="shared" si="2"/>
        <v>100</v>
      </c>
      <c r="I13" s="91">
        <f t="shared" si="2"/>
        <v>9.022556391</v>
      </c>
      <c r="J13" s="86"/>
      <c r="K13" s="86"/>
      <c r="L13" s="86"/>
      <c r="M13" s="43"/>
    </row>
    <row r="14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43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43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43"/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43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43"/>
    </row>
    <row r="19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43"/>
    </row>
    <row r="20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43"/>
    </row>
    <row r="2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43"/>
    </row>
    <row r="2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43"/>
    </row>
    <row r="2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43"/>
    </row>
    <row r="24">
      <c r="A24" s="86" t="s">
        <v>19</v>
      </c>
      <c r="M24" s="43"/>
    </row>
    <row r="25">
      <c r="A25" s="63" t="s">
        <v>2276</v>
      </c>
      <c r="B25" s="16" t="s">
        <v>174</v>
      </c>
      <c r="C25" s="16" t="s">
        <v>970</v>
      </c>
      <c r="D25" s="16" t="s">
        <v>1206</v>
      </c>
      <c r="E25" s="16" t="s">
        <v>1304</v>
      </c>
      <c r="F25" s="16" t="s">
        <v>1317</v>
      </c>
      <c r="G25" s="16" t="s">
        <v>1445</v>
      </c>
      <c r="H25" s="16" t="s">
        <v>1496</v>
      </c>
      <c r="I25" s="16" t="s">
        <v>1499</v>
      </c>
      <c r="J25" s="16" t="s">
        <v>1617</v>
      </c>
      <c r="K25" s="16" t="s">
        <v>1840</v>
      </c>
      <c r="L25" s="16" t="s">
        <v>2029</v>
      </c>
      <c r="M25" s="92" t="s">
        <v>2278</v>
      </c>
    </row>
    <row r="26">
      <c r="A26" s="48" t="s">
        <v>2270</v>
      </c>
      <c r="B26" s="36">
        <v>2.0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>
        <f t="shared" ref="M26:M28" si="3">SUM(A26:L26)</f>
        <v>2</v>
      </c>
    </row>
    <row r="27">
      <c r="A27" s="48" t="s">
        <v>547</v>
      </c>
      <c r="B27" s="36"/>
      <c r="C27" s="36">
        <v>1.0</v>
      </c>
      <c r="D27" s="36">
        <v>1.0</v>
      </c>
      <c r="E27" s="36">
        <v>1.0</v>
      </c>
      <c r="F27" s="36">
        <v>1.0</v>
      </c>
      <c r="G27" s="36">
        <v>1.0</v>
      </c>
      <c r="H27" s="36">
        <v>1.0</v>
      </c>
      <c r="I27" s="36">
        <v>1.0</v>
      </c>
      <c r="J27" s="36">
        <v>1.0</v>
      </c>
      <c r="K27" s="36">
        <v>1.0</v>
      </c>
      <c r="L27" s="36"/>
      <c r="M27" s="48">
        <f t="shared" si="3"/>
        <v>9</v>
      </c>
    </row>
    <row r="28">
      <c r="A28" s="48" t="s">
        <v>1875</v>
      </c>
      <c r="B28" s="48"/>
      <c r="C28" s="48"/>
      <c r="D28" s="48"/>
      <c r="E28" s="48"/>
      <c r="F28" s="48"/>
      <c r="G28" s="48"/>
      <c r="H28" s="48"/>
      <c r="I28" s="48"/>
      <c r="J28" s="48"/>
      <c r="K28" s="36"/>
      <c r="L28" s="36">
        <v>1.0</v>
      </c>
      <c r="M28" s="48">
        <f t="shared" si="3"/>
        <v>1</v>
      </c>
    </row>
  </sheetData>
  <mergeCells count="3">
    <mergeCell ref="B2:I3"/>
    <mergeCell ref="B11:I11"/>
    <mergeCell ref="A24:L2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18</v>
      </c>
      <c r="C2" s="28"/>
      <c r="D2" s="28"/>
      <c r="E2" s="28"/>
      <c r="F2" s="28"/>
      <c r="G2" s="28"/>
      <c r="H2" s="28"/>
      <c r="I2" s="28"/>
      <c r="J2" s="28"/>
      <c r="K2" s="29"/>
    </row>
    <row r="3">
      <c r="B3" s="30"/>
      <c r="C3" s="31"/>
      <c r="D3" s="31"/>
      <c r="E3" s="31"/>
      <c r="F3" s="31"/>
      <c r="G3" s="31"/>
      <c r="H3" s="31"/>
      <c r="I3" s="31"/>
      <c r="J3" s="31"/>
      <c r="K3" s="32"/>
    </row>
    <row r="4">
      <c r="A4" s="33" t="s">
        <v>2265</v>
      </c>
      <c r="B4" s="85" t="s">
        <v>78</v>
      </c>
      <c r="C4" s="85" t="s">
        <v>79</v>
      </c>
      <c r="D4" s="85" t="s">
        <v>52</v>
      </c>
      <c r="E4" s="85" t="s">
        <v>80</v>
      </c>
      <c r="F4" s="85" t="s">
        <v>81</v>
      </c>
      <c r="G4" s="85" t="s">
        <v>82</v>
      </c>
      <c r="H4" s="85" t="s">
        <v>83</v>
      </c>
      <c r="I4" s="85" t="s">
        <v>84</v>
      </c>
      <c r="J4" s="85" t="s">
        <v>85</v>
      </c>
      <c r="K4" s="85" t="s">
        <v>45</v>
      </c>
    </row>
    <row r="5">
      <c r="A5" s="33" t="s">
        <v>2266</v>
      </c>
      <c r="B5" s="36">
        <v>37.0</v>
      </c>
      <c r="C5" s="36">
        <v>7.0</v>
      </c>
      <c r="D5" s="36">
        <v>12.0</v>
      </c>
      <c r="E5" s="36">
        <v>4.0</v>
      </c>
      <c r="F5" s="36">
        <v>29.0</v>
      </c>
      <c r="G5" s="36">
        <v>14.0</v>
      </c>
      <c r="H5" s="36">
        <v>6.0</v>
      </c>
      <c r="I5" s="36">
        <v>10.0</v>
      </c>
      <c r="J5" s="36">
        <v>32.0</v>
      </c>
      <c r="K5" s="36">
        <v>3.0</v>
      </c>
    </row>
    <row r="6">
      <c r="A6" s="33" t="s">
        <v>606</v>
      </c>
      <c r="B6" s="36">
        <v>156.0</v>
      </c>
      <c r="C6" s="36">
        <v>60.0</v>
      </c>
      <c r="D6" s="36">
        <v>37.0</v>
      </c>
      <c r="E6" s="36">
        <v>11.0</v>
      </c>
      <c r="F6" s="36">
        <v>108.0</v>
      </c>
      <c r="G6" s="36">
        <v>25.0</v>
      </c>
      <c r="H6" s="36">
        <v>13.0</v>
      </c>
      <c r="I6" s="36">
        <v>68.0</v>
      </c>
      <c r="J6" s="36">
        <v>92.0</v>
      </c>
      <c r="K6" s="36">
        <v>3.0</v>
      </c>
    </row>
    <row r="7">
      <c r="A7" s="33" t="s">
        <v>1875</v>
      </c>
      <c r="B7" s="36">
        <v>36.0</v>
      </c>
      <c r="C7" s="36">
        <v>18.0</v>
      </c>
      <c r="D7" s="36">
        <v>29.0</v>
      </c>
      <c r="E7" s="36">
        <v>5.0</v>
      </c>
      <c r="F7" s="36">
        <v>28.0</v>
      </c>
      <c r="G7" s="36">
        <v>11.0</v>
      </c>
      <c r="H7" s="36">
        <v>7.0</v>
      </c>
      <c r="I7" s="36">
        <v>10.0</v>
      </c>
      <c r="J7" s="36">
        <v>24.0</v>
      </c>
      <c r="K7" s="36">
        <v>1.0</v>
      </c>
    </row>
    <row r="8">
      <c r="A8" s="33" t="s">
        <v>2267</v>
      </c>
      <c r="B8" s="37">
        <f t="shared" ref="B8:K8" si="1">SUM(B5:B7)</f>
        <v>229</v>
      </c>
      <c r="C8" s="37">
        <f t="shared" si="1"/>
        <v>85</v>
      </c>
      <c r="D8" s="37">
        <f t="shared" si="1"/>
        <v>78</v>
      </c>
      <c r="E8" s="37">
        <f t="shared" si="1"/>
        <v>20</v>
      </c>
      <c r="F8" s="37">
        <f t="shared" si="1"/>
        <v>165</v>
      </c>
      <c r="G8" s="37">
        <f t="shared" si="1"/>
        <v>50</v>
      </c>
      <c r="H8" s="37">
        <f t="shared" si="1"/>
        <v>26</v>
      </c>
      <c r="I8" s="37">
        <f t="shared" si="1"/>
        <v>88</v>
      </c>
      <c r="J8" s="37">
        <f t="shared" si="1"/>
        <v>148</v>
      </c>
      <c r="K8" s="37">
        <f t="shared" si="1"/>
        <v>7</v>
      </c>
    </row>
    <row r="10">
      <c r="B10" s="93" t="s">
        <v>78</v>
      </c>
      <c r="C10" s="93" t="s">
        <v>79</v>
      </c>
      <c r="D10" s="93" t="s">
        <v>52</v>
      </c>
      <c r="E10" s="93" t="s">
        <v>80</v>
      </c>
      <c r="F10" s="93" t="s">
        <v>81</v>
      </c>
      <c r="G10" s="93" t="s">
        <v>82</v>
      </c>
      <c r="H10" s="93" t="s">
        <v>83</v>
      </c>
      <c r="I10" s="93" t="s">
        <v>84</v>
      </c>
      <c r="J10" s="93" t="s">
        <v>85</v>
      </c>
      <c r="K10" s="93" t="s">
        <v>45</v>
      </c>
    </row>
    <row r="11">
      <c r="A11" s="33" t="s">
        <v>2272</v>
      </c>
      <c r="B11" s="73">
        <f t="shared" ref="B11:K11" si="2">B8/896*100</f>
        <v>25.55803571</v>
      </c>
      <c r="C11" s="73">
        <f t="shared" si="2"/>
        <v>9.486607143</v>
      </c>
      <c r="D11" s="73">
        <f t="shared" si="2"/>
        <v>8.705357143</v>
      </c>
      <c r="E11" s="73">
        <f t="shared" si="2"/>
        <v>2.232142857</v>
      </c>
      <c r="F11" s="73">
        <f t="shared" si="2"/>
        <v>18.41517857</v>
      </c>
      <c r="G11" s="73">
        <f t="shared" si="2"/>
        <v>5.580357143</v>
      </c>
      <c r="H11" s="73">
        <f t="shared" si="2"/>
        <v>2.901785714</v>
      </c>
      <c r="I11" s="73">
        <f t="shared" si="2"/>
        <v>9.821428571</v>
      </c>
      <c r="J11" s="73">
        <f t="shared" si="2"/>
        <v>16.51785714</v>
      </c>
      <c r="K11" s="73">
        <f t="shared" si="2"/>
        <v>0.78125</v>
      </c>
    </row>
    <row r="15">
      <c r="B15" s="86" t="s">
        <v>18</v>
      </c>
      <c r="J15" s="43"/>
    </row>
    <row r="16">
      <c r="B16" s="63" t="s">
        <v>2276</v>
      </c>
      <c r="C16" s="55" t="s">
        <v>162</v>
      </c>
      <c r="D16" s="55" t="s">
        <v>196</v>
      </c>
      <c r="E16" s="55" t="s">
        <v>509</v>
      </c>
      <c r="F16" s="55" t="s">
        <v>867</v>
      </c>
      <c r="G16" s="55" t="s">
        <v>51</v>
      </c>
      <c r="H16" s="55" t="s">
        <v>1629</v>
      </c>
      <c r="I16" s="55" t="s">
        <v>2259</v>
      </c>
      <c r="J16" s="92" t="s">
        <v>2278</v>
      </c>
    </row>
    <row r="17">
      <c r="B17" s="48" t="s">
        <v>2270</v>
      </c>
      <c r="C17" s="48">
        <v>1.0</v>
      </c>
      <c r="D17" s="48">
        <v>1.0</v>
      </c>
      <c r="E17" s="48">
        <v>1.0</v>
      </c>
      <c r="F17" s="48"/>
      <c r="G17" s="48"/>
      <c r="H17" s="48"/>
      <c r="I17" s="48"/>
      <c r="J17" s="48">
        <f t="shared" ref="J17:J19" si="3">SUM(C17:I17)</f>
        <v>3</v>
      </c>
    </row>
    <row r="18">
      <c r="B18" s="48" t="s">
        <v>547</v>
      </c>
      <c r="C18" s="48"/>
      <c r="D18" s="48"/>
      <c r="E18" s="48"/>
      <c r="F18" s="48">
        <v>1.0</v>
      </c>
      <c r="G18" s="48">
        <v>1.0</v>
      </c>
      <c r="H18" s="48">
        <v>1.0</v>
      </c>
      <c r="I18" s="48"/>
      <c r="J18" s="48">
        <f t="shared" si="3"/>
        <v>3</v>
      </c>
    </row>
    <row r="19">
      <c r="B19" s="48" t="s">
        <v>1875</v>
      </c>
      <c r="C19" s="48"/>
      <c r="D19" s="48"/>
      <c r="E19" s="48"/>
      <c r="F19" s="48"/>
      <c r="G19" s="48"/>
      <c r="H19" s="48"/>
      <c r="I19" s="48">
        <v>1.0</v>
      </c>
      <c r="J19" s="48">
        <f t="shared" si="3"/>
        <v>1</v>
      </c>
    </row>
  </sheetData>
  <mergeCells count="2">
    <mergeCell ref="B2:K3"/>
    <mergeCell ref="B15:I1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5.75"/>
    <col customWidth="1" min="2" max="2" width="8.63"/>
    <col customWidth="1" min="3" max="3" width="12.88"/>
    <col customWidth="1" min="4" max="4" width="8.63"/>
    <col customWidth="1" min="5" max="5" width="21.13"/>
    <col customWidth="1" min="6" max="6" width="8.63"/>
    <col customWidth="1" min="7" max="7" width="14.63"/>
    <col customWidth="1" min="8" max="8" width="8.63"/>
    <col customWidth="1" min="9" max="9" width="16.88"/>
    <col customWidth="1" min="10" max="10" width="8.63"/>
    <col customWidth="1" min="11" max="11" width="13.25"/>
    <col customWidth="1" min="12" max="12" width="8.63"/>
    <col customWidth="1" min="13" max="13" width="20.0"/>
    <col customWidth="1" min="14" max="14" width="8.63"/>
    <col customWidth="1" min="15" max="15" width="20.75"/>
    <col customWidth="1" min="16" max="16" width="8.63"/>
    <col customWidth="1" min="17" max="17" width="19.13"/>
    <col customWidth="1" min="18" max="165" width="8.63"/>
  </cols>
  <sheetData>
    <row r="1" ht="14.25" customHeight="1">
      <c r="A1" s="41" t="s">
        <v>5</v>
      </c>
      <c r="B1" s="42" t="s">
        <v>7</v>
      </c>
      <c r="C1" s="29"/>
      <c r="D1" s="42" t="s">
        <v>9</v>
      </c>
      <c r="E1" s="29"/>
      <c r="F1" s="42" t="s">
        <v>10</v>
      </c>
      <c r="G1" s="28"/>
      <c r="H1" s="28"/>
      <c r="I1" s="28"/>
      <c r="J1" s="28"/>
      <c r="K1" s="28"/>
      <c r="L1" s="28"/>
      <c r="M1" s="28"/>
      <c r="N1" s="28"/>
      <c r="O1" s="29"/>
      <c r="P1" s="42" t="s">
        <v>11</v>
      </c>
      <c r="Q1" s="28"/>
      <c r="R1" s="28"/>
      <c r="S1" s="28"/>
      <c r="T1" s="28"/>
      <c r="U1" s="28"/>
      <c r="V1" s="28"/>
      <c r="W1" s="28"/>
      <c r="X1" s="28"/>
      <c r="Y1" s="28"/>
      <c r="Z1" s="29"/>
      <c r="AA1" s="42" t="s">
        <v>12</v>
      </c>
      <c r="AB1" s="28"/>
      <c r="AC1" s="28"/>
      <c r="AD1" s="28"/>
      <c r="AE1" s="28"/>
      <c r="AF1" s="28"/>
      <c r="AG1" s="41" t="s">
        <v>57</v>
      </c>
      <c r="AH1" s="42" t="s">
        <v>13</v>
      </c>
      <c r="AI1" s="28"/>
      <c r="AJ1" s="28"/>
      <c r="AK1" s="28"/>
      <c r="AL1" s="28"/>
      <c r="AM1" s="28"/>
      <c r="AN1" s="28"/>
      <c r="AO1" s="28"/>
      <c r="AP1" s="28"/>
      <c r="AQ1" s="27" t="s">
        <v>14</v>
      </c>
      <c r="AR1" s="28"/>
      <c r="AS1" s="28"/>
      <c r="AT1" s="28"/>
      <c r="AU1" s="28"/>
      <c r="AV1" s="28"/>
      <c r="AW1" s="29"/>
      <c r="AX1" s="94" t="s">
        <v>15</v>
      </c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5"/>
      <c r="CB1" s="42" t="s">
        <v>16</v>
      </c>
      <c r="CC1" s="28"/>
      <c r="CD1" s="28"/>
      <c r="CE1" s="28"/>
      <c r="CF1" s="28"/>
      <c r="CG1" s="28"/>
      <c r="CH1" s="28"/>
      <c r="CI1" s="29"/>
      <c r="CJ1" s="42" t="s">
        <v>17</v>
      </c>
      <c r="CK1" s="28"/>
      <c r="CL1" s="28"/>
      <c r="CM1" s="28"/>
      <c r="CN1" s="28"/>
      <c r="CO1" s="29"/>
      <c r="CP1" s="42" t="s">
        <v>18</v>
      </c>
      <c r="CQ1" s="28"/>
      <c r="CR1" s="28"/>
      <c r="CS1" s="28"/>
      <c r="CT1" s="28"/>
      <c r="CU1" s="28"/>
      <c r="CV1" s="28"/>
      <c r="CW1" s="28"/>
      <c r="CX1" s="28"/>
      <c r="CY1" s="29"/>
      <c r="CZ1" s="42" t="s">
        <v>19</v>
      </c>
      <c r="DA1" s="28"/>
      <c r="DB1" s="28"/>
      <c r="DC1" s="28"/>
      <c r="DD1" s="28"/>
      <c r="DE1" s="28"/>
      <c r="DF1" s="28"/>
      <c r="DG1" s="29"/>
      <c r="DH1" s="42" t="s">
        <v>20</v>
      </c>
      <c r="DI1" s="28"/>
      <c r="DJ1" s="28"/>
      <c r="DK1" s="28"/>
      <c r="DL1" s="28"/>
      <c r="DM1" s="28"/>
      <c r="DN1" s="28"/>
      <c r="DO1" s="29"/>
      <c r="DP1" s="42" t="s">
        <v>21</v>
      </c>
      <c r="DQ1" s="29"/>
      <c r="DR1" s="42" t="s">
        <v>22</v>
      </c>
      <c r="DS1" s="28"/>
      <c r="DT1" s="28"/>
      <c r="DU1" s="28"/>
      <c r="DV1" s="28"/>
      <c r="DW1" s="29"/>
      <c r="DX1" s="41" t="s">
        <v>23</v>
      </c>
      <c r="DY1" s="42" t="s">
        <v>24</v>
      </c>
      <c r="DZ1" s="28"/>
      <c r="EA1" s="28"/>
      <c r="EB1" s="28"/>
      <c r="EC1" s="28"/>
      <c r="ED1" s="28"/>
      <c r="EE1" s="29"/>
      <c r="EF1" s="41" t="s">
        <v>25</v>
      </c>
      <c r="EG1" s="42" t="s">
        <v>26</v>
      </c>
      <c r="EH1" s="28"/>
      <c r="EI1" s="28"/>
      <c r="EJ1" s="28"/>
      <c r="EK1" s="28"/>
      <c r="EL1" s="29"/>
      <c r="EM1" s="94" t="s">
        <v>27</v>
      </c>
      <c r="EN1" s="95"/>
      <c r="EO1" s="95"/>
      <c r="EP1" s="95"/>
      <c r="EQ1" s="95"/>
      <c r="ER1" s="95"/>
      <c r="ES1" s="95"/>
      <c r="ET1" s="95"/>
      <c r="EU1" s="95"/>
      <c r="EV1" s="95"/>
      <c r="EW1" s="95"/>
      <c r="EX1" s="5"/>
      <c r="EY1" s="42" t="s">
        <v>28</v>
      </c>
      <c r="EZ1" s="28"/>
      <c r="FA1" s="29"/>
      <c r="FB1" s="42" t="s">
        <v>29</v>
      </c>
      <c r="FC1" s="28"/>
      <c r="FD1" s="29"/>
      <c r="FE1" s="42" t="s">
        <v>30</v>
      </c>
      <c r="FF1" s="28"/>
      <c r="FG1" s="29"/>
      <c r="FH1" s="96"/>
      <c r="FI1" s="96"/>
    </row>
    <row r="2" ht="14.25" customHeight="1">
      <c r="A2" s="66"/>
      <c r="B2" s="30"/>
      <c r="C2" s="32"/>
      <c r="D2" s="30"/>
      <c r="E2" s="32"/>
      <c r="F2" s="30"/>
      <c r="G2" s="31"/>
      <c r="H2" s="31"/>
      <c r="I2" s="31"/>
      <c r="J2" s="31"/>
      <c r="K2" s="31"/>
      <c r="L2" s="31"/>
      <c r="M2" s="31"/>
      <c r="N2" s="31"/>
      <c r="O2" s="32"/>
      <c r="P2" s="30"/>
      <c r="Q2" s="31"/>
      <c r="R2" s="31"/>
      <c r="S2" s="31"/>
      <c r="T2" s="31"/>
      <c r="U2" s="31"/>
      <c r="V2" s="31"/>
      <c r="W2" s="31"/>
      <c r="X2" s="31"/>
      <c r="Y2" s="31"/>
      <c r="Z2" s="32"/>
      <c r="AA2" s="30"/>
      <c r="AB2" s="31"/>
      <c r="AC2" s="31"/>
      <c r="AD2" s="31"/>
      <c r="AE2" s="31"/>
      <c r="AF2" s="31"/>
      <c r="AG2" s="66"/>
      <c r="AH2" s="30"/>
      <c r="AI2" s="31"/>
      <c r="AJ2" s="31"/>
      <c r="AK2" s="31"/>
      <c r="AL2" s="31"/>
      <c r="AM2" s="31"/>
      <c r="AN2" s="31"/>
      <c r="AO2" s="31"/>
      <c r="AP2" s="31"/>
      <c r="AQ2" s="30"/>
      <c r="AR2" s="31"/>
      <c r="AS2" s="31"/>
      <c r="AT2" s="31"/>
      <c r="AU2" s="31"/>
      <c r="AV2" s="31"/>
      <c r="AW2" s="32"/>
      <c r="AX2" s="42" t="s">
        <v>58</v>
      </c>
      <c r="AY2" s="28"/>
      <c r="AZ2" s="28"/>
      <c r="BA2" s="29"/>
      <c r="BB2" s="42" t="s">
        <v>59</v>
      </c>
      <c r="BC2" s="28"/>
      <c r="BD2" s="28"/>
      <c r="BE2" s="29"/>
      <c r="BF2" s="42" t="s">
        <v>60</v>
      </c>
      <c r="BG2" s="28"/>
      <c r="BH2" s="28"/>
      <c r="BI2" s="28"/>
      <c r="BJ2" s="29"/>
      <c r="BK2" s="42" t="s">
        <v>61</v>
      </c>
      <c r="BL2" s="28"/>
      <c r="BM2" s="28"/>
      <c r="BN2" s="29"/>
      <c r="BO2" s="42" t="s">
        <v>62</v>
      </c>
      <c r="BP2" s="28"/>
      <c r="BQ2" s="28"/>
      <c r="BR2" s="29"/>
      <c r="BS2" s="42" t="s">
        <v>63</v>
      </c>
      <c r="BT2" s="28"/>
      <c r="BU2" s="28"/>
      <c r="BV2" s="29"/>
      <c r="BW2" s="42" t="s">
        <v>64</v>
      </c>
      <c r="BX2" s="28"/>
      <c r="BY2" s="28"/>
      <c r="BZ2" s="28"/>
      <c r="CA2" s="29"/>
      <c r="CB2" s="30"/>
      <c r="CC2" s="31"/>
      <c r="CD2" s="31"/>
      <c r="CE2" s="31"/>
      <c r="CF2" s="31"/>
      <c r="CG2" s="31"/>
      <c r="CH2" s="31"/>
      <c r="CI2" s="32"/>
      <c r="CJ2" s="30"/>
      <c r="CK2" s="31"/>
      <c r="CL2" s="31"/>
      <c r="CM2" s="31"/>
      <c r="CN2" s="31"/>
      <c r="CO2" s="32"/>
      <c r="CP2" s="30"/>
      <c r="CQ2" s="31"/>
      <c r="CR2" s="31"/>
      <c r="CS2" s="31"/>
      <c r="CT2" s="31"/>
      <c r="CU2" s="31"/>
      <c r="CV2" s="31"/>
      <c r="CW2" s="31"/>
      <c r="CX2" s="31"/>
      <c r="CY2" s="32"/>
      <c r="CZ2" s="30"/>
      <c r="DA2" s="31"/>
      <c r="DB2" s="31"/>
      <c r="DC2" s="31"/>
      <c r="DD2" s="31"/>
      <c r="DE2" s="31"/>
      <c r="DF2" s="31"/>
      <c r="DG2" s="32"/>
      <c r="DH2" s="30"/>
      <c r="DI2" s="31"/>
      <c r="DJ2" s="31"/>
      <c r="DK2" s="31"/>
      <c r="DL2" s="31"/>
      <c r="DM2" s="31"/>
      <c r="DN2" s="31"/>
      <c r="DO2" s="32"/>
      <c r="DP2" s="30"/>
      <c r="DQ2" s="32"/>
      <c r="DR2" s="30"/>
      <c r="DS2" s="31"/>
      <c r="DT2" s="31"/>
      <c r="DU2" s="31"/>
      <c r="DV2" s="31"/>
      <c r="DW2" s="32"/>
      <c r="DX2" s="97"/>
      <c r="DY2" s="30"/>
      <c r="DZ2" s="31"/>
      <c r="EA2" s="31"/>
      <c r="EB2" s="31"/>
      <c r="EC2" s="31"/>
      <c r="ED2" s="31"/>
      <c r="EE2" s="32"/>
      <c r="EF2" s="97"/>
      <c r="EG2" s="30"/>
      <c r="EH2" s="31"/>
      <c r="EI2" s="31"/>
      <c r="EJ2" s="31"/>
      <c r="EK2" s="31"/>
      <c r="EL2" s="32"/>
      <c r="EM2" s="42" t="s">
        <v>116</v>
      </c>
      <c r="EN2" s="28"/>
      <c r="EO2" s="28"/>
      <c r="EP2" s="42" t="s">
        <v>117</v>
      </c>
      <c r="EQ2" s="28"/>
      <c r="ER2" s="29"/>
      <c r="ES2" s="42" t="s">
        <v>118</v>
      </c>
      <c r="ET2" s="28"/>
      <c r="EU2" s="29"/>
      <c r="EV2" s="42" t="s">
        <v>119</v>
      </c>
      <c r="EW2" s="28"/>
      <c r="EX2" s="29"/>
      <c r="EY2" s="30"/>
      <c r="EZ2" s="31"/>
      <c r="FA2" s="32"/>
      <c r="FB2" s="30"/>
      <c r="FC2" s="31"/>
      <c r="FD2" s="32"/>
      <c r="FE2" s="30"/>
      <c r="FF2" s="31"/>
      <c r="FG2" s="32"/>
      <c r="FH2" s="96"/>
      <c r="FI2" s="96"/>
    </row>
    <row r="3" ht="14.25" customHeight="1">
      <c r="A3" s="97"/>
      <c r="B3" s="46" t="s">
        <v>34</v>
      </c>
      <c r="C3" s="46" t="s">
        <v>35</v>
      </c>
      <c r="D3" s="54" t="s">
        <v>139</v>
      </c>
      <c r="E3" s="54" t="s">
        <v>122</v>
      </c>
      <c r="F3" s="41" t="s">
        <v>36</v>
      </c>
      <c r="G3" s="41" t="s">
        <v>37</v>
      </c>
      <c r="H3" s="41" t="s">
        <v>38</v>
      </c>
      <c r="I3" s="41" t="s">
        <v>39</v>
      </c>
      <c r="J3" s="41" t="s">
        <v>40</v>
      </c>
      <c r="K3" s="41" t="s">
        <v>41</v>
      </c>
      <c r="L3" s="41" t="s">
        <v>42</v>
      </c>
      <c r="M3" s="41" t="s">
        <v>43</v>
      </c>
      <c r="N3" s="41" t="s">
        <v>44</v>
      </c>
      <c r="O3" s="41" t="s">
        <v>45</v>
      </c>
      <c r="P3" s="41" t="s">
        <v>46</v>
      </c>
      <c r="Q3" s="41" t="s">
        <v>47</v>
      </c>
      <c r="R3" s="41" t="s">
        <v>48</v>
      </c>
      <c r="S3" s="41" t="s">
        <v>49</v>
      </c>
      <c r="T3" s="41" t="s">
        <v>50</v>
      </c>
      <c r="U3" s="41" t="s">
        <v>51</v>
      </c>
      <c r="V3" s="41" t="s">
        <v>52</v>
      </c>
      <c r="W3" s="41" t="s">
        <v>53</v>
      </c>
      <c r="X3" s="41" t="s">
        <v>54</v>
      </c>
      <c r="Y3" s="41" t="s">
        <v>55</v>
      </c>
      <c r="Z3" s="41" t="s">
        <v>56</v>
      </c>
      <c r="AA3" s="67" t="s">
        <v>357</v>
      </c>
      <c r="AB3" s="67" t="s">
        <v>167</v>
      </c>
      <c r="AC3" s="67" t="s">
        <v>228</v>
      </c>
      <c r="AD3" s="67" t="s">
        <v>123</v>
      </c>
      <c r="AE3" s="67" t="s">
        <v>313</v>
      </c>
      <c r="AF3" s="67" t="s">
        <v>152</v>
      </c>
      <c r="AG3" s="66"/>
      <c r="AH3" s="34" t="s">
        <v>663</v>
      </c>
      <c r="AI3" s="34" t="s">
        <v>1690</v>
      </c>
      <c r="AJ3" s="34" t="s">
        <v>764</v>
      </c>
      <c r="AK3" s="34" t="s">
        <v>482</v>
      </c>
      <c r="AL3" s="67" t="s">
        <v>141</v>
      </c>
      <c r="AM3" s="67" t="s">
        <v>449</v>
      </c>
      <c r="AN3" s="67" t="s">
        <v>243</v>
      </c>
      <c r="AO3" s="67" t="s">
        <v>124</v>
      </c>
      <c r="AP3" s="67" t="s">
        <v>168</v>
      </c>
      <c r="AQ3" s="34" t="s">
        <v>1865</v>
      </c>
      <c r="AR3" s="34" t="s">
        <v>920</v>
      </c>
      <c r="AS3" s="34" t="s">
        <v>362</v>
      </c>
      <c r="AT3" s="34" t="s">
        <v>244</v>
      </c>
      <c r="AU3" s="34" t="s">
        <v>125</v>
      </c>
      <c r="AV3" s="34" t="s">
        <v>142</v>
      </c>
      <c r="AW3" s="34" t="s">
        <v>153</v>
      </c>
      <c r="AX3" s="74" t="s">
        <v>597</v>
      </c>
      <c r="AY3" s="74" t="s">
        <v>2281</v>
      </c>
      <c r="AZ3" s="74" t="s">
        <v>126</v>
      </c>
      <c r="BA3" s="74" t="s">
        <v>181</v>
      </c>
      <c r="BB3" s="75" t="s">
        <v>597</v>
      </c>
      <c r="BC3" s="74" t="s">
        <v>2281</v>
      </c>
      <c r="BD3" s="74" t="s">
        <v>126</v>
      </c>
      <c r="BE3" s="74" t="s">
        <v>181</v>
      </c>
      <c r="BF3" s="75" t="s">
        <v>2284</v>
      </c>
      <c r="BG3" s="74" t="s">
        <v>597</v>
      </c>
      <c r="BH3" s="74" t="s">
        <v>2281</v>
      </c>
      <c r="BI3" s="74" t="s">
        <v>126</v>
      </c>
      <c r="BJ3" s="74" t="s">
        <v>181</v>
      </c>
      <c r="BK3" s="75" t="s">
        <v>597</v>
      </c>
      <c r="BL3" s="74" t="s">
        <v>2281</v>
      </c>
      <c r="BM3" s="74" t="s">
        <v>126</v>
      </c>
      <c r="BN3" s="74" t="s">
        <v>181</v>
      </c>
      <c r="BO3" s="75" t="s">
        <v>597</v>
      </c>
      <c r="BP3" s="74" t="s">
        <v>2281</v>
      </c>
      <c r="BQ3" s="74" t="s">
        <v>126</v>
      </c>
      <c r="BR3" s="74" t="s">
        <v>181</v>
      </c>
      <c r="BS3" s="75" t="s">
        <v>597</v>
      </c>
      <c r="BT3" s="74" t="s">
        <v>2281</v>
      </c>
      <c r="BU3" s="74" t="s">
        <v>126</v>
      </c>
      <c r="BV3" s="74" t="s">
        <v>181</v>
      </c>
      <c r="BW3" s="75" t="s">
        <v>2284</v>
      </c>
      <c r="BX3" s="74" t="s">
        <v>597</v>
      </c>
      <c r="BY3" s="74" t="s">
        <v>2281</v>
      </c>
      <c r="BZ3" s="74" t="s">
        <v>126</v>
      </c>
      <c r="CA3" s="74" t="s">
        <v>181</v>
      </c>
      <c r="CB3" s="85" t="s">
        <v>65</v>
      </c>
      <c r="CC3" s="85" t="s">
        <v>66</v>
      </c>
      <c r="CD3" s="85" t="s">
        <v>67</v>
      </c>
      <c r="CE3" s="85" t="s">
        <v>68</v>
      </c>
      <c r="CF3" s="85" t="s">
        <v>69</v>
      </c>
      <c r="CG3" s="85" t="s">
        <v>70</v>
      </c>
      <c r="CH3" s="85" t="s">
        <v>71</v>
      </c>
      <c r="CI3" s="85" t="s">
        <v>72</v>
      </c>
      <c r="CJ3" s="85" t="s">
        <v>73</v>
      </c>
      <c r="CK3" s="85" t="s">
        <v>74</v>
      </c>
      <c r="CL3" s="85" t="s">
        <v>75</v>
      </c>
      <c r="CM3" s="85" t="s">
        <v>76</v>
      </c>
      <c r="CN3" s="85" t="s">
        <v>77</v>
      </c>
      <c r="CO3" s="85" t="s">
        <v>45</v>
      </c>
      <c r="CP3" s="85" t="s">
        <v>78</v>
      </c>
      <c r="CQ3" s="85" t="s">
        <v>79</v>
      </c>
      <c r="CR3" s="85" t="s">
        <v>52</v>
      </c>
      <c r="CS3" s="85" t="s">
        <v>80</v>
      </c>
      <c r="CT3" s="85" t="s">
        <v>81</v>
      </c>
      <c r="CU3" s="85" t="s">
        <v>82</v>
      </c>
      <c r="CV3" s="85" t="s">
        <v>83</v>
      </c>
      <c r="CW3" s="85" t="s">
        <v>84</v>
      </c>
      <c r="CX3" s="85" t="s">
        <v>85</v>
      </c>
      <c r="CY3" s="85" t="s">
        <v>45</v>
      </c>
      <c r="CZ3" s="85" t="s">
        <v>86</v>
      </c>
      <c r="DA3" s="85" t="s">
        <v>87</v>
      </c>
      <c r="DB3" s="85" t="s">
        <v>88</v>
      </c>
      <c r="DC3" s="85" t="s">
        <v>89</v>
      </c>
      <c r="DD3" s="85" t="s">
        <v>90</v>
      </c>
      <c r="DE3" s="85" t="s">
        <v>91</v>
      </c>
      <c r="DF3" s="85" t="s">
        <v>92</v>
      </c>
      <c r="DG3" s="85" t="s">
        <v>45</v>
      </c>
      <c r="DH3" s="85" t="s">
        <v>93</v>
      </c>
      <c r="DI3" s="85" t="s">
        <v>94</v>
      </c>
      <c r="DJ3" s="85" t="s">
        <v>95</v>
      </c>
      <c r="DK3" s="85" t="s">
        <v>96</v>
      </c>
      <c r="DL3" s="85" t="s">
        <v>97</v>
      </c>
      <c r="DM3" s="85" t="s">
        <v>98</v>
      </c>
      <c r="DN3" s="85" t="s">
        <v>99</v>
      </c>
      <c r="DO3" s="41" t="s">
        <v>45</v>
      </c>
      <c r="DP3" s="54" t="s">
        <v>2287</v>
      </c>
      <c r="DQ3" s="54" t="s">
        <v>158</v>
      </c>
      <c r="DR3" s="41" t="s">
        <v>100</v>
      </c>
      <c r="DS3" s="41" t="s">
        <v>101</v>
      </c>
      <c r="DT3" s="41" t="s">
        <v>102</v>
      </c>
      <c r="DU3" s="41" t="s">
        <v>103</v>
      </c>
      <c r="DV3" s="41" t="s">
        <v>104</v>
      </c>
      <c r="DW3" s="41" t="s">
        <v>45</v>
      </c>
      <c r="DX3" s="54" t="s">
        <v>2288</v>
      </c>
      <c r="DY3" s="41" t="s">
        <v>105</v>
      </c>
      <c r="DZ3" s="41" t="s">
        <v>106</v>
      </c>
      <c r="EA3" s="41" t="s">
        <v>107</v>
      </c>
      <c r="EB3" s="41" t="s">
        <v>108</v>
      </c>
      <c r="EC3" s="41" t="s">
        <v>109</v>
      </c>
      <c r="ED3" s="41" t="s">
        <v>110</v>
      </c>
      <c r="EE3" s="98" t="s">
        <v>45</v>
      </c>
      <c r="EF3" s="46" t="s">
        <v>2289</v>
      </c>
      <c r="EG3" s="41" t="s">
        <v>111</v>
      </c>
      <c r="EH3" s="41" t="s">
        <v>112</v>
      </c>
      <c r="EI3" s="41" t="s">
        <v>113</v>
      </c>
      <c r="EJ3" s="41" t="s">
        <v>114</v>
      </c>
      <c r="EK3" s="41" t="s">
        <v>115</v>
      </c>
      <c r="EL3" s="41" t="s">
        <v>45</v>
      </c>
      <c r="EM3" s="54" t="s">
        <v>602</v>
      </c>
      <c r="EN3" s="54" t="s">
        <v>145</v>
      </c>
      <c r="EO3" s="54" t="s">
        <v>2290</v>
      </c>
      <c r="EP3" s="54" t="s">
        <v>602</v>
      </c>
      <c r="EQ3" s="54" t="s">
        <v>145</v>
      </c>
      <c r="ER3" s="46" t="s">
        <v>2290</v>
      </c>
      <c r="ES3" s="46" t="s">
        <v>602</v>
      </c>
      <c r="ET3" s="46" t="s">
        <v>145</v>
      </c>
      <c r="EU3" s="46" t="s">
        <v>2290</v>
      </c>
      <c r="EV3" s="46" t="s">
        <v>602</v>
      </c>
      <c r="EW3" s="46" t="s">
        <v>145</v>
      </c>
      <c r="EX3" s="46" t="s">
        <v>2290</v>
      </c>
      <c r="EY3" s="99" t="s">
        <v>2291</v>
      </c>
      <c r="EZ3" s="99" t="s">
        <v>2292</v>
      </c>
      <c r="FA3" s="99" t="s">
        <v>2293</v>
      </c>
      <c r="FB3" s="99" t="s">
        <v>2291</v>
      </c>
      <c r="FC3" s="99" t="s">
        <v>2292</v>
      </c>
      <c r="FD3" s="99" t="s">
        <v>2293</v>
      </c>
      <c r="FE3" s="99" t="s">
        <v>2291</v>
      </c>
      <c r="FF3" s="99" t="s">
        <v>2292</v>
      </c>
      <c r="FG3" s="99" t="s">
        <v>2293</v>
      </c>
      <c r="FH3" s="100"/>
      <c r="FI3" s="100"/>
    </row>
    <row r="4" ht="14.25" customHeight="1">
      <c r="A4" s="48" t="s">
        <v>2270</v>
      </c>
      <c r="B4" s="35">
        <v>31.0</v>
      </c>
      <c r="C4" s="35">
        <v>33.0</v>
      </c>
      <c r="D4" s="36">
        <v>52.0</v>
      </c>
      <c r="E4" s="36">
        <v>12.0</v>
      </c>
      <c r="F4" s="36">
        <v>2.0</v>
      </c>
      <c r="G4" s="35"/>
      <c r="H4" s="35"/>
      <c r="I4" s="35"/>
      <c r="J4" s="36">
        <v>1.0</v>
      </c>
      <c r="K4" s="35"/>
      <c r="L4" s="36">
        <v>4.0</v>
      </c>
      <c r="M4" s="36">
        <v>4.0</v>
      </c>
      <c r="N4" s="36">
        <v>4.0</v>
      </c>
      <c r="O4" s="36">
        <v>3.0</v>
      </c>
      <c r="P4" s="36">
        <v>28.0</v>
      </c>
      <c r="Q4" s="36">
        <v>39.0</v>
      </c>
      <c r="R4" s="36">
        <v>9.0</v>
      </c>
      <c r="S4" s="36">
        <v>4.0</v>
      </c>
      <c r="T4" s="36">
        <v>8.0</v>
      </c>
      <c r="U4" s="36">
        <v>19.0</v>
      </c>
      <c r="V4" s="36">
        <v>19.0</v>
      </c>
      <c r="W4" s="36">
        <v>1.0</v>
      </c>
      <c r="X4" s="36">
        <v>1.0</v>
      </c>
      <c r="Y4" s="36">
        <v>18.0</v>
      </c>
      <c r="Z4" s="36">
        <v>5.0</v>
      </c>
      <c r="AA4" s="36">
        <v>3.0</v>
      </c>
      <c r="AB4" s="36">
        <v>2.0</v>
      </c>
      <c r="AC4" s="36">
        <v>5.0</v>
      </c>
      <c r="AD4" s="36">
        <v>33.0</v>
      </c>
      <c r="AE4" s="36">
        <v>1.0</v>
      </c>
      <c r="AF4" s="36">
        <v>11.0</v>
      </c>
      <c r="AG4" s="36">
        <v>3.0</v>
      </c>
      <c r="AH4" s="36"/>
      <c r="AI4" s="36"/>
      <c r="AJ4" s="36"/>
      <c r="AK4" s="36">
        <v>2.0</v>
      </c>
      <c r="AL4" s="36">
        <v>2.0</v>
      </c>
      <c r="AM4" s="36">
        <v>4.0</v>
      </c>
      <c r="AN4" s="36">
        <v>2.0</v>
      </c>
      <c r="AO4" s="36">
        <v>23.0</v>
      </c>
      <c r="AP4" s="36">
        <v>28.0</v>
      </c>
      <c r="AQ4" s="35"/>
      <c r="AR4" s="35"/>
      <c r="AS4" s="36">
        <v>1.0</v>
      </c>
      <c r="AT4" s="36">
        <v>4.0</v>
      </c>
      <c r="AU4" s="36">
        <v>8.0</v>
      </c>
      <c r="AV4" s="36">
        <v>6.0</v>
      </c>
      <c r="AW4" s="36">
        <v>42.0</v>
      </c>
      <c r="AX4" s="36"/>
      <c r="AY4" s="36"/>
      <c r="AZ4" s="36">
        <v>34.0</v>
      </c>
      <c r="BA4" s="36">
        <v>14.0</v>
      </c>
      <c r="BB4" s="36"/>
      <c r="BC4" s="36">
        <v>19.0</v>
      </c>
      <c r="BD4" s="36">
        <v>28.0</v>
      </c>
      <c r="BE4" s="36">
        <v>13.0</v>
      </c>
      <c r="BF4" s="36"/>
      <c r="BG4" s="36"/>
      <c r="BH4" s="36">
        <v>13.0</v>
      </c>
      <c r="BI4" s="36">
        <v>38.0</v>
      </c>
      <c r="BJ4" s="36">
        <v>9.0</v>
      </c>
      <c r="BK4" s="48"/>
      <c r="BL4" s="36">
        <v>9.0</v>
      </c>
      <c r="BM4" s="36">
        <v>34.0</v>
      </c>
      <c r="BN4" s="36">
        <v>18.0</v>
      </c>
      <c r="BO4" s="35"/>
      <c r="BP4" s="36">
        <v>15.0</v>
      </c>
      <c r="BQ4" s="36">
        <v>28.0</v>
      </c>
      <c r="BR4" s="36">
        <v>18.0</v>
      </c>
      <c r="BS4" s="35"/>
      <c r="BT4" s="36">
        <v>3.0</v>
      </c>
      <c r="BU4" s="36">
        <v>33.0</v>
      </c>
      <c r="BV4" s="36">
        <v>25.0</v>
      </c>
      <c r="BW4" s="35"/>
      <c r="BX4" s="35"/>
      <c r="BY4" s="36">
        <v>13.0</v>
      </c>
      <c r="BZ4" s="36">
        <v>32.0</v>
      </c>
      <c r="CA4" s="36">
        <v>15.0</v>
      </c>
      <c r="CB4" s="36">
        <v>38.0</v>
      </c>
      <c r="CC4" s="36">
        <v>5.0</v>
      </c>
      <c r="CD4" s="36">
        <v>20.0</v>
      </c>
      <c r="CE4" s="36">
        <v>64.0</v>
      </c>
      <c r="CF4" s="36">
        <v>26.0</v>
      </c>
      <c r="CG4" s="36">
        <v>26.0</v>
      </c>
      <c r="CH4" s="36">
        <v>18.0</v>
      </c>
      <c r="CI4" s="36">
        <v>9.0</v>
      </c>
      <c r="CJ4" s="36">
        <v>3.0</v>
      </c>
      <c r="CK4" s="36">
        <v>9.0</v>
      </c>
      <c r="CL4" s="36">
        <v>1.0</v>
      </c>
      <c r="CM4" s="36">
        <v>10.0</v>
      </c>
      <c r="CN4" s="36">
        <v>13.0</v>
      </c>
      <c r="CO4" s="36">
        <v>1.0</v>
      </c>
      <c r="CP4" s="36">
        <v>37.0</v>
      </c>
      <c r="CQ4" s="36">
        <v>7.0</v>
      </c>
      <c r="CR4" s="36">
        <v>12.0</v>
      </c>
      <c r="CS4" s="36">
        <v>4.0</v>
      </c>
      <c r="CT4" s="36">
        <v>29.0</v>
      </c>
      <c r="CU4" s="36">
        <v>14.0</v>
      </c>
      <c r="CV4" s="36">
        <v>6.0</v>
      </c>
      <c r="CW4" s="36">
        <v>10.0</v>
      </c>
      <c r="CX4" s="36">
        <v>32.0</v>
      </c>
      <c r="CY4" s="36">
        <v>3.0</v>
      </c>
      <c r="CZ4" s="36">
        <v>4.0</v>
      </c>
      <c r="DA4" s="36">
        <v>1.0</v>
      </c>
      <c r="DB4" s="36">
        <v>9.0</v>
      </c>
      <c r="DC4" s="36">
        <v>4.0</v>
      </c>
      <c r="DD4" s="36">
        <v>7.0</v>
      </c>
      <c r="DE4" s="36">
        <v>3.0</v>
      </c>
      <c r="DF4" s="36">
        <v>17.0</v>
      </c>
      <c r="DG4" s="36">
        <v>2.0</v>
      </c>
      <c r="DH4" s="36">
        <v>4.0</v>
      </c>
      <c r="DI4" s="36">
        <v>3.0</v>
      </c>
      <c r="DJ4" s="36">
        <v>1.0</v>
      </c>
      <c r="DK4" s="36">
        <v>15.0</v>
      </c>
      <c r="DL4" s="36">
        <v>4.0</v>
      </c>
      <c r="DM4" s="36">
        <v>0.0</v>
      </c>
      <c r="DN4" s="36">
        <v>8.0</v>
      </c>
      <c r="DO4" s="36">
        <v>12.0</v>
      </c>
      <c r="DP4" s="36">
        <v>1.0</v>
      </c>
      <c r="DQ4" s="36">
        <v>12.0</v>
      </c>
      <c r="DR4" s="36">
        <v>47.0</v>
      </c>
      <c r="DS4" s="36">
        <v>34.0</v>
      </c>
      <c r="DT4" s="36">
        <v>29.0</v>
      </c>
      <c r="DU4" s="36">
        <v>17.0</v>
      </c>
      <c r="DV4" s="36">
        <v>42.0</v>
      </c>
      <c r="DW4" s="36">
        <v>6.0</v>
      </c>
      <c r="DX4" s="36">
        <v>2.0</v>
      </c>
      <c r="DY4" s="36">
        <v>56.0</v>
      </c>
      <c r="DZ4" s="36">
        <v>43.0</v>
      </c>
      <c r="EA4" s="36">
        <v>22.0</v>
      </c>
      <c r="EB4" s="36">
        <v>35.0</v>
      </c>
      <c r="EC4" s="36">
        <v>46.0</v>
      </c>
      <c r="ED4" s="36">
        <v>29.0</v>
      </c>
      <c r="EE4" s="36">
        <v>2.0</v>
      </c>
      <c r="EF4" s="36">
        <v>20.0</v>
      </c>
      <c r="EG4" s="36">
        <v>17.0</v>
      </c>
      <c r="EH4" s="36">
        <v>36.0</v>
      </c>
      <c r="EI4" s="36">
        <v>12.0</v>
      </c>
      <c r="EJ4" s="36">
        <v>26.0</v>
      </c>
      <c r="EK4" s="36">
        <v>41.0</v>
      </c>
      <c r="EL4" s="36">
        <v>1.0</v>
      </c>
      <c r="EM4" s="35"/>
      <c r="EN4" s="36">
        <v>19.0</v>
      </c>
      <c r="EO4" s="36">
        <v>30.0</v>
      </c>
      <c r="EP4" s="36">
        <v>0.0</v>
      </c>
      <c r="EQ4" s="36">
        <v>13.0</v>
      </c>
      <c r="ER4" s="36">
        <v>37.0</v>
      </c>
      <c r="ES4" s="36">
        <v>0.0</v>
      </c>
      <c r="ET4" s="36">
        <v>11.0</v>
      </c>
      <c r="EU4" s="36">
        <v>37.0</v>
      </c>
      <c r="EV4" s="36">
        <v>0.0</v>
      </c>
      <c r="EW4" s="36">
        <v>9.0</v>
      </c>
      <c r="EX4" s="36">
        <v>35.0</v>
      </c>
      <c r="EY4" s="36">
        <v>28.0</v>
      </c>
      <c r="EZ4" s="35"/>
      <c r="FA4" s="35"/>
      <c r="FB4" s="36">
        <v>11.0</v>
      </c>
      <c r="FC4" s="35"/>
      <c r="FD4" s="35"/>
      <c r="FE4" s="36">
        <v>32.0</v>
      </c>
      <c r="FF4" s="35"/>
      <c r="FG4" s="35"/>
      <c r="FH4" s="50"/>
      <c r="FI4" s="50"/>
    </row>
    <row r="5" ht="14.25" customHeight="1">
      <c r="A5" s="48" t="s">
        <v>547</v>
      </c>
      <c r="B5" s="35">
        <v>141.0</v>
      </c>
      <c r="C5" s="35">
        <v>149.0</v>
      </c>
      <c r="D5" s="36">
        <v>256.0</v>
      </c>
      <c r="E5" s="36">
        <v>34.0</v>
      </c>
      <c r="F5" s="36">
        <v>13.0</v>
      </c>
      <c r="G5" s="36">
        <v>2.0</v>
      </c>
      <c r="H5" s="36">
        <v>2.0</v>
      </c>
      <c r="I5" s="36">
        <v>2.0</v>
      </c>
      <c r="J5" s="35"/>
      <c r="K5" s="36">
        <v>2.0</v>
      </c>
      <c r="L5" s="36">
        <v>12.0</v>
      </c>
      <c r="M5" s="36">
        <v>12.0</v>
      </c>
      <c r="N5" s="36">
        <v>6.0</v>
      </c>
      <c r="O5" s="36">
        <v>13.0</v>
      </c>
      <c r="P5" s="36">
        <v>132.0</v>
      </c>
      <c r="Q5" s="36">
        <v>139.0</v>
      </c>
      <c r="R5" s="36">
        <v>80.0</v>
      </c>
      <c r="S5" s="36">
        <v>9.0</v>
      </c>
      <c r="T5" s="36">
        <v>63.0</v>
      </c>
      <c r="U5" s="36">
        <v>50.0</v>
      </c>
      <c r="V5" s="36">
        <v>33.0</v>
      </c>
      <c r="W5" s="36">
        <v>4.0</v>
      </c>
      <c r="X5" s="36">
        <v>2.0</v>
      </c>
      <c r="Y5" s="36">
        <v>25.0</v>
      </c>
      <c r="Z5" s="36">
        <v>14.0</v>
      </c>
      <c r="AA5" s="36">
        <v>25.0</v>
      </c>
      <c r="AB5" s="36">
        <v>1.0</v>
      </c>
      <c r="AC5" s="36">
        <v>20.0</v>
      </c>
      <c r="AD5" s="36">
        <v>138.0</v>
      </c>
      <c r="AE5" s="36">
        <v>1.0</v>
      </c>
      <c r="AF5" s="36">
        <v>38.0</v>
      </c>
      <c r="AG5" s="36">
        <v>53.0</v>
      </c>
      <c r="AH5" s="36">
        <v>28.0</v>
      </c>
      <c r="AI5" s="36">
        <v>1.0</v>
      </c>
      <c r="AJ5" s="36">
        <v>9.0</v>
      </c>
      <c r="AK5" s="36">
        <v>2.0</v>
      </c>
      <c r="AL5" s="36">
        <v>5.0</v>
      </c>
      <c r="AM5" s="36">
        <v>13.0</v>
      </c>
      <c r="AN5" s="36">
        <v>8.0</v>
      </c>
      <c r="AO5" s="36">
        <v>92.0</v>
      </c>
      <c r="AP5" s="36">
        <v>125.0</v>
      </c>
      <c r="AQ5" s="36">
        <v>1.0</v>
      </c>
      <c r="AR5" s="36">
        <v>2.0</v>
      </c>
      <c r="AS5" s="36">
        <v>1.0</v>
      </c>
      <c r="AT5" s="36">
        <v>7.0</v>
      </c>
      <c r="AU5" s="36">
        <v>20.0</v>
      </c>
      <c r="AV5" s="36">
        <v>57.0</v>
      </c>
      <c r="AW5" s="36">
        <v>193.0</v>
      </c>
      <c r="AX5" s="36">
        <v>6.0</v>
      </c>
      <c r="AY5" s="36">
        <v>12.0</v>
      </c>
      <c r="AZ5" s="36">
        <v>97.0</v>
      </c>
      <c r="BA5" s="36">
        <v>168.0</v>
      </c>
      <c r="BB5" s="36">
        <v>1.0</v>
      </c>
      <c r="BC5" s="36">
        <v>14.0</v>
      </c>
      <c r="BD5" s="36">
        <v>116.0</v>
      </c>
      <c r="BE5" s="36">
        <v>148.0</v>
      </c>
      <c r="BF5" s="36">
        <v>4.0</v>
      </c>
      <c r="BG5" s="36">
        <v>3.0</v>
      </c>
      <c r="BH5" s="36">
        <v>12.0</v>
      </c>
      <c r="BI5" s="36">
        <v>88.0</v>
      </c>
      <c r="BJ5" s="36">
        <v>174.0</v>
      </c>
      <c r="BK5" s="36">
        <v>1.0</v>
      </c>
      <c r="BL5" s="36">
        <v>15.0</v>
      </c>
      <c r="BM5" s="36">
        <v>96.0</v>
      </c>
      <c r="BN5" s="36">
        <v>71.0</v>
      </c>
      <c r="BO5" s="36">
        <v>5.0</v>
      </c>
      <c r="BP5" s="36">
        <v>11.0</v>
      </c>
      <c r="BQ5" s="36">
        <v>93.0</v>
      </c>
      <c r="BR5" s="36">
        <v>168.0</v>
      </c>
      <c r="BS5" s="36">
        <v>2.0</v>
      </c>
      <c r="BT5" s="36">
        <v>9.0</v>
      </c>
      <c r="BU5" s="36">
        <v>90.0</v>
      </c>
      <c r="BV5" s="36">
        <v>181.0</v>
      </c>
      <c r="BW5" s="36">
        <v>2.0</v>
      </c>
      <c r="BX5" s="36">
        <v>14.0</v>
      </c>
      <c r="BY5" s="36">
        <v>20.0</v>
      </c>
      <c r="BZ5" s="36">
        <v>94.0</v>
      </c>
      <c r="CA5" s="36">
        <v>150.0</v>
      </c>
      <c r="CB5" s="36">
        <v>180.0</v>
      </c>
      <c r="CC5" s="36">
        <v>18.0</v>
      </c>
      <c r="CD5" s="36">
        <v>49.0</v>
      </c>
      <c r="CE5" s="36">
        <v>290.0</v>
      </c>
      <c r="CF5" s="36">
        <v>101.0</v>
      </c>
      <c r="CG5" s="36">
        <v>101.0</v>
      </c>
      <c r="CH5" s="36">
        <v>95.0</v>
      </c>
      <c r="CI5" s="36">
        <v>38.0</v>
      </c>
      <c r="CJ5" s="36">
        <v>54.0</v>
      </c>
      <c r="CK5" s="36">
        <v>60.0</v>
      </c>
      <c r="CL5" s="36">
        <v>9.0</v>
      </c>
      <c r="CM5" s="36">
        <v>44.0</v>
      </c>
      <c r="CN5" s="36">
        <v>98.0</v>
      </c>
      <c r="CO5" s="36">
        <v>5.0</v>
      </c>
      <c r="CP5" s="36">
        <v>156.0</v>
      </c>
      <c r="CQ5" s="36">
        <v>60.0</v>
      </c>
      <c r="CR5" s="36">
        <v>37.0</v>
      </c>
      <c r="CS5" s="36">
        <v>11.0</v>
      </c>
      <c r="CT5" s="36">
        <v>108.0</v>
      </c>
      <c r="CU5" s="36">
        <v>25.0</v>
      </c>
      <c r="CV5" s="36">
        <v>13.0</v>
      </c>
      <c r="CW5" s="36">
        <v>68.0</v>
      </c>
      <c r="CX5" s="36">
        <v>92.0</v>
      </c>
      <c r="CY5" s="36">
        <v>3.0</v>
      </c>
      <c r="CZ5" s="36">
        <v>7.0</v>
      </c>
      <c r="DA5" s="36">
        <v>4.0</v>
      </c>
      <c r="DB5" s="36">
        <v>32.0</v>
      </c>
      <c r="DC5" s="36">
        <v>8.0</v>
      </c>
      <c r="DD5" s="36">
        <v>27.0</v>
      </c>
      <c r="DE5" s="36">
        <v>22.0</v>
      </c>
      <c r="DF5" s="36">
        <v>93.0</v>
      </c>
      <c r="DG5" s="36">
        <v>9.0</v>
      </c>
      <c r="DH5" s="36">
        <v>20.0</v>
      </c>
      <c r="DI5" s="36">
        <v>14.0</v>
      </c>
      <c r="DJ5" s="36">
        <v>22.0</v>
      </c>
      <c r="DK5" s="36">
        <v>89.0</v>
      </c>
      <c r="DL5" s="36">
        <v>44.0</v>
      </c>
      <c r="DM5" s="36">
        <v>10.0</v>
      </c>
      <c r="DN5" s="36">
        <v>33.0</v>
      </c>
      <c r="DO5" s="36">
        <v>32.0</v>
      </c>
      <c r="DP5" s="36">
        <v>2.0</v>
      </c>
      <c r="DQ5" s="36">
        <v>14.0</v>
      </c>
      <c r="DR5" s="36">
        <v>155.0</v>
      </c>
      <c r="DS5" s="36">
        <v>102.0</v>
      </c>
      <c r="DT5" s="36">
        <v>110.0</v>
      </c>
      <c r="DU5" s="36">
        <v>58.0</v>
      </c>
      <c r="DV5" s="36">
        <v>205.0</v>
      </c>
      <c r="DW5" s="36">
        <v>15.0</v>
      </c>
      <c r="DX5" s="36">
        <v>10.0</v>
      </c>
      <c r="DY5" s="36">
        <v>196.0</v>
      </c>
      <c r="DZ5" s="36">
        <v>88.0</v>
      </c>
      <c r="EA5" s="36">
        <v>53.0</v>
      </c>
      <c r="EB5" s="36">
        <v>126.0</v>
      </c>
      <c r="EC5" s="36">
        <v>98.0</v>
      </c>
      <c r="ED5" s="36">
        <v>113.0</v>
      </c>
      <c r="EE5" s="36">
        <v>7.0</v>
      </c>
      <c r="EF5" s="36">
        <v>51.0</v>
      </c>
      <c r="EG5" s="36">
        <v>50.0</v>
      </c>
      <c r="EH5" s="36">
        <v>75.0</v>
      </c>
      <c r="EI5" s="36">
        <v>40.0</v>
      </c>
      <c r="EJ5" s="36">
        <v>119.0</v>
      </c>
      <c r="EK5" s="36">
        <v>117.0</v>
      </c>
      <c r="EL5" s="36">
        <v>7.0</v>
      </c>
      <c r="EM5" s="36">
        <v>9.0</v>
      </c>
      <c r="EN5" s="36">
        <v>57.0</v>
      </c>
      <c r="EO5" s="36">
        <v>186.0</v>
      </c>
      <c r="EP5" s="36">
        <v>6.0</v>
      </c>
      <c r="EQ5" s="36">
        <v>43.0</v>
      </c>
      <c r="ER5" s="36">
        <v>208.0</v>
      </c>
      <c r="ES5" s="36">
        <v>9.0</v>
      </c>
      <c r="ET5" s="36">
        <v>48.0</v>
      </c>
      <c r="EU5" s="36">
        <v>200.0</v>
      </c>
      <c r="EV5" s="36">
        <v>10.0</v>
      </c>
      <c r="EW5" s="36">
        <v>66.0</v>
      </c>
      <c r="EX5" s="36">
        <v>180.0</v>
      </c>
      <c r="EY5" s="36">
        <v>29.0</v>
      </c>
      <c r="EZ5" s="35"/>
      <c r="FA5" s="35"/>
      <c r="FB5" s="36">
        <v>32.0</v>
      </c>
      <c r="FC5" s="35"/>
      <c r="FD5" s="35"/>
      <c r="FE5" s="36">
        <v>48.0</v>
      </c>
      <c r="FF5" s="35"/>
      <c r="FG5" s="35"/>
      <c r="FH5" s="50"/>
      <c r="FI5" s="50"/>
    </row>
    <row r="6" ht="14.25" customHeight="1">
      <c r="A6" s="48" t="s">
        <v>1875</v>
      </c>
      <c r="B6" s="35">
        <v>37.0</v>
      </c>
      <c r="C6" s="35">
        <v>33.0</v>
      </c>
      <c r="D6" s="36">
        <v>55.0</v>
      </c>
      <c r="E6" s="36">
        <v>15.0</v>
      </c>
      <c r="F6" s="36">
        <v>31.0</v>
      </c>
      <c r="G6" s="36">
        <v>3.0</v>
      </c>
      <c r="H6" s="36">
        <v>2.0</v>
      </c>
      <c r="I6" s="35"/>
      <c r="J6" s="36">
        <v>5.0</v>
      </c>
      <c r="K6" s="36">
        <v>4.0</v>
      </c>
      <c r="L6" s="36">
        <v>5.0</v>
      </c>
      <c r="M6" s="36">
        <v>5.0</v>
      </c>
      <c r="N6" s="36">
        <v>7.0</v>
      </c>
      <c r="O6" s="36">
        <v>1.0</v>
      </c>
      <c r="P6" s="36">
        <v>36.0</v>
      </c>
      <c r="Q6" s="36">
        <v>30.0</v>
      </c>
      <c r="R6" s="36">
        <v>37.0</v>
      </c>
      <c r="S6" s="36">
        <v>5.0</v>
      </c>
      <c r="T6" s="36">
        <v>24.0</v>
      </c>
      <c r="U6" s="36">
        <v>17.0</v>
      </c>
      <c r="V6" s="36">
        <v>20.0</v>
      </c>
      <c r="W6" s="36">
        <v>2.0</v>
      </c>
      <c r="X6" s="36">
        <v>6.0</v>
      </c>
      <c r="Y6" s="36">
        <v>8.0</v>
      </c>
      <c r="Z6" s="36"/>
      <c r="AA6" s="36">
        <v>12.0</v>
      </c>
      <c r="AB6" s="35"/>
      <c r="AC6" s="36">
        <v>4.0</v>
      </c>
      <c r="AD6" s="36">
        <v>37.0</v>
      </c>
      <c r="AE6" s="36">
        <v>2.0</v>
      </c>
      <c r="AF6" s="36">
        <v>9.0</v>
      </c>
      <c r="AG6" s="36">
        <v>1.0</v>
      </c>
      <c r="AH6" s="35"/>
      <c r="AI6" s="35"/>
      <c r="AJ6" s="35"/>
      <c r="AK6" s="35"/>
      <c r="AL6" s="35"/>
      <c r="AM6" s="35"/>
      <c r="AN6" s="36">
        <v>7.0</v>
      </c>
      <c r="AO6" s="36">
        <v>30.0</v>
      </c>
      <c r="AP6" s="36">
        <v>30.0</v>
      </c>
      <c r="AQ6" s="35"/>
      <c r="AR6" s="35"/>
      <c r="AS6" s="35"/>
      <c r="AT6" s="36">
        <v>2.0</v>
      </c>
      <c r="AU6" s="36">
        <v>8.0</v>
      </c>
      <c r="AV6" s="36">
        <v>18.0</v>
      </c>
      <c r="AW6" s="36">
        <v>38.0</v>
      </c>
      <c r="AX6" s="36"/>
      <c r="AY6" s="36"/>
      <c r="AZ6" s="36">
        <v>30.0</v>
      </c>
      <c r="BA6" s="36">
        <v>34.0</v>
      </c>
      <c r="BB6" s="35"/>
      <c r="BC6" s="36">
        <v>4.0</v>
      </c>
      <c r="BD6" s="36">
        <v>31.0</v>
      </c>
      <c r="BE6" s="36">
        <v>33.0</v>
      </c>
      <c r="BF6" s="35"/>
      <c r="BG6" s="36">
        <v>1.0</v>
      </c>
      <c r="BH6" s="36">
        <v>7.0</v>
      </c>
      <c r="BI6" s="36">
        <v>22.0</v>
      </c>
      <c r="BJ6" s="36">
        <v>38.0</v>
      </c>
      <c r="BK6" s="35"/>
      <c r="BL6" s="36">
        <v>3.0</v>
      </c>
      <c r="BM6" s="36">
        <v>27.0</v>
      </c>
      <c r="BN6" s="36">
        <v>37.0</v>
      </c>
      <c r="BO6" s="36">
        <v>1.0</v>
      </c>
      <c r="BP6" s="36">
        <v>1.0</v>
      </c>
      <c r="BQ6" s="36">
        <v>26.0</v>
      </c>
      <c r="BR6" s="36">
        <v>40.0</v>
      </c>
      <c r="BS6" s="35"/>
      <c r="BT6" s="36">
        <v>1.0</v>
      </c>
      <c r="BU6" s="36">
        <v>24.0</v>
      </c>
      <c r="BV6" s="36">
        <v>43.0</v>
      </c>
      <c r="BW6" s="35"/>
      <c r="BX6" s="35"/>
      <c r="BY6" s="36">
        <v>2.0</v>
      </c>
      <c r="BZ6" s="36">
        <v>31.0</v>
      </c>
      <c r="CA6" s="36">
        <v>35.0</v>
      </c>
      <c r="CB6" s="36">
        <v>38.0</v>
      </c>
      <c r="CC6" s="36">
        <v>9.0</v>
      </c>
      <c r="CD6" s="36">
        <v>17.0</v>
      </c>
      <c r="CE6" s="36">
        <v>68.0</v>
      </c>
      <c r="CF6" s="36">
        <v>18.0</v>
      </c>
      <c r="CG6" s="36">
        <v>16.0</v>
      </c>
      <c r="CH6" s="36">
        <v>15.0</v>
      </c>
      <c r="CI6" s="36">
        <v>3.0</v>
      </c>
      <c r="CJ6" s="36">
        <v>17.0</v>
      </c>
      <c r="CK6" s="36">
        <v>14.0</v>
      </c>
      <c r="CL6" s="36">
        <v>5.0</v>
      </c>
      <c r="CM6" s="36">
        <v>20.0</v>
      </c>
      <c r="CN6" s="36">
        <v>27.0</v>
      </c>
      <c r="CO6" s="35"/>
      <c r="CP6" s="36">
        <v>36.0</v>
      </c>
      <c r="CQ6" s="36">
        <v>18.0</v>
      </c>
      <c r="CR6" s="36">
        <v>29.0</v>
      </c>
      <c r="CS6" s="36">
        <v>5.0</v>
      </c>
      <c r="CT6" s="36">
        <v>28.0</v>
      </c>
      <c r="CU6" s="36">
        <v>11.0</v>
      </c>
      <c r="CV6" s="36">
        <v>7.0</v>
      </c>
      <c r="CW6" s="36">
        <v>10.0</v>
      </c>
      <c r="CX6" s="36">
        <v>24.0</v>
      </c>
      <c r="CY6" s="36">
        <v>1.0</v>
      </c>
      <c r="CZ6" s="36">
        <v>1.0</v>
      </c>
      <c r="DA6" s="36">
        <v>2.0</v>
      </c>
      <c r="DB6" s="36">
        <v>15.0</v>
      </c>
      <c r="DC6" s="36">
        <v>10.0</v>
      </c>
      <c r="DD6" s="36">
        <v>18.0</v>
      </c>
      <c r="DE6" s="36">
        <v>14.0</v>
      </c>
      <c r="DF6" s="36">
        <v>23.0</v>
      </c>
      <c r="DG6" s="36">
        <v>1.0</v>
      </c>
      <c r="DH6" s="36">
        <v>9.0</v>
      </c>
      <c r="DI6" s="36">
        <v>3.0</v>
      </c>
      <c r="DJ6" s="36">
        <v>3.0</v>
      </c>
      <c r="DK6" s="36">
        <v>39.0</v>
      </c>
      <c r="DL6" s="36">
        <v>12.0</v>
      </c>
      <c r="DM6" s="36">
        <v>6.0</v>
      </c>
      <c r="DN6" s="36">
        <v>15.0</v>
      </c>
      <c r="DO6" s="36">
        <v>1.0</v>
      </c>
      <c r="DP6" s="35"/>
      <c r="DQ6" s="36">
        <v>3.0</v>
      </c>
      <c r="DR6" s="36">
        <v>36.0</v>
      </c>
      <c r="DS6" s="36">
        <v>22.0</v>
      </c>
      <c r="DT6" s="36">
        <v>29.0</v>
      </c>
      <c r="DU6" s="36">
        <v>19.0</v>
      </c>
      <c r="DV6" s="36">
        <v>43.0</v>
      </c>
      <c r="DW6" s="36">
        <v>1.0</v>
      </c>
      <c r="DX6" s="35"/>
      <c r="DY6" s="36">
        <v>53.0</v>
      </c>
      <c r="DZ6" s="36">
        <v>49.0</v>
      </c>
      <c r="EA6" s="36">
        <v>32.0</v>
      </c>
      <c r="EB6" s="36">
        <v>43.0</v>
      </c>
      <c r="EC6" s="36">
        <v>27.0</v>
      </c>
      <c r="ED6" s="36">
        <v>36.0</v>
      </c>
      <c r="EE6" s="36">
        <v>1.0</v>
      </c>
      <c r="EF6" s="36">
        <v>4.0</v>
      </c>
      <c r="EG6" s="36">
        <v>15.0</v>
      </c>
      <c r="EH6" s="36">
        <v>40.0</v>
      </c>
      <c r="EI6" s="36">
        <v>17.0</v>
      </c>
      <c r="EJ6" s="36">
        <v>28.0</v>
      </c>
      <c r="EK6" s="36">
        <v>43.0</v>
      </c>
      <c r="EL6" s="35"/>
      <c r="EM6" s="36">
        <v>1.0</v>
      </c>
      <c r="EN6" s="36">
        <v>5.0</v>
      </c>
      <c r="EO6" s="36">
        <v>54.0</v>
      </c>
      <c r="EP6" s="36">
        <v>1.0</v>
      </c>
      <c r="EQ6" s="36">
        <v>6.0</v>
      </c>
      <c r="ER6" s="36">
        <v>56.0</v>
      </c>
      <c r="ES6" s="36">
        <v>0.0</v>
      </c>
      <c r="ET6" s="36">
        <v>8.0</v>
      </c>
      <c r="EU6" s="36">
        <v>55.0</v>
      </c>
      <c r="EV6" s="36">
        <v>0.0</v>
      </c>
      <c r="EW6" s="36">
        <v>7.0</v>
      </c>
      <c r="EX6" s="36">
        <v>52.0</v>
      </c>
      <c r="EY6" s="36">
        <v>25.0</v>
      </c>
      <c r="EZ6" s="35"/>
      <c r="FA6" s="35"/>
      <c r="FB6" s="36">
        <v>27.0</v>
      </c>
      <c r="FC6" s="35"/>
      <c r="FD6" s="35"/>
      <c r="FE6" s="36">
        <v>23.0</v>
      </c>
      <c r="FF6" s="35"/>
      <c r="FG6" s="35"/>
      <c r="FH6" s="50"/>
      <c r="FI6" s="50"/>
    </row>
    <row r="7" ht="14.25" customHeight="1">
      <c r="A7" s="49" t="s">
        <v>2271</v>
      </c>
      <c r="B7" s="37">
        <f t="shared" ref="B7:DP7" si="1">SUM(B4:B6)</f>
        <v>209</v>
      </c>
      <c r="C7" s="37">
        <f t="shared" si="1"/>
        <v>215</v>
      </c>
      <c r="D7" s="37">
        <f t="shared" si="1"/>
        <v>363</v>
      </c>
      <c r="E7" s="37">
        <f t="shared" si="1"/>
        <v>61</v>
      </c>
      <c r="F7" s="37">
        <f t="shared" si="1"/>
        <v>46</v>
      </c>
      <c r="G7" s="37">
        <f t="shared" si="1"/>
        <v>5</v>
      </c>
      <c r="H7" s="37">
        <f t="shared" si="1"/>
        <v>4</v>
      </c>
      <c r="I7" s="37">
        <f t="shared" si="1"/>
        <v>2</v>
      </c>
      <c r="J7" s="37">
        <f t="shared" si="1"/>
        <v>6</v>
      </c>
      <c r="K7" s="37">
        <f t="shared" si="1"/>
        <v>6</v>
      </c>
      <c r="L7" s="37">
        <f t="shared" si="1"/>
        <v>21</v>
      </c>
      <c r="M7" s="37">
        <f t="shared" si="1"/>
        <v>21</v>
      </c>
      <c r="N7" s="37">
        <f t="shared" si="1"/>
        <v>17</v>
      </c>
      <c r="O7" s="37">
        <f t="shared" si="1"/>
        <v>17</v>
      </c>
      <c r="P7" s="37">
        <f t="shared" si="1"/>
        <v>196</v>
      </c>
      <c r="Q7" s="37">
        <f t="shared" si="1"/>
        <v>208</v>
      </c>
      <c r="R7" s="37">
        <f t="shared" si="1"/>
        <v>126</v>
      </c>
      <c r="S7" s="37">
        <f t="shared" si="1"/>
        <v>18</v>
      </c>
      <c r="T7" s="37">
        <f t="shared" si="1"/>
        <v>95</v>
      </c>
      <c r="U7" s="37">
        <f t="shared" si="1"/>
        <v>86</v>
      </c>
      <c r="V7" s="37">
        <f t="shared" si="1"/>
        <v>72</v>
      </c>
      <c r="W7" s="37">
        <f t="shared" si="1"/>
        <v>7</v>
      </c>
      <c r="X7" s="37">
        <f t="shared" si="1"/>
        <v>9</v>
      </c>
      <c r="Y7" s="37">
        <f t="shared" si="1"/>
        <v>51</v>
      </c>
      <c r="Z7" s="37">
        <f t="shared" si="1"/>
        <v>19</v>
      </c>
      <c r="AA7" s="37">
        <f t="shared" si="1"/>
        <v>40</v>
      </c>
      <c r="AB7" s="37">
        <f t="shared" si="1"/>
        <v>3</v>
      </c>
      <c r="AC7" s="37">
        <f t="shared" si="1"/>
        <v>29</v>
      </c>
      <c r="AD7" s="37">
        <f t="shared" si="1"/>
        <v>208</v>
      </c>
      <c r="AE7" s="37">
        <f t="shared" si="1"/>
        <v>4</v>
      </c>
      <c r="AF7" s="37">
        <f t="shared" si="1"/>
        <v>58</v>
      </c>
      <c r="AG7" s="37">
        <f t="shared" si="1"/>
        <v>57</v>
      </c>
      <c r="AH7" s="37">
        <f t="shared" si="1"/>
        <v>28</v>
      </c>
      <c r="AI7" s="37">
        <f t="shared" si="1"/>
        <v>1</v>
      </c>
      <c r="AJ7" s="37">
        <f t="shared" si="1"/>
        <v>9</v>
      </c>
      <c r="AK7" s="37">
        <f t="shared" si="1"/>
        <v>4</v>
      </c>
      <c r="AL7" s="37">
        <f t="shared" si="1"/>
        <v>7</v>
      </c>
      <c r="AM7" s="37">
        <f t="shared" si="1"/>
        <v>17</v>
      </c>
      <c r="AN7" s="37">
        <f t="shared" si="1"/>
        <v>17</v>
      </c>
      <c r="AO7" s="37">
        <f t="shared" si="1"/>
        <v>145</v>
      </c>
      <c r="AP7" s="37">
        <f t="shared" si="1"/>
        <v>183</v>
      </c>
      <c r="AQ7" s="37">
        <f t="shared" si="1"/>
        <v>1</v>
      </c>
      <c r="AR7" s="37">
        <f t="shared" si="1"/>
        <v>2</v>
      </c>
      <c r="AS7" s="37">
        <f t="shared" si="1"/>
        <v>2</v>
      </c>
      <c r="AT7" s="37">
        <f t="shared" si="1"/>
        <v>13</v>
      </c>
      <c r="AU7" s="37">
        <f t="shared" si="1"/>
        <v>36</v>
      </c>
      <c r="AV7" s="37">
        <f t="shared" si="1"/>
        <v>81</v>
      </c>
      <c r="AW7" s="37">
        <f t="shared" si="1"/>
        <v>273</v>
      </c>
      <c r="AX7" s="37">
        <f t="shared" si="1"/>
        <v>6</v>
      </c>
      <c r="AY7" s="37">
        <f t="shared" si="1"/>
        <v>12</v>
      </c>
      <c r="AZ7" s="37">
        <f t="shared" si="1"/>
        <v>161</v>
      </c>
      <c r="BA7" s="37">
        <f t="shared" si="1"/>
        <v>216</v>
      </c>
      <c r="BB7" s="37">
        <f t="shared" si="1"/>
        <v>1</v>
      </c>
      <c r="BC7" s="37">
        <f t="shared" si="1"/>
        <v>37</v>
      </c>
      <c r="BD7" s="37">
        <f t="shared" si="1"/>
        <v>175</v>
      </c>
      <c r="BE7" s="37">
        <f t="shared" si="1"/>
        <v>194</v>
      </c>
      <c r="BF7" s="37">
        <f t="shared" si="1"/>
        <v>4</v>
      </c>
      <c r="BG7" s="37">
        <f t="shared" si="1"/>
        <v>4</v>
      </c>
      <c r="BH7" s="37">
        <f t="shared" si="1"/>
        <v>32</v>
      </c>
      <c r="BI7" s="37">
        <f t="shared" si="1"/>
        <v>148</v>
      </c>
      <c r="BJ7" s="37">
        <f t="shared" si="1"/>
        <v>221</v>
      </c>
      <c r="BK7" s="37">
        <f t="shared" si="1"/>
        <v>1</v>
      </c>
      <c r="BL7" s="37">
        <f t="shared" si="1"/>
        <v>27</v>
      </c>
      <c r="BM7" s="37">
        <f t="shared" si="1"/>
        <v>157</v>
      </c>
      <c r="BN7" s="37">
        <f t="shared" si="1"/>
        <v>126</v>
      </c>
      <c r="BO7" s="37">
        <f t="shared" si="1"/>
        <v>6</v>
      </c>
      <c r="BP7" s="37">
        <f t="shared" si="1"/>
        <v>27</v>
      </c>
      <c r="BQ7" s="37">
        <f t="shared" si="1"/>
        <v>147</v>
      </c>
      <c r="BR7" s="37">
        <f t="shared" si="1"/>
        <v>226</v>
      </c>
      <c r="BS7" s="37">
        <f t="shared" si="1"/>
        <v>2</v>
      </c>
      <c r="BT7" s="37">
        <f t="shared" si="1"/>
        <v>13</v>
      </c>
      <c r="BU7" s="37">
        <f t="shared" si="1"/>
        <v>147</v>
      </c>
      <c r="BV7" s="37">
        <f t="shared" si="1"/>
        <v>249</v>
      </c>
      <c r="BW7" s="37">
        <f t="shared" si="1"/>
        <v>2</v>
      </c>
      <c r="BX7" s="37">
        <f t="shared" si="1"/>
        <v>14</v>
      </c>
      <c r="BY7" s="37">
        <f t="shared" si="1"/>
        <v>35</v>
      </c>
      <c r="BZ7" s="37">
        <f t="shared" si="1"/>
        <v>157</v>
      </c>
      <c r="CA7" s="37">
        <f t="shared" si="1"/>
        <v>200</v>
      </c>
      <c r="CB7" s="37">
        <f t="shared" si="1"/>
        <v>256</v>
      </c>
      <c r="CC7" s="37">
        <f t="shared" si="1"/>
        <v>32</v>
      </c>
      <c r="CD7" s="37">
        <f t="shared" si="1"/>
        <v>86</v>
      </c>
      <c r="CE7" s="37">
        <f t="shared" si="1"/>
        <v>422</v>
      </c>
      <c r="CF7" s="37">
        <f t="shared" si="1"/>
        <v>145</v>
      </c>
      <c r="CG7" s="37">
        <f t="shared" si="1"/>
        <v>143</v>
      </c>
      <c r="CH7" s="37">
        <f t="shared" si="1"/>
        <v>128</v>
      </c>
      <c r="CI7" s="37">
        <f t="shared" si="1"/>
        <v>50</v>
      </c>
      <c r="CJ7" s="37">
        <f t="shared" si="1"/>
        <v>74</v>
      </c>
      <c r="CK7" s="37">
        <f t="shared" si="1"/>
        <v>83</v>
      </c>
      <c r="CL7" s="37">
        <f t="shared" si="1"/>
        <v>15</v>
      </c>
      <c r="CM7" s="37">
        <f t="shared" si="1"/>
        <v>74</v>
      </c>
      <c r="CN7" s="37">
        <f t="shared" si="1"/>
        <v>138</v>
      </c>
      <c r="CO7" s="37">
        <f t="shared" si="1"/>
        <v>6</v>
      </c>
      <c r="CP7" s="37">
        <f t="shared" si="1"/>
        <v>229</v>
      </c>
      <c r="CQ7" s="37">
        <f t="shared" si="1"/>
        <v>85</v>
      </c>
      <c r="CR7" s="37">
        <f t="shared" si="1"/>
        <v>78</v>
      </c>
      <c r="CS7" s="37">
        <f t="shared" si="1"/>
        <v>20</v>
      </c>
      <c r="CT7" s="37">
        <f t="shared" si="1"/>
        <v>165</v>
      </c>
      <c r="CU7" s="37">
        <f t="shared" si="1"/>
        <v>50</v>
      </c>
      <c r="CV7" s="37">
        <f t="shared" si="1"/>
        <v>26</v>
      </c>
      <c r="CW7" s="37">
        <f t="shared" si="1"/>
        <v>88</v>
      </c>
      <c r="CX7" s="37">
        <f t="shared" si="1"/>
        <v>148</v>
      </c>
      <c r="CY7" s="37">
        <f t="shared" si="1"/>
        <v>7</v>
      </c>
      <c r="CZ7" s="37">
        <f t="shared" si="1"/>
        <v>12</v>
      </c>
      <c r="DA7" s="37">
        <f t="shared" si="1"/>
        <v>7</v>
      </c>
      <c r="DB7" s="37">
        <f t="shared" si="1"/>
        <v>56</v>
      </c>
      <c r="DC7" s="37">
        <f t="shared" si="1"/>
        <v>22</v>
      </c>
      <c r="DD7" s="37">
        <f t="shared" si="1"/>
        <v>52</v>
      </c>
      <c r="DE7" s="37">
        <f t="shared" si="1"/>
        <v>39</v>
      </c>
      <c r="DF7" s="37">
        <f t="shared" si="1"/>
        <v>133</v>
      </c>
      <c r="DG7" s="37">
        <f t="shared" si="1"/>
        <v>12</v>
      </c>
      <c r="DH7" s="37">
        <f t="shared" si="1"/>
        <v>33</v>
      </c>
      <c r="DI7" s="37">
        <f t="shared" si="1"/>
        <v>20</v>
      </c>
      <c r="DJ7" s="37">
        <f t="shared" si="1"/>
        <v>26</v>
      </c>
      <c r="DK7" s="37">
        <f t="shared" si="1"/>
        <v>143</v>
      </c>
      <c r="DL7" s="37">
        <f t="shared" si="1"/>
        <v>60</v>
      </c>
      <c r="DM7" s="37">
        <f t="shared" si="1"/>
        <v>16</v>
      </c>
      <c r="DN7" s="37">
        <f t="shared" si="1"/>
        <v>56</v>
      </c>
      <c r="DO7" s="37">
        <f t="shared" si="1"/>
        <v>45</v>
      </c>
      <c r="DP7" s="37">
        <f t="shared" si="1"/>
        <v>3</v>
      </c>
      <c r="DQ7" s="37"/>
      <c r="DR7" s="37">
        <f t="shared" ref="DR7:FG7" si="2">SUM(DR4:DR6)</f>
        <v>238</v>
      </c>
      <c r="DS7" s="37">
        <f t="shared" si="2"/>
        <v>158</v>
      </c>
      <c r="DT7" s="37">
        <f t="shared" si="2"/>
        <v>168</v>
      </c>
      <c r="DU7" s="37">
        <f t="shared" si="2"/>
        <v>94</v>
      </c>
      <c r="DV7" s="37">
        <f t="shared" si="2"/>
        <v>290</v>
      </c>
      <c r="DW7" s="37">
        <f t="shared" si="2"/>
        <v>22</v>
      </c>
      <c r="DX7" s="37">
        <f t="shared" si="2"/>
        <v>12</v>
      </c>
      <c r="DY7" s="37">
        <f t="shared" si="2"/>
        <v>305</v>
      </c>
      <c r="DZ7" s="37">
        <f t="shared" si="2"/>
        <v>180</v>
      </c>
      <c r="EA7" s="37">
        <f t="shared" si="2"/>
        <v>107</v>
      </c>
      <c r="EB7" s="37">
        <f t="shared" si="2"/>
        <v>204</v>
      </c>
      <c r="EC7" s="37">
        <f t="shared" si="2"/>
        <v>171</v>
      </c>
      <c r="ED7" s="37">
        <f t="shared" si="2"/>
        <v>178</v>
      </c>
      <c r="EE7" s="37">
        <f t="shared" si="2"/>
        <v>10</v>
      </c>
      <c r="EF7" s="37">
        <f t="shared" si="2"/>
        <v>75</v>
      </c>
      <c r="EG7" s="37">
        <f t="shared" si="2"/>
        <v>82</v>
      </c>
      <c r="EH7" s="37">
        <f t="shared" si="2"/>
        <v>151</v>
      </c>
      <c r="EI7" s="37">
        <f t="shared" si="2"/>
        <v>69</v>
      </c>
      <c r="EJ7" s="37">
        <f t="shared" si="2"/>
        <v>173</v>
      </c>
      <c r="EK7" s="37">
        <f t="shared" si="2"/>
        <v>201</v>
      </c>
      <c r="EL7" s="37">
        <f t="shared" si="2"/>
        <v>8</v>
      </c>
      <c r="EM7" s="37">
        <f t="shared" si="2"/>
        <v>10</v>
      </c>
      <c r="EN7" s="37">
        <f t="shared" si="2"/>
        <v>81</v>
      </c>
      <c r="EO7" s="37">
        <f t="shared" si="2"/>
        <v>270</v>
      </c>
      <c r="EP7" s="37">
        <f t="shared" si="2"/>
        <v>7</v>
      </c>
      <c r="EQ7" s="37">
        <f t="shared" si="2"/>
        <v>62</v>
      </c>
      <c r="ER7" s="37">
        <f t="shared" si="2"/>
        <v>301</v>
      </c>
      <c r="ES7" s="37">
        <f t="shared" si="2"/>
        <v>9</v>
      </c>
      <c r="ET7" s="37">
        <f t="shared" si="2"/>
        <v>67</v>
      </c>
      <c r="EU7" s="37">
        <f t="shared" si="2"/>
        <v>292</v>
      </c>
      <c r="EV7" s="37">
        <f t="shared" si="2"/>
        <v>10</v>
      </c>
      <c r="EW7" s="37">
        <f t="shared" si="2"/>
        <v>82</v>
      </c>
      <c r="EX7" s="37">
        <f t="shared" si="2"/>
        <v>267</v>
      </c>
      <c r="EY7" s="37">
        <f t="shared" si="2"/>
        <v>82</v>
      </c>
      <c r="EZ7" s="37">
        <f t="shared" si="2"/>
        <v>0</v>
      </c>
      <c r="FA7" s="37">
        <f t="shared" si="2"/>
        <v>0</v>
      </c>
      <c r="FB7" s="37">
        <f t="shared" si="2"/>
        <v>70</v>
      </c>
      <c r="FC7" s="37">
        <f t="shared" si="2"/>
        <v>0</v>
      </c>
      <c r="FD7" s="37">
        <f t="shared" si="2"/>
        <v>0</v>
      </c>
      <c r="FE7" s="37">
        <f t="shared" si="2"/>
        <v>103</v>
      </c>
      <c r="FF7" s="37">
        <f t="shared" si="2"/>
        <v>0</v>
      </c>
      <c r="FG7" s="37">
        <f t="shared" si="2"/>
        <v>0</v>
      </c>
      <c r="FH7" s="50"/>
      <c r="FI7" s="50"/>
    </row>
    <row r="8" ht="14.25" customHeight="1">
      <c r="A8" s="63" t="s">
        <v>2294</v>
      </c>
      <c r="B8" s="48" t="s">
        <v>2295</v>
      </c>
      <c r="C8" s="48" t="s">
        <v>2296</v>
      </c>
      <c r="D8" s="16" t="s">
        <v>1259</v>
      </c>
      <c r="E8" s="16" t="s">
        <v>875</v>
      </c>
      <c r="F8" s="16" t="s">
        <v>1669</v>
      </c>
      <c r="G8" s="55" t="s">
        <v>2273</v>
      </c>
      <c r="H8" s="16" t="s">
        <v>1375</v>
      </c>
      <c r="I8" s="56" t="s">
        <v>2278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50"/>
      <c r="FI8" s="50"/>
    </row>
    <row r="9" ht="14.25" customHeight="1">
      <c r="A9" s="48" t="s">
        <v>2270</v>
      </c>
      <c r="B9" s="35"/>
      <c r="C9" s="36">
        <v>1.0</v>
      </c>
      <c r="D9" s="35"/>
      <c r="E9" s="35"/>
      <c r="F9" s="35"/>
      <c r="G9" s="36">
        <v>2.0</v>
      </c>
      <c r="H9" s="35"/>
      <c r="I9" s="57">
        <f t="shared" ref="I9:I11" si="3">SUM(B9:H9)</f>
        <v>3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50"/>
      <c r="FI9" s="50"/>
    </row>
    <row r="10" ht="14.25" customHeight="1">
      <c r="A10" s="48" t="s">
        <v>547</v>
      </c>
      <c r="B10" s="36">
        <v>1.0</v>
      </c>
      <c r="C10" s="36">
        <v>1.0</v>
      </c>
      <c r="D10" s="36">
        <v>1.0</v>
      </c>
      <c r="E10" s="36">
        <v>1.0</v>
      </c>
      <c r="F10" s="36">
        <v>2.0</v>
      </c>
      <c r="G10" s="36">
        <v>2.0</v>
      </c>
      <c r="H10" s="36">
        <v>5.0</v>
      </c>
      <c r="I10" s="57">
        <f t="shared" si="3"/>
        <v>13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50"/>
      <c r="FI10" s="50"/>
    </row>
    <row r="11" ht="14.25" customHeight="1">
      <c r="A11" s="48" t="s">
        <v>1875</v>
      </c>
      <c r="B11" s="35"/>
      <c r="C11" s="35"/>
      <c r="D11" s="35"/>
      <c r="E11" s="35"/>
      <c r="F11" s="35"/>
      <c r="G11" s="36">
        <v>1.0</v>
      </c>
      <c r="H11" s="35"/>
      <c r="I11" s="57">
        <f t="shared" si="3"/>
        <v>1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50"/>
      <c r="FI11" s="50"/>
    </row>
    <row r="12" ht="14.25" customHeight="1">
      <c r="A12" s="101" t="s">
        <v>11</v>
      </c>
      <c r="B12" s="22"/>
      <c r="C12" s="22"/>
      <c r="D12" s="22"/>
      <c r="E12" s="22"/>
      <c r="F12" s="22"/>
      <c r="G12" s="22"/>
      <c r="H12" s="22"/>
      <c r="I12" s="22"/>
      <c r="J12" s="23"/>
      <c r="K12" s="102" t="s">
        <v>2297</v>
      </c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</row>
    <row r="13" ht="14.25" customHeight="1">
      <c r="A13" s="63" t="s">
        <v>2276</v>
      </c>
      <c r="B13" s="16" t="s">
        <v>2277</v>
      </c>
      <c r="C13" s="16" t="s">
        <v>423</v>
      </c>
      <c r="D13" s="16" t="s">
        <v>428</v>
      </c>
      <c r="E13" s="16" t="s">
        <v>440</v>
      </c>
      <c r="F13" s="16" t="s">
        <v>516</v>
      </c>
      <c r="G13" s="16" t="s">
        <v>1011</v>
      </c>
      <c r="H13" s="16" t="s">
        <v>1125</v>
      </c>
      <c r="I13" s="16" t="s">
        <v>1706</v>
      </c>
      <c r="J13" s="56" t="s">
        <v>2278</v>
      </c>
      <c r="K13" s="63" t="s">
        <v>2276</v>
      </c>
      <c r="L13" s="16" t="s">
        <v>182</v>
      </c>
      <c r="M13" s="16" t="s">
        <v>291</v>
      </c>
      <c r="N13" s="16" t="s">
        <v>370</v>
      </c>
      <c r="O13" s="16" t="s">
        <v>465</v>
      </c>
      <c r="P13" s="16" t="s">
        <v>473</v>
      </c>
      <c r="Q13" s="16" t="s">
        <v>493</v>
      </c>
      <c r="R13" s="16" t="s">
        <v>493</v>
      </c>
      <c r="S13" s="16" t="s">
        <v>517</v>
      </c>
      <c r="T13" s="16" t="s">
        <v>536</v>
      </c>
      <c r="U13" s="16" t="s">
        <v>589</v>
      </c>
      <c r="V13" s="16" t="s">
        <v>589</v>
      </c>
      <c r="W13" s="16" t="s">
        <v>593</v>
      </c>
      <c r="X13" s="16" t="s">
        <v>696</v>
      </c>
      <c r="Y13" s="16" t="s">
        <v>769</v>
      </c>
      <c r="Z13" s="16" t="s">
        <v>773</v>
      </c>
      <c r="AA13" s="16" t="s">
        <v>783</v>
      </c>
      <c r="AB13" s="16" t="s">
        <v>792</v>
      </c>
      <c r="AC13" s="16" t="s">
        <v>799</v>
      </c>
      <c r="AD13" s="16" t="s">
        <v>866</v>
      </c>
      <c r="AE13" s="16" t="s">
        <v>911</v>
      </c>
      <c r="AF13" s="16" t="s">
        <v>1012</v>
      </c>
      <c r="AG13" s="16" t="s">
        <v>1040</v>
      </c>
      <c r="AH13" s="16" t="s">
        <v>1064</v>
      </c>
      <c r="AI13" s="16" t="s">
        <v>1074</v>
      </c>
      <c r="AJ13" s="16" t="s">
        <v>1074</v>
      </c>
      <c r="AK13" s="16" t="s">
        <v>1074</v>
      </c>
      <c r="AL13" s="16" t="s">
        <v>1198</v>
      </c>
      <c r="AM13" s="16" t="s">
        <v>1283</v>
      </c>
      <c r="AN13" s="16" t="s">
        <v>1325</v>
      </c>
      <c r="AO13" s="16" t="s">
        <v>1364</v>
      </c>
      <c r="AP13" s="16" t="s">
        <v>1478</v>
      </c>
      <c r="AQ13" s="16" t="s">
        <v>1498</v>
      </c>
      <c r="AR13" s="16" t="s">
        <v>1522</v>
      </c>
      <c r="AS13" s="16" t="s">
        <v>1546</v>
      </c>
      <c r="AT13" s="16" t="s">
        <v>783</v>
      </c>
      <c r="AU13" s="16" t="s">
        <v>1677</v>
      </c>
      <c r="AV13" s="16" t="s">
        <v>1682</v>
      </c>
      <c r="AW13" s="16" t="s">
        <v>1691</v>
      </c>
      <c r="AX13" s="16" t="s">
        <v>1700</v>
      </c>
      <c r="AY13" s="16" t="s">
        <v>1718</v>
      </c>
      <c r="AZ13" s="16" t="s">
        <v>1727</v>
      </c>
      <c r="BA13" s="16" t="s">
        <v>1739</v>
      </c>
      <c r="BB13" s="16" t="s">
        <v>1752</v>
      </c>
      <c r="BC13" s="16" t="s">
        <v>1772</v>
      </c>
      <c r="BD13" s="16" t="s">
        <v>1797</v>
      </c>
      <c r="BE13" s="16" t="s">
        <v>1678</v>
      </c>
      <c r="BF13" s="16" t="s">
        <v>1862</v>
      </c>
      <c r="BG13" s="16" t="s">
        <v>1951</v>
      </c>
      <c r="BH13" s="16" t="s">
        <v>1962</v>
      </c>
      <c r="BI13" s="16" t="s">
        <v>2000</v>
      </c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50"/>
      <c r="FI13" s="50"/>
    </row>
    <row r="14" ht="14.25" customHeight="1">
      <c r="A14" s="48" t="s">
        <v>2270</v>
      </c>
      <c r="B14" s="36">
        <v>1.0</v>
      </c>
      <c r="C14" s="36">
        <v>1.0</v>
      </c>
      <c r="D14" s="36">
        <v>1.0</v>
      </c>
      <c r="E14" s="36">
        <v>1.0</v>
      </c>
      <c r="F14" s="36">
        <v>1.0</v>
      </c>
      <c r="G14" s="35"/>
      <c r="H14" s="35"/>
      <c r="I14" s="35"/>
      <c r="J14" s="57">
        <f t="shared" ref="J14:J15" si="4">SUM(A14:I14)</f>
        <v>5</v>
      </c>
      <c r="K14" s="48" t="s">
        <v>2270</v>
      </c>
      <c r="L14" s="36">
        <v>1.0</v>
      </c>
      <c r="M14" s="36">
        <v>1.0</v>
      </c>
      <c r="N14" s="36">
        <v>1.0</v>
      </c>
      <c r="O14" s="36">
        <v>1.0</v>
      </c>
      <c r="P14" s="36">
        <v>1.0</v>
      </c>
      <c r="Q14" s="36">
        <v>1.0</v>
      </c>
      <c r="R14" s="36">
        <v>1.0</v>
      </c>
      <c r="S14" s="36">
        <v>1.0</v>
      </c>
      <c r="T14" s="36">
        <v>1.0</v>
      </c>
      <c r="U14" s="36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50"/>
      <c r="FI14" s="50"/>
    </row>
    <row r="15" ht="14.25" customHeight="1">
      <c r="A15" s="48" t="s">
        <v>547</v>
      </c>
      <c r="B15" s="36">
        <v>1.0</v>
      </c>
      <c r="C15" s="35"/>
      <c r="D15" s="35"/>
      <c r="E15" s="36">
        <v>2.0</v>
      </c>
      <c r="F15" s="36">
        <v>3.0</v>
      </c>
      <c r="G15" s="36">
        <v>5.0</v>
      </c>
      <c r="H15" s="36">
        <v>2.0</v>
      </c>
      <c r="I15" s="36">
        <v>1.0</v>
      </c>
      <c r="J15" s="57">
        <f t="shared" si="4"/>
        <v>14</v>
      </c>
      <c r="K15" s="48" t="s">
        <v>547</v>
      </c>
      <c r="L15" s="48"/>
      <c r="M15" s="48"/>
      <c r="N15" s="48"/>
      <c r="O15" s="48"/>
      <c r="P15" s="48"/>
      <c r="Q15" s="48"/>
      <c r="R15" s="48"/>
      <c r="S15" s="48"/>
      <c r="T15" s="48"/>
      <c r="U15" s="36">
        <v>1.0</v>
      </c>
      <c r="V15" s="36">
        <v>1.0</v>
      </c>
      <c r="W15" s="36">
        <v>1.0</v>
      </c>
      <c r="X15" s="36">
        <v>1.0</v>
      </c>
      <c r="Y15" s="36">
        <v>1.0</v>
      </c>
      <c r="Z15" s="36">
        <v>1.0</v>
      </c>
      <c r="AA15" s="36">
        <v>1.0</v>
      </c>
      <c r="AB15" s="36">
        <v>1.0</v>
      </c>
      <c r="AC15" s="36">
        <v>1.0</v>
      </c>
      <c r="AD15" s="36">
        <v>1.0</v>
      </c>
      <c r="AE15" s="36">
        <v>1.0</v>
      </c>
      <c r="AF15" s="36">
        <v>1.0</v>
      </c>
      <c r="AG15" s="36">
        <v>1.0</v>
      </c>
      <c r="AH15" s="36">
        <v>1.0</v>
      </c>
      <c r="AI15" s="36">
        <v>1.0</v>
      </c>
      <c r="AJ15" s="36">
        <v>1.0</v>
      </c>
      <c r="AK15" s="36">
        <v>1.0</v>
      </c>
      <c r="AL15" s="36">
        <v>1.0</v>
      </c>
      <c r="AM15" s="36">
        <v>1.0</v>
      </c>
      <c r="AN15" s="36">
        <v>1.0</v>
      </c>
      <c r="AO15" s="36">
        <v>1.0</v>
      </c>
      <c r="AP15" s="36">
        <v>1.0</v>
      </c>
      <c r="AQ15" s="36">
        <v>1.0</v>
      </c>
      <c r="AR15" s="36">
        <v>1.0</v>
      </c>
      <c r="AS15" s="36">
        <v>1.0</v>
      </c>
      <c r="AT15" s="36">
        <v>1.0</v>
      </c>
      <c r="AU15" s="36">
        <v>1.0</v>
      </c>
      <c r="AV15" s="36">
        <v>1.0</v>
      </c>
      <c r="AW15" s="36">
        <v>1.0</v>
      </c>
      <c r="AX15" s="36">
        <v>1.0</v>
      </c>
      <c r="AY15" s="36">
        <v>1.0</v>
      </c>
      <c r="AZ15" s="36">
        <v>1.0</v>
      </c>
      <c r="BA15" s="36">
        <v>1.0</v>
      </c>
      <c r="BB15" s="36">
        <v>1.0</v>
      </c>
      <c r="BC15" s="36">
        <v>1.0</v>
      </c>
      <c r="BD15" s="36">
        <v>1.0</v>
      </c>
      <c r="BE15" s="36">
        <v>1.0</v>
      </c>
      <c r="BF15" s="36">
        <v>1.0</v>
      </c>
      <c r="BG15" s="48"/>
      <c r="BH15" s="48"/>
      <c r="BI15" s="48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50"/>
      <c r="FI15" s="50"/>
    </row>
    <row r="16" ht="14.25" customHeight="1">
      <c r="A16" s="103" t="s">
        <v>2298</v>
      </c>
      <c r="B16" s="22"/>
      <c r="C16" s="22"/>
      <c r="D16" s="22"/>
      <c r="E16" s="22"/>
      <c r="F16" s="22"/>
      <c r="G16" s="23"/>
      <c r="H16" s="43"/>
      <c r="I16" s="43"/>
      <c r="J16" s="43"/>
      <c r="K16" s="48" t="s">
        <v>1875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36">
        <v>1.0</v>
      </c>
      <c r="BH16" s="36">
        <v>1.0</v>
      </c>
      <c r="BI16" s="36">
        <v>1.0</v>
      </c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50"/>
      <c r="FI16" s="50"/>
    </row>
    <row r="17" ht="14.25" customHeight="1">
      <c r="A17" s="63" t="s">
        <v>2276</v>
      </c>
      <c r="B17" s="104" t="s">
        <v>363</v>
      </c>
      <c r="C17" s="104" t="s">
        <v>729</v>
      </c>
      <c r="D17" s="104" t="s">
        <v>1050</v>
      </c>
      <c r="E17" s="104" t="s">
        <v>1205</v>
      </c>
      <c r="F17" s="104" t="s">
        <v>1632</v>
      </c>
      <c r="G17" s="92" t="s">
        <v>2278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/>
      <c r="EX17" s="105"/>
      <c r="EY17" s="105"/>
      <c r="EZ17" s="105"/>
      <c r="FA17" s="105"/>
      <c r="FB17" s="105"/>
      <c r="FC17" s="105"/>
      <c r="FD17" s="105"/>
      <c r="FE17" s="105"/>
      <c r="FF17" s="105"/>
      <c r="FG17" s="105"/>
      <c r="FH17" s="106"/>
      <c r="FI17" s="106"/>
    </row>
    <row r="18" ht="14.25" customHeight="1">
      <c r="A18" s="48" t="s">
        <v>2270</v>
      </c>
      <c r="B18" s="35">
        <v>1.0</v>
      </c>
      <c r="C18" s="35"/>
      <c r="D18" s="35"/>
      <c r="E18" s="35"/>
      <c r="F18" s="35"/>
      <c r="G18" s="35">
        <f t="shared" ref="G18:G19" si="5">SUM(B18:F18)</f>
        <v>1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50"/>
      <c r="FI18" s="50"/>
    </row>
    <row r="19" ht="14.25" customHeight="1">
      <c r="A19" s="48" t="s">
        <v>547</v>
      </c>
      <c r="B19" s="35"/>
      <c r="C19" s="35">
        <v>1.0</v>
      </c>
      <c r="D19" s="35">
        <v>1.0</v>
      </c>
      <c r="E19" s="35">
        <v>1.0</v>
      </c>
      <c r="F19" s="35">
        <v>2.0</v>
      </c>
      <c r="G19" s="35">
        <f t="shared" si="5"/>
        <v>5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50"/>
      <c r="FI19" s="50"/>
    </row>
    <row r="20" ht="14.25" customHeight="1">
      <c r="A20" s="86" t="s">
        <v>18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50"/>
      <c r="FI20" s="50"/>
    </row>
    <row r="21" ht="14.25" customHeight="1">
      <c r="A21" s="63" t="s">
        <v>2276</v>
      </c>
      <c r="B21" s="55" t="s">
        <v>162</v>
      </c>
      <c r="C21" s="55" t="s">
        <v>196</v>
      </c>
      <c r="D21" s="55" t="s">
        <v>509</v>
      </c>
      <c r="E21" s="55" t="s">
        <v>867</v>
      </c>
      <c r="F21" s="55" t="s">
        <v>51</v>
      </c>
      <c r="G21" s="55" t="s">
        <v>1629</v>
      </c>
      <c r="H21" s="55" t="s">
        <v>2259</v>
      </c>
      <c r="I21" s="92" t="s">
        <v>2278</v>
      </c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5"/>
      <c r="FB21" s="105"/>
      <c r="FC21" s="105"/>
      <c r="FD21" s="105"/>
      <c r="FE21" s="105"/>
      <c r="FF21" s="105"/>
      <c r="FG21" s="105"/>
      <c r="FH21" s="106"/>
      <c r="FI21" s="106"/>
    </row>
    <row r="22" ht="14.25" customHeight="1">
      <c r="A22" s="48" t="s">
        <v>2270</v>
      </c>
      <c r="B22" s="48">
        <v>1.0</v>
      </c>
      <c r="C22" s="48">
        <v>1.0</v>
      </c>
      <c r="D22" s="48">
        <v>1.0</v>
      </c>
      <c r="E22" s="48"/>
      <c r="F22" s="48"/>
      <c r="G22" s="48"/>
      <c r="H22" s="48"/>
      <c r="I22" s="48">
        <f t="shared" ref="I22:I24" si="6">SUM(B22:H22)</f>
        <v>3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50"/>
      <c r="FI22" s="50"/>
    </row>
    <row r="23" ht="14.25" customHeight="1">
      <c r="A23" s="48" t="s">
        <v>547</v>
      </c>
      <c r="B23" s="48"/>
      <c r="C23" s="48"/>
      <c r="D23" s="48"/>
      <c r="E23" s="48">
        <v>1.0</v>
      </c>
      <c r="F23" s="48">
        <v>1.0</v>
      </c>
      <c r="G23" s="48">
        <v>1.0</v>
      </c>
      <c r="H23" s="48"/>
      <c r="I23" s="48">
        <f t="shared" si="6"/>
        <v>3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50"/>
      <c r="FI23" s="50"/>
    </row>
    <row r="24" ht="14.25" customHeight="1">
      <c r="A24" s="48" t="s">
        <v>1875</v>
      </c>
      <c r="B24" s="48"/>
      <c r="C24" s="48"/>
      <c r="D24" s="48"/>
      <c r="E24" s="48"/>
      <c r="F24" s="48"/>
      <c r="G24" s="48"/>
      <c r="H24" s="48">
        <v>1.0</v>
      </c>
      <c r="I24" s="48">
        <f t="shared" si="6"/>
        <v>1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50"/>
      <c r="FI24" s="50"/>
    </row>
    <row r="25" ht="14.25" customHeight="1">
      <c r="A25" s="86" t="s">
        <v>19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50"/>
      <c r="FI25" s="50"/>
    </row>
    <row r="26" ht="14.25" customHeight="1">
      <c r="A26" s="63" t="s">
        <v>2276</v>
      </c>
      <c r="B26" s="16" t="s">
        <v>174</v>
      </c>
      <c r="C26" s="16" t="s">
        <v>970</v>
      </c>
      <c r="D26" s="16" t="s">
        <v>1206</v>
      </c>
      <c r="E26" s="16" t="s">
        <v>1304</v>
      </c>
      <c r="F26" s="16" t="s">
        <v>1317</v>
      </c>
      <c r="G26" s="16" t="s">
        <v>1445</v>
      </c>
      <c r="H26" s="16" t="s">
        <v>1496</v>
      </c>
      <c r="I26" s="16" t="s">
        <v>1499</v>
      </c>
      <c r="J26" s="16" t="s">
        <v>1617</v>
      </c>
      <c r="K26" s="16" t="s">
        <v>1840</v>
      </c>
      <c r="L26" s="16" t="s">
        <v>2029</v>
      </c>
      <c r="M26" s="92" t="s">
        <v>2278</v>
      </c>
      <c r="N26" s="43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5"/>
      <c r="FB26" s="105"/>
      <c r="FC26" s="105"/>
      <c r="FD26" s="105"/>
      <c r="FE26" s="105"/>
      <c r="FF26" s="105"/>
      <c r="FG26" s="105"/>
      <c r="FH26" s="106"/>
      <c r="FI26" s="106"/>
    </row>
    <row r="27" ht="14.25" customHeight="1">
      <c r="A27" s="48" t="s">
        <v>2270</v>
      </c>
      <c r="B27" s="36">
        <v>2.0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>
        <f t="shared" ref="M27:M29" si="7">SUM(A27:L27)</f>
        <v>2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50"/>
      <c r="FI27" s="50"/>
    </row>
    <row r="28" ht="14.25" customHeight="1">
      <c r="A28" s="48" t="s">
        <v>547</v>
      </c>
      <c r="B28" s="36"/>
      <c r="C28" s="36">
        <v>1.0</v>
      </c>
      <c r="D28" s="36">
        <v>1.0</v>
      </c>
      <c r="E28" s="36">
        <v>1.0</v>
      </c>
      <c r="F28" s="36">
        <v>1.0</v>
      </c>
      <c r="G28" s="36">
        <v>1.0</v>
      </c>
      <c r="H28" s="36">
        <v>1.0</v>
      </c>
      <c r="I28" s="36">
        <v>1.0</v>
      </c>
      <c r="J28" s="36">
        <v>1.0</v>
      </c>
      <c r="K28" s="36">
        <v>1.0</v>
      </c>
      <c r="L28" s="36"/>
      <c r="M28" s="48">
        <f t="shared" si="7"/>
        <v>9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50"/>
      <c r="FI28" s="50"/>
    </row>
    <row r="29" ht="14.25" customHeight="1">
      <c r="A29" s="48" t="s">
        <v>1875</v>
      </c>
      <c r="B29" s="48"/>
      <c r="C29" s="48"/>
      <c r="D29" s="48"/>
      <c r="E29" s="48"/>
      <c r="F29" s="48"/>
      <c r="G29" s="48"/>
      <c r="H29" s="48"/>
      <c r="I29" s="48"/>
      <c r="J29" s="48"/>
      <c r="K29" s="36"/>
      <c r="L29" s="36">
        <v>1.0</v>
      </c>
      <c r="M29" s="48">
        <f t="shared" si="7"/>
        <v>1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50"/>
      <c r="FI29" s="50"/>
    </row>
    <row r="30" ht="14.25" customHeight="1">
      <c r="A30" s="86" t="s">
        <v>2299</v>
      </c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50"/>
      <c r="FI30" s="50"/>
    </row>
    <row r="31" ht="14.25" customHeight="1">
      <c r="A31" s="107" t="s">
        <v>2300</v>
      </c>
      <c r="B31" s="16" t="s">
        <v>197</v>
      </c>
      <c r="C31" s="16" t="s">
        <v>211</v>
      </c>
      <c r="D31" s="16" t="s">
        <v>217</v>
      </c>
      <c r="E31" s="16" t="s">
        <v>253</v>
      </c>
      <c r="F31" s="16" t="s">
        <v>272</v>
      </c>
      <c r="G31" s="16" t="s">
        <v>292</v>
      </c>
      <c r="H31" s="16" t="s">
        <v>364</v>
      </c>
      <c r="I31" s="16" t="s">
        <v>391</v>
      </c>
      <c r="J31" s="16" t="s">
        <v>403</v>
      </c>
      <c r="K31" s="16" t="s">
        <v>475</v>
      </c>
      <c r="L31" s="16" t="s">
        <v>510</v>
      </c>
      <c r="M31" s="16" t="s">
        <v>518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50"/>
      <c r="FI31" s="50"/>
    </row>
    <row r="32" ht="14.25" customHeight="1">
      <c r="A32" s="107" t="s">
        <v>606</v>
      </c>
      <c r="B32" s="16" t="s">
        <v>676</v>
      </c>
      <c r="C32" s="16" t="s">
        <v>676</v>
      </c>
      <c r="D32" s="16" t="s">
        <v>676</v>
      </c>
      <c r="E32" s="16" t="s">
        <v>750</v>
      </c>
      <c r="F32" s="16" t="s">
        <v>676</v>
      </c>
      <c r="G32" s="16" t="s">
        <v>793</v>
      </c>
      <c r="H32" s="16" t="s">
        <v>941</v>
      </c>
      <c r="I32" s="16" t="s">
        <v>1045</v>
      </c>
      <c r="J32" s="16" t="s">
        <v>1045</v>
      </c>
      <c r="K32" s="16" t="s">
        <v>1163</v>
      </c>
      <c r="L32" s="16" t="s">
        <v>1207</v>
      </c>
      <c r="M32" s="16" t="s">
        <v>1233</v>
      </c>
      <c r="N32" s="16" t="s">
        <v>1446</v>
      </c>
      <c r="O32" s="16" t="s">
        <v>1463</v>
      </c>
      <c r="P32" s="16" t="s">
        <v>1479</v>
      </c>
      <c r="Q32" s="16" t="s">
        <v>1523</v>
      </c>
      <c r="R32" s="16" t="s">
        <v>1547</v>
      </c>
      <c r="S32" s="16" t="s">
        <v>1612</v>
      </c>
      <c r="T32" s="16" t="s">
        <v>1618</v>
      </c>
      <c r="U32" s="16" t="s">
        <v>1651</v>
      </c>
      <c r="V32" s="16" t="s">
        <v>1656</v>
      </c>
      <c r="W32" s="16" t="s">
        <v>676</v>
      </c>
      <c r="X32" s="16" t="s">
        <v>1656</v>
      </c>
      <c r="Y32" s="16" t="s">
        <v>676</v>
      </c>
      <c r="Z32" s="16" t="s">
        <v>676</v>
      </c>
      <c r="AA32" s="16" t="s">
        <v>676</v>
      </c>
      <c r="AB32" s="16" t="s">
        <v>1740</v>
      </c>
      <c r="AC32" s="16" t="s">
        <v>1750</v>
      </c>
      <c r="AD32" s="16" t="s">
        <v>1656</v>
      </c>
      <c r="AE32" s="16" t="s">
        <v>1656</v>
      </c>
      <c r="AF32" s="16" t="s">
        <v>676</v>
      </c>
      <c r="AG32" s="16" t="s">
        <v>1656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50"/>
      <c r="FI32" s="50"/>
    </row>
    <row r="33" ht="14.25" customHeight="1">
      <c r="A33" s="107" t="s">
        <v>1875</v>
      </c>
      <c r="B33" s="16" t="s">
        <v>1990</v>
      </c>
      <c r="C33" s="109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50"/>
      <c r="FI33" s="50"/>
    </row>
    <row r="34" ht="14.25" customHeight="1">
      <c r="A34" s="43"/>
      <c r="B34" s="110" t="s">
        <v>2301</v>
      </c>
      <c r="C34" s="111"/>
      <c r="D34" s="111"/>
      <c r="E34" s="111"/>
      <c r="F34" s="111"/>
      <c r="G34" s="111"/>
      <c r="H34" s="111"/>
      <c r="I34" s="11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50"/>
      <c r="FI34" s="50"/>
    </row>
    <row r="35" ht="14.25" customHeight="1">
      <c r="A35" s="63" t="s">
        <v>2276</v>
      </c>
      <c r="B35" s="16" t="s">
        <v>501</v>
      </c>
      <c r="C35" s="16" t="s">
        <v>1504</v>
      </c>
      <c r="D35" s="16" t="s">
        <v>1742</v>
      </c>
      <c r="E35" s="16" t="s">
        <v>1756</v>
      </c>
      <c r="F35" s="16" t="s">
        <v>1767</v>
      </c>
      <c r="G35" s="16" t="s">
        <v>1798</v>
      </c>
      <c r="H35" s="16" t="s">
        <v>1827</v>
      </c>
      <c r="I35" s="16" t="s">
        <v>1848</v>
      </c>
      <c r="J35" s="92" t="s">
        <v>2278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50"/>
      <c r="FI35" s="50"/>
    </row>
    <row r="36" ht="14.25" customHeight="1">
      <c r="A36" s="48" t="s">
        <v>2270</v>
      </c>
      <c r="B36" s="18">
        <v>1.0</v>
      </c>
      <c r="C36" s="19"/>
      <c r="D36" s="35"/>
      <c r="E36" s="35"/>
      <c r="F36" s="35"/>
      <c r="G36" s="35"/>
      <c r="H36" s="35"/>
      <c r="I36" s="35"/>
      <c r="J36" s="48">
        <f t="shared" ref="J36:J37" si="8">SUM(B36:I36)</f>
        <v>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50"/>
      <c r="FI36" s="50"/>
    </row>
    <row r="37" ht="14.25" customHeight="1">
      <c r="A37" s="113" t="s">
        <v>547</v>
      </c>
      <c r="B37" s="114"/>
      <c r="C37" s="115">
        <v>1.0</v>
      </c>
      <c r="D37" s="116">
        <v>1.0</v>
      </c>
      <c r="E37" s="116">
        <v>1.0</v>
      </c>
      <c r="F37" s="116">
        <v>1.0</v>
      </c>
      <c r="G37" s="116">
        <v>1.0</v>
      </c>
      <c r="H37" s="116">
        <v>1.0</v>
      </c>
      <c r="I37" s="116">
        <v>1.0</v>
      </c>
      <c r="J37" s="113">
        <f t="shared" si="8"/>
        <v>7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50"/>
      <c r="FI37" s="50"/>
    </row>
    <row r="38" ht="14.25" customHeight="1">
      <c r="A38" s="117" t="s">
        <v>2302</v>
      </c>
      <c r="B38" s="22"/>
      <c r="C38" s="22"/>
      <c r="D38" s="22"/>
      <c r="E38" s="22"/>
      <c r="F38" s="23"/>
      <c r="G38" s="117" t="s">
        <v>2303</v>
      </c>
      <c r="H38" s="22"/>
      <c r="I38" s="22"/>
      <c r="J38" s="22"/>
      <c r="K38" s="22"/>
      <c r="L38" s="23"/>
      <c r="M38" s="117" t="s">
        <v>2304</v>
      </c>
      <c r="N38" s="22"/>
      <c r="O38" s="22"/>
      <c r="P38" s="22"/>
      <c r="Q38" s="22"/>
      <c r="R38" s="23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118"/>
      <c r="DE38" s="118"/>
      <c r="DF38" s="118"/>
      <c r="DG38" s="118"/>
      <c r="DH38" s="118"/>
      <c r="DI38" s="118"/>
      <c r="DJ38" s="118"/>
      <c r="DK38" s="118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118"/>
      <c r="EV38" s="118"/>
      <c r="EW38" s="118"/>
      <c r="EX38" s="118"/>
      <c r="EY38" s="118"/>
      <c r="EZ38" s="118"/>
      <c r="FA38" s="118"/>
      <c r="FB38" s="118"/>
      <c r="FC38" s="118"/>
      <c r="FD38" s="118"/>
      <c r="FE38" s="118"/>
      <c r="FF38" s="118"/>
      <c r="FG38" s="118"/>
      <c r="FH38" s="119"/>
      <c r="FI38" s="119"/>
    </row>
    <row r="39" ht="14.25" customHeight="1">
      <c r="A39" s="120" t="s">
        <v>2270</v>
      </c>
      <c r="B39" s="23"/>
      <c r="C39" s="120" t="s">
        <v>606</v>
      </c>
      <c r="D39" s="23"/>
      <c r="E39" s="120" t="s">
        <v>1875</v>
      </c>
      <c r="F39" s="23"/>
      <c r="G39" s="120" t="s">
        <v>2270</v>
      </c>
      <c r="H39" s="23"/>
      <c r="I39" s="120" t="s">
        <v>606</v>
      </c>
      <c r="J39" s="23"/>
      <c r="K39" s="120" t="s">
        <v>1875</v>
      </c>
      <c r="L39" s="23"/>
      <c r="M39" s="120" t="s">
        <v>2270</v>
      </c>
      <c r="N39" s="23"/>
      <c r="O39" s="120" t="s">
        <v>606</v>
      </c>
      <c r="P39" s="23"/>
      <c r="Q39" s="120" t="s">
        <v>1875</v>
      </c>
      <c r="R39" s="23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8"/>
      <c r="DV39" s="118"/>
      <c r="DW39" s="118"/>
      <c r="DX39" s="118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  <c r="ES39" s="118"/>
      <c r="ET39" s="118"/>
      <c r="EU39" s="118"/>
      <c r="EV39" s="118"/>
      <c r="EW39" s="118"/>
      <c r="EX39" s="118"/>
      <c r="EY39" s="118"/>
      <c r="EZ39" s="118"/>
      <c r="FA39" s="118"/>
      <c r="FB39" s="118"/>
      <c r="FC39" s="118"/>
      <c r="FD39" s="118"/>
      <c r="FE39" s="118"/>
      <c r="FF39" s="118"/>
      <c r="FG39" s="118"/>
      <c r="FH39" s="119"/>
      <c r="FI39" s="119"/>
    </row>
    <row r="40" ht="14.25" customHeight="1">
      <c r="A40" s="121" t="s">
        <v>2305</v>
      </c>
      <c r="B40" s="121" t="s">
        <v>2306</v>
      </c>
      <c r="C40" s="121" t="s">
        <v>2305</v>
      </c>
      <c r="D40" s="121" t="s">
        <v>2306</v>
      </c>
      <c r="E40" s="121" t="s">
        <v>2305</v>
      </c>
      <c r="F40" s="121" t="s">
        <v>2306</v>
      </c>
      <c r="G40" s="121" t="s">
        <v>2303</v>
      </c>
      <c r="H40" s="121" t="s">
        <v>2307</v>
      </c>
      <c r="I40" s="121" t="s">
        <v>2303</v>
      </c>
      <c r="J40" s="121" t="s">
        <v>2307</v>
      </c>
      <c r="K40" s="121" t="s">
        <v>2303</v>
      </c>
      <c r="L40" s="121" t="s">
        <v>2307</v>
      </c>
      <c r="M40" s="121" t="s">
        <v>2304</v>
      </c>
      <c r="N40" s="121" t="s">
        <v>2307</v>
      </c>
      <c r="O40" s="121" t="s">
        <v>2304</v>
      </c>
      <c r="P40" s="121" t="s">
        <v>2307</v>
      </c>
      <c r="Q40" s="121" t="s">
        <v>2304</v>
      </c>
      <c r="R40" s="121" t="s">
        <v>2307</v>
      </c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  <c r="DD40" s="118"/>
      <c r="DE40" s="118"/>
      <c r="DF40" s="118"/>
      <c r="DG40" s="118"/>
      <c r="DH40" s="118"/>
      <c r="DI40" s="118"/>
      <c r="DJ40" s="118"/>
      <c r="DK40" s="118"/>
      <c r="DL40" s="118"/>
      <c r="DM40" s="118"/>
      <c r="DN40" s="118"/>
      <c r="DO40" s="118"/>
      <c r="DP40" s="118"/>
      <c r="DQ40" s="118"/>
      <c r="DR40" s="118"/>
      <c r="DS40" s="118"/>
      <c r="DT40" s="118"/>
      <c r="DU40" s="118"/>
      <c r="DV40" s="118"/>
      <c r="DW40" s="118"/>
      <c r="DX40" s="118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  <c r="ES40" s="118"/>
      <c r="ET40" s="118"/>
      <c r="EU40" s="118"/>
      <c r="EV40" s="118"/>
      <c r="EW40" s="118"/>
      <c r="EX40" s="118"/>
      <c r="EY40" s="118"/>
      <c r="EZ40" s="118"/>
      <c r="FA40" s="118"/>
      <c r="FB40" s="118"/>
      <c r="FC40" s="118"/>
      <c r="FD40" s="118"/>
      <c r="FE40" s="118"/>
      <c r="FF40" s="118"/>
      <c r="FG40" s="118"/>
      <c r="FH40" s="119"/>
      <c r="FI40" s="119"/>
    </row>
    <row r="41" ht="14.25" customHeight="1">
      <c r="A41" s="55" t="s">
        <v>155</v>
      </c>
      <c r="B41" s="122">
        <v>16.0</v>
      </c>
      <c r="C41" s="55" t="s">
        <v>155</v>
      </c>
      <c r="D41" s="122">
        <v>15.0</v>
      </c>
      <c r="E41" s="55" t="s">
        <v>2308</v>
      </c>
      <c r="F41" s="122">
        <v>10.0</v>
      </c>
      <c r="G41" s="55" t="s">
        <v>224</v>
      </c>
      <c r="H41" s="122">
        <v>1.0</v>
      </c>
      <c r="I41" s="55" t="s">
        <v>552</v>
      </c>
      <c r="J41" s="122">
        <v>14.0</v>
      </c>
      <c r="K41" s="55" t="s">
        <v>2309</v>
      </c>
      <c r="L41" s="122">
        <v>28.0</v>
      </c>
      <c r="M41" s="55" t="s">
        <v>148</v>
      </c>
      <c r="N41" s="55">
        <v>3.0</v>
      </c>
      <c r="O41" s="55" t="s">
        <v>2310</v>
      </c>
      <c r="P41" s="122">
        <v>73.0</v>
      </c>
      <c r="Q41" s="55" t="s">
        <v>1882</v>
      </c>
      <c r="R41" s="122">
        <v>4.0</v>
      </c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6"/>
      <c r="FI41" s="106"/>
    </row>
    <row r="42" ht="14.25" customHeight="1">
      <c r="A42" s="55" t="s">
        <v>146</v>
      </c>
      <c r="B42" s="122">
        <v>6.0</v>
      </c>
      <c r="C42" s="55" t="s">
        <v>638</v>
      </c>
      <c r="D42" s="122">
        <v>20.0</v>
      </c>
      <c r="E42" s="55" t="s">
        <v>2311</v>
      </c>
      <c r="F42" s="122">
        <v>24.0</v>
      </c>
      <c r="G42" s="55" t="s">
        <v>237</v>
      </c>
      <c r="H42" s="122">
        <v>2.0</v>
      </c>
      <c r="I42" s="55" t="s">
        <v>582</v>
      </c>
      <c r="J42" s="122">
        <v>3.0</v>
      </c>
      <c r="K42" s="16" t="s">
        <v>2065</v>
      </c>
      <c r="L42" s="122">
        <v>15.0</v>
      </c>
      <c r="M42" s="55" t="s">
        <v>156</v>
      </c>
      <c r="N42" s="55">
        <v>12.0</v>
      </c>
      <c r="O42" s="55" t="s">
        <v>2312</v>
      </c>
      <c r="P42" s="122">
        <v>71.0</v>
      </c>
      <c r="Q42" s="55" t="s">
        <v>2313</v>
      </c>
      <c r="R42" s="122">
        <v>32.0</v>
      </c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6"/>
      <c r="FI42" s="106"/>
    </row>
    <row r="43" ht="14.25" customHeight="1">
      <c r="A43" s="55" t="s">
        <v>264</v>
      </c>
      <c r="B43" s="122">
        <v>7.0</v>
      </c>
      <c r="C43" s="55" t="s">
        <v>264</v>
      </c>
      <c r="D43" s="122">
        <v>4.0</v>
      </c>
      <c r="E43" s="55" t="s">
        <v>2314</v>
      </c>
      <c r="F43" s="122">
        <v>8.0</v>
      </c>
      <c r="G43" s="55" t="s">
        <v>274</v>
      </c>
      <c r="H43" s="122">
        <v>1.0</v>
      </c>
      <c r="I43" s="55" t="s">
        <v>1863</v>
      </c>
      <c r="J43" s="122">
        <v>7.0</v>
      </c>
      <c r="K43" s="55" t="s">
        <v>2315</v>
      </c>
      <c r="L43" s="122">
        <v>10.0</v>
      </c>
      <c r="M43" s="55" t="s">
        <v>172</v>
      </c>
      <c r="N43" s="55">
        <v>1.0</v>
      </c>
      <c r="O43" s="55" t="s">
        <v>599</v>
      </c>
      <c r="P43" s="122">
        <v>3.0</v>
      </c>
      <c r="Q43" s="55" t="s">
        <v>2077</v>
      </c>
      <c r="R43" s="122">
        <v>23.0</v>
      </c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105"/>
      <c r="FC43" s="105"/>
      <c r="FD43" s="105"/>
      <c r="FE43" s="105"/>
      <c r="FF43" s="105"/>
      <c r="FG43" s="105"/>
      <c r="FH43" s="106"/>
      <c r="FI43" s="106"/>
    </row>
    <row r="44" ht="14.25" customHeight="1">
      <c r="A44" s="55" t="s">
        <v>2316</v>
      </c>
      <c r="B44" s="122">
        <v>11.0</v>
      </c>
      <c r="C44" s="55" t="s">
        <v>2316</v>
      </c>
      <c r="D44" s="122">
        <v>68.0</v>
      </c>
      <c r="E44" s="55" t="s">
        <v>2316</v>
      </c>
      <c r="F44" s="122">
        <v>7.0</v>
      </c>
      <c r="G44" s="55" t="s">
        <v>316</v>
      </c>
      <c r="H44" s="122">
        <v>1.0</v>
      </c>
      <c r="I44" s="55" t="s">
        <v>1813</v>
      </c>
      <c r="J44" s="122">
        <v>2.0</v>
      </c>
      <c r="K44" s="55" t="s">
        <v>1929</v>
      </c>
      <c r="L44" s="122">
        <v>4.0</v>
      </c>
      <c r="M44" s="55" t="s">
        <v>187</v>
      </c>
      <c r="N44" s="55">
        <v>12.0</v>
      </c>
      <c r="O44" s="55" t="s">
        <v>567</v>
      </c>
      <c r="P44" s="122">
        <v>5.0</v>
      </c>
      <c r="Q44" s="55" t="s">
        <v>1918</v>
      </c>
      <c r="R44" s="122">
        <v>2.0</v>
      </c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5"/>
      <c r="DV44" s="105"/>
      <c r="DW44" s="105"/>
      <c r="DX44" s="105"/>
      <c r="DY44" s="105"/>
      <c r="DZ44" s="105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/>
      <c r="EZ44" s="105"/>
      <c r="FA44" s="105"/>
      <c r="FB44" s="105"/>
      <c r="FC44" s="105"/>
      <c r="FD44" s="105"/>
      <c r="FE44" s="105"/>
      <c r="FF44" s="105"/>
      <c r="FG44" s="105"/>
      <c r="FH44" s="106"/>
      <c r="FI44" s="106"/>
    </row>
    <row r="45" ht="14.25" customHeight="1">
      <c r="A45" s="55" t="s">
        <v>1850</v>
      </c>
      <c r="B45" s="122">
        <v>1.0</v>
      </c>
      <c r="C45" s="55" t="s">
        <v>2317</v>
      </c>
      <c r="D45" s="122">
        <v>56.0</v>
      </c>
      <c r="E45" s="55" t="s">
        <v>2318</v>
      </c>
      <c r="F45" s="122">
        <v>14.0</v>
      </c>
      <c r="G45" s="55" t="s">
        <v>339</v>
      </c>
      <c r="H45" s="122">
        <v>1.0</v>
      </c>
      <c r="I45" s="55" t="s">
        <v>1264</v>
      </c>
      <c r="J45" s="122">
        <v>1.0</v>
      </c>
      <c r="K45" s="55" t="s">
        <v>1946</v>
      </c>
      <c r="L45" s="122">
        <v>3.0</v>
      </c>
      <c r="M45" s="55" t="s">
        <v>225</v>
      </c>
      <c r="N45" s="55">
        <v>1.0</v>
      </c>
      <c r="O45" s="55" t="s">
        <v>2319</v>
      </c>
      <c r="P45" s="122">
        <v>26.0</v>
      </c>
      <c r="Q45" s="55" t="s">
        <v>2320</v>
      </c>
      <c r="R45" s="122">
        <v>12.0</v>
      </c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5"/>
      <c r="DX45" s="105"/>
      <c r="DY45" s="105"/>
      <c r="DZ45" s="105"/>
      <c r="EA45" s="105"/>
      <c r="EB45" s="105"/>
      <c r="EC45" s="105"/>
      <c r="ED45" s="105"/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105"/>
      <c r="ER45" s="105"/>
      <c r="ES45" s="105"/>
      <c r="ET45" s="105"/>
      <c r="EU45" s="105"/>
      <c r="EV45" s="105"/>
      <c r="EW45" s="105"/>
      <c r="EX45" s="105"/>
      <c r="EY45" s="105"/>
      <c r="EZ45" s="105"/>
      <c r="FA45" s="105"/>
      <c r="FB45" s="105"/>
      <c r="FC45" s="105"/>
      <c r="FD45" s="105"/>
      <c r="FE45" s="105"/>
      <c r="FF45" s="105"/>
      <c r="FG45" s="105"/>
      <c r="FH45" s="106"/>
      <c r="FI45" s="106"/>
    </row>
    <row r="46" ht="14.25" customHeight="1">
      <c r="A46" s="55" t="s">
        <v>2321</v>
      </c>
      <c r="B46" s="122">
        <v>4.0</v>
      </c>
      <c r="C46" s="55" t="s">
        <v>549</v>
      </c>
      <c r="D46" s="122">
        <v>10.0</v>
      </c>
      <c r="E46" s="16" t="s">
        <v>1881</v>
      </c>
      <c r="F46" s="122">
        <v>2.0</v>
      </c>
      <c r="G46" s="55" t="s">
        <v>366</v>
      </c>
      <c r="H46" s="122">
        <v>1.0</v>
      </c>
      <c r="I46" s="55" t="s">
        <v>612</v>
      </c>
      <c r="J46" s="122">
        <v>6.0</v>
      </c>
      <c r="K46" s="55" t="s">
        <v>1955</v>
      </c>
      <c r="L46" s="122">
        <v>2.0</v>
      </c>
      <c r="M46" s="55" t="s">
        <v>232</v>
      </c>
      <c r="N46" s="55">
        <v>2.0</v>
      </c>
      <c r="O46" s="55" t="s">
        <v>2322</v>
      </c>
      <c r="P46" s="55">
        <v>15.0</v>
      </c>
      <c r="Q46" s="55" t="s">
        <v>1930</v>
      </c>
      <c r="R46" s="122">
        <v>2.0</v>
      </c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5"/>
      <c r="FB46" s="105"/>
      <c r="FC46" s="105"/>
      <c r="FD46" s="105"/>
      <c r="FE46" s="105"/>
      <c r="FF46" s="105"/>
      <c r="FG46" s="105"/>
      <c r="FH46" s="106"/>
      <c r="FI46" s="106"/>
    </row>
    <row r="47" ht="14.25" customHeight="1">
      <c r="A47" s="55" t="s">
        <v>2323</v>
      </c>
      <c r="B47" s="122">
        <v>13.0</v>
      </c>
      <c r="C47" s="55" t="s">
        <v>2323</v>
      </c>
      <c r="D47" s="122">
        <v>45.0</v>
      </c>
      <c r="E47" s="55" t="s">
        <v>2323</v>
      </c>
      <c r="F47" s="122">
        <v>11.0</v>
      </c>
      <c r="G47" s="55" t="s">
        <v>386</v>
      </c>
      <c r="H47" s="122">
        <v>1.0</v>
      </c>
      <c r="I47" s="55" t="s">
        <v>688</v>
      </c>
      <c r="J47" s="122">
        <v>1.0</v>
      </c>
      <c r="K47" s="55" t="s">
        <v>2096</v>
      </c>
      <c r="L47" s="122">
        <v>8.0</v>
      </c>
      <c r="M47" s="55" t="s">
        <v>266</v>
      </c>
      <c r="N47" s="55">
        <v>3.0</v>
      </c>
      <c r="O47" s="55" t="s">
        <v>614</v>
      </c>
      <c r="P47" s="55">
        <v>4.0</v>
      </c>
      <c r="Q47" s="55" t="s">
        <v>2324</v>
      </c>
      <c r="R47" s="122">
        <v>6.0</v>
      </c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5"/>
      <c r="FD47" s="105"/>
      <c r="FE47" s="105"/>
      <c r="FF47" s="105"/>
      <c r="FG47" s="105"/>
      <c r="FH47" s="106"/>
      <c r="FI47" s="106"/>
    </row>
    <row r="48" ht="14.25" customHeight="1">
      <c r="A48" s="55" t="s">
        <v>2325</v>
      </c>
      <c r="B48" s="122">
        <v>7.0</v>
      </c>
      <c r="C48" s="55" t="s">
        <v>730</v>
      </c>
      <c r="D48" s="122">
        <v>2.0</v>
      </c>
      <c r="E48" s="55" t="s">
        <v>2325</v>
      </c>
      <c r="F48" s="122">
        <v>5.0</v>
      </c>
      <c r="G48" s="55" t="s">
        <v>394</v>
      </c>
      <c r="H48" s="122">
        <v>1.0</v>
      </c>
      <c r="I48" s="55" t="s">
        <v>554</v>
      </c>
      <c r="J48" s="122">
        <v>5.0</v>
      </c>
      <c r="K48" s="55" t="s">
        <v>2003</v>
      </c>
      <c r="L48" s="122">
        <v>1.0</v>
      </c>
      <c r="M48" s="55" t="s">
        <v>279</v>
      </c>
      <c r="N48" s="55">
        <v>2.0</v>
      </c>
      <c r="O48" s="55" t="s">
        <v>2326</v>
      </c>
      <c r="P48" s="55">
        <v>1.0</v>
      </c>
      <c r="Q48" s="55" t="s">
        <v>1975</v>
      </c>
      <c r="R48" s="122">
        <v>2.0</v>
      </c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  <c r="CU48" s="105"/>
      <c r="CV48" s="105"/>
      <c r="CW48" s="105"/>
      <c r="CX48" s="105"/>
      <c r="CY48" s="105"/>
      <c r="CZ48" s="105"/>
      <c r="DA48" s="105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5"/>
      <c r="DV48" s="105"/>
      <c r="DW48" s="105"/>
      <c r="DX48" s="105"/>
      <c r="DY48" s="105"/>
      <c r="DZ48" s="105"/>
      <c r="EA48" s="105"/>
      <c r="EB48" s="105"/>
      <c r="EC48" s="105"/>
      <c r="ED48" s="105"/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ET48" s="105"/>
      <c r="EU48" s="105"/>
      <c r="EV48" s="105"/>
      <c r="EW48" s="105"/>
      <c r="EX48" s="105"/>
      <c r="EY48" s="105"/>
      <c r="EZ48" s="105"/>
      <c r="FA48" s="105"/>
      <c r="FB48" s="105"/>
      <c r="FC48" s="105"/>
      <c r="FD48" s="105"/>
      <c r="FE48" s="105"/>
      <c r="FF48" s="105"/>
      <c r="FG48" s="105"/>
      <c r="FH48" s="106"/>
      <c r="FI48" s="106"/>
    </row>
    <row r="49" ht="14.25" customHeight="1">
      <c r="A49" s="55" t="s">
        <v>2327</v>
      </c>
      <c r="B49" s="122">
        <v>10.0</v>
      </c>
      <c r="C49" s="55" t="s">
        <v>2328</v>
      </c>
      <c r="D49" s="122">
        <v>9.0</v>
      </c>
      <c r="E49" s="16" t="s">
        <v>1995</v>
      </c>
      <c r="F49" s="122">
        <v>5.0</v>
      </c>
      <c r="G49" s="55" t="s">
        <v>437</v>
      </c>
      <c r="H49" s="122">
        <v>2.0</v>
      </c>
      <c r="I49" s="55" t="s">
        <v>2329</v>
      </c>
      <c r="J49" s="122">
        <v>17.0</v>
      </c>
      <c r="K49" s="55" t="s">
        <v>1104</v>
      </c>
      <c r="L49" s="122">
        <v>1.0</v>
      </c>
      <c r="M49" s="55" t="s">
        <v>286</v>
      </c>
      <c r="N49" s="55">
        <v>2.0</v>
      </c>
      <c r="O49" s="55" t="s">
        <v>1088</v>
      </c>
      <c r="P49" s="55">
        <v>14.0</v>
      </c>
      <c r="Q49" s="55" t="s">
        <v>220</v>
      </c>
      <c r="R49" s="122">
        <v>7.0</v>
      </c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5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ET49" s="105"/>
      <c r="EU49" s="105"/>
      <c r="EV49" s="105"/>
      <c r="EW49" s="105"/>
      <c r="EX49" s="105"/>
      <c r="EY49" s="105"/>
      <c r="EZ49" s="105"/>
      <c r="FA49" s="105"/>
      <c r="FB49" s="105"/>
      <c r="FC49" s="105"/>
      <c r="FD49" s="105"/>
      <c r="FE49" s="105"/>
      <c r="FF49" s="105"/>
      <c r="FG49" s="105"/>
      <c r="FH49" s="106"/>
      <c r="FI49" s="106"/>
    </row>
    <row r="50" ht="14.25" customHeight="1">
      <c r="A50" s="55" t="s">
        <v>2168</v>
      </c>
      <c r="B50" s="122">
        <v>3.0</v>
      </c>
      <c r="C50" s="55" t="s">
        <v>2330</v>
      </c>
      <c r="D50" s="122">
        <v>21.0</v>
      </c>
      <c r="E50" s="55" t="s">
        <v>2168</v>
      </c>
      <c r="F50" s="122">
        <v>4.0</v>
      </c>
      <c r="G50" s="55" t="s">
        <v>522</v>
      </c>
      <c r="H50" s="122">
        <v>1.0</v>
      </c>
      <c r="I50" s="55" t="s">
        <v>1126</v>
      </c>
      <c r="J50" s="122">
        <v>14.0</v>
      </c>
      <c r="K50" s="55" t="s">
        <v>2004</v>
      </c>
      <c r="L50" s="122">
        <v>1.0</v>
      </c>
      <c r="M50" s="55" t="s">
        <v>351</v>
      </c>
      <c r="N50" s="122">
        <v>4.0</v>
      </c>
      <c r="O50" s="55" t="s">
        <v>2331</v>
      </c>
      <c r="P50" s="122">
        <v>33.0</v>
      </c>
      <c r="Q50" s="55" t="s">
        <v>2043</v>
      </c>
      <c r="R50" s="122">
        <v>1.0</v>
      </c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/>
      <c r="DV50" s="105"/>
      <c r="DW50" s="105"/>
      <c r="DX50" s="105"/>
      <c r="DY50" s="105"/>
      <c r="DZ50" s="105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5"/>
      <c r="EP50" s="105"/>
      <c r="EQ50" s="105"/>
      <c r="ER50" s="105"/>
      <c r="ES50" s="105"/>
      <c r="ET50" s="105"/>
      <c r="EU50" s="105"/>
      <c r="EV50" s="105"/>
      <c r="EW50" s="105"/>
      <c r="EX50" s="105"/>
      <c r="EY50" s="105"/>
      <c r="EZ50" s="105"/>
      <c r="FA50" s="105"/>
      <c r="FB50" s="105"/>
      <c r="FC50" s="105"/>
      <c r="FD50" s="105"/>
      <c r="FE50" s="105"/>
      <c r="FF50" s="105"/>
      <c r="FG50" s="105"/>
      <c r="FH50" s="106"/>
      <c r="FI50" s="106"/>
    </row>
    <row r="51" ht="14.25" customHeight="1">
      <c r="A51" s="55" t="s">
        <v>263</v>
      </c>
      <c r="B51" s="122">
        <v>4.0</v>
      </c>
      <c r="C51" s="55" t="s">
        <v>550</v>
      </c>
      <c r="D51" s="122">
        <v>4.0</v>
      </c>
      <c r="E51" s="55" t="s">
        <v>1905</v>
      </c>
      <c r="F51" s="122">
        <v>4.0</v>
      </c>
      <c r="G51" s="55" t="s">
        <v>340</v>
      </c>
      <c r="H51" s="122">
        <v>1.0</v>
      </c>
      <c r="I51" s="55" t="s">
        <v>830</v>
      </c>
      <c r="J51" s="122">
        <v>2.0</v>
      </c>
      <c r="K51" s="55" t="s">
        <v>2024</v>
      </c>
      <c r="L51" s="122">
        <v>1.0</v>
      </c>
      <c r="M51" s="55" t="s">
        <v>304</v>
      </c>
      <c r="N51" s="55">
        <v>1.0</v>
      </c>
      <c r="O51" s="55" t="s">
        <v>2332</v>
      </c>
      <c r="P51" s="55">
        <v>2.0</v>
      </c>
      <c r="Q51" s="55" t="s">
        <v>2123</v>
      </c>
      <c r="R51" s="122">
        <v>4.0</v>
      </c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5"/>
      <c r="CL51" s="105"/>
      <c r="CM51" s="105"/>
      <c r="CN51" s="105"/>
      <c r="CO51" s="105"/>
      <c r="CP51" s="105"/>
      <c r="CQ51" s="105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5"/>
      <c r="FB51" s="105"/>
      <c r="FC51" s="105"/>
      <c r="FD51" s="105"/>
      <c r="FE51" s="105"/>
      <c r="FF51" s="105"/>
      <c r="FG51" s="105"/>
      <c r="FH51" s="106"/>
      <c r="FI51" s="106"/>
    </row>
    <row r="52" ht="14.25" customHeight="1">
      <c r="A52" s="55" t="s">
        <v>298</v>
      </c>
      <c r="B52" s="122">
        <v>1.0</v>
      </c>
      <c r="C52" s="55" t="s">
        <v>1693</v>
      </c>
      <c r="D52" s="122">
        <v>36.0</v>
      </c>
      <c r="E52" s="16" t="s">
        <v>1917</v>
      </c>
      <c r="F52" s="122">
        <v>6.0</v>
      </c>
      <c r="G52" s="55"/>
      <c r="H52" s="104"/>
      <c r="I52" s="55" t="s">
        <v>875</v>
      </c>
      <c r="J52" s="122">
        <v>3.0</v>
      </c>
      <c r="K52" s="55" t="s">
        <v>2161</v>
      </c>
      <c r="L52" s="122">
        <v>1.0</v>
      </c>
      <c r="M52" s="55" t="s">
        <v>317</v>
      </c>
      <c r="N52" s="55">
        <v>1.0</v>
      </c>
      <c r="O52" s="55" t="s">
        <v>1268</v>
      </c>
      <c r="P52" s="55">
        <v>1.0</v>
      </c>
      <c r="Q52" s="55" t="s">
        <v>2131</v>
      </c>
      <c r="R52" s="122">
        <v>2.0</v>
      </c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105"/>
      <c r="FC52" s="105"/>
      <c r="FD52" s="105"/>
      <c r="FE52" s="105"/>
      <c r="FF52" s="105"/>
      <c r="FG52" s="105"/>
      <c r="FH52" s="106"/>
      <c r="FI52" s="106"/>
    </row>
    <row r="53" ht="14.25" customHeight="1">
      <c r="A53" s="55" t="s">
        <v>2333</v>
      </c>
      <c r="B53" s="122">
        <v>2.0</v>
      </c>
      <c r="C53" s="55" t="s">
        <v>2334</v>
      </c>
      <c r="D53" s="122">
        <v>27.0</v>
      </c>
      <c r="E53" s="16" t="s">
        <v>1928</v>
      </c>
      <c r="F53" s="122">
        <v>9.0</v>
      </c>
      <c r="G53" s="55"/>
      <c r="H53" s="104"/>
      <c r="I53" s="55" t="s">
        <v>1021</v>
      </c>
      <c r="J53" s="122">
        <v>3.0</v>
      </c>
      <c r="K53" s="55" t="s">
        <v>2215</v>
      </c>
      <c r="L53" s="122">
        <v>4.0</v>
      </c>
      <c r="M53" s="55" t="s">
        <v>412</v>
      </c>
      <c r="N53" s="55">
        <v>2.0</v>
      </c>
      <c r="O53" s="55" t="s">
        <v>930</v>
      </c>
      <c r="P53" s="122">
        <v>15.0</v>
      </c>
      <c r="Q53" s="55" t="s">
        <v>2163</v>
      </c>
      <c r="R53" s="122">
        <v>1.0</v>
      </c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5"/>
      <c r="CL53" s="105"/>
      <c r="CM53" s="105"/>
      <c r="CN53" s="105"/>
      <c r="CO53" s="105"/>
      <c r="CP53" s="105"/>
      <c r="CQ53" s="105"/>
      <c r="CR53" s="105"/>
      <c r="CS53" s="105"/>
      <c r="CT53" s="105"/>
      <c r="CU53" s="105"/>
      <c r="CV53" s="105"/>
      <c r="CW53" s="105"/>
      <c r="CX53" s="105"/>
      <c r="CY53" s="105"/>
      <c r="CZ53" s="105"/>
      <c r="DA53" s="105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5"/>
      <c r="FB53" s="105"/>
      <c r="FC53" s="105"/>
      <c r="FD53" s="105"/>
      <c r="FE53" s="105"/>
      <c r="FF53" s="105"/>
      <c r="FG53" s="105"/>
      <c r="FH53" s="106"/>
      <c r="FI53" s="106"/>
    </row>
    <row r="54" ht="14.25" customHeight="1">
      <c r="A54" s="55" t="s">
        <v>416</v>
      </c>
      <c r="B54" s="122">
        <v>4.0</v>
      </c>
      <c r="C54" s="55" t="s">
        <v>1312</v>
      </c>
      <c r="D54" s="122">
        <v>1.0</v>
      </c>
      <c r="E54" s="16" t="s">
        <v>2087</v>
      </c>
      <c r="F54" s="122">
        <v>3.0</v>
      </c>
      <c r="G54" s="104"/>
      <c r="H54" s="104"/>
      <c r="I54" s="55" t="s">
        <v>716</v>
      </c>
      <c r="J54" s="122">
        <v>1.0</v>
      </c>
      <c r="K54" s="55" t="s">
        <v>2023</v>
      </c>
      <c r="L54" s="122">
        <v>1.0</v>
      </c>
      <c r="M54" s="55" t="s">
        <v>306</v>
      </c>
      <c r="N54" s="55">
        <v>1.0</v>
      </c>
      <c r="O54" s="55" t="s">
        <v>1843</v>
      </c>
      <c r="P54" s="122">
        <v>1.0</v>
      </c>
      <c r="Q54" s="55" t="s">
        <v>2058</v>
      </c>
      <c r="R54" s="122">
        <v>3.0</v>
      </c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105"/>
      <c r="FC54" s="105"/>
      <c r="FD54" s="105"/>
      <c r="FE54" s="105"/>
      <c r="FF54" s="105"/>
      <c r="FG54" s="105"/>
      <c r="FH54" s="106"/>
      <c r="FI54" s="106"/>
    </row>
    <row r="55" ht="14.25" customHeight="1">
      <c r="A55" s="55" t="s">
        <v>420</v>
      </c>
      <c r="B55" s="122">
        <v>1.0</v>
      </c>
      <c r="C55" s="55" t="s">
        <v>561</v>
      </c>
      <c r="D55" s="122">
        <v>30.0</v>
      </c>
      <c r="E55" s="16" t="s">
        <v>130</v>
      </c>
      <c r="F55" s="122">
        <v>1.0</v>
      </c>
      <c r="G55" s="104"/>
      <c r="H55" s="104"/>
      <c r="I55" s="55" t="s">
        <v>795</v>
      </c>
      <c r="J55" s="122">
        <v>1.0</v>
      </c>
      <c r="K55" s="55" t="s">
        <v>2033</v>
      </c>
      <c r="L55" s="122">
        <v>1.0</v>
      </c>
      <c r="M55" s="55" t="s">
        <v>300</v>
      </c>
      <c r="N55" s="122">
        <v>3.0</v>
      </c>
      <c r="O55" s="55" t="s">
        <v>1185</v>
      </c>
      <c r="P55" s="122">
        <v>1.0</v>
      </c>
      <c r="Q55" s="55" t="s">
        <v>2124</v>
      </c>
      <c r="R55" s="122">
        <v>3.0</v>
      </c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105"/>
      <c r="FC55" s="105"/>
      <c r="FD55" s="105"/>
      <c r="FE55" s="105"/>
      <c r="FF55" s="105"/>
      <c r="FG55" s="105"/>
      <c r="FH55" s="106"/>
      <c r="FI55" s="106"/>
    </row>
    <row r="56" ht="14.25" customHeight="1">
      <c r="A56" s="55" t="s">
        <v>424</v>
      </c>
      <c r="B56" s="122">
        <v>5.0</v>
      </c>
      <c r="C56" s="55" t="s">
        <v>79</v>
      </c>
      <c r="D56" s="122">
        <v>9.0</v>
      </c>
      <c r="E56" s="16" t="s">
        <v>445</v>
      </c>
      <c r="F56" s="122">
        <v>1.0</v>
      </c>
      <c r="G56" s="104"/>
      <c r="H56" s="104"/>
      <c r="I56" s="55" t="s">
        <v>2335</v>
      </c>
      <c r="J56" s="122">
        <v>5.0</v>
      </c>
      <c r="K56" s="55" t="s">
        <v>2145</v>
      </c>
      <c r="L56" s="122">
        <v>4.0</v>
      </c>
      <c r="M56" s="55" t="s">
        <v>203</v>
      </c>
      <c r="N56" s="55">
        <v>1.0</v>
      </c>
      <c r="O56" s="16" t="s">
        <v>658</v>
      </c>
      <c r="P56" s="122">
        <v>1.0</v>
      </c>
      <c r="Q56" s="55" t="s">
        <v>2187</v>
      </c>
      <c r="R56" s="122">
        <v>2.0</v>
      </c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C56" s="105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5"/>
      <c r="DV56" s="105"/>
      <c r="DW56" s="105"/>
      <c r="DX56" s="105"/>
      <c r="DY56" s="105"/>
      <c r="DZ56" s="105"/>
      <c r="EA56" s="105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5"/>
      <c r="FB56" s="105"/>
      <c r="FC56" s="105"/>
      <c r="FD56" s="105"/>
      <c r="FE56" s="105"/>
      <c r="FF56" s="105"/>
      <c r="FG56" s="105"/>
      <c r="FH56" s="106"/>
      <c r="FI56" s="106"/>
    </row>
    <row r="57" ht="14.25" customHeight="1">
      <c r="A57" s="55" t="s">
        <v>2336</v>
      </c>
      <c r="B57" s="122">
        <v>6.0</v>
      </c>
      <c r="C57" s="55" t="s">
        <v>2337</v>
      </c>
      <c r="D57" s="122">
        <v>120.0</v>
      </c>
      <c r="E57" s="16" t="s">
        <v>2241</v>
      </c>
      <c r="F57" s="122">
        <v>5.0</v>
      </c>
      <c r="G57" s="104"/>
      <c r="H57" s="104"/>
      <c r="I57" s="55" t="s">
        <v>1184</v>
      </c>
      <c r="J57" s="122">
        <v>1.0</v>
      </c>
      <c r="K57" s="55" t="s">
        <v>2160</v>
      </c>
      <c r="L57" s="122">
        <v>1.0</v>
      </c>
      <c r="M57" s="55" t="s">
        <v>2338</v>
      </c>
      <c r="N57" s="55">
        <v>7.0</v>
      </c>
      <c r="O57" s="55" t="s">
        <v>2339</v>
      </c>
      <c r="P57" s="122">
        <v>4.0</v>
      </c>
      <c r="Q57" s="55" t="s">
        <v>2261</v>
      </c>
      <c r="R57" s="122">
        <v>1.0</v>
      </c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C57" s="105"/>
      <c r="DD57" s="105"/>
      <c r="DE57" s="105"/>
      <c r="DF57" s="105"/>
      <c r="DG57" s="105"/>
      <c r="DH57" s="105"/>
      <c r="DI57" s="105"/>
      <c r="DJ57" s="105"/>
      <c r="DK57" s="105"/>
      <c r="DL57" s="105"/>
      <c r="DM57" s="105"/>
      <c r="DN57" s="105"/>
      <c r="DO57" s="105"/>
      <c r="DP57" s="105"/>
      <c r="DQ57" s="105"/>
      <c r="DR57" s="105"/>
      <c r="DS57" s="105"/>
      <c r="DT57" s="105"/>
      <c r="DU57" s="105"/>
      <c r="DV57" s="105"/>
      <c r="DW57" s="105"/>
      <c r="DX57" s="105"/>
      <c r="DY57" s="105"/>
      <c r="DZ57" s="105"/>
      <c r="EA57" s="105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5"/>
      <c r="FE57" s="105"/>
      <c r="FF57" s="105"/>
      <c r="FG57" s="105"/>
      <c r="FH57" s="106"/>
      <c r="FI57" s="106"/>
    </row>
    <row r="58" ht="14.25" customHeight="1">
      <c r="A58" s="55" t="s">
        <v>454</v>
      </c>
      <c r="B58" s="122">
        <v>1.0</v>
      </c>
      <c r="C58" s="55" t="s">
        <v>551</v>
      </c>
      <c r="D58" s="122">
        <v>9.0</v>
      </c>
      <c r="E58" s="16" t="s">
        <v>1969</v>
      </c>
      <c r="F58" s="122">
        <v>1.0</v>
      </c>
      <c r="G58" s="104"/>
      <c r="H58" s="104"/>
      <c r="I58" s="55" t="s">
        <v>1104</v>
      </c>
      <c r="J58" s="122">
        <v>7.0</v>
      </c>
      <c r="K58" s="16"/>
      <c r="L58" s="122">
        <v>1.0</v>
      </c>
      <c r="M58" s="55" t="s">
        <v>353</v>
      </c>
      <c r="N58" s="55">
        <v>1.0</v>
      </c>
      <c r="O58" s="16" t="s">
        <v>826</v>
      </c>
      <c r="P58" s="122">
        <v>2.0</v>
      </c>
      <c r="Q58" s="55" t="s">
        <v>1958</v>
      </c>
      <c r="R58" s="122">
        <v>1.0</v>
      </c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  <c r="CL58" s="105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C58" s="105"/>
      <c r="DD58" s="105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5"/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5"/>
      <c r="FB58" s="105"/>
      <c r="FC58" s="105"/>
      <c r="FD58" s="105"/>
      <c r="FE58" s="105"/>
      <c r="FF58" s="105"/>
      <c r="FG58" s="105"/>
      <c r="FH58" s="106"/>
      <c r="FI58" s="106"/>
    </row>
    <row r="59" ht="14.25" customHeight="1">
      <c r="A59" s="16" t="s">
        <v>532</v>
      </c>
      <c r="B59" s="122">
        <v>1.0</v>
      </c>
      <c r="C59" s="55" t="s">
        <v>2340</v>
      </c>
      <c r="D59" s="122">
        <v>23.0</v>
      </c>
      <c r="E59" s="16" t="s">
        <v>843</v>
      </c>
      <c r="F59" s="122">
        <v>1.0</v>
      </c>
      <c r="G59" s="104"/>
      <c r="H59" s="104"/>
      <c r="I59" s="55" t="s">
        <v>864</v>
      </c>
      <c r="J59" s="122">
        <v>1.0</v>
      </c>
      <c r="K59" s="55"/>
      <c r="L59" s="122">
        <v>1.0</v>
      </c>
      <c r="M59" s="55" t="s">
        <v>2341</v>
      </c>
      <c r="N59" s="55">
        <v>1.0</v>
      </c>
      <c r="O59" s="16" t="s">
        <v>1547</v>
      </c>
      <c r="P59" s="122">
        <v>2.0</v>
      </c>
      <c r="Q59" s="55" t="s">
        <v>2006</v>
      </c>
      <c r="R59" s="122">
        <v>1.0</v>
      </c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05"/>
      <c r="CQ59" s="105"/>
      <c r="CR59" s="105"/>
      <c r="CS59" s="105"/>
      <c r="CT59" s="105"/>
      <c r="CU59" s="105"/>
      <c r="CV59" s="105"/>
      <c r="CW59" s="105"/>
      <c r="CX59" s="105"/>
      <c r="CY59" s="105"/>
      <c r="CZ59" s="105"/>
      <c r="DA59" s="105"/>
      <c r="DB59" s="105"/>
      <c r="DC59" s="105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/>
      <c r="EU59" s="105"/>
      <c r="EV59" s="105"/>
      <c r="EW59" s="105"/>
      <c r="EX59" s="105"/>
      <c r="EY59" s="105"/>
      <c r="EZ59" s="105"/>
      <c r="FA59" s="105"/>
      <c r="FB59" s="105"/>
      <c r="FC59" s="105"/>
      <c r="FD59" s="105"/>
      <c r="FE59" s="105"/>
      <c r="FF59" s="105"/>
      <c r="FG59" s="105"/>
      <c r="FH59" s="106"/>
      <c r="FI59" s="106"/>
    </row>
    <row r="60" ht="14.25" customHeight="1">
      <c r="A60" s="55" t="s">
        <v>207</v>
      </c>
      <c r="B60" s="122">
        <v>1.0</v>
      </c>
      <c r="C60" s="55" t="s">
        <v>2342</v>
      </c>
      <c r="D60" s="122">
        <v>1.0</v>
      </c>
      <c r="E60" s="55" t="s">
        <v>2343</v>
      </c>
      <c r="F60" s="122">
        <v>13.0</v>
      </c>
      <c r="G60" s="104"/>
      <c r="H60" s="104"/>
      <c r="I60" s="55" t="s">
        <v>1857</v>
      </c>
      <c r="J60" s="122">
        <v>2.0</v>
      </c>
      <c r="K60" s="55" t="s">
        <v>2184</v>
      </c>
      <c r="L60" s="122">
        <v>1.0</v>
      </c>
      <c r="M60" s="55" t="s">
        <v>395</v>
      </c>
      <c r="N60" s="55">
        <v>1.0</v>
      </c>
      <c r="O60" s="16" t="s">
        <v>831</v>
      </c>
      <c r="P60" s="122">
        <v>2.0</v>
      </c>
      <c r="Q60" s="55" t="s">
        <v>2090</v>
      </c>
      <c r="R60" s="122">
        <v>1.0</v>
      </c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  <c r="CL60" s="105"/>
      <c r="CM60" s="105"/>
      <c r="CN60" s="105"/>
      <c r="CO60" s="105"/>
      <c r="CP60" s="105"/>
      <c r="CQ60" s="105"/>
      <c r="CR60" s="105"/>
      <c r="CS60" s="105"/>
      <c r="CT60" s="105"/>
      <c r="CU60" s="105"/>
      <c r="CV60" s="105"/>
      <c r="CW60" s="105"/>
      <c r="CX60" s="105"/>
      <c r="CY60" s="105"/>
      <c r="CZ60" s="105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/>
      <c r="EA60" s="105"/>
      <c r="EB60" s="105"/>
      <c r="EC60" s="105"/>
      <c r="ED60" s="105"/>
      <c r="EE60" s="105"/>
      <c r="EF60" s="105"/>
      <c r="EG60" s="105"/>
      <c r="EH60" s="105"/>
      <c r="EI60" s="105"/>
      <c r="EJ60" s="105"/>
      <c r="EK60" s="105"/>
      <c r="EL60" s="105"/>
      <c r="EM60" s="105"/>
      <c r="EN60" s="105"/>
      <c r="EO60" s="105"/>
      <c r="EP60" s="105"/>
      <c r="EQ60" s="105"/>
      <c r="ER60" s="105"/>
      <c r="ES60" s="105"/>
      <c r="ET60" s="105"/>
      <c r="EU60" s="105"/>
      <c r="EV60" s="105"/>
      <c r="EW60" s="105"/>
      <c r="EX60" s="105"/>
      <c r="EY60" s="105"/>
      <c r="EZ60" s="105"/>
      <c r="FA60" s="105"/>
      <c r="FB60" s="105"/>
      <c r="FC60" s="105"/>
      <c r="FD60" s="105"/>
      <c r="FE60" s="105"/>
      <c r="FF60" s="105"/>
      <c r="FG60" s="105"/>
      <c r="FH60" s="106"/>
      <c r="FI60" s="106"/>
    </row>
    <row r="61" ht="14.25" customHeight="1">
      <c r="A61" s="55" t="s">
        <v>223</v>
      </c>
      <c r="B61" s="122">
        <v>1.0</v>
      </c>
      <c r="C61" s="16" t="s">
        <v>1097</v>
      </c>
      <c r="D61" s="122">
        <v>11.0</v>
      </c>
      <c r="E61" s="16" t="s">
        <v>2242</v>
      </c>
      <c r="F61" s="122">
        <v>1.0</v>
      </c>
      <c r="G61" s="104"/>
      <c r="H61" s="104"/>
      <c r="I61" s="55" t="s">
        <v>1379</v>
      </c>
      <c r="J61" s="122">
        <v>2.0</v>
      </c>
      <c r="K61" s="55" t="s">
        <v>2200</v>
      </c>
      <c r="L61" s="122">
        <v>1.0</v>
      </c>
      <c r="M61" s="55" t="s">
        <v>408</v>
      </c>
      <c r="N61" s="55">
        <v>1.0</v>
      </c>
      <c r="O61" s="16" t="s">
        <v>1266</v>
      </c>
      <c r="P61" s="122">
        <v>1.0</v>
      </c>
      <c r="Q61" s="55" t="s">
        <v>2164</v>
      </c>
      <c r="R61" s="122">
        <v>1.0</v>
      </c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  <c r="CK61" s="105"/>
      <c r="CL61" s="105"/>
      <c r="CM61" s="105"/>
      <c r="CN61" s="105"/>
      <c r="CO61" s="105"/>
      <c r="CP61" s="105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C61" s="105"/>
      <c r="DD61" s="105"/>
      <c r="DE61" s="105"/>
      <c r="DF61" s="105"/>
      <c r="DG61" s="105"/>
      <c r="DH61" s="105"/>
      <c r="DI61" s="105"/>
      <c r="DJ61" s="105"/>
      <c r="DK61" s="105"/>
      <c r="DL61" s="105"/>
      <c r="DM61" s="105"/>
      <c r="DN61" s="105"/>
      <c r="DO61" s="105"/>
      <c r="DP61" s="105"/>
      <c r="DQ61" s="105"/>
      <c r="DR61" s="105"/>
      <c r="DS61" s="105"/>
      <c r="DT61" s="105"/>
      <c r="DU61" s="105"/>
      <c r="DV61" s="105"/>
      <c r="DW61" s="105"/>
      <c r="DX61" s="105"/>
      <c r="DY61" s="105"/>
      <c r="DZ61" s="105"/>
      <c r="EA61" s="105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105"/>
      <c r="ER61" s="105"/>
      <c r="ES61" s="105"/>
      <c r="ET61" s="105"/>
      <c r="EU61" s="105"/>
      <c r="EV61" s="105"/>
      <c r="EW61" s="105"/>
      <c r="EX61" s="105"/>
      <c r="EY61" s="105"/>
      <c r="EZ61" s="105"/>
      <c r="FA61" s="105"/>
      <c r="FB61" s="105"/>
      <c r="FC61" s="105"/>
      <c r="FD61" s="105"/>
      <c r="FE61" s="105"/>
      <c r="FF61" s="105"/>
      <c r="FG61" s="105"/>
      <c r="FH61" s="106"/>
      <c r="FI61" s="106"/>
    </row>
    <row r="62" ht="14.25" customHeight="1">
      <c r="A62" s="55" t="s">
        <v>310</v>
      </c>
      <c r="B62" s="122">
        <v>3.0</v>
      </c>
      <c r="C62" s="16" t="s">
        <v>1397</v>
      </c>
      <c r="D62" s="122">
        <v>2.0</v>
      </c>
      <c r="E62" s="16" t="s">
        <v>769</v>
      </c>
      <c r="F62" s="122">
        <v>2.0</v>
      </c>
      <c r="G62" s="104"/>
      <c r="H62" s="104"/>
      <c r="I62" s="55" t="s">
        <v>1842</v>
      </c>
      <c r="J62" s="122">
        <v>1.0</v>
      </c>
      <c r="K62" s="55" t="s">
        <v>2054</v>
      </c>
      <c r="L62" s="122">
        <v>1.0</v>
      </c>
      <c r="M62" s="55" t="s">
        <v>431</v>
      </c>
      <c r="N62" s="55">
        <v>1.0</v>
      </c>
      <c r="O62" s="16" t="s">
        <v>1071</v>
      </c>
      <c r="P62" s="122">
        <v>7.0</v>
      </c>
      <c r="Q62" s="55"/>
      <c r="R62" s="122">
        <v>1.0</v>
      </c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  <c r="CK62" s="105"/>
      <c r="CL62" s="105"/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/>
      <c r="FF62" s="105"/>
      <c r="FG62" s="105"/>
      <c r="FH62" s="106"/>
      <c r="FI62" s="106"/>
    </row>
    <row r="63" ht="14.25" customHeight="1">
      <c r="A63" s="55" t="s">
        <v>406</v>
      </c>
      <c r="B63" s="122">
        <v>1.0</v>
      </c>
      <c r="C63" s="55" t="s">
        <v>2344</v>
      </c>
      <c r="D63" s="122">
        <v>1.0</v>
      </c>
      <c r="E63" s="16" t="s">
        <v>116</v>
      </c>
      <c r="F63" s="122">
        <v>1.0</v>
      </c>
      <c r="G63" s="104"/>
      <c r="H63" s="104"/>
      <c r="I63" s="55" t="s">
        <v>1265</v>
      </c>
      <c r="J63" s="122">
        <v>1.0</v>
      </c>
      <c r="K63" s="55" t="s">
        <v>2185</v>
      </c>
      <c r="L63" s="122">
        <v>1.0</v>
      </c>
      <c r="M63" s="55" t="s">
        <v>461</v>
      </c>
      <c r="N63" s="55">
        <v>4.0</v>
      </c>
      <c r="O63" s="16" t="s">
        <v>556</v>
      </c>
      <c r="P63" s="122">
        <v>1.0</v>
      </c>
      <c r="Q63" s="16" t="s">
        <v>2253</v>
      </c>
      <c r="R63" s="122">
        <v>1.0</v>
      </c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6"/>
      <c r="FI63" s="106"/>
    </row>
    <row r="64" ht="14.25" customHeight="1">
      <c r="A64" s="55" t="s">
        <v>329</v>
      </c>
      <c r="B64" s="122">
        <v>1.0</v>
      </c>
      <c r="C64" s="55" t="s">
        <v>683</v>
      </c>
      <c r="D64" s="122">
        <v>1.0</v>
      </c>
      <c r="E64" s="55" t="s">
        <v>2192</v>
      </c>
      <c r="F64" s="122">
        <v>1.0</v>
      </c>
      <c r="G64" s="104"/>
      <c r="H64" s="104"/>
      <c r="I64" s="55" t="s">
        <v>1658</v>
      </c>
      <c r="J64" s="122">
        <v>4.0</v>
      </c>
      <c r="K64" s="55" t="s">
        <v>295</v>
      </c>
      <c r="L64" s="122">
        <v>1.0</v>
      </c>
      <c r="M64" s="55" t="s">
        <v>469</v>
      </c>
      <c r="N64" s="55">
        <v>1.0</v>
      </c>
      <c r="O64" s="55" t="s">
        <v>2345</v>
      </c>
      <c r="P64" s="122">
        <v>3.0</v>
      </c>
      <c r="Q64" s="55"/>
      <c r="R64" s="104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6"/>
      <c r="FI64" s="106"/>
    </row>
    <row r="65" ht="14.25" customHeight="1">
      <c r="A65" s="16" t="s">
        <v>348</v>
      </c>
      <c r="B65" s="122">
        <v>1.0</v>
      </c>
      <c r="C65" s="55" t="s">
        <v>2346</v>
      </c>
      <c r="D65" s="122">
        <v>1.0</v>
      </c>
      <c r="E65" s="16" t="s">
        <v>1980</v>
      </c>
      <c r="F65" s="122">
        <v>1.0</v>
      </c>
      <c r="G65" s="104"/>
      <c r="H65" s="104"/>
      <c r="I65" s="55" t="s">
        <v>882</v>
      </c>
      <c r="J65" s="122">
        <v>1.0</v>
      </c>
      <c r="K65" s="55" t="s">
        <v>2245</v>
      </c>
      <c r="L65" s="122">
        <v>1.0</v>
      </c>
      <c r="M65" s="55" t="s">
        <v>523</v>
      </c>
      <c r="N65" s="55">
        <v>1.0</v>
      </c>
      <c r="O65" s="16" t="s">
        <v>1761</v>
      </c>
      <c r="P65" s="122">
        <v>2.0</v>
      </c>
      <c r="Q65" s="104"/>
      <c r="R65" s="104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5"/>
      <c r="FB65" s="105"/>
      <c r="FC65" s="105"/>
      <c r="FD65" s="105"/>
      <c r="FE65" s="105"/>
      <c r="FF65" s="105"/>
      <c r="FG65" s="105"/>
      <c r="FH65" s="106"/>
      <c r="FI65" s="106"/>
    </row>
    <row r="66" ht="14.25" customHeight="1">
      <c r="A66" s="16" t="s">
        <v>451</v>
      </c>
      <c r="B66" s="122">
        <v>1.0</v>
      </c>
      <c r="C66" s="55" t="s">
        <v>2347</v>
      </c>
      <c r="D66" s="122">
        <v>1.0</v>
      </c>
      <c r="E66" s="104"/>
      <c r="F66" s="104"/>
      <c r="G66" s="104"/>
      <c r="H66" s="104"/>
      <c r="I66" s="55" t="s">
        <v>1222</v>
      </c>
      <c r="J66" s="122">
        <v>1.0</v>
      </c>
      <c r="K66" s="55" t="s">
        <v>2090</v>
      </c>
      <c r="L66" s="122">
        <v>1.0</v>
      </c>
      <c r="M66" s="55" t="s">
        <v>529</v>
      </c>
      <c r="N66" s="55">
        <v>1.0</v>
      </c>
      <c r="O66" s="16" t="s">
        <v>945</v>
      </c>
      <c r="P66" s="122">
        <v>2.0</v>
      </c>
      <c r="Q66" s="104"/>
      <c r="R66" s="104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105"/>
      <c r="CJ66" s="105"/>
      <c r="CK66" s="105"/>
      <c r="CL66" s="105"/>
      <c r="CM66" s="105"/>
      <c r="CN66" s="105"/>
      <c r="CO66" s="105"/>
      <c r="CP66" s="105"/>
      <c r="CQ66" s="105"/>
      <c r="CR66" s="105"/>
      <c r="CS66" s="105"/>
      <c r="CT66" s="105"/>
      <c r="CU66" s="105"/>
      <c r="CV66" s="105"/>
      <c r="CW66" s="105"/>
      <c r="CX66" s="105"/>
      <c r="CY66" s="105"/>
      <c r="CZ66" s="105"/>
      <c r="DA66" s="105"/>
      <c r="DB66" s="105"/>
      <c r="DC66" s="105"/>
      <c r="DD66" s="105"/>
      <c r="DE66" s="105"/>
      <c r="DF66" s="105"/>
      <c r="DG66" s="105"/>
      <c r="DH66" s="105"/>
      <c r="DI66" s="105"/>
      <c r="DJ66" s="105"/>
      <c r="DK66" s="105"/>
      <c r="DL66" s="105"/>
      <c r="DM66" s="105"/>
      <c r="DN66" s="105"/>
      <c r="DO66" s="105"/>
      <c r="DP66" s="105"/>
      <c r="DQ66" s="105"/>
      <c r="DR66" s="105"/>
      <c r="DS66" s="105"/>
      <c r="DT66" s="105"/>
      <c r="DU66" s="105"/>
      <c r="DV66" s="105"/>
      <c r="DW66" s="105"/>
      <c r="DX66" s="105"/>
      <c r="DY66" s="105"/>
      <c r="DZ66" s="105"/>
      <c r="EA66" s="105"/>
      <c r="EB66" s="105"/>
      <c r="EC66" s="105"/>
      <c r="ED66" s="105"/>
      <c r="EE66" s="105"/>
      <c r="EF66" s="105"/>
      <c r="EG66" s="105"/>
      <c r="EH66" s="105"/>
      <c r="EI66" s="105"/>
      <c r="EJ66" s="105"/>
      <c r="EK66" s="105"/>
      <c r="EL66" s="105"/>
      <c r="EM66" s="105"/>
      <c r="EN66" s="105"/>
      <c r="EO66" s="105"/>
      <c r="EP66" s="105"/>
      <c r="EQ66" s="105"/>
      <c r="ER66" s="105"/>
      <c r="ES66" s="105"/>
      <c r="ET66" s="105"/>
      <c r="EU66" s="105"/>
      <c r="EV66" s="105"/>
      <c r="EW66" s="105"/>
      <c r="EX66" s="105"/>
      <c r="EY66" s="105"/>
      <c r="EZ66" s="105"/>
      <c r="FA66" s="105"/>
      <c r="FB66" s="105"/>
      <c r="FC66" s="105"/>
      <c r="FD66" s="105"/>
      <c r="FE66" s="105"/>
      <c r="FF66" s="105"/>
      <c r="FG66" s="105"/>
      <c r="FH66" s="106"/>
      <c r="FI66" s="106"/>
    </row>
    <row r="67" ht="14.25" customHeight="1">
      <c r="A67" s="55" t="s">
        <v>467</v>
      </c>
      <c r="B67" s="122">
        <v>1.0</v>
      </c>
      <c r="C67" s="55" t="s">
        <v>2348</v>
      </c>
      <c r="D67" s="122">
        <v>2.0</v>
      </c>
      <c r="E67" s="104"/>
      <c r="F67" s="104"/>
      <c r="G67" s="104"/>
      <c r="H67" s="104"/>
      <c r="I67" s="55" t="s">
        <v>1568</v>
      </c>
      <c r="J67" s="122">
        <v>1.0</v>
      </c>
      <c r="K67" s="55" t="s">
        <v>2162</v>
      </c>
      <c r="L67" s="122">
        <v>1.0</v>
      </c>
      <c r="M67" s="55" t="s">
        <v>540</v>
      </c>
      <c r="N67" s="55">
        <v>1.0</v>
      </c>
      <c r="O67" s="16" t="s">
        <v>717</v>
      </c>
      <c r="P67" s="122">
        <v>1.0</v>
      </c>
      <c r="Q67" s="104"/>
      <c r="R67" s="104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5"/>
      <c r="DC67" s="105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5"/>
      <c r="DV67" s="105"/>
      <c r="DW67" s="105"/>
      <c r="DX67" s="105"/>
      <c r="DY67" s="105"/>
      <c r="DZ67" s="105"/>
      <c r="EA67" s="105"/>
      <c r="EB67" s="105"/>
      <c r="EC67" s="105"/>
      <c r="ED67" s="105"/>
      <c r="EE67" s="105"/>
      <c r="EF67" s="105"/>
      <c r="EG67" s="105"/>
      <c r="EH67" s="105"/>
      <c r="EI67" s="105"/>
      <c r="EJ67" s="105"/>
      <c r="EK67" s="105"/>
      <c r="EL67" s="105"/>
      <c r="EM67" s="105"/>
      <c r="EN67" s="105"/>
      <c r="EO67" s="105"/>
      <c r="EP67" s="105"/>
      <c r="EQ67" s="105"/>
      <c r="ER67" s="105"/>
      <c r="ES67" s="105"/>
      <c r="ET67" s="105"/>
      <c r="EU67" s="105"/>
      <c r="EV67" s="105"/>
      <c r="EW67" s="105"/>
      <c r="EX67" s="105"/>
      <c r="EY67" s="105"/>
      <c r="EZ67" s="105"/>
      <c r="FA67" s="105"/>
      <c r="FB67" s="105"/>
      <c r="FC67" s="105"/>
      <c r="FD67" s="105"/>
      <c r="FE67" s="105"/>
      <c r="FF67" s="105"/>
      <c r="FG67" s="105"/>
      <c r="FH67" s="106"/>
      <c r="FI67" s="106"/>
    </row>
    <row r="68" ht="14.25" customHeight="1">
      <c r="A68" s="16" t="s">
        <v>528</v>
      </c>
      <c r="B68" s="122">
        <v>1.0</v>
      </c>
      <c r="C68" s="16" t="s">
        <v>528</v>
      </c>
      <c r="D68" s="122">
        <v>3.0</v>
      </c>
      <c r="E68" s="104"/>
      <c r="F68" s="104"/>
      <c r="G68" s="104"/>
      <c r="H68" s="104"/>
      <c r="I68" s="55" t="s">
        <v>1457</v>
      </c>
      <c r="J68" s="122">
        <v>1.0</v>
      </c>
      <c r="K68" s="104"/>
      <c r="L68" s="104"/>
      <c r="M68" s="55" t="s">
        <v>258</v>
      </c>
      <c r="N68" s="55">
        <v>1.0</v>
      </c>
      <c r="O68" s="16" t="s">
        <v>804</v>
      </c>
      <c r="P68" s="122">
        <v>1.0</v>
      </c>
      <c r="Q68" s="104"/>
      <c r="R68" s="104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5"/>
      <c r="DC68" s="105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5"/>
      <c r="EG68" s="105"/>
      <c r="EH68" s="105"/>
      <c r="EI68" s="105"/>
      <c r="EJ68" s="105"/>
      <c r="EK68" s="105"/>
      <c r="EL68" s="105"/>
      <c r="EM68" s="105"/>
      <c r="EN68" s="105"/>
      <c r="EO68" s="105"/>
      <c r="EP68" s="105"/>
      <c r="EQ68" s="105"/>
      <c r="ER68" s="105"/>
      <c r="ES68" s="105"/>
      <c r="ET68" s="105"/>
      <c r="EU68" s="105"/>
      <c r="EV68" s="105"/>
      <c r="EW68" s="105"/>
      <c r="EX68" s="105"/>
      <c r="EY68" s="105"/>
      <c r="EZ68" s="105"/>
      <c r="FA68" s="105"/>
      <c r="FB68" s="105"/>
      <c r="FC68" s="105"/>
      <c r="FD68" s="105"/>
      <c r="FE68" s="105"/>
      <c r="FF68" s="105"/>
      <c r="FG68" s="105"/>
      <c r="FH68" s="106"/>
      <c r="FI68" s="106"/>
    </row>
    <row r="69" ht="14.25" customHeight="1">
      <c r="A69" s="104"/>
      <c r="B69" s="104"/>
      <c r="C69" s="55" t="s">
        <v>1803</v>
      </c>
      <c r="D69" s="122">
        <v>1.0</v>
      </c>
      <c r="E69" s="104"/>
      <c r="F69" s="104"/>
      <c r="G69" s="104"/>
      <c r="H69" s="104"/>
      <c r="I69" s="55" t="s">
        <v>1526</v>
      </c>
      <c r="J69" s="122">
        <v>1.0</v>
      </c>
      <c r="K69" s="104"/>
      <c r="L69" s="104"/>
      <c r="M69" s="55" t="s">
        <v>287</v>
      </c>
      <c r="N69" s="55">
        <v>1.0</v>
      </c>
      <c r="O69" s="16" t="s">
        <v>884</v>
      </c>
      <c r="P69" s="122">
        <v>1.0</v>
      </c>
      <c r="Q69" s="104"/>
      <c r="R69" s="104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  <c r="CK69" s="105"/>
      <c r="CL69" s="105"/>
      <c r="CM69" s="105"/>
      <c r="CN69" s="105"/>
      <c r="CO69" s="105"/>
      <c r="CP69" s="105"/>
      <c r="CQ69" s="105"/>
      <c r="CR69" s="105"/>
      <c r="CS69" s="105"/>
      <c r="CT69" s="105"/>
      <c r="CU69" s="105"/>
      <c r="CV69" s="105"/>
      <c r="CW69" s="105"/>
      <c r="CX69" s="105"/>
      <c r="CY69" s="105"/>
      <c r="CZ69" s="105"/>
      <c r="DA69" s="105"/>
      <c r="DB69" s="105"/>
      <c r="DC69" s="105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/>
      <c r="EH69" s="105"/>
      <c r="EI69" s="105"/>
      <c r="EJ69" s="105"/>
      <c r="EK69" s="105"/>
      <c r="EL69" s="105"/>
      <c r="EM69" s="105"/>
      <c r="EN69" s="105"/>
      <c r="EO69" s="105"/>
      <c r="EP69" s="105"/>
      <c r="EQ69" s="105"/>
      <c r="ER69" s="105"/>
      <c r="ES69" s="105"/>
      <c r="ET69" s="105"/>
      <c r="EU69" s="105"/>
      <c r="EV69" s="105"/>
      <c r="EW69" s="105"/>
      <c r="EX69" s="105"/>
      <c r="EY69" s="105"/>
      <c r="EZ69" s="105"/>
      <c r="FA69" s="105"/>
      <c r="FB69" s="105"/>
      <c r="FC69" s="105"/>
      <c r="FD69" s="105"/>
      <c r="FE69" s="105"/>
      <c r="FF69" s="105"/>
      <c r="FG69" s="105"/>
      <c r="FH69" s="106"/>
      <c r="FI69" s="106"/>
    </row>
    <row r="70" ht="14.25" customHeight="1">
      <c r="A70" s="104"/>
      <c r="B70" s="104"/>
      <c r="C70" s="104"/>
      <c r="D70" s="104"/>
      <c r="E70" s="104"/>
      <c r="F70" s="104"/>
      <c r="G70" s="104"/>
      <c r="H70" s="104"/>
      <c r="I70" s="55" t="s">
        <v>1806</v>
      </c>
      <c r="J70" s="122">
        <v>1.0</v>
      </c>
      <c r="K70" s="104"/>
      <c r="L70" s="104"/>
      <c r="M70" s="55" t="s">
        <v>305</v>
      </c>
      <c r="N70" s="55">
        <v>1.0</v>
      </c>
      <c r="O70" s="16" t="s">
        <v>907</v>
      </c>
      <c r="P70" s="122">
        <v>1.0</v>
      </c>
      <c r="Q70" s="104"/>
      <c r="R70" s="104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5"/>
      <c r="CJ70" s="105"/>
      <c r="CK70" s="105"/>
      <c r="CL70" s="105"/>
      <c r="CM70" s="105"/>
      <c r="CN70" s="105"/>
      <c r="CO70" s="105"/>
      <c r="CP70" s="105"/>
      <c r="CQ70" s="105"/>
      <c r="CR70" s="105"/>
      <c r="CS70" s="105"/>
      <c r="CT70" s="105"/>
      <c r="CU70" s="105"/>
      <c r="CV70" s="105"/>
      <c r="CW70" s="105"/>
      <c r="CX70" s="105"/>
      <c r="CY70" s="105"/>
      <c r="CZ70" s="105"/>
      <c r="DA70" s="105"/>
      <c r="DB70" s="105"/>
      <c r="DC70" s="105"/>
      <c r="DD70" s="105"/>
      <c r="DE70" s="105"/>
      <c r="DF70" s="105"/>
      <c r="DG70" s="105"/>
      <c r="DH70" s="105"/>
      <c r="DI70" s="105"/>
      <c r="DJ70" s="105"/>
      <c r="DK70" s="105"/>
      <c r="DL70" s="105"/>
      <c r="DM70" s="105"/>
      <c r="DN70" s="105"/>
      <c r="DO70" s="105"/>
      <c r="DP70" s="105"/>
      <c r="DQ70" s="105"/>
      <c r="DR70" s="105"/>
      <c r="DS70" s="105"/>
      <c r="DT70" s="105"/>
      <c r="DU70" s="105"/>
      <c r="DV70" s="105"/>
      <c r="DW70" s="105"/>
      <c r="DX70" s="105"/>
      <c r="DY70" s="105"/>
      <c r="DZ70" s="105"/>
      <c r="EA70" s="105"/>
      <c r="EB70" s="105"/>
      <c r="EC70" s="105"/>
      <c r="ED70" s="105"/>
      <c r="EE70" s="105"/>
      <c r="EF70" s="105"/>
      <c r="EG70" s="105"/>
      <c r="EH70" s="105"/>
      <c r="EI70" s="105"/>
      <c r="EJ70" s="105"/>
      <c r="EK70" s="105"/>
      <c r="EL70" s="105"/>
      <c r="EM70" s="105"/>
      <c r="EN70" s="105"/>
      <c r="EO70" s="105"/>
      <c r="EP70" s="105"/>
      <c r="EQ70" s="105"/>
      <c r="ER70" s="105"/>
      <c r="ES70" s="105"/>
      <c r="ET70" s="105"/>
      <c r="EU70" s="105"/>
      <c r="EV70" s="105"/>
      <c r="EW70" s="105"/>
      <c r="EX70" s="105"/>
      <c r="EY70" s="105"/>
      <c r="EZ70" s="105"/>
      <c r="FA70" s="105"/>
      <c r="FB70" s="105"/>
      <c r="FC70" s="105"/>
      <c r="FD70" s="105"/>
      <c r="FE70" s="105"/>
      <c r="FF70" s="105"/>
      <c r="FG70" s="105"/>
      <c r="FH70" s="106"/>
      <c r="FI70" s="106"/>
    </row>
    <row r="71" ht="14.25" customHeight="1">
      <c r="A71" s="104"/>
      <c r="B71" s="104"/>
      <c r="C71" s="104"/>
      <c r="D71" s="104"/>
      <c r="E71" s="104"/>
      <c r="F71" s="104"/>
      <c r="G71" s="104"/>
      <c r="H71" s="104"/>
      <c r="I71" s="55" t="s">
        <v>613</v>
      </c>
      <c r="J71" s="122">
        <v>1.0</v>
      </c>
      <c r="K71" s="104"/>
      <c r="L71" s="104"/>
      <c r="M71" s="55" t="s">
        <v>342</v>
      </c>
      <c r="N71" s="55">
        <v>1.0</v>
      </c>
      <c r="O71" s="16" t="s">
        <v>1022</v>
      </c>
      <c r="P71" s="122">
        <v>1.0</v>
      </c>
      <c r="Q71" s="104"/>
      <c r="R71" s="104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  <c r="CK71" s="105"/>
      <c r="CL71" s="105"/>
      <c r="CM71" s="105"/>
      <c r="CN71" s="105"/>
      <c r="CO71" s="105"/>
      <c r="CP71" s="105"/>
      <c r="CQ71" s="105"/>
      <c r="CR71" s="105"/>
      <c r="CS71" s="105"/>
      <c r="CT71" s="105"/>
      <c r="CU71" s="105"/>
      <c r="CV71" s="105"/>
      <c r="CW71" s="105"/>
      <c r="CX71" s="105"/>
      <c r="CY71" s="105"/>
      <c r="CZ71" s="105"/>
      <c r="DA71" s="105"/>
      <c r="DB71" s="105"/>
      <c r="DC71" s="105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/>
      <c r="DO71" s="105"/>
      <c r="DP71" s="105"/>
      <c r="DQ71" s="105"/>
      <c r="DR71" s="105"/>
      <c r="DS71" s="105"/>
      <c r="DT71" s="105"/>
      <c r="DU71" s="105"/>
      <c r="DV71" s="105"/>
      <c r="DW71" s="105"/>
      <c r="DX71" s="105"/>
      <c r="DY71" s="105"/>
      <c r="DZ71" s="105"/>
      <c r="EA71" s="105"/>
      <c r="EB71" s="105"/>
      <c r="EC71" s="105"/>
      <c r="ED71" s="105"/>
      <c r="EE71" s="105"/>
      <c r="EF71" s="105"/>
      <c r="EG71" s="105"/>
      <c r="EH71" s="105"/>
      <c r="EI71" s="105"/>
      <c r="EJ71" s="105"/>
      <c r="EK71" s="105"/>
      <c r="EL71" s="105"/>
      <c r="EM71" s="105"/>
      <c r="EN71" s="105"/>
      <c r="EO71" s="105"/>
      <c r="EP71" s="105"/>
      <c r="EQ71" s="105"/>
      <c r="ER71" s="105"/>
      <c r="ES71" s="105"/>
      <c r="ET71" s="105"/>
      <c r="EU71" s="105"/>
      <c r="EV71" s="105"/>
      <c r="EW71" s="105"/>
      <c r="EX71" s="105"/>
      <c r="EY71" s="105"/>
      <c r="EZ71" s="105"/>
      <c r="FA71" s="105"/>
      <c r="FB71" s="105"/>
      <c r="FC71" s="105"/>
      <c r="FD71" s="105"/>
      <c r="FE71" s="105"/>
      <c r="FF71" s="105"/>
      <c r="FG71" s="105"/>
      <c r="FH71" s="106"/>
      <c r="FI71" s="106"/>
    </row>
    <row r="72" ht="14.25" customHeight="1">
      <c r="A72" s="104"/>
      <c r="B72" s="104"/>
      <c r="C72" s="104"/>
      <c r="D72" s="104"/>
      <c r="E72" s="104"/>
      <c r="F72" s="104"/>
      <c r="G72" s="104"/>
      <c r="H72" s="104"/>
      <c r="I72" s="55" t="s">
        <v>883</v>
      </c>
      <c r="J72" s="122">
        <v>1.0</v>
      </c>
      <c r="K72" s="104"/>
      <c r="L72" s="104"/>
      <c r="M72" s="55" t="s">
        <v>506</v>
      </c>
      <c r="N72" s="55">
        <v>1.0</v>
      </c>
      <c r="O72" s="16" t="s">
        <v>1369</v>
      </c>
      <c r="P72" s="122">
        <v>1.0</v>
      </c>
      <c r="Q72" s="104"/>
      <c r="R72" s="104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  <c r="CL72" s="105"/>
      <c r="CM72" s="105"/>
      <c r="CN72" s="105"/>
      <c r="CO72" s="105"/>
      <c r="CP72" s="105"/>
      <c r="CQ72" s="105"/>
      <c r="CR72" s="105"/>
      <c r="CS72" s="105"/>
      <c r="CT72" s="105"/>
      <c r="CU72" s="105"/>
      <c r="CV72" s="105"/>
      <c r="CW72" s="105"/>
      <c r="CX72" s="105"/>
      <c r="CY72" s="105"/>
      <c r="CZ72" s="105"/>
      <c r="DA72" s="105"/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5"/>
      <c r="FB72" s="105"/>
      <c r="FC72" s="105"/>
      <c r="FD72" s="105"/>
      <c r="FE72" s="105"/>
      <c r="FF72" s="105"/>
      <c r="FG72" s="105"/>
      <c r="FH72" s="106"/>
      <c r="FI72" s="106"/>
    </row>
    <row r="73" ht="14.25" customHeight="1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6" t="s">
        <v>1418</v>
      </c>
      <c r="P73" s="122">
        <v>1.0</v>
      </c>
      <c r="Q73" s="104"/>
      <c r="R73" s="104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  <c r="CK73" s="105"/>
      <c r="CL73" s="105"/>
      <c r="CM73" s="105"/>
      <c r="CN73" s="105"/>
      <c r="CO73" s="105"/>
      <c r="CP73" s="105"/>
      <c r="CQ73" s="105"/>
      <c r="CR73" s="105"/>
      <c r="CS73" s="105"/>
      <c r="CT73" s="105"/>
      <c r="CU73" s="105"/>
      <c r="CV73" s="105"/>
      <c r="CW73" s="105"/>
      <c r="CX73" s="105"/>
      <c r="CY73" s="105"/>
      <c r="CZ73" s="105"/>
      <c r="DA73" s="105"/>
      <c r="DB73" s="105"/>
      <c r="DC73" s="105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5"/>
      <c r="EG73" s="105"/>
      <c r="EH73" s="105"/>
      <c r="EI73" s="105"/>
      <c r="EJ73" s="105"/>
      <c r="EK73" s="105"/>
      <c r="EL73" s="105"/>
      <c r="EM73" s="105"/>
      <c r="EN73" s="105"/>
      <c r="EO73" s="105"/>
      <c r="EP73" s="105"/>
      <c r="EQ73" s="105"/>
      <c r="ER73" s="105"/>
      <c r="ES73" s="105"/>
      <c r="ET73" s="105"/>
      <c r="EU73" s="105"/>
      <c r="EV73" s="105"/>
      <c r="EW73" s="105"/>
      <c r="EX73" s="105"/>
      <c r="EY73" s="105"/>
      <c r="EZ73" s="105"/>
      <c r="FA73" s="105"/>
      <c r="FB73" s="105"/>
      <c r="FC73" s="105"/>
      <c r="FD73" s="105"/>
      <c r="FE73" s="105"/>
      <c r="FF73" s="105"/>
      <c r="FG73" s="105"/>
      <c r="FH73" s="106"/>
      <c r="FI73" s="106"/>
    </row>
    <row r="74" ht="14.25" customHeight="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6" t="s">
        <v>1527</v>
      </c>
      <c r="P74" s="122">
        <v>1.0</v>
      </c>
      <c r="Q74" s="104"/>
      <c r="R74" s="104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5"/>
      <c r="CJ74" s="105"/>
      <c r="CK74" s="105"/>
      <c r="CL74" s="105"/>
      <c r="CM74" s="105"/>
      <c r="CN74" s="105"/>
      <c r="CO74" s="105"/>
      <c r="CP74" s="105"/>
      <c r="CQ74" s="105"/>
      <c r="CR74" s="105"/>
      <c r="CS74" s="105"/>
      <c r="CT74" s="105"/>
      <c r="CU74" s="105"/>
      <c r="CV74" s="105"/>
      <c r="CW74" s="105"/>
      <c r="CX74" s="105"/>
      <c r="CY74" s="105"/>
      <c r="CZ74" s="105"/>
      <c r="DA74" s="105"/>
      <c r="DB74" s="105"/>
      <c r="DC74" s="105"/>
      <c r="DD74" s="105"/>
      <c r="DE74" s="105"/>
      <c r="DF74" s="105"/>
      <c r="DG74" s="105"/>
      <c r="DH74" s="105"/>
      <c r="DI74" s="105"/>
      <c r="DJ74" s="105"/>
      <c r="DK74" s="105"/>
      <c r="DL74" s="105"/>
      <c r="DM74" s="105"/>
      <c r="DN74" s="105"/>
      <c r="DO74" s="105"/>
      <c r="DP74" s="105"/>
      <c r="DQ74" s="105"/>
      <c r="DR74" s="105"/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5"/>
      <c r="EG74" s="105"/>
      <c r="EH74" s="105"/>
      <c r="EI74" s="105"/>
      <c r="EJ74" s="105"/>
      <c r="EK74" s="105"/>
      <c r="EL74" s="105"/>
      <c r="EM74" s="105"/>
      <c r="EN74" s="105"/>
      <c r="EO74" s="105"/>
      <c r="EP74" s="105"/>
      <c r="EQ74" s="105"/>
      <c r="ER74" s="105"/>
      <c r="ES74" s="105"/>
      <c r="ET74" s="105"/>
      <c r="EU74" s="105"/>
      <c r="EV74" s="105"/>
      <c r="EW74" s="105"/>
      <c r="EX74" s="105"/>
      <c r="EY74" s="105"/>
      <c r="EZ74" s="105"/>
      <c r="FA74" s="105"/>
      <c r="FB74" s="105"/>
      <c r="FC74" s="105"/>
      <c r="FD74" s="105"/>
      <c r="FE74" s="105"/>
      <c r="FF74" s="105"/>
      <c r="FG74" s="105"/>
      <c r="FH74" s="106"/>
      <c r="FI74" s="106"/>
    </row>
    <row r="75" ht="14.25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6" t="s">
        <v>1536</v>
      </c>
      <c r="P75" s="122">
        <v>1.0</v>
      </c>
      <c r="Q75" s="104"/>
      <c r="R75" s="104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/>
      <c r="FG75" s="105"/>
      <c r="FH75" s="106"/>
      <c r="FI75" s="106"/>
    </row>
    <row r="76" ht="14.2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6" t="s">
        <v>1653</v>
      </c>
      <c r="P76" s="122">
        <v>1.0</v>
      </c>
      <c r="Q76" s="104"/>
      <c r="R76" s="104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5"/>
      <c r="CT76" s="105"/>
      <c r="CU76" s="105"/>
      <c r="CV76" s="105"/>
      <c r="CW76" s="105"/>
      <c r="CX76" s="105"/>
      <c r="CY76" s="105"/>
      <c r="CZ76" s="105"/>
      <c r="DA76" s="105"/>
      <c r="DB76" s="105"/>
      <c r="DC76" s="105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5"/>
      <c r="EG76" s="105"/>
      <c r="EH76" s="105"/>
      <c r="EI76" s="105"/>
      <c r="EJ76" s="105"/>
      <c r="EK76" s="105"/>
      <c r="EL76" s="105"/>
      <c r="EM76" s="105"/>
      <c r="EN76" s="105"/>
      <c r="EO76" s="105"/>
      <c r="EP76" s="105"/>
      <c r="EQ76" s="105"/>
      <c r="ER76" s="105"/>
      <c r="ES76" s="105"/>
      <c r="ET76" s="105"/>
      <c r="EU76" s="105"/>
      <c r="EV76" s="105"/>
      <c r="EW76" s="105"/>
      <c r="EX76" s="105"/>
      <c r="EY76" s="105"/>
      <c r="EZ76" s="105"/>
      <c r="FA76" s="105"/>
      <c r="FB76" s="105"/>
      <c r="FC76" s="105"/>
      <c r="FD76" s="105"/>
      <c r="FE76" s="105"/>
      <c r="FF76" s="105"/>
      <c r="FG76" s="105"/>
      <c r="FH76" s="106"/>
      <c r="FI76" s="106"/>
    </row>
    <row r="77" ht="14.2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6" t="s">
        <v>1744</v>
      </c>
      <c r="P77" s="122">
        <v>1.0</v>
      </c>
      <c r="Q77" s="104"/>
      <c r="R77" s="104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05"/>
      <c r="ER77" s="105"/>
      <c r="ES77" s="105"/>
      <c r="ET77" s="105"/>
      <c r="EU77" s="105"/>
      <c r="EV77" s="105"/>
      <c r="EW77" s="105"/>
      <c r="EX77" s="105"/>
      <c r="EY77" s="105"/>
      <c r="EZ77" s="105"/>
      <c r="FA77" s="105"/>
      <c r="FB77" s="105"/>
      <c r="FC77" s="105"/>
      <c r="FD77" s="105"/>
      <c r="FE77" s="105"/>
      <c r="FF77" s="105"/>
      <c r="FG77" s="105"/>
      <c r="FH77" s="106"/>
      <c r="FI77" s="106"/>
    </row>
    <row r="78" ht="14.25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6" t="s">
        <v>646</v>
      </c>
      <c r="P78" s="122">
        <v>1.0</v>
      </c>
      <c r="Q78" s="104"/>
      <c r="R78" s="104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5"/>
      <c r="CT78" s="105"/>
      <c r="CU78" s="105"/>
      <c r="CV78" s="105"/>
      <c r="CW78" s="105"/>
      <c r="CX78" s="105"/>
      <c r="CY78" s="105"/>
      <c r="CZ78" s="105"/>
      <c r="DA78" s="105"/>
      <c r="DB78" s="105"/>
      <c r="DC78" s="105"/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05"/>
      <c r="ER78" s="105"/>
      <c r="ES78" s="105"/>
      <c r="ET78" s="105"/>
      <c r="EU78" s="105"/>
      <c r="EV78" s="105"/>
      <c r="EW78" s="105"/>
      <c r="EX78" s="105"/>
      <c r="EY78" s="105"/>
      <c r="EZ78" s="105"/>
      <c r="FA78" s="105"/>
      <c r="FB78" s="105"/>
      <c r="FC78" s="105"/>
      <c r="FD78" s="105"/>
      <c r="FE78" s="105"/>
      <c r="FF78" s="105"/>
      <c r="FG78" s="105"/>
      <c r="FH78" s="106"/>
      <c r="FI78" s="106"/>
    </row>
    <row r="79" ht="14.25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6" t="s">
        <v>655</v>
      </c>
      <c r="P79" s="122">
        <v>1.0</v>
      </c>
      <c r="Q79" s="104"/>
      <c r="R79" s="104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  <c r="CK79" s="105"/>
      <c r="CL79" s="105"/>
      <c r="CM79" s="105"/>
      <c r="CN79" s="105"/>
      <c r="CO79" s="105"/>
      <c r="CP79" s="105"/>
      <c r="CQ79" s="105"/>
      <c r="CR79" s="105"/>
      <c r="CS79" s="105"/>
      <c r="CT79" s="105"/>
      <c r="CU79" s="105"/>
      <c r="CV79" s="105"/>
      <c r="CW79" s="105"/>
      <c r="CX79" s="105"/>
      <c r="CY79" s="105"/>
      <c r="CZ79" s="105"/>
      <c r="DA79" s="105"/>
      <c r="DB79" s="105"/>
      <c r="DC79" s="105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5"/>
      <c r="EG79" s="105"/>
      <c r="EH79" s="105"/>
      <c r="EI79" s="105"/>
      <c r="EJ79" s="105"/>
      <c r="EK79" s="105"/>
      <c r="EL79" s="105"/>
      <c r="EM79" s="105"/>
      <c r="EN79" s="105"/>
      <c r="EO79" s="105"/>
      <c r="EP79" s="105"/>
      <c r="EQ79" s="105"/>
      <c r="ER79" s="105"/>
      <c r="ES79" s="105"/>
      <c r="ET79" s="105"/>
      <c r="EU79" s="105"/>
      <c r="EV79" s="105"/>
      <c r="EW79" s="105"/>
      <c r="EX79" s="105"/>
      <c r="EY79" s="105"/>
      <c r="EZ79" s="105"/>
      <c r="FA79" s="105"/>
      <c r="FB79" s="105"/>
      <c r="FC79" s="105"/>
      <c r="FD79" s="105"/>
      <c r="FE79" s="105"/>
      <c r="FF79" s="105"/>
      <c r="FG79" s="105"/>
      <c r="FH79" s="106"/>
      <c r="FI79" s="106"/>
    </row>
    <row r="80" ht="14.2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6" t="s">
        <v>721</v>
      </c>
      <c r="P80" s="122">
        <v>1.0</v>
      </c>
      <c r="Q80" s="104"/>
      <c r="R80" s="104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  <c r="CK80" s="105"/>
      <c r="CL80" s="105"/>
      <c r="CM80" s="105"/>
      <c r="CN80" s="105"/>
      <c r="CO80" s="105"/>
      <c r="CP80" s="105"/>
      <c r="CQ80" s="105"/>
      <c r="CR80" s="105"/>
      <c r="CS80" s="105"/>
      <c r="CT80" s="105"/>
      <c r="CU80" s="105"/>
      <c r="CV80" s="105"/>
      <c r="CW80" s="105"/>
      <c r="CX80" s="105"/>
      <c r="CY80" s="105"/>
      <c r="CZ80" s="105"/>
      <c r="DA80" s="105"/>
      <c r="DB80" s="105"/>
      <c r="DC80" s="105"/>
      <c r="DD80" s="105"/>
      <c r="DE80" s="105"/>
      <c r="DF80" s="105"/>
      <c r="DG80" s="105"/>
      <c r="DH80" s="105"/>
      <c r="DI80" s="105"/>
      <c r="DJ80" s="105"/>
      <c r="DK80" s="105"/>
      <c r="DL80" s="105"/>
      <c r="DM80" s="105"/>
      <c r="DN80" s="105"/>
      <c r="DO80" s="105"/>
      <c r="DP80" s="105"/>
      <c r="DQ80" s="105"/>
      <c r="DR80" s="105"/>
      <c r="DS80" s="105"/>
      <c r="DT80" s="105"/>
      <c r="DU80" s="105"/>
      <c r="DV80" s="105"/>
      <c r="DW80" s="105"/>
      <c r="DX80" s="105"/>
      <c r="DY80" s="105"/>
      <c r="DZ80" s="105"/>
      <c r="EA80" s="105"/>
      <c r="EB80" s="105"/>
      <c r="EC80" s="105"/>
      <c r="ED80" s="105"/>
      <c r="EE80" s="105"/>
      <c r="EF80" s="105"/>
      <c r="EG80" s="105"/>
      <c r="EH80" s="105"/>
      <c r="EI80" s="105"/>
      <c r="EJ80" s="105"/>
      <c r="EK80" s="105"/>
      <c r="EL80" s="105"/>
      <c r="EM80" s="105"/>
      <c r="EN80" s="105"/>
      <c r="EO80" s="105"/>
      <c r="EP80" s="105"/>
      <c r="EQ80" s="105"/>
      <c r="ER80" s="105"/>
      <c r="ES80" s="105"/>
      <c r="ET80" s="105"/>
      <c r="EU80" s="105"/>
      <c r="EV80" s="105"/>
      <c r="EW80" s="105"/>
      <c r="EX80" s="105"/>
      <c r="EY80" s="105"/>
      <c r="EZ80" s="105"/>
      <c r="FA80" s="105"/>
      <c r="FB80" s="105"/>
      <c r="FC80" s="105"/>
      <c r="FD80" s="105"/>
      <c r="FE80" s="105"/>
      <c r="FF80" s="105"/>
      <c r="FG80" s="105"/>
      <c r="FH80" s="106"/>
      <c r="FI80" s="106"/>
    </row>
    <row r="81" ht="14.25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6" t="s">
        <v>776</v>
      </c>
      <c r="P81" s="122">
        <v>1.0</v>
      </c>
      <c r="Q81" s="104"/>
      <c r="R81" s="104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05"/>
      <c r="ER81" s="105"/>
      <c r="ES81" s="105"/>
      <c r="ET81" s="105"/>
      <c r="EU81" s="105"/>
      <c r="EV81" s="105"/>
      <c r="EW81" s="105"/>
      <c r="EX81" s="105"/>
      <c r="EY81" s="105"/>
      <c r="EZ81" s="105"/>
      <c r="FA81" s="105"/>
      <c r="FB81" s="105"/>
      <c r="FC81" s="105"/>
      <c r="FD81" s="105"/>
      <c r="FE81" s="105"/>
      <c r="FF81" s="105"/>
      <c r="FG81" s="105"/>
      <c r="FH81" s="106"/>
      <c r="FI81" s="106"/>
    </row>
    <row r="82" ht="14.2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6" t="s">
        <v>809</v>
      </c>
      <c r="P82" s="122">
        <v>1.0</v>
      </c>
      <c r="Q82" s="104"/>
      <c r="R82" s="104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  <c r="CK82" s="105"/>
      <c r="CL82" s="105"/>
      <c r="CM82" s="105"/>
      <c r="CN82" s="105"/>
      <c r="CO82" s="105"/>
      <c r="CP82" s="105"/>
      <c r="CQ82" s="105"/>
      <c r="CR82" s="105"/>
      <c r="CS82" s="105"/>
      <c r="CT82" s="105"/>
      <c r="CU82" s="105"/>
      <c r="CV82" s="105"/>
      <c r="CW82" s="105"/>
      <c r="CX82" s="105"/>
      <c r="CY82" s="105"/>
      <c r="CZ82" s="105"/>
      <c r="DA82" s="105"/>
      <c r="DB82" s="105"/>
      <c r="DC82" s="105"/>
      <c r="DD82" s="105"/>
      <c r="DE82" s="105"/>
      <c r="DF82" s="105"/>
      <c r="DG82" s="105"/>
      <c r="DH82" s="105"/>
      <c r="DI82" s="105"/>
      <c r="DJ82" s="105"/>
      <c r="DK82" s="105"/>
      <c r="DL82" s="105"/>
      <c r="DM82" s="105"/>
      <c r="DN82" s="105"/>
      <c r="DO82" s="105"/>
      <c r="DP82" s="105"/>
      <c r="DQ82" s="105"/>
      <c r="DR82" s="105"/>
      <c r="DS82" s="105"/>
      <c r="DT82" s="105"/>
      <c r="DU82" s="105"/>
      <c r="DV82" s="105"/>
      <c r="DW82" s="105"/>
      <c r="DX82" s="105"/>
      <c r="DY82" s="105"/>
      <c r="DZ82" s="105"/>
      <c r="EA82" s="105"/>
      <c r="EB82" s="105"/>
      <c r="EC82" s="105"/>
      <c r="ED82" s="105"/>
      <c r="EE82" s="105"/>
      <c r="EF82" s="105"/>
      <c r="EG82" s="105"/>
      <c r="EH82" s="105"/>
      <c r="EI82" s="105"/>
      <c r="EJ82" s="105"/>
      <c r="EK82" s="105"/>
      <c r="EL82" s="105"/>
      <c r="EM82" s="105"/>
      <c r="EN82" s="105"/>
      <c r="EO82" s="105"/>
      <c r="EP82" s="105"/>
      <c r="EQ82" s="105"/>
      <c r="ER82" s="105"/>
      <c r="ES82" s="105"/>
      <c r="ET82" s="105"/>
      <c r="EU82" s="105"/>
      <c r="EV82" s="105"/>
      <c r="EW82" s="105"/>
      <c r="EX82" s="105"/>
      <c r="EY82" s="105"/>
      <c r="EZ82" s="105"/>
      <c r="FA82" s="105"/>
      <c r="FB82" s="105"/>
      <c r="FC82" s="105"/>
      <c r="FD82" s="105"/>
      <c r="FE82" s="105"/>
      <c r="FF82" s="105"/>
      <c r="FG82" s="105"/>
      <c r="FH82" s="106"/>
      <c r="FI82" s="106"/>
    </row>
    <row r="83" ht="14.2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6" t="s">
        <v>858</v>
      </c>
      <c r="P83" s="122">
        <v>1.0</v>
      </c>
      <c r="Q83" s="104"/>
      <c r="R83" s="104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/>
      <c r="CO83" s="105"/>
      <c r="CP83" s="105"/>
      <c r="CQ83" s="105"/>
      <c r="CR83" s="105"/>
      <c r="CS83" s="105"/>
      <c r="CT83" s="105"/>
      <c r="CU83" s="105"/>
      <c r="CV83" s="105"/>
      <c r="CW83" s="105"/>
      <c r="CX83" s="105"/>
      <c r="CY83" s="105"/>
      <c r="CZ83" s="105"/>
      <c r="DA83" s="105"/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5"/>
      <c r="EG83" s="105"/>
      <c r="EH83" s="105"/>
      <c r="EI83" s="105"/>
      <c r="EJ83" s="105"/>
      <c r="EK83" s="105"/>
      <c r="EL83" s="105"/>
      <c r="EM83" s="105"/>
      <c r="EN83" s="105"/>
      <c r="EO83" s="105"/>
      <c r="EP83" s="105"/>
      <c r="EQ83" s="105"/>
      <c r="ER83" s="105"/>
      <c r="ES83" s="105"/>
      <c r="ET83" s="105"/>
      <c r="EU83" s="105"/>
      <c r="EV83" s="105"/>
      <c r="EW83" s="105"/>
      <c r="EX83" s="105"/>
      <c r="EY83" s="105"/>
      <c r="EZ83" s="105"/>
      <c r="FA83" s="105"/>
      <c r="FB83" s="105"/>
      <c r="FC83" s="105"/>
      <c r="FD83" s="105"/>
      <c r="FE83" s="105"/>
      <c r="FF83" s="105"/>
      <c r="FG83" s="105"/>
      <c r="FH83" s="106"/>
      <c r="FI83" s="106"/>
    </row>
    <row r="84" ht="14.2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6" t="s">
        <v>935</v>
      </c>
      <c r="P84" s="122">
        <v>1.0</v>
      </c>
      <c r="Q84" s="104"/>
      <c r="R84" s="104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/>
      <c r="CO84" s="105"/>
      <c r="CP84" s="105"/>
      <c r="CQ84" s="105"/>
      <c r="CR84" s="105"/>
      <c r="CS84" s="105"/>
      <c r="CT84" s="105"/>
      <c r="CU84" s="105"/>
      <c r="CV84" s="105"/>
      <c r="CW84" s="105"/>
      <c r="CX84" s="105"/>
      <c r="CY84" s="105"/>
      <c r="CZ84" s="105"/>
      <c r="DA84" s="105"/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5"/>
      <c r="EG84" s="105"/>
      <c r="EH84" s="105"/>
      <c r="EI84" s="105"/>
      <c r="EJ84" s="105"/>
      <c r="EK84" s="105"/>
      <c r="EL84" s="105"/>
      <c r="EM84" s="105"/>
      <c r="EN84" s="105"/>
      <c r="EO84" s="105"/>
      <c r="EP84" s="105"/>
      <c r="EQ84" s="105"/>
      <c r="ER84" s="105"/>
      <c r="ES84" s="105"/>
      <c r="ET84" s="105"/>
      <c r="EU84" s="105"/>
      <c r="EV84" s="105"/>
      <c r="EW84" s="105"/>
      <c r="EX84" s="105"/>
      <c r="EY84" s="105"/>
      <c r="EZ84" s="105"/>
      <c r="FA84" s="105"/>
      <c r="FB84" s="105"/>
      <c r="FC84" s="105"/>
      <c r="FD84" s="105"/>
      <c r="FE84" s="105"/>
      <c r="FF84" s="105"/>
      <c r="FG84" s="105"/>
      <c r="FH84" s="106"/>
      <c r="FI84" s="106"/>
    </row>
    <row r="85" ht="14.2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6" t="s">
        <v>1267</v>
      </c>
      <c r="P85" s="122">
        <v>1.0</v>
      </c>
      <c r="Q85" s="104"/>
      <c r="R85" s="104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5"/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/>
      <c r="EN85" s="105"/>
      <c r="EO85" s="105"/>
      <c r="EP85" s="105"/>
      <c r="EQ85" s="105"/>
      <c r="ER85" s="105"/>
      <c r="ES85" s="105"/>
      <c r="ET85" s="105"/>
      <c r="EU85" s="105"/>
      <c r="EV85" s="105"/>
      <c r="EW85" s="105"/>
      <c r="EX85" s="105"/>
      <c r="EY85" s="105"/>
      <c r="EZ85" s="105"/>
      <c r="FA85" s="105"/>
      <c r="FB85" s="105"/>
      <c r="FC85" s="105"/>
      <c r="FD85" s="105"/>
      <c r="FE85" s="105"/>
      <c r="FF85" s="105"/>
      <c r="FG85" s="105"/>
      <c r="FH85" s="106"/>
      <c r="FI85" s="106"/>
    </row>
    <row r="86" ht="14.2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6" t="s">
        <v>1528</v>
      </c>
      <c r="P86" s="122">
        <v>1.0</v>
      </c>
      <c r="Q86" s="104"/>
      <c r="R86" s="104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05"/>
      <c r="CG86" s="105"/>
      <c r="CH86" s="105"/>
      <c r="CI86" s="105"/>
      <c r="CJ86" s="105"/>
      <c r="CK86" s="105"/>
      <c r="CL86" s="105"/>
      <c r="CM86" s="105"/>
      <c r="CN86" s="105"/>
      <c r="CO86" s="105"/>
      <c r="CP86" s="105"/>
      <c r="CQ86" s="105"/>
      <c r="CR86" s="105"/>
      <c r="CS86" s="105"/>
      <c r="CT86" s="105"/>
      <c r="CU86" s="105"/>
      <c r="CV86" s="105"/>
      <c r="CW86" s="105"/>
      <c r="CX86" s="105"/>
      <c r="CY86" s="105"/>
      <c r="CZ86" s="105"/>
      <c r="DA86" s="105"/>
      <c r="DB86" s="105"/>
      <c r="DC86" s="105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5"/>
      <c r="EG86" s="105"/>
      <c r="EH86" s="105"/>
      <c r="EI86" s="105"/>
      <c r="EJ86" s="105"/>
      <c r="EK86" s="105"/>
      <c r="EL86" s="105"/>
      <c r="EM86" s="105"/>
      <c r="EN86" s="105"/>
      <c r="EO86" s="105"/>
      <c r="EP86" s="105"/>
      <c r="EQ86" s="105"/>
      <c r="ER86" s="105"/>
      <c r="ES86" s="105"/>
      <c r="ET86" s="105"/>
      <c r="EU86" s="105"/>
      <c r="EV86" s="105"/>
      <c r="EW86" s="105"/>
      <c r="EX86" s="105"/>
      <c r="EY86" s="105"/>
      <c r="EZ86" s="105"/>
      <c r="FA86" s="105"/>
      <c r="FB86" s="105"/>
      <c r="FC86" s="105"/>
      <c r="FD86" s="105"/>
      <c r="FE86" s="105"/>
      <c r="FF86" s="105"/>
      <c r="FG86" s="105"/>
      <c r="FH86" s="106"/>
      <c r="FI86" s="106"/>
    </row>
    <row r="87" ht="14.2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6" t="s">
        <v>1600</v>
      </c>
      <c r="P87" s="122">
        <v>1.0</v>
      </c>
      <c r="Q87" s="104"/>
      <c r="R87" s="104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  <c r="CL87" s="105"/>
      <c r="CM87" s="105"/>
      <c r="CN87" s="105"/>
      <c r="CO87" s="105"/>
      <c r="CP87" s="105"/>
      <c r="CQ87" s="105"/>
      <c r="CR87" s="105"/>
      <c r="CS87" s="105"/>
      <c r="CT87" s="105"/>
      <c r="CU87" s="105"/>
      <c r="CV87" s="105"/>
      <c r="CW87" s="105"/>
      <c r="CX87" s="105"/>
      <c r="CY87" s="105"/>
      <c r="CZ87" s="105"/>
      <c r="DA87" s="105"/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5"/>
      <c r="EG87" s="105"/>
      <c r="EH87" s="105"/>
      <c r="EI87" s="105"/>
      <c r="EJ87" s="105"/>
      <c r="EK87" s="105"/>
      <c r="EL87" s="105"/>
      <c r="EM87" s="105"/>
      <c r="EN87" s="105"/>
      <c r="EO87" s="105"/>
      <c r="EP87" s="105"/>
      <c r="EQ87" s="105"/>
      <c r="ER87" s="105"/>
      <c r="ES87" s="105"/>
      <c r="ET87" s="105"/>
      <c r="EU87" s="105"/>
      <c r="EV87" s="105"/>
      <c r="EW87" s="105"/>
      <c r="EX87" s="105"/>
      <c r="EY87" s="105"/>
      <c r="EZ87" s="105"/>
      <c r="FA87" s="105"/>
      <c r="FB87" s="105"/>
      <c r="FC87" s="105"/>
      <c r="FD87" s="105"/>
      <c r="FE87" s="105"/>
      <c r="FF87" s="105"/>
      <c r="FG87" s="105"/>
      <c r="FH87" s="106"/>
      <c r="FI87" s="106"/>
    </row>
    <row r="88" ht="14.2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6" t="s">
        <v>616</v>
      </c>
      <c r="P88" s="122">
        <v>1.0</v>
      </c>
      <c r="Q88" s="104"/>
      <c r="R88" s="104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  <c r="CL88" s="105"/>
      <c r="CM88" s="105"/>
      <c r="CN88" s="105"/>
      <c r="CO88" s="105"/>
      <c r="CP88" s="105"/>
      <c r="CQ88" s="105"/>
      <c r="CR88" s="105"/>
      <c r="CS88" s="105"/>
      <c r="CT88" s="105"/>
      <c r="CU88" s="105"/>
      <c r="CV88" s="105"/>
      <c r="CW88" s="105"/>
      <c r="CX88" s="105"/>
      <c r="CY88" s="105"/>
      <c r="CZ88" s="105"/>
      <c r="DA88" s="105"/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5"/>
      <c r="EG88" s="105"/>
      <c r="EH88" s="105"/>
      <c r="EI88" s="105"/>
      <c r="EJ88" s="105"/>
      <c r="EK88" s="105"/>
      <c r="EL88" s="105"/>
      <c r="EM88" s="105"/>
      <c r="EN88" s="105"/>
      <c r="EO88" s="105"/>
      <c r="EP88" s="105"/>
      <c r="EQ88" s="105"/>
      <c r="ER88" s="105"/>
      <c r="ES88" s="105"/>
      <c r="ET88" s="105"/>
      <c r="EU88" s="105"/>
      <c r="EV88" s="105"/>
      <c r="EW88" s="105"/>
      <c r="EX88" s="105"/>
      <c r="EY88" s="105"/>
      <c r="EZ88" s="105"/>
      <c r="FA88" s="105"/>
      <c r="FB88" s="105"/>
      <c r="FC88" s="105"/>
      <c r="FD88" s="105"/>
      <c r="FE88" s="105"/>
      <c r="FF88" s="105"/>
      <c r="FG88" s="105"/>
      <c r="FH88" s="106"/>
      <c r="FI88" s="106"/>
    </row>
    <row r="89" ht="14.2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  <c r="CL89" s="105"/>
      <c r="CM89" s="105"/>
      <c r="CN89" s="105"/>
      <c r="CO89" s="105"/>
      <c r="CP89" s="105"/>
      <c r="CQ89" s="105"/>
      <c r="CR89" s="105"/>
      <c r="CS89" s="105"/>
      <c r="CT89" s="105"/>
      <c r="CU89" s="105"/>
      <c r="CV89" s="105"/>
      <c r="CW89" s="105"/>
      <c r="CX89" s="105"/>
      <c r="CY89" s="105"/>
      <c r="CZ89" s="105"/>
      <c r="DA89" s="105"/>
      <c r="DB89" s="105"/>
      <c r="DC89" s="105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5"/>
      <c r="DV89" s="105"/>
      <c r="DW89" s="105"/>
      <c r="DX89" s="105"/>
      <c r="DY89" s="105"/>
      <c r="DZ89" s="105"/>
      <c r="EA89" s="105"/>
      <c r="EB89" s="105"/>
      <c r="EC89" s="105"/>
      <c r="ED89" s="105"/>
      <c r="EE89" s="105"/>
      <c r="EF89" s="105"/>
      <c r="EG89" s="105"/>
      <c r="EH89" s="105"/>
      <c r="EI89" s="105"/>
      <c r="EJ89" s="105"/>
      <c r="EK89" s="105"/>
      <c r="EL89" s="105"/>
      <c r="EM89" s="105"/>
      <c r="EN89" s="105"/>
      <c r="EO89" s="105"/>
      <c r="EP89" s="105"/>
      <c r="EQ89" s="105"/>
      <c r="ER89" s="105"/>
      <c r="ES89" s="105"/>
      <c r="ET89" s="105"/>
      <c r="EU89" s="105"/>
      <c r="EV89" s="105"/>
      <c r="EW89" s="105"/>
      <c r="EX89" s="105"/>
      <c r="EY89" s="105"/>
      <c r="EZ89" s="105"/>
      <c r="FA89" s="105"/>
      <c r="FB89" s="105"/>
      <c r="FC89" s="105"/>
      <c r="FD89" s="105"/>
      <c r="FE89" s="105"/>
      <c r="FF89" s="105"/>
      <c r="FG89" s="105"/>
      <c r="FH89" s="106"/>
      <c r="FI89" s="106"/>
    </row>
    <row r="90" ht="14.2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05"/>
      <c r="CG90" s="105"/>
      <c r="CH90" s="105"/>
      <c r="CI90" s="105"/>
      <c r="CJ90" s="105"/>
      <c r="CK90" s="105"/>
      <c r="CL90" s="105"/>
      <c r="CM90" s="105"/>
      <c r="CN90" s="105"/>
      <c r="CO90" s="105"/>
      <c r="CP90" s="105"/>
      <c r="CQ90" s="105"/>
      <c r="CR90" s="105"/>
      <c r="CS90" s="105"/>
      <c r="CT90" s="105"/>
      <c r="CU90" s="105"/>
      <c r="CV90" s="105"/>
      <c r="CW90" s="105"/>
      <c r="CX90" s="105"/>
      <c r="CY90" s="105"/>
      <c r="CZ90" s="105"/>
      <c r="DA90" s="105"/>
      <c r="DB90" s="105"/>
      <c r="DC90" s="105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5"/>
      <c r="EG90" s="105"/>
      <c r="EH90" s="105"/>
      <c r="EI90" s="105"/>
      <c r="EJ90" s="105"/>
      <c r="EK90" s="105"/>
      <c r="EL90" s="105"/>
      <c r="EM90" s="105"/>
      <c r="EN90" s="105"/>
      <c r="EO90" s="105"/>
      <c r="EP90" s="105"/>
      <c r="EQ90" s="105"/>
      <c r="ER90" s="105"/>
      <c r="ES90" s="105"/>
      <c r="ET90" s="105"/>
      <c r="EU90" s="105"/>
      <c r="EV90" s="105"/>
      <c r="EW90" s="105"/>
      <c r="EX90" s="105"/>
      <c r="EY90" s="105"/>
      <c r="EZ90" s="105"/>
      <c r="FA90" s="105"/>
      <c r="FB90" s="105"/>
      <c r="FC90" s="105"/>
      <c r="FD90" s="105"/>
      <c r="FE90" s="105"/>
      <c r="FF90" s="105"/>
      <c r="FG90" s="105"/>
      <c r="FH90" s="106"/>
      <c r="FI90" s="106"/>
    </row>
    <row r="91" ht="14.2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/>
      <c r="EV91" s="105"/>
      <c r="EW91" s="105"/>
      <c r="EX91" s="105"/>
      <c r="EY91" s="105"/>
      <c r="EZ91" s="105"/>
      <c r="FA91" s="105"/>
      <c r="FB91" s="105"/>
      <c r="FC91" s="105"/>
      <c r="FD91" s="105"/>
      <c r="FE91" s="105"/>
      <c r="FF91" s="105"/>
      <c r="FG91" s="105"/>
      <c r="FH91" s="106"/>
      <c r="FI91" s="106"/>
    </row>
    <row r="92" ht="14.2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  <c r="CU92" s="105"/>
      <c r="CV92" s="105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5"/>
      <c r="EG92" s="105"/>
      <c r="EH92" s="105"/>
      <c r="EI92" s="105"/>
      <c r="EJ92" s="105"/>
      <c r="EK92" s="105"/>
      <c r="EL92" s="105"/>
      <c r="EM92" s="105"/>
      <c r="EN92" s="105"/>
      <c r="EO92" s="105"/>
      <c r="EP92" s="105"/>
      <c r="EQ92" s="105"/>
      <c r="ER92" s="105"/>
      <c r="ES92" s="105"/>
      <c r="ET92" s="105"/>
      <c r="EU92" s="105"/>
      <c r="EV92" s="105"/>
      <c r="EW92" s="105"/>
      <c r="EX92" s="105"/>
      <c r="EY92" s="105"/>
      <c r="EZ92" s="105"/>
      <c r="FA92" s="105"/>
      <c r="FB92" s="105"/>
      <c r="FC92" s="105"/>
      <c r="FD92" s="105"/>
      <c r="FE92" s="105"/>
      <c r="FF92" s="105"/>
      <c r="FG92" s="105"/>
      <c r="FH92" s="106"/>
      <c r="FI92" s="106"/>
    </row>
    <row r="93" ht="14.2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  <c r="CU93" s="105"/>
      <c r="CV93" s="105"/>
      <c r="CW93" s="105"/>
      <c r="CX93" s="105"/>
      <c r="CY93" s="105"/>
      <c r="CZ93" s="105"/>
      <c r="DA93" s="105"/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5"/>
      <c r="EG93" s="105"/>
      <c r="EH93" s="105"/>
      <c r="EI93" s="105"/>
      <c r="EJ93" s="105"/>
      <c r="EK93" s="105"/>
      <c r="EL93" s="105"/>
      <c r="EM93" s="105"/>
      <c r="EN93" s="105"/>
      <c r="EO93" s="105"/>
      <c r="EP93" s="105"/>
      <c r="EQ93" s="105"/>
      <c r="ER93" s="105"/>
      <c r="ES93" s="105"/>
      <c r="ET93" s="105"/>
      <c r="EU93" s="105"/>
      <c r="EV93" s="105"/>
      <c r="EW93" s="105"/>
      <c r="EX93" s="105"/>
      <c r="EY93" s="105"/>
      <c r="EZ93" s="105"/>
      <c r="FA93" s="105"/>
      <c r="FB93" s="105"/>
      <c r="FC93" s="105"/>
      <c r="FD93" s="105"/>
      <c r="FE93" s="105"/>
      <c r="FF93" s="105"/>
      <c r="FG93" s="105"/>
      <c r="FH93" s="106"/>
      <c r="FI93" s="106"/>
    </row>
    <row r="94" ht="14.2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  <c r="CU94" s="105"/>
      <c r="CV94" s="105"/>
      <c r="CW94" s="105"/>
      <c r="CX94" s="105"/>
      <c r="CY94" s="105"/>
      <c r="CZ94" s="105"/>
      <c r="DA94" s="105"/>
      <c r="DB94" s="105"/>
      <c r="DC94" s="105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5"/>
      <c r="DV94" s="105"/>
      <c r="DW94" s="105"/>
      <c r="DX94" s="105"/>
      <c r="DY94" s="105"/>
      <c r="DZ94" s="105"/>
      <c r="EA94" s="105"/>
      <c r="EB94" s="105"/>
      <c r="EC94" s="105"/>
      <c r="ED94" s="105"/>
      <c r="EE94" s="105"/>
      <c r="EF94" s="105"/>
      <c r="EG94" s="105"/>
      <c r="EH94" s="105"/>
      <c r="EI94" s="105"/>
      <c r="EJ94" s="105"/>
      <c r="EK94" s="105"/>
      <c r="EL94" s="105"/>
      <c r="EM94" s="105"/>
      <c r="EN94" s="105"/>
      <c r="EO94" s="105"/>
      <c r="EP94" s="105"/>
      <c r="EQ94" s="105"/>
      <c r="ER94" s="105"/>
      <c r="ES94" s="105"/>
      <c r="ET94" s="105"/>
      <c r="EU94" s="105"/>
      <c r="EV94" s="105"/>
      <c r="EW94" s="105"/>
      <c r="EX94" s="105"/>
      <c r="EY94" s="105"/>
      <c r="EZ94" s="105"/>
      <c r="FA94" s="105"/>
      <c r="FB94" s="105"/>
      <c r="FC94" s="105"/>
      <c r="FD94" s="105"/>
      <c r="FE94" s="105"/>
      <c r="FF94" s="105"/>
      <c r="FG94" s="105"/>
      <c r="FH94" s="106"/>
      <c r="FI94" s="106"/>
    </row>
    <row r="95" ht="14.2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/>
      <c r="EV95" s="105"/>
      <c r="EW95" s="105"/>
      <c r="EX95" s="105"/>
      <c r="EY95" s="105"/>
      <c r="EZ95" s="105"/>
      <c r="FA95" s="105"/>
      <c r="FB95" s="105"/>
      <c r="FC95" s="105"/>
      <c r="FD95" s="105"/>
      <c r="FE95" s="105"/>
      <c r="FF95" s="105"/>
      <c r="FG95" s="105"/>
      <c r="FH95" s="106"/>
      <c r="FI95" s="106"/>
    </row>
    <row r="96" ht="14.2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  <c r="CU96" s="105"/>
      <c r="CV96" s="105"/>
      <c r="CW96" s="105"/>
      <c r="CX96" s="105"/>
      <c r="CY96" s="105"/>
      <c r="CZ96" s="105"/>
      <c r="DA96" s="105"/>
      <c r="DB96" s="105"/>
      <c r="DC96" s="105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5"/>
      <c r="DV96" s="105"/>
      <c r="DW96" s="105"/>
      <c r="DX96" s="105"/>
      <c r="DY96" s="105"/>
      <c r="DZ96" s="105"/>
      <c r="EA96" s="105"/>
      <c r="EB96" s="105"/>
      <c r="EC96" s="105"/>
      <c r="ED96" s="105"/>
      <c r="EE96" s="105"/>
      <c r="EF96" s="105"/>
      <c r="EG96" s="105"/>
      <c r="EH96" s="105"/>
      <c r="EI96" s="105"/>
      <c r="EJ96" s="105"/>
      <c r="EK96" s="105"/>
      <c r="EL96" s="105"/>
      <c r="EM96" s="105"/>
      <c r="EN96" s="105"/>
      <c r="EO96" s="105"/>
      <c r="EP96" s="105"/>
      <c r="EQ96" s="105"/>
      <c r="ER96" s="105"/>
      <c r="ES96" s="105"/>
      <c r="ET96" s="105"/>
      <c r="EU96" s="105"/>
      <c r="EV96" s="105"/>
      <c r="EW96" s="105"/>
      <c r="EX96" s="105"/>
      <c r="EY96" s="105"/>
      <c r="EZ96" s="105"/>
      <c r="FA96" s="105"/>
      <c r="FB96" s="105"/>
      <c r="FC96" s="105"/>
      <c r="FD96" s="105"/>
      <c r="FE96" s="105"/>
      <c r="FF96" s="105"/>
      <c r="FG96" s="105"/>
      <c r="FH96" s="106"/>
      <c r="FI96" s="106"/>
    </row>
    <row r="97" ht="14.2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5"/>
      <c r="EG97" s="105"/>
      <c r="EH97" s="105"/>
      <c r="EI97" s="105"/>
      <c r="EJ97" s="105"/>
      <c r="EK97" s="105"/>
      <c r="EL97" s="105"/>
      <c r="EM97" s="105"/>
      <c r="EN97" s="105"/>
      <c r="EO97" s="105"/>
      <c r="EP97" s="105"/>
      <c r="EQ97" s="105"/>
      <c r="ER97" s="105"/>
      <c r="ES97" s="105"/>
      <c r="ET97" s="105"/>
      <c r="EU97" s="105"/>
      <c r="EV97" s="105"/>
      <c r="EW97" s="105"/>
      <c r="EX97" s="105"/>
      <c r="EY97" s="105"/>
      <c r="EZ97" s="105"/>
      <c r="FA97" s="105"/>
      <c r="FB97" s="105"/>
      <c r="FC97" s="105"/>
      <c r="FD97" s="105"/>
      <c r="FE97" s="105"/>
      <c r="FF97" s="105"/>
      <c r="FG97" s="105"/>
      <c r="FH97" s="106"/>
      <c r="FI97" s="106"/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50"/>
      <c r="FI98" s="50"/>
    </row>
    <row r="99" ht="14.2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50"/>
      <c r="FI99" s="50"/>
    </row>
    <row r="100" ht="14.2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50"/>
      <c r="FI100" s="50"/>
    </row>
    <row r="101" ht="14.2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50"/>
      <c r="FI101" s="50"/>
    </row>
    <row r="102" ht="14.2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50"/>
      <c r="FI102" s="50"/>
    </row>
    <row r="103" ht="14.2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50"/>
      <c r="FI103" s="50"/>
    </row>
    <row r="104" ht="14.2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43"/>
      <c r="EU104" s="43"/>
      <c r="EV104" s="43"/>
      <c r="EW104" s="43"/>
      <c r="EX104" s="43"/>
      <c r="EY104" s="43"/>
      <c r="EZ104" s="43"/>
      <c r="FA104" s="43"/>
      <c r="FB104" s="43"/>
      <c r="FC104" s="43"/>
      <c r="FD104" s="43"/>
      <c r="FE104" s="43"/>
      <c r="FF104" s="43"/>
      <c r="FG104" s="43"/>
      <c r="FH104" s="50"/>
      <c r="FI104" s="50"/>
    </row>
    <row r="105" ht="14.2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43"/>
      <c r="EU105" s="43"/>
      <c r="EV105" s="43"/>
      <c r="EW105" s="43"/>
      <c r="EX105" s="43"/>
      <c r="EY105" s="43"/>
      <c r="EZ105" s="43"/>
      <c r="FA105" s="43"/>
      <c r="FB105" s="43"/>
      <c r="FC105" s="43"/>
      <c r="FD105" s="43"/>
      <c r="FE105" s="43"/>
      <c r="FF105" s="43"/>
      <c r="FG105" s="43"/>
      <c r="FH105" s="50"/>
      <c r="FI105" s="50"/>
    </row>
    <row r="106" ht="14.2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50"/>
      <c r="FI106" s="50"/>
    </row>
    <row r="107" ht="14.2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3"/>
      <c r="EX107" s="43"/>
      <c r="EY107" s="43"/>
      <c r="EZ107" s="43"/>
      <c r="FA107" s="43"/>
      <c r="FB107" s="43"/>
      <c r="FC107" s="43"/>
      <c r="FD107" s="43"/>
      <c r="FE107" s="43"/>
      <c r="FF107" s="43"/>
      <c r="FG107" s="43"/>
      <c r="FH107" s="50"/>
      <c r="FI107" s="50"/>
    </row>
    <row r="108" ht="14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3"/>
      <c r="EX108" s="43"/>
      <c r="EY108" s="43"/>
      <c r="EZ108" s="43"/>
      <c r="FA108" s="43"/>
      <c r="FB108" s="43"/>
      <c r="FC108" s="43"/>
      <c r="FD108" s="43"/>
      <c r="FE108" s="43"/>
      <c r="FF108" s="43"/>
      <c r="FG108" s="43"/>
      <c r="FH108" s="50"/>
      <c r="FI108" s="50"/>
    </row>
    <row r="109" ht="14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43"/>
      <c r="EU109" s="43"/>
      <c r="EV109" s="43"/>
      <c r="EW109" s="43"/>
      <c r="EX109" s="43"/>
      <c r="EY109" s="43"/>
      <c r="EZ109" s="43"/>
      <c r="FA109" s="43"/>
      <c r="FB109" s="43"/>
      <c r="FC109" s="43"/>
      <c r="FD109" s="43"/>
      <c r="FE109" s="43"/>
      <c r="FF109" s="43"/>
      <c r="FG109" s="43"/>
      <c r="FH109" s="50"/>
      <c r="FI109" s="50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43"/>
      <c r="EU110" s="43"/>
      <c r="EV110" s="43"/>
      <c r="EW110" s="43"/>
      <c r="EX110" s="43"/>
      <c r="EY110" s="43"/>
      <c r="EZ110" s="43"/>
      <c r="FA110" s="43"/>
      <c r="FB110" s="43"/>
      <c r="FC110" s="43"/>
      <c r="FD110" s="43"/>
      <c r="FE110" s="43"/>
      <c r="FF110" s="43"/>
      <c r="FG110" s="43"/>
      <c r="FH110" s="50"/>
      <c r="FI110" s="50"/>
    </row>
    <row r="111" ht="14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50"/>
      <c r="FI111" s="50"/>
    </row>
    <row r="112" ht="14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50"/>
      <c r="FI112" s="50"/>
    </row>
    <row r="113" ht="14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50"/>
      <c r="FI113" s="50"/>
    </row>
    <row r="114" ht="14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50"/>
      <c r="FI114" s="50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50"/>
      <c r="FI115" s="50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50"/>
      <c r="FI116" s="50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50"/>
      <c r="FI117" s="50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50"/>
      <c r="FI118" s="50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50"/>
      <c r="FI119" s="50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50"/>
      <c r="FI120" s="50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50"/>
      <c r="FI121" s="50"/>
    </row>
    <row r="122" ht="14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50"/>
      <c r="FI122" s="50"/>
    </row>
    <row r="123" ht="14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50"/>
      <c r="FI123" s="50"/>
    </row>
    <row r="124" ht="14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50"/>
      <c r="FI124" s="50"/>
    </row>
    <row r="125" ht="14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50"/>
      <c r="FI125" s="50"/>
    </row>
    <row r="126" ht="14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50"/>
      <c r="FI126" s="50"/>
    </row>
    <row r="127" ht="14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50"/>
      <c r="FI127" s="50"/>
    </row>
    <row r="128" ht="14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50"/>
      <c r="FI128" s="50"/>
    </row>
    <row r="129" ht="14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50"/>
      <c r="FI129" s="50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50"/>
      <c r="FI130" s="50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50"/>
      <c r="FI131" s="50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50"/>
      <c r="FI132" s="50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/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50"/>
      <c r="FI133" s="50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/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50"/>
      <c r="FI134" s="50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/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50"/>
      <c r="FI135" s="50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43"/>
      <c r="EU136" s="43"/>
      <c r="EV136" s="43"/>
      <c r="EW136" s="43"/>
      <c r="EX136" s="43"/>
      <c r="EY136" s="43"/>
      <c r="EZ136" s="43"/>
      <c r="FA136" s="43"/>
      <c r="FB136" s="43"/>
      <c r="FC136" s="43"/>
      <c r="FD136" s="43"/>
      <c r="FE136" s="43"/>
      <c r="FF136" s="43"/>
      <c r="FG136" s="43"/>
      <c r="FH136" s="50"/>
      <c r="FI136" s="50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43"/>
      <c r="EU137" s="43"/>
      <c r="EV137" s="43"/>
      <c r="EW137" s="43"/>
      <c r="EX137" s="43"/>
      <c r="EY137" s="43"/>
      <c r="EZ137" s="43"/>
      <c r="FA137" s="43"/>
      <c r="FB137" s="43"/>
      <c r="FC137" s="43"/>
      <c r="FD137" s="43"/>
      <c r="FE137" s="43"/>
      <c r="FF137" s="43"/>
      <c r="FG137" s="43"/>
      <c r="FH137" s="50"/>
      <c r="FI137" s="50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3"/>
      <c r="FC138" s="43"/>
      <c r="FD138" s="43"/>
      <c r="FE138" s="43"/>
      <c r="FF138" s="43"/>
      <c r="FG138" s="43"/>
      <c r="FH138" s="50"/>
      <c r="FI138" s="50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43"/>
      <c r="EU139" s="43"/>
      <c r="EV139" s="43"/>
      <c r="EW139" s="43"/>
      <c r="EX139" s="43"/>
      <c r="EY139" s="43"/>
      <c r="EZ139" s="43"/>
      <c r="FA139" s="43"/>
      <c r="FB139" s="43"/>
      <c r="FC139" s="43"/>
      <c r="FD139" s="43"/>
      <c r="FE139" s="43"/>
      <c r="FF139" s="43"/>
      <c r="FG139" s="43"/>
      <c r="FH139" s="50"/>
      <c r="FI139" s="50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  <c r="FF140" s="43"/>
      <c r="FG140" s="43"/>
      <c r="FH140" s="50"/>
      <c r="FI140" s="50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50"/>
      <c r="FI141" s="50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50"/>
      <c r="FI142" s="50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43"/>
      <c r="EU143" s="43"/>
      <c r="EV143" s="43"/>
      <c r="EW143" s="43"/>
      <c r="EX143" s="43"/>
      <c r="EY143" s="43"/>
      <c r="EZ143" s="43"/>
      <c r="FA143" s="43"/>
      <c r="FB143" s="43"/>
      <c r="FC143" s="43"/>
      <c r="FD143" s="43"/>
      <c r="FE143" s="43"/>
      <c r="FF143" s="43"/>
      <c r="FG143" s="43"/>
      <c r="FH143" s="50"/>
      <c r="FI143" s="50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43"/>
      <c r="EU144" s="43"/>
      <c r="EV144" s="43"/>
      <c r="EW144" s="43"/>
      <c r="EX144" s="43"/>
      <c r="EY144" s="43"/>
      <c r="EZ144" s="43"/>
      <c r="FA144" s="43"/>
      <c r="FB144" s="43"/>
      <c r="FC144" s="43"/>
      <c r="FD144" s="43"/>
      <c r="FE144" s="43"/>
      <c r="FF144" s="43"/>
      <c r="FG144" s="43"/>
      <c r="FH144" s="50"/>
      <c r="FI144" s="50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43"/>
      <c r="EU145" s="43"/>
      <c r="EV145" s="43"/>
      <c r="EW145" s="43"/>
      <c r="EX145" s="43"/>
      <c r="EY145" s="43"/>
      <c r="EZ145" s="43"/>
      <c r="FA145" s="43"/>
      <c r="FB145" s="43"/>
      <c r="FC145" s="43"/>
      <c r="FD145" s="43"/>
      <c r="FE145" s="43"/>
      <c r="FF145" s="43"/>
      <c r="FG145" s="43"/>
      <c r="FH145" s="50"/>
      <c r="FI145" s="50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43"/>
      <c r="EU146" s="43"/>
      <c r="EV146" s="43"/>
      <c r="EW146" s="43"/>
      <c r="EX146" s="43"/>
      <c r="EY146" s="43"/>
      <c r="EZ146" s="43"/>
      <c r="FA146" s="43"/>
      <c r="FB146" s="43"/>
      <c r="FC146" s="43"/>
      <c r="FD146" s="43"/>
      <c r="FE146" s="43"/>
      <c r="FF146" s="43"/>
      <c r="FG146" s="43"/>
      <c r="FH146" s="50"/>
      <c r="FI146" s="50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43"/>
      <c r="EU147" s="43"/>
      <c r="EV147" s="43"/>
      <c r="EW147" s="43"/>
      <c r="EX147" s="43"/>
      <c r="EY147" s="43"/>
      <c r="EZ147" s="43"/>
      <c r="FA147" s="43"/>
      <c r="FB147" s="43"/>
      <c r="FC147" s="43"/>
      <c r="FD147" s="43"/>
      <c r="FE147" s="43"/>
      <c r="FF147" s="43"/>
      <c r="FG147" s="43"/>
      <c r="FH147" s="50"/>
      <c r="FI147" s="50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43"/>
      <c r="EU148" s="43"/>
      <c r="EV148" s="43"/>
      <c r="EW148" s="43"/>
      <c r="EX148" s="43"/>
      <c r="EY148" s="43"/>
      <c r="EZ148" s="43"/>
      <c r="FA148" s="43"/>
      <c r="FB148" s="43"/>
      <c r="FC148" s="43"/>
      <c r="FD148" s="43"/>
      <c r="FE148" s="43"/>
      <c r="FF148" s="43"/>
      <c r="FG148" s="43"/>
      <c r="FH148" s="50"/>
      <c r="FI148" s="50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3"/>
      <c r="FC149" s="43"/>
      <c r="FD149" s="43"/>
      <c r="FE149" s="43"/>
      <c r="FF149" s="43"/>
      <c r="FG149" s="43"/>
      <c r="FH149" s="50"/>
      <c r="FI149" s="50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43"/>
      <c r="EU150" s="43"/>
      <c r="EV150" s="43"/>
      <c r="EW150" s="43"/>
      <c r="EX150" s="43"/>
      <c r="EY150" s="43"/>
      <c r="EZ150" s="43"/>
      <c r="FA150" s="43"/>
      <c r="FB150" s="43"/>
      <c r="FC150" s="43"/>
      <c r="FD150" s="43"/>
      <c r="FE150" s="43"/>
      <c r="FF150" s="43"/>
      <c r="FG150" s="43"/>
      <c r="FH150" s="50"/>
      <c r="FI150" s="50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43"/>
      <c r="EU151" s="43"/>
      <c r="EV151" s="43"/>
      <c r="EW151" s="43"/>
      <c r="EX151" s="43"/>
      <c r="EY151" s="43"/>
      <c r="EZ151" s="43"/>
      <c r="FA151" s="43"/>
      <c r="FB151" s="43"/>
      <c r="FC151" s="43"/>
      <c r="FD151" s="43"/>
      <c r="FE151" s="43"/>
      <c r="FF151" s="43"/>
      <c r="FG151" s="43"/>
      <c r="FH151" s="50"/>
      <c r="FI151" s="50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43"/>
      <c r="EU152" s="43"/>
      <c r="EV152" s="43"/>
      <c r="EW152" s="43"/>
      <c r="EX152" s="43"/>
      <c r="EY152" s="43"/>
      <c r="EZ152" s="43"/>
      <c r="FA152" s="43"/>
      <c r="FB152" s="43"/>
      <c r="FC152" s="43"/>
      <c r="FD152" s="43"/>
      <c r="FE152" s="43"/>
      <c r="FF152" s="43"/>
      <c r="FG152" s="43"/>
      <c r="FH152" s="50"/>
      <c r="FI152" s="50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43"/>
      <c r="EU153" s="43"/>
      <c r="EV153" s="43"/>
      <c r="EW153" s="43"/>
      <c r="EX153" s="43"/>
      <c r="EY153" s="43"/>
      <c r="EZ153" s="43"/>
      <c r="FA153" s="43"/>
      <c r="FB153" s="43"/>
      <c r="FC153" s="43"/>
      <c r="FD153" s="43"/>
      <c r="FE153" s="43"/>
      <c r="FF153" s="43"/>
      <c r="FG153" s="43"/>
      <c r="FH153" s="50"/>
      <c r="FI153" s="50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/>
      <c r="FD154" s="43"/>
      <c r="FE154" s="43"/>
      <c r="FF154" s="43"/>
      <c r="FG154" s="43"/>
      <c r="FH154" s="50"/>
      <c r="FI154" s="50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50"/>
      <c r="FI155" s="50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50"/>
      <c r="FI156" s="50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50"/>
      <c r="FI157" s="50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50"/>
      <c r="FI158" s="50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/>
      <c r="FE159" s="43"/>
      <c r="FF159" s="43"/>
      <c r="FG159" s="43"/>
      <c r="FH159" s="50"/>
      <c r="FI159" s="50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/>
      <c r="FE160" s="43"/>
      <c r="FF160" s="43"/>
      <c r="FG160" s="43"/>
      <c r="FH160" s="50"/>
      <c r="FI160" s="50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50"/>
      <c r="FI161" s="50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50"/>
      <c r="FI162" s="50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50"/>
      <c r="FI163" s="50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50"/>
      <c r="FI164" s="50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50"/>
      <c r="FI165" s="50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43"/>
      <c r="EU166" s="43"/>
      <c r="EV166" s="43"/>
      <c r="EW166" s="43"/>
      <c r="EX166" s="43"/>
      <c r="EY166" s="43"/>
      <c r="EZ166" s="43"/>
      <c r="FA166" s="43"/>
      <c r="FB166" s="43"/>
      <c r="FC166" s="43"/>
      <c r="FD166" s="43"/>
      <c r="FE166" s="43"/>
      <c r="FF166" s="43"/>
      <c r="FG166" s="43"/>
      <c r="FH166" s="50"/>
      <c r="FI166" s="50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43"/>
      <c r="EU167" s="43"/>
      <c r="EV167" s="43"/>
      <c r="EW167" s="43"/>
      <c r="EX167" s="43"/>
      <c r="EY167" s="43"/>
      <c r="EZ167" s="43"/>
      <c r="FA167" s="43"/>
      <c r="FB167" s="43"/>
      <c r="FC167" s="43"/>
      <c r="FD167" s="43"/>
      <c r="FE167" s="43"/>
      <c r="FF167" s="43"/>
      <c r="FG167" s="43"/>
      <c r="FH167" s="50"/>
      <c r="FI167" s="50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43"/>
      <c r="EU168" s="43"/>
      <c r="EV168" s="43"/>
      <c r="EW168" s="43"/>
      <c r="EX168" s="43"/>
      <c r="EY168" s="43"/>
      <c r="EZ168" s="43"/>
      <c r="FA168" s="43"/>
      <c r="FB168" s="43"/>
      <c r="FC168" s="43"/>
      <c r="FD168" s="43"/>
      <c r="FE168" s="43"/>
      <c r="FF168" s="43"/>
      <c r="FG168" s="43"/>
      <c r="FH168" s="50"/>
      <c r="FI168" s="50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3"/>
      <c r="FC169" s="43"/>
      <c r="FD169" s="43"/>
      <c r="FE169" s="43"/>
      <c r="FF169" s="43"/>
      <c r="FG169" s="43"/>
      <c r="FH169" s="50"/>
      <c r="FI169" s="50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43"/>
      <c r="EU170" s="43"/>
      <c r="EV170" s="43"/>
      <c r="EW170" s="43"/>
      <c r="EX170" s="43"/>
      <c r="EY170" s="43"/>
      <c r="EZ170" s="43"/>
      <c r="FA170" s="43"/>
      <c r="FB170" s="43"/>
      <c r="FC170" s="43"/>
      <c r="FD170" s="43"/>
      <c r="FE170" s="43"/>
      <c r="FF170" s="43"/>
      <c r="FG170" s="43"/>
      <c r="FH170" s="50"/>
      <c r="FI170" s="50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43"/>
      <c r="EU171" s="43"/>
      <c r="EV171" s="43"/>
      <c r="EW171" s="43"/>
      <c r="EX171" s="43"/>
      <c r="EY171" s="43"/>
      <c r="EZ171" s="43"/>
      <c r="FA171" s="43"/>
      <c r="FB171" s="43"/>
      <c r="FC171" s="43"/>
      <c r="FD171" s="43"/>
      <c r="FE171" s="43"/>
      <c r="FF171" s="43"/>
      <c r="FG171" s="43"/>
      <c r="FH171" s="50"/>
      <c r="FI171" s="50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43"/>
      <c r="EU172" s="43"/>
      <c r="EV172" s="43"/>
      <c r="EW172" s="43"/>
      <c r="EX172" s="43"/>
      <c r="EY172" s="43"/>
      <c r="EZ172" s="43"/>
      <c r="FA172" s="43"/>
      <c r="FB172" s="43"/>
      <c r="FC172" s="43"/>
      <c r="FD172" s="43"/>
      <c r="FE172" s="43"/>
      <c r="FF172" s="43"/>
      <c r="FG172" s="43"/>
      <c r="FH172" s="50"/>
      <c r="FI172" s="50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43"/>
      <c r="EU173" s="43"/>
      <c r="EV173" s="43"/>
      <c r="EW173" s="43"/>
      <c r="EX173" s="43"/>
      <c r="EY173" s="43"/>
      <c r="EZ173" s="43"/>
      <c r="FA173" s="43"/>
      <c r="FB173" s="43"/>
      <c r="FC173" s="43"/>
      <c r="FD173" s="43"/>
      <c r="FE173" s="43"/>
      <c r="FF173" s="43"/>
      <c r="FG173" s="43"/>
      <c r="FH173" s="50"/>
      <c r="FI173" s="50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43"/>
      <c r="EU174" s="43"/>
      <c r="EV174" s="43"/>
      <c r="EW174" s="43"/>
      <c r="EX174" s="43"/>
      <c r="EY174" s="43"/>
      <c r="EZ174" s="43"/>
      <c r="FA174" s="43"/>
      <c r="FB174" s="43"/>
      <c r="FC174" s="43"/>
      <c r="FD174" s="43"/>
      <c r="FE174" s="43"/>
      <c r="FF174" s="43"/>
      <c r="FG174" s="43"/>
      <c r="FH174" s="50"/>
      <c r="FI174" s="50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3"/>
      <c r="FC175" s="43"/>
      <c r="FD175" s="43"/>
      <c r="FE175" s="43"/>
      <c r="FF175" s="43"/>
      <c r="FG175" s="43"/>
      <c r="FH175" s="50"/>
      <c r="FI175" s="50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50"/>
      <c r="FI176" s="50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50"/>
      <c r="FI177" s="50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50"/>
      <c r="FI178" s="50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3"/>
      <c r="EU179" s="43"/>
      <c r="EV179" s="43"/>
      <c r="EW179" s="43"/>
      <c r="EX179" s="43"/>
      <c r="EY179" s="43"/>
      <c r="EZ179" s="43"/>
      <c r="FA179" s="43"/>
      <c r="FB179" s="43"/>
      <c r="FC179" s="43"/>
      <c r="FD179" s="43"/>
      <c r="FE179" s="43"/>
      <c r="FF179" s="43"/>
      <c r="FG179" s="43"/>
      <c r="FH179" s="50"/>
      <c r="FI179" s="50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50"/>
      <c r="FI180" s="50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50"/>
      <c r="FI181" s="50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50"/>
      <c r="FI182" s="50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50"/>
      <c r="FI183" s="50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/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  <c r="EL184" s="43"/>
      <c r="EM184" s="43"/>
      <c r="EN184" s="43"/>
      <c r="EO184" s="43"/>
      <c r="EP184" s="43"/>
      <c r="EQ184" s="43"/>
      <c r="ER184" s="43"/>
      <c r="ES184" s="43"/>
      <c r="ET184" s="43"/>
      <c r="EU184" s="43"/>
      <c r="EV184" s="43"/>
      <c r="EW184" s="43"/>
      <c r="EX184" s="43"/>
      <c r="EY184" s="43"/>
      <c r="EZ184" s="43"/>
      <c r="FA184" s="43"/>
      <c r="FB184" s="43"/>
      <c r="FC184" s="43"/>
      <c r="FD184" s="43"/>
      <c r="FE184" s="43"/>
      <c r="FF184" s="43"/>
      <c r="FG184" s="43"/>
      <c r="FH184" s="50"/>
      <c r="FI184" s="50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/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  <c r="EL185" s="43"/>
      <c r="EM185" s="43"/>
      <c r="EN185" s="43"/>
      <c r="EO185" s="43"/>
      <c r="EP185" s="43"/>
      <c r="EQ185" s="43"/>
      <c r="ER185" s="43"/>
      <c r="ES185" s="43"/>
      <c r="ET185" s="43"/>
      <c r="EU185" s="43"/>
      <c r="EV185" s="43"/>
      <c r="EW185" s="43"/>
      <c r="EX185" s="43"/>
      <c r="EY185" s="43"/>
      <c r="EZ185" s="43"/>
      <c r="FA185" s="43"/>
      <c r="FB185" s="43"/>
      <c r="FC185" s="43"/>
      <c r="FD185" s="43"/>
      <c r="FE185" s="43"/>
      <c r="FF185" s="43"/>
      <c r="FG185" s="43"/>
      <c r="FH185" s="50"/>
      <c r="FI185" s="50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/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  <c r="EL186" s="43"/>
      <c r="EM186" s="43"/>
      <c r="EN186" s="43"/>
      <c r="EO186" s="43"/>
      <c r="EP186" s="43"/>
      <c r="EQ186" s="43"/>
      <c r="ER186" s="43"/>
      <c r="ES186" s="43"/>
      <c r="ET186" s="43"/>
      <c r="EU186" s="43"/>
      <c r="EV186" s="43"/>
      <c r="EW186" s="43"/>
      <c r="EX186" s="43"/>
      <c r="EY186" s="43"/>
      <c r="EZ186" s="43"/>
      <c r="FA186" s="43"/>
      <c r="FB186" s="43"/>
      <c r="FC186" s="43"/>
      <c r="FD186" s="43"/>
      <c r="FE186" s="43"/>
      <c r="FF186" s="43"/>
      <c r="FG186" s="43"/>
      <c r="FH186" s="50"/>
      <c r="FI186" s="50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  <c r="EL187" s="43"/>
      <c r="EM187" s="43"/>
      <c r="EN187" s="43"/>
      <c r="EO187" s="43"/>
      <c r="EP187" s="43"/>
      <c r="EQ187" s="43"/>
      <c r="ER187" s="43"/>
      <c r="ES187" s="43"/>
      <c r="ET187" s="43"/>
      <c r="EU187" s="43"/>
      <c r="EV187" s="43"/>
      <c r="EW187" s="43"/>
      <c r="EX187" s="43"/>
      <c r="EY187" s="43"/>
      <c r="EZ187" s="43"/>
      <c r="FA187" s="43"/>
      <c r="FB187" s="43"/>
      <c r="FC187" s="43"/>
      <c r="FD187" s="43"/>
      <c r="FE187" s="43"/>
      <c r="FF187" s="43"/>
      <c r="FG187" s="43"/>
      <c r="FH187" s="50"/>
      <c r="FI187" s="50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  <c r="EL188" s="43"/>
      <c r="EM188" s="43"/>
      <c r="EN188" s="43"/>
      <c r="EO188" s="43"/>
      <c r="EP188" s="43"/>
      <c r="EQ188" s="43"/>
      <c r="ER188" s="43"/>
      <c r="ES188" s="43"/>
      <c r="ET188" s="43"/>
      <c r="EU188" s="43"/>
      <c r="EV188" s="43"/>
      <c r="EW188" s="43"/>
      <c r="EX188" s="43"/>
      <c r="EY188" s="43"/>
      <c r="EZ188" s="43"/>
      <c r="FA188" s="43"/>
      <c r="FB188" s="43"/>
      <c r="FC188" s="43"/>
      <c r="FD188" s="43"/>
      <c r="FE188" s="43"/>
      <c r="FF188" s="43"/>
      <c r="FG188" s="43"/>
      <c r="FH188" s="50"/>
      <c r="FI188" s="50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  <c r="EL189" s="43"/>
      <c r="EM189" s="43"/>
      <c r="EN189" s="43"/>
      <c r="EO189" s="43"/>
      <c r="EP189" s="43"/>
      <c r="EQ189" s="43"/>
      <c r="ER189" s="43"/>
      <c r="ES189" s="43"/>
      <c r="ET189" s="43"/>
      <c r="EU189" s="43"/>
      <c r="EV189" s="43"/>
      <c r="EW189" s="43"/>
      <c r="EX189" s="43"/>
      <c r="EY189" s="43"/>
      <c r="EZ189" s="43"/>
      <c r="FA189" s="43"/>
      <c r="FB189" s="43"/>
      <c r="FC189" s="43"/>
      <c r="FD189" s="43"/>
      <c r="FE189" s="43"/>
      <c r="FF189" s="43"/>
      <c r="FG189" s="43"/>
      <c r="FH189" s="50"/>
      <c r="FI189" s="50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  <c r="EL190" s="43"/>
      <c r="EM190" s="43"/>
      <c r="EN190" s="43"/>
      <c r="EO190" s="43"/>
      <c r="EP190" s="43"/>
      <c r="EQ190" s="43"/>
      <c r="ER190" s="43"/>
      <c r="ES190" s="43"/>
      <c r="ET190" s="43"/>
      <c r="EU190" s="43"/>
      <c r="EV190" s="43"/>
      <c r="EW190" s="43"/>
      <c r="EX190" s="43"/>
      <c r="EY190" s="43"/>
      <c r="EZ190" s="43"/>
      <c r="FA190" s="43"/>
      <c r="FB190" s="43"/>
      <c r="FC190" s="43"/>
      <c r="FD190" s="43"/>
      <c r="FE190" s="43"/>
      <c r="FF190" s="43"/>
      <c r="FG190" s="43"/>
      <c r="FH190" s="50"/>
      <c r="FI190" s="50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  <c r="EL191" s="43"/>
      <c r="EM191" s="43"/>
      <c r="EN191" s="43"/>
      <c r="EO191" s="43"/>
      <c r="EP191" s="43"/>
      <c r="EQ191" s="43"/>
      <c r="ER191" s="43"/>
      <c r="ES191" s="43"/>
      <c r="ET191" s="43"/>
      <c r="EU191" s="43"/>
      <c r="EV191" s="43"/>
      <c r="EW191" s="43"/>
      <c r="EX191" s="43"/>
      <c r="EY191" s="43"/>
      <c r="EZ191" s="43"/>
      <c r="FA191" s="43"/>
      <c r="FB191" s="43"/>
      <c r="FC191" s="43"/>
      <c r="FD191" s="43"/>
      <c r="FE191" s="43"/>
      <c r="FF191" s="43"/>
      <c r="FG191" s="43"/>
      <c r="FH191" s="50"/>
      <c r="FI191" s="50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  <c r="EL192" s="43"/>
      <c r="EM192" s="43"/>
      <c r="EN192" s="43"/>
      <c r="EO192" s="43"/>
      <c r="EP192" s="43"/>
      <c r="EQ192" s="43"/>
      <c r="ER192" s="43"/>
      <c r="ES192" s="43"/>
      <c r="ET192" s="43"/>
      <c r="EU192" s="43"/>
      <c r="EV192" s="43"/>
      <c r="EW192" s="43"/>
      <c r="EX192" s="43"/>
      <c r="EY192" s="43"/>
      <c r="EZ192" s="43"/>
      <c r="FA192" s="43"/>
      <c r="FB192" s="43"/>
      <c r="FC192" s="43"/>
      <c r="FD192" s="43"/>
      <c r="FE192" s="43"/>
      <c r="FF192" s="43"/>
      <c r="FG192" s="43"/>
      <c r="FH192" s="50"/>
      <c r="FI192" s="50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  <c r="EL193" s="43"/>
      <c r="EM193" s="43"/>
      <c r="EN193" s="43"/>
      <c r="EO193" s="43"/>
      <c r="EP193" s="43"/>
      <c r="EQ193" s="43"/>
      <c r="ER193" s="43"/>
      <c r="ES193" s="43"/>
      <c r="ET193" s="43"/>
      <c r="EU193" s="43"/>
      <c r="EV193" s="43"/>
      <c r="EW193" s="43"/>
      <c r="EX193" s="43"/>
      <c r="EY193" s="43"/>
      <c r="EZ193" s="43"/>
      <c r="FA193" s="43"/>
      <c r="FB193" s="43"/>
      <c r="FC193" s="43"/>
      <c r="FD193" s="43"/>
      <c r="FE193" s="43"/>
      <c r="FF193" s="43"/>
      <c r="FG193" s="43"/>
      <c r="FH193" s="50"/>
      <c r="FI193" s="50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  <c r="EL194" s="43"/>
      <c r="EM194" s="43"/>
      <c r="EN194" s="43"/>
      <c r="EO194" s="43"/>
      <c r="EP194" s="43"/>
      <c r="EQ194" s="43"/>
      <c r="ER194" s="43"/>
      <c r="ES194" s="43"/>
      <c r="ET194" s="43"/>
      <c r="EU194" s="43"/>
      <c r="EV194" s="43"/>
      <c r="EW194" s="43"/>
      <c r="EX194" s="43"/>
      <c r="EY194" s="43"/>
      <c r="EZ194" s="43"/>
      <c r="FA194" s="43"/>
      <c r="FB194" s="43"/>
      <c r="FC194" s="43"/>
      <c r="FD194" s="43"/>
      <c r="FE194" s="43"/>
      <c r="FF194" s="43"/>
      <c r="FG194" s="43"/>
      <c r="FH194" s="50"/>
      <c r="FI194" s="50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43"/>
      <c r="EU195" s="43"/>
      <c r="EV195" s="43"/>
      <c r="EW195" s="43"/>
      <c r="EX195" s="43"/>
      <c r="EY195" s="43"/>
      <c r="EZ195" s="43"/>
      <c r="FA195" s="43"/>
      <c r="FB195" s="43"/>
      <c r="FC195" s="43"/>
      <c r="FD195" s="43"/>
      <c r="FE195" s="43"/>
      <c r="FF195" s="43"/>
      <c r="FG195" s="43"/>
      <c r="FH195" s="50"/>
      <c r="FI195" s="50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43"/>
      <c r="EU196" s="43"/>
      <c r="EV196" s="43"/>
      <c r="EW196" s="43"/>
      <c r="EX196" s="43"/>
      <c r="EY196" s="43"/>
      <c r="EZ196" s="43"/>
      <c r="FA196" s="43"/>
      <c r="FB196" s="43"/>
      <c r="FC196" s="43"/>
      <c r="FD196" s="43"/>
      <c r="FE196" s="43"/>
      <c r="FF196" s="43"/>
      <c r="FG196" s="43"/>
      <c r="FH196" s="50"/>
      <c r="FI196" s="50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43"/>
      <c r="EU197" s="43"/>
      <c r="EV197" s="43"/>
      <c r="EW197" s="43"/>
      <c r="EX197" s="43"/>
      <c r="EY197" s="43"/>
      <c r="EZ197" s="43"/>
      <c r="FA197" s="43"/>
      <c r="FB197" s="43"/>
      <c r="FC197" s="43"/>
      <c r="FD197" s="43"/>
      <c r="FE197" s="43"/>
      <c r="FF197" s="43"/>
      <c r="FG197" s="43"/>
      <c r="FH197" s="50"/>
      <c r="FI197" s="50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43"/>
      <c r="EU198" s="43"/>
      <c r="EV198" s="43"/>
      <c r="EW198" s="43"/>
      <c r="EX198" s="43"/>
      <c r="EY198" s="43"/>
      <c r="EZ198" s="43"/>
      <c r="FA198" s="43"/>
      <c r="FB198" s="43"/>
      <c r="FC198" s="43"/>
      <c r="FD198" s="43"/>
      <c r="FE198" s="43"/>
      <c r="FF198" s="43"/>
      <c r="FG198" s="43"/>
      <c r="FH198" s="50"/>
      <c r="FI198" s="50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/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43"/>
      <c r="EU199" s="43"/>
      <c r="EV199" s="43"/>
      <c r="EW199" s="43"/>
      <c r="EX199" s="43"/>
      <c r="EY199" s="43"/>
      <c r="EZ199" s="43"/>
      <c r="FA199" s="43"/>
      <c r="FB199" s="43"/>
      <c r="FC199" s="43"/>
      <c r="FD199" s="43"/>
      <c r="FE199" s="43"/>
      <c r="FF199" s="43"/>
      <c r="FG199" s="43"/>
      <c r="FH199" s="50"/>
      <c r="FI199" s="50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/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43"/>
      <c r="EU200" s="43"/>
      <c r="EV200" s="43"/>
      <c r="EW200" s="43"/>
      <c r="EX200" s="43"/>
      <c r="EY200" s="43"/>
      <c r="EZ200" s="43"/>
      <c r="FA200" s="43"/>
      <c r="FB200" s="43"/>
      <c r="FC200" s="43"/>
      <c r="FD200" s="43"/>
      <c r="FE200" s="43"/>
      <c r="FF200" s="43"/>
      <c r="FG200" s="43"/>
      <c r="FH200" s="50"/>
      <c r="FI200" s="50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43"/>
      <c r="EU201" s="43"/>
      <c r="EV201" s="43"/>
      <c r="EW201" s="43"/>
      <c r="EX201" s="43"/>
      <c r="EY201" s="43"/>
      <c r="EZ201" s="43"/>
      <c r="FA201" s="43"/>
      <c r="FB201" s="43"/>
      <c r="FC201" s="43"/>
      <c r="FD201" s="43"/>
      <c r="FE201" s="43"/>
      <c r="FF201" s="43"/>
      <c r="FG201" s="43"/>
      <c r="FH201" s="50"/>
      <c r="FI201" s="50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43"/>
      <c r="EU202" s="43"/>
      <c r="EV202" s="43"/>
      <c r="EW202" s="43"/>
      <c r="EX202" s="43"/>
      <c r="EY202" s="43"/>
      <c r="EZ202" s="43"/>
      <c r="FA202" s="43"/>
      <c r="FB202" s="43"/>
      <c r="FC202" s="43"/>
      <c r="FD202" s="43"/>
      <c r="FE202" s="43"/>
      <c r="FF202" s="43"/>
      <c r="FG202" s="43"/>
      <c r="FH202" s="50"/>
      <c r="FI202" s="50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/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43"/>
      <c r="EU203" s="43"/>
      <c r="EV203" s="43"/>
      <c r="EW203" s="43"/>
      <c r="EX203" s="43"/>
      <c r="EY203" s="43"/>
      <c r="EZ203" s="43"/>
      <c r="FA203" s="43"/>
      <c r="FB203" s="43"/>
      <c r="FC203" s="43"/>
      <c r="FD203" s="43"/>
      <c r="FE203" s="43"/>
      <c r="FF203" s="43"/>
      <c r="FG203" s="43"/>
      <c r="FH203" s="50"/>
      <c r="FI203" s="50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43"/>
      <c r="EU204" s="43"/>
      <c r="EV204" s="43"/>
      <c r="EW204" s="43"/>
      <c r="EX204" s="43"/>
      <c r="EY204" s="43"/>
      <c r="EZ204" s="43"/>
      <c r="FA204" s="43"/>
      <c r="FB204" s="43"/>
      <c r="FC204" s="43"/>
      <c r="FD204" s="43"/>
      <c r="FE204" s="43"/>
      <c r="FF204" s="43"/>
      <c r="FG204" s="43"/>
      <c r="FH204" s="50"/>
      <c r="FI204" s="50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/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43"/>
      <c r="EU205" s="43"/>
      <c r="EV205" s="43"/>
      <c r="EW205" s="43"/>
      <c r="EX205" s="43"/>
      <c r="EY205" s="43"/>
      <c r="EZ205" s="43"/>
      <c r="FA205" s="43"/>
      <c r="FB205" s="43"/>
      <c r="FC205" s="43"/>
      <c r="FD205" s="43"/>
      <c r="FE205" s="43"/>
      <c r="FF205" s="43"/>
      <c r="FG205" s="43"/>
      <c r="FH205" s="50"/>
      <c r="FI205" s="50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/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43"/>
      <c r="EU206" s="43"/>
      <c r="EV206" s="43"/>
      <c r="EW206" s="43"/>
      <c r="EX206" s="43"/>
      <c r="EY206" s="43"/>
      <c r="EZ206" s="43"/>
      <c r="FA206" s="43"/>
      <c r="FB206" s="43"/>
      <c r="FC206" s="43"/>
      <c r="FD206" s="43"/>
      <c r="FE206" s="43"/>
      <c r="FF206" s="43"/>
      <c r="FG206" s="43"/>
      <c r="FH206" s="50"/>
      <c r="FI206" s="50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/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43"/>
      <c r="EU207" s="43"/>
      <c r="EV207" s="43"/>
      <c r="EW207" s="43"/>
      <c r="EX207" s="43"/>
      <c r="EY207" s="43"/>
      <c r="EZ207" s="43"/>
      <c r="FA207" s="43"/>
      <c r="FB207" s="43"/>
      <c r="FC207" s="43"/>
      <c r="FD207" s="43"/>
      <c r="FE207" s="43"/>
      <c r="FF207" s="43"/>
      <c r="FG207" s="43"/>
      <c r="FH207" s="50"/>
      <c r="FI207" s="50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43"/>
      <c r="EU208" s="43"/>
      <c r="EV208" s="43"/>
      <c r="EW208" s="43"/>
      <c r="EX208" s="43"/>
      <c r="EY208" s="43"/>
      <c r="EZ208" s="43"/>
      <c r="FA208" s="43"/>
      <c r="FB208" s="43"/>
      <c r="FC208" s="43"/>
      <c r="FD208" s="43"/>
      <c r="FE208" s="43"/>
      <c r="FF208" s="43"/>
      <c r="FG208" s="43"/>
      <c r="FH208" s="50"/>
      <c r="FI208" s="50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/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43"/>
      <c r="EU209" s="43"/>
      <c r="EV209" s="43"/>
      <c r="EW209" s="43"/>
      <c r="EX209" s="43"/>
      <c r="EY209" s="43"/>
      <c r="EZ209" s="43"/>
      <c r="FA209" s="43"/>
      <c r="FB209" s="43"/>
      <c r="FC209" s="43"/>
      <c r="FD209" s="43"/>
      <c r="FE209" s="43"/>
      <c r="FF209" s="43"/>
      <c r="FG209" s="43"/>
      <c r="FH209" s="50"/>
      <c r="FI209" s="50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43"/>
      <c r="EU210" s="43"/>
      <c r="EV210" s="43"/>
      <c r="EW210" s="43"/>
      <c r="EX210" s="43"/>
      <c r="EY210" s="43"/>
      <c r="EZ210" s="43"/>
      <c r="FA210" s="43"/>
      <c r="FB210" s="43"/>
      <c r="FC210" s="43"/>
      <c r="FD210" s="43"/>
      <c r="FE210" s="43"/>
      <c r="FF210" s="43"/>
      <c r="FG210" s="43"/>
      <c r="FH210" s="50"/>
      <c r="FI210" s="50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/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43"/>
      <c r="EU211" s="43"/>
      <c r="EV211" s="43"/>
      <c r="EW211" s="43"/>
      <c r="EX211" s="43"/>
      <c r="EY211" s="43"/>
      <c r="EZ211" s="43"/>
      <c r="FA211" s="43"/>
      <c r="FB211" s="43"/>
      <c r="FC211" s="43"/>
      <c r="FD211" s="43"/>
      <c r="FE211" s="43"/>
      <c r="FF211" s="43"/>
      <c r="FG211" s="43"/>
      <c r="FH211" s="50"/>
      <c r="FI211" s="50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/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43"/>
      <c r="EU212" s="43"/>
      <c r="EV212" s="43"/>
      <c r="EW212" s="43"/>
      <c r="EX212" s="43"/>
      <c r="EY212" s="43"/>
      <c r="EZ212" s="43"/>
      <c r="FA212" s="43"/>
      <c r="FB212" s="43"/>
      <c r="FC212" s="43"/>
      <c r="FD212" s="43"/>
      <c r="FE212" s="43"/>
      <c r="FF212" s="43"/>
      <c r="FG212" s="43"/>
      <c r="FH212" s="50"/>
      <c r="FI212" s="50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/>
      <c r="EJ213" s="43"/>
      <c r="EK213" s="43"/>
      <c r="EL213" s="43"/>
      <c r="EM213" s="43"/>
      <c r="EN213" s="43"/>
      <c r="EO213" s="43"/>
      <c r="EP213" s="43"/>
      <c r="EQ213" s="43"/>
      <c r="ER213" s="43"/>
      <c r="ES213" s="43"/>
      <c r="ET213" s="43"/>
      <c r="EU213" s="43"/>
      <c r="EV213" s="43"/>
      <c r="EW213" s="43"/>
      <c r="EX213" s="43"/>
      <c r="EY213" s="43"/>
      <c r="EZ213" s="43"/>
      <c r="FA213" s="43"/>
      <c r="FB213" s="43"/>
      <c r="FC213" s="43"/>
      <c r="FD213" s="43"/>
      <c r="FE213" s="43"/>
      <c r="FF213" s="43"/>
      <c r="FG213" s="43"/>
      <c r="FH213" s="50"/>
      <c r="FI213" s="50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/>
      <c r="EJ214" s="43"/>
      <c r="EK214" s="43"/>
      <c r="EL214" s="43"/>
      <c r="EM214" s="43"/>
      <c r="EN214" s="43"/>
      <c r="EO214" s="43"/>
      <c r="EP214" s="43"/>
      <c r="EQ214" s="43"/>
      <c r="ER214" s="43"/>
      <c r="ES214" s="43"/>
      <c r="ET214" s="43"/>
      <c r="EU214" s="43"/>
      <c r="EV214" s="43"/>
      <c r="EW214" s="43"/>
      <c r="EX214" s="43"/>
      <c r="EY214" s="43"/>
      <c r="EZ214" s="43"/>
      <c r="FA214" s="43"/>
      <c r="FB214" s="43"/>
      <c r="FC214" s="43"/>
      <c r="FD214" s="43"/>
      <c r="FE214" s="43"/>
      <c r="FF214" s="43"/>
      <c r="FG214" s="43"/>
      <c r="FH214" s="50"/>
      <c r="FI214" s="50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43"/>
      <c r="EU215" s="43"/>
      <c r="EV215" s="43"/>
      <c r="EW215" s="43"/>
      <c r="EX215" s="43"/>
      <c r="EY215" s="43"/>
      <c r="EZ215" s="43"/>
      <c r="FA215" s="43"/>
      <c r="FB215" s="43"/>
      <c r="FC215" s="43"/>
      <c r="FD215" s="43"/>
      <c r="FE215" s="43"/>
      <c r="FF215" s="43"/>
      <c r="FG215" s="43"/>
      <c r="FH215" s="50"/>
      <c r="FI215" s="50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  <c r="EL216" s="43"/>
      <c r="EM216" s="43"/>
      <c r="EN216" s="43"/>
      <c r="EO216" s="43"/>
      <c r="EP216" s="43"/>
      <c r="EQ216" s="43"/>
      <c r="ER216" s="43"/>
      <c r="ES216" s="43"/>
      <c r="ET216" s="43"/>
      <c r="EU216" s="43"/>
      <c r="EV216" s="43"/>
      <c r="EW216" s="43"/>
      <c r="EX216" s="43"/>
      <c r="EY216" s="43"/>
      <c r="EZ216" s="43"/>
      <c r="FA216" s="43"/>
      <c r="FB216" s="43"/>
      <c r="FC216" s="43"/>
      <c r="FD216" s="43"/>
      <c r="FE216" s="43"/>
      <c r="FF216" s="43"/>
      <c r="FG216" s="43"/>
      <c r="FH216" s="50"/>
      <c r="FI216" s="50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/>
      <c r="EK217" s="43"/>
      <c r="EL217" s="43"/>
      <c r="EM217" s="43"/>
      <c r="EN217" s="43"/>
      <c r="EO217" s="43"/>
      <c r="EP217" s="43"/>
      <c r="EQ217" s="43"/>
      <c r="ER217" s="43"/>
      <c r="ES217" s="43"/>
      <c r="ET217" s="43"/>
      <c r="EU217" s="43"/>
      <c r="EV217" s="43"/>
      <c r="EW217" s="43"/>
      <c r="EX217" s="43"/>
      <c r="EY217" s="43"/>
      <c r="EZ217" s="43"/>
      <c r="FA217" s="43"/>
      <c r="FB217" s="43"/>
      <c r="FC217" s="43"/>
      <c r="FD217" s="43"/>
      <c r="FE217" s="43"/>
      <c r="FF217" s="43"/>
      <c r="FG217" s="43"/>
      <c r="FH217" s="50"/>
      <c r="FI217" s="50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/>
      <c r="EK218" s="43"/>
      <c r="EL218" s="43"/>
      <c r="EM218" s="43"/>
      <c r="EN218" s="43"/>
      <c r="EO218" s="43"/>
      <c r="EP218" s="43"/>
      <c r="EQ218" s="43"/>
      <c r="ER218" s="43"/>
      <c r="ES218" s="43"/>
      <c r="ET218" s="43"/>
      <c r="EU218" s="43"/>
      <c r="EV218" s="43"/>
      <c r="EW218" s="43"/>
      <c r="EX218" s="43"/>
      <c r="EY218" s="43"/>
      <c r="EZ218" s="43"/>
      <c r="FA218" s="43"/>
      <c r="FB218" s="43"/>
      <c r="FC218" s="43"/>
      <c r="FD218" s="43"/>
      <c r="FE218" s="43"/>
      <c r="FF218" s="43"/>
      <c r="FG218" s="43"/>
      <c r="FH218" s="50"/>
      <c r="FI218" s="50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/>
      <c r="EK219" s="43"/>
      <c r="EL219" s="43"/>
      <c r="EM219" s="43"/>
      <c r="EN219" s="43"/>
      <c r="EO219" s="43"/>
      <c r="EP219" s="43"/>
      <c r="EQ219" s="43"/>
      <c r="ER219" s="43"/>
      <c r="ES219" s="43"/>
      <c r="ET219" s="43"/>
      <c r="EU219" s="43"/>
      <c r="EV219" s="43"/>
      <c r="EW219" s="43"/>
      <c r="EX219" s="43"/>
      <c r="EY219" s="43"/>
      <c r="EZ219" s="43"/>
      <c r="FA219" s="43"/>
      <c r="FB219" s="43"/>
      <c r="FC219" s="43"/>
      <c r="FD219" s="43"/>
      <c r="FE219" s="43"/>
      <c r="FF219" s="43"/>
      <c r="FG219" s="43"/>
      <c r="FH219" s="50"/>
      <c r="FI219" s="50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/>
      <c r="EK220" s="43"/>
      <c r="EL220" s="43"/>
      <c r="EM220" s="43"/>
      <c r="EN220" s="43"/>
      <c r="EO220" s="43"/>
      <c r="EP220" s="43"/>
      <c r="EQ220" s="43"/>
      <c r="ER220" s="43"/>
      <c r="ES220" s="43"/>
      <c r="ET220" s="43"/>
      <c r="EU220" s="43"/>
      <c r="EV220" s="43"/>
      <c r="EW220" s="43"/>
      <c r="EX220" s="43"/>
      <c r="EY220" s="43"/>
      <c r="EZ220" s="43"/>
      <c r="FA220" s="43"/>
      <c r="FB220" s="43"/>
      <c r="FC220" s="43"/>
      <c r="FD220" s="43"/>
      <c r="FE220" s="43"/>
      <c r="FF220" s="43"/>
      <c r="FG220" s="43"/>
      <c r="FH220" s="50"/>
      <c r="FI220" s="50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/>
      <c r="EL221" s="43"/>
      <c r="EM221" s="43"/>
      <c r="EN221" s="43"/>
      <c r="EO221" s="43"/>
      <c r="EP221" s="43"/>
      <c r="EQ221" s="43"/>
      <c r="ER221" s="43"/>
      <c r="ES221" s="43"/>
      <c r="ET221" s="43"/>
      <c r="EU221" s="43"/>
      <c r="EV221" s="43"/>
      <c r="EW221" s="43"/>
      <c r="EX221" s="43"/>
      <c r="EY221" s="43"/>
      <c r="EZ221" s="43"/>
      <c r="FA221" s="43"/>
      <c r="FB221" s="43"/>
      <c r="FC221" s="43"/>
      <c r="FD221" s="43"/>
      <c r="FE221" s="43"/>
      <c r="FF221" s="43"/>
      <c r="FG221" s="43"/>
      <c r="FH221" s="50"/>
      <c r="FI221" s="50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/>
      <c r="EL222" s="43"/>
      <c r="EM222" s="43"/>
      <c r="EN222" s="43"/>
      <c r="EO222" s="43"/>
      <c r="EP222" s="43"/>
      <c r="EQ222" s="43"/>
      <c r="ER222" s="43"/>
      <c r="ES222" s="43"/>
      <c r="ET222" s="43"/>
      <c r="EU222" s="43"/>
      <c r="EV222" s="43"/>
      <c r="EW222" s="43"/>
      <c r="EX222" s="43"/>
      <c r="EY222" s="43"/>
      <c r="EZ222" s="43"/>
      <c r="FA222" s="43"/>
      <c r="FB222" s="43"/>
      <c r="FC222" s="43"/>
      <c r="FD222" s="43"/>
      <c r="FE222" s="43"/>
      <c r="FF222" s="43"/>
      <c r="FG222" s="43"/>
      <c r="FH222" s="50"/>
      <c r="FI222" s="50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/>
      <c r="EL223" s="43"/>
      <c r="EM223" s="43"/>
      <c r="EN223" s="43"/>
      <c r="EO223" s="43"/>
      <c r="EP223" s="43"/>
      <c r="EQ223" s="43"/>
      <c r="ER223" s="43"/>
      <c r="ES223" s="43"/>
      <c r="ET223" s="43"/>
      <c r="EU223" s="43"/>
      <c r="EV223" s="43"/>
      <c r="EW223" s="43"/>
      <c r="EX223" s="43"/>
      <c r="EY223" s="43"/>
      <c r="EZ223" s="43"/>
      <c r="FA223" s="43"/>
      <c r="FB223" s="43"/>
      <c r="FC223" s="43"/>
      <c r="FD223" s="43"/>
      <c r="FE223" s="43"/>
      <c r="FF223" s="43"/>
      <c r="FG223" s="43"/>
      <c r="FH223" s="50"/>
      <c r="FI223" s="50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/>
      <c r="EL224" s="43"/>
      <c r="EM224" s="43"/>
      <c r="EN224" s="43"/>
      <c r="EO224" s="43"/>
      <c r="EP224" s="43"/>
      <c r="EQ224" s="43"/>
      <c r="ER224" s="43"/>
      <c r="ES224" s="43"/>
      <c r="ET224" s="43"/>
      <c r="EU224" s="43"/>
      <c r="EV224" s="43"/>
      <c r="EW224" s="43"/>
      <c r="EX224" s="43"/>
      <c r="EY224" s="43"/>
      <c r="EZ224" s="43"/>
      <c r="FA224" s="43"/>
      <c r="FB224" s="43"/>
      <c r="FC224" s="43"/>
      <c r="FD224" s="43"/>
      <c r="FE224" s="43"/>
      <c r="FF224" s="43"/>
      <c r="FG224" s="43"/>
      <c r="FH224" s="50"/>
      <c r="FI224" s="50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/>
      <c r="EM225" s="43"/>
      <c r="EN225" s="43"/>
      <c r="EO225" s="43"/>
      <c r="EP225" s="43"/>
      <c r="EQ225" s="43"/>
      <c r="ER225" s="43"/>
      <c r="ES225" s="43"/>
      <c r="ET225" s="43"/>
      <c r="EU225" s="43"/>
      <c r="EV225" s="43"/>
      <c r="EW225" s="43"/>
      <c r="EX225" s="43"/>
      <c r="EY225" s="43"/>
      <c r="EZ225" s="43"/>
      <c r="FA225" s="43"/>
      <c r="FB225" s="43"/>
      <c r="FC225" s="43"/>
      <c r="FD225" s="43"/>
      <c r="FE225" s="43"/>
      <c r="FF225" s="43"/>
      <c r="FG225" s="43"/>
      <c r="FH225" s="50"/>
      <c r="FI225" s="50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  <c r="EL226" s="43"/>
      <c r="EM226" s="43"/>
      <c r="EN226" s="43"/>
      <c r="EO226" s="43"/>
      <c r="EP226" s="43"/>
      <c r="EQ226" s="43"/>
      <c r="ER226" s="43"/>
      <c r="ES226" s="43"/>
      <c r="ET226" s="43"/>
      <c r="EU226" s="43"/>
      <c r="EV226" s="43"/>
      <c r="EW226" s="43"/>
      <c r="EX226" s="43"/>
      <c r="EY226" s="43"/>
      <c r="EZ226" s="43"/>
      <c r="FA226" s="43"/>
      <c r="FB226" s="43"/>
      <c r="FC226" s="43"/>
      <c r="FD226" s="43"/>
      <c r="FE226" s="43"/>
      <c r="FF226" s="43"/>
      <c r="FG226" s="43"/>
      <c r="FH226" s="50"/>
      <c r="FI226" s="50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  <c r="EL227" s="43"/>
      <c r="EM227" s="43"/>
      <c r="EN227" s="43"/>
      <c r="EO227" s="43"/>
      <c r="EP227" s="43"/>
      <c r="EQ227" s="43"/>
      <c r="ER227" s="43"/>
      <c r="ES227" s="43"/>
      <c r="ET227" s="43"/>
      <c r="EU227" s="43"/>
      <c r="EV227" s="43"/>
      <c r="EW227" s="43"/>
      <c r="EX227" s="43"/>
      <c r="EY227" s="43"/>
      <c r="EZ227" s="43"/>
      <c r="FA227" s="43"/>
      <c r="FB227" s="43"/>
      <c r="FC227" s="43"/>
      <c r="FD227" s="43"/>
      <c r="FE227" s="43"/>
      <c r="FF227" s="43"/>
      <c r="FG227" s="43"/>
      <c r="FH227" s="50"/>
      <c r="FI227" s="50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  <c r="EL228" s="43"/>
      <c r="EM228" s="43"/>
      <c r="EN228" s="43"/>
      <c r="EO228" s="43"/>
      <c r="EP228" s="43"/>
      <c r="EQ228" s="43"/>
      <c r="ER228" s="43"/>
      <c r="ES228" s="43"/>
      <c r="ET228" s="43"/>
      <c r="EU228" s="43"/>
      <c r="EV228" s="43"/>
      <c r="EW228" s="43"/>
      <c r="EX228" s="43"/>
      <c r="EY228" s="43"/>
      <c r="EZ228" s="43"/>
      <c r="FA228" s="43"/>
      <c r="FB228" s="43"/>
      <c r="FC228" s="43"/>
      <c r="FD228" s="43"/>
      <c r="FE228" s="43"/>
      <c r="FF228" s="43"/>
      <c r="FG228" s="43"/>
      <c r="FH228" s="50"/>
      <c r="FI228" s="50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  <c r="EL229" s="43"/>
      <c r="EM229" s="43"/>
      <c r="EN229" s="43"/>
      <c r="EO229" s="43"/>
      <c r="EP229" s="43"/>
      <c r="EQ229" s="43"/>
      <c r="ER229" s="43"/>
      <c r="ES229" s="43"/>
      <c r="ET229" s="43"/>
      <c r="EU229" s="43"/>
      <c r="EV229" s="43"/>
      <c r="EW229" s="43"/>
      <c r="EX229" s="43"/>
      <c r="EY229" s="43"/>
      <c r="EZ229" s="43"/>
      <c r="FA229" s="43"/>
      <c r="FB229" s="43"/>
      <c r="FC229" s="43"/>
      <c r="FD229" s="43"/>
      <c r="FE229" s="43"/>
      <c r="FF229" s="43"/>
      <c r="FG229" s="43"/>
      <c r="FH229" s="50"/>
      <c r="FI229" s="50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  <c r="EL230" s="43"/>
      <c r="EM230" s="43"/>
      <c r="EN230" s="43"/>
      <c r="EO230" s="43"/>
      <c r="EP230" s="43"/>
      <c r="EQ230" s="43"/>
      <c r="ER230" s="43"/>
      <c r="ES230" s="43"/>
      <c r="ET230" s="43"/>
      <c r="EU230" s="43"/>
      <c r="EV230" s="43"/>
      <c r="EW230" s="43"/>
      <c r="EX230" s="43"/>
      <c r="EY230" s="43"/>
      <c r="EZ230" s="43"/>
      <c r="FA230" s="43"/>
      <c r="FB230" s="43"/>
      <c r="FC230" s="43"/>
      <c r="FD230" s="43"/>
      <c r="FE230" s="43"/>
      <c r="FF230" s="43"/>
      <c r="FG230" s="43"/>
      <c r="FH230" s="50"/>
      <c r="FI230" s="50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/>
      <c r="EN231" s="43"/>
      <c r="EO231" s="43"/>
      <c r="EP231" s="43"/>
      <c r="EQ231" s="43"/>
      <c r="ER231" s="43"/>
      <c r="ES231" s="43"/>
      <c r="ET231" s="43"/>
      <c r="EU231" s="43"/>
      <c r="EV231" s="43"/>
      <c r="EW231" s="43"/>
      <c r="EX231" s="43"/>
      <c r="EY231" s="43"/>
      <c r="EZ231" s="43"/>
      <c r="FA231" s="43"/>
      <c r="FB231" s="43"/>
      <c r="FC231" s="43"/>
      <c r="FD231" s="43"/>
      <c r="FE231" s="43"/>
      <c r="FF231" s="43"/>
      <c r="FG231" s="43"/>
      <c r="FH231" s="50"/>
      <c r="FI231" s="50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43"/>
      <c r="EU232" s="43"/>
      <c r="EV232" s="43"/>
      <c r="EW232" s="43"/>
      <c r="EX232" s="43"/>
      <c r="EY232" s="43"/>
      <c r="EZ232" s="43"/>
      <c r="FA232" s="43"/>
      <c r="FB232" s="43"/>
      <c r="FC232" s="43"/>
      <c r="FD232" s="43"/>
      <c r="FE232" s="43"/>
      <c r="FF232" s="43"/>
      <c r="FG232" s="43"/>
      <c r="FH232" s="50"/>
      <c r="FI232" s="50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/>
      <c r="EN233" s="43"/>
      <c r="EO233" s="43"/>
      <c r="EP233" s="43"/>
      <c r="EQ233" s="43"/>
      <c r="ER233" s="43"/>
      <c r="ES233" s="43"/>
      <c r="ET233" s="43"/>
      <c r="EU233" s="43"/>
      <c r="EV233" s="43"/>
      <c r="EW233" s="43"/>
      <c r="EX233" s="43"/>
      <c r="EY233" s="43"/>
      <c r="EZ233" s="43"/>
      <c r="FA233" s="43"/>
      <c r="FB233" s="43"/>
      <c r="FC233" s="43"/>
      <c r="FD233" s="43"/>
      <c r="FE233" s="43"/>
      <c r="FF233" s="43"/>
      <c r="FG233" s="43"/>
      <c r="FH233" s="50"/>
      <c r="FI233" s="50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43"/>
      <c r="EU234" s="43"/>
      <c r="EV234" s="43"/>
      <c r="EW234" s="43"/>
      <c r="EX234" s="43"/>
      <c r="EY234" s="43"/>
      <c r="EZ234" s="43"/>
      <c r="FA234" s="43"/>
      <c r="FB234" s="43"/>
      <c r="FC234" s="43"/>
      <c r="FD234" s="43"/>
      <c r="FE234" s="43"/>
      <c r="FF234" s="43"/>
      <c r="FG234" s="43"/>
      <c r="FH234" s="50"/>
      <c r="FI234" s="50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43"/>
      <c r="EU235" s="43"/>
      <c r="EV235" s="43"/>
      <c r="EW235" s="43"/>
      <c r="EX235" s="43"/>
      <c r="EY235" s="43"/>
      <c r="EZ235" s="43"/>
      <c r="FA235" s="43"/>
      <c r="FB235" s="43"/>
      <c r="FC235" s="43"/>
      <c r="FD235" s="43"/>
      <c r="FE235" s="43"/>
      <c r="FF235" s="43"/>
      <c r="FG235" s="43"/>
      <c r="FH235" s="50"/>
      <c r="FI235" s="50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50"/>
      <c r="FI236" s="50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  <c r="EV237" s="43"/>
      <c r="EW237" s="43"/>
      <c r="EX237" s="43"/>
      <c r="EY237" s="43"/>
      <c r="EZ237" s="43"/>
      <c r="FA237" s="43"/>
      <c r="FB237" s="43"/>
      <c r="FC237" s="43"/>
      <c r="FD237" s="43"/>
      <c r="FE237" s="43"/>
      <c r="FF237" s="43"/>
      <c r="FG237" s="43"/>
      <c r="FH237" s="50"/>
      <c r="FI237" s="50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/>
      <c r="FD238" s="43"/>
      <c r="FE238" s="43"/>
      <c r="FF238" s="43"/>
      <c r="FG238" s="43"/>
      <c r="FH238" s="50"/>
      <c r="FI238" s="50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/>
      <c r="EQ239" s="43"/>
      <c r="ER239" s="43"/>
      <c r="ES239" s="43"/>
      <c r="ET239" s="43"/>
      <c r="EU239" s="43"/>
      <c r="EV239" s="43"/>
      <c r="EW239" s="43"/>
      <c r="EX239" s="43"/>
      <c r="EY239" s="43"/>
      <c r="EZ239" s="43"/>
      <c r="FA239" s="43"/>
      <c r="FB239" s="43"/>
      <c r="FC239" s="43"/>
      <c r="FD239" s="43"/>
      <c r="FE239" s="43"/>
      <c r="FF239" s="43"/>
      <c r="FG239" s="43"/>
      <c r="FH239" s="50"/>
      <c r="FI239" s="50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/>
      <c r="EQ240" s="43"/>
      <c r="ER240" s="43"/>
      <c r="ES240" s="43"/>
      <c r="ET240" s="43"/>
      <c r="EU240" s="43"/>
      <c r="EV240" s="43"/>
      <c r="EW240" s="43"/>
      <c r="EX240" s="43"/>
      <c r="EY240" s="43"/>
      <c r="EZ240" s="43"/>
      <c r="FA240" s="43"/>
      <c r="FB240" s="43"/>
      <c r="FC240" s="43"/>
      <c r="FD240" s="43"/>
      <c r="FE240" s="43"/>
      <c r="FF240" s="43"/>
      <c r="FG240" s="43"/>
      <c r="FH240" s="50"/>
      <c r="FI240" s="50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/>
      <c r="ER241" s="43"/>
      <c r="ES241" s="43"/>
      <c r="ET241" s="43"/>
      <c r="EU241" s="43"/>
      <c r="EV241" s="43"/>
      <c r="EW241" s="43"/>
      <c r="EX241" s="43"/>
      <c r="EY241" s="43"/>
      <c r="EZ241" s="43"/>
      <c r="FA241" s="43"/>
      <c r="FB241" s="43"/>
      <c r="FC241" s="43"/>
      <c r="FD241" s="43"/>
      <c r="FE241" s="43"/>
      <c r="FF241" s="43"/>
      <c r="FG241" s="43"/>
      <c r="FH241" s="50"/>
      <c r="FI241" s="50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/>
      <c r="ER242" s="43"/>
      <c r="ES242" s="43"/>
      <c r="ET242" s="43"/>
      <c r="EU242" s="43"/>
      <c r="EV242" s="43"/>
      <c r="EW242" s="43"/>
      <c r="EX242" s="43"/>
      <c r="EY242" s="43"/>
      <c r="EZ242" s="43"/>
      <c r="FA242" s="43"/>
      <c r="FB242" s="43"/>
      <c r="FC242" s="43"/>
      <c r="FD242" s="43"/>
      <c r="FE242" s="43"/>
      <c r="FF242" s="43"/>
      <c r="FG242" s="43"/>
      <c r="FH242" s="50"/>
      <c r="FI242" s="50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/>
      <c r="ER243" s="43"/>
      <c r="ES243" s="43"/>
      <c r="ET243" s="43"/>
      <c r="EU243" s="43"/>
      <c r="EV243" s="43"/>
      <c r="EW243" s="43"/>
      <c r="EX243" s="43"/>
      <c r="EY243" s="43"/>
      <c r="EZ243" s="43"/>
      <c r="FA243" s="43"/>
      <c r="FB243" s="43"/>
      <c r="FC243" s="43"/>
      <c r="FD243" s="43"/>
      <c r="FE243" s="43"/>
      <c r="FF243" s="43"/>
      <c r="FG243" s="43"/>
      <c r="FH243" s="50"/>
      <c r="FI243" s="50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/>
      <c r="ER244" s="43"/>
      <c r="ES244" s="43"/>
      <c r="ET244" s="43"/>
      <c r="EU244" s="43"/>
      <c r="EV244" s="43"/>
      <c r="EW244" s="43"/>
      <c r="EX244" s="43"/>
      <c r="EY244" s="43"/>
      <c r="EZ244" s="43"/>
      <c r="FA244" s="43"/>
      <c r="FB244" s="43"/>
      <c r="FC244" s="43"/>
      <c r="FD244" s="43"/>
      <c r="FE244" s="43"/>
      <c r="FF244" s="43"/>
      <c r="FG244" s="43"/>
      <c r="FH244" s="50"/>
      <c r="FI244" s="50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/>
      <c r="ER245" s="43"/>
      <c r="ES245" s="43"/>
      <c r="ET245" s="43"/>
      <c r="EU245" s="43"/>
      <c r="EV245" s="43"/>
      <c r="EW245" s="43"/>
      <c r="EX245" s="43"/>
      <c r="EY245" s="43"/>
      <c r="EZ245" s="43"/>
      <c r="FA245" s="43"/>
      <c r="FB245" s="43"/>
      <c r="FC245" s="43"/>
      <c r="FD245" s="43"/>
      <c r="FE245" s="43"/>
      <c r="FF245" s="43"/>
      <c r="FG245" s="43"/>
      <c r="FH245" s="50"/>
      <c r="FI245" s="50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/>
      <c r="ER246" s="43"/>
      <c r="ES246" s="43"/>
      <c r="ET246" s="43"/>
      <c r="EU246" s="43"/>
      <c r="EV246" s="43"/>
      <c r="EW246" s="43"/>
      <c r="EX246" s="43"/>
      <c r="EY246" s="43"/>
      <c r="EZ246" s="43"/>
      <c r="FA246" s="43"/>
      <c r="FB246" s="43"/>
      <c r="FC246" s="43"/>
      <c r="FD246" s="43"/>
      <c r="FE246" s="43"/>
      <c r="FF246" s="43"/>
      <c r="FG246" s="43"/>
      <c r="FH246" s="50"/>
      <c r="FI246" s="50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/>
      <c r="ES247" s="43"/>
      <c r="ET247" s="43"/>
      <c r="EU247" s="43"/>
      <c r="EV247" s="43"/>
      <c r="EW247" s="43"/>
      <c r="EX247" s="43"/>
      <c r="EY247" s="43"/>
      <c r="EZ247" s="43"/>
      <c r="FA247" s="43"/>
      <c r="FB247" s="43"/>
      <c r="FC247" s="43"/>
      <c r="FD247" s="43"/>
      <c r="FE247" s="43"/>
      <c r="FF247" s="43"/>
      <c r="FG247" s="43"/>
      <c r="FH247" s="50"/>
      <c r="FI247" s="50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/>
      <c r="ES248" s="43"/>
      <c r="ET248" s="43"/>
      <c r="EU248" s="43"/>
      <c r="EV248" s="43"/>
      <c r="EW248" s="43"/>
      <c r="EX248" s="43"/>
      <c r="EY248" s="43"/>
      <c r="EZ248" s="43"/>
      <c r="FA248" s="43"/>
      <c r="FB248" s="43"/>
      <c r="FC248" s="43"/>
      <c r="FD248" s="43"/>
      <c r="FE248" s="43"/>
      <c r="FF248" s="43"/>
      <c r="FG248" s="43"/>
      <c r="FH248" s="50"/>
      <c r="FI248" s="50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/>
      <c r="ES249" s="43"/>
      <c r="ET249" s="43"/>
      <c r="EU249" s="43"/>
      <c r="EV249" s="43"/>
      <c r="EW249" s="43"/>
      <c r="EX249" s="43"/>
      <c r="EY249" s="43"/>
      <c r="EZ249" s="43"/>
      <c r="FA249" s="43"/>
      <c r="FB249" s="43"/>
      <c r="FC249" s="43"/>
      <c r="FD249" s="43"/>
      <c r="FE249" s="43"/>
      <c r="FF249" s="43"/>
      <c r="FG249" s="43"/>
      <c r="FH249" s="50"/>
      <c r="FI249" s="50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/>
      <c r="ES250" s="43"/>
      <c r="ET250" s="43"/>
      <c r="EU250" s="43"/>
      <c r="EV250" s="43"/>
      <c r="EW250" s="43"/>
      <c r="EX250" s="43"/>
      <c r="EY250" s="43"/>
      <c r="EZ250" s="43"/>
      <c r="FA250" s="43"/>
      <c r="FB250" s="43"/>
      <c r="FC250" s="43"/>
      <c r="FD250" s="43"/>
      <c r="FE250" s="43"/>
      <c r="FF250" s="43"/>
      <c r="FG250" s="43"/>
      <c r="FH250" s="50"/>
      <c r="FI250" s="50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/>
      <c r="ES251" s="43"/>
      <c r="ET251" s="43"/>
      <c r="EU251" s="43"/>
      <c r="EV251" s="43"/>
      <c r="EW251" s="43"/>
      <c r="EX251" s="43"/>
      <c r="EY251" s="43"/>
      <c r="EZ251" s="43"/>
      <c r="FA251" s="43"/>
      <c r="FB251" s="43"/>
      <c r="FC251" s="43"/>
      <c r="FD251" s="43"/>
      <c r="FE251" s="43"/>
      <c r="FF251" s="43"/>
      <c r="FG251" s="43"/>
      <c r="FH251" s="50"/>
      <c r="FI251" s="50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/>
      <c r="ES252" s="43"/>
      <c r="ET252" s="43"/>
      <c r="EU252" s="43"/>
      <c r="EV252" s="43"/>
      <c r="EW252" s="43"/>
      <c r="EX252" s="43"/>
      <c r="EY252" s="43"/>
      <c r="EZ252" s="43"/>
      <c r="FA252" s="43"/>
      <c r="FB252" s="43"/>
      <c r="FC252" s="43"/>
      <c r="FD252" s="43"/>
      <c r="FE252" s="43"/>
      <c r="FF252" s="43"/>
      <c r="FG252" s="43"/>
      <c r="FH252" s="50"/>
      <c r="FI252" s="50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/>
      <c r="ET253" s="43"/>
      <c r="EU253" s="43"/>
      <c r="EV253" s="43"/>
      <c r="EW253" s="43"/>
      <c r="EX253" s="43"/>
      <c r="EY253" s="43"/>
      <c r="EZ253" s="43"/>
      <c r="FA253" s="43"/>
      <c r="FB253" s="43"/>
      <c r="FC253" s="43"/>
      <c r="FD253" s="43"/>
      <c r="FE253" s="43"/>
      <c r="FF253" s="43"/>
      <c r="FG253" s="43"/>
      <c r="FH253" s="50"/>
      <c r="FI253" s="50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/>
      <c r="ET254" s="43"/>
      <c r="EU254" s="43"/>
      <c r="EV254" s="43"/>
      <c r="EW254" s="43"/>
      <c r="EX254" s="43"/>
      <c r="EY254" s="43"/>
      <c r="EZ254" s="43"/>
      <c r="FA254" s="43"/>
      <c r="FB254" s="43"/>
      <c r="FC254" s="43"/>
      <c r="FD254" s="43"/>
      <c r="FE254" s="43"/>
      <c r="FF254" s="43"/>
      <c r="FG254" s="43"/>
      <c r="FH254" s="50"/>
      <c r="FI254" s="50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/>
      <c r="ET255" s="43"/>
      <c r="EU255" s="43"/>
      <c r="EV255" s="43"/>
      <c r="EW255" s="43"/>
      <c r="EX255" s="43"/>
      <c r="EY255" s="43"/>
      <c r="EZ255" s="43"/>
      <c r="FA255" s="43"/>
      <c r="FB255" s="43"/>
      <c r="FC255" s="43"/>
      <c r="FD255" s="43"/>
      <c r="FE255" s="43"/>
      <c r="FF255" s="43"/>
      <c r="FG255" s="43"/>
      <c r="FH255" s="50"/>
      <c r="FI255" s="50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/>
      <c r="ET256" s="43"/>
      <c r="EU256" s="43"/>
      <c r="EV256" s="43"/>
      <c r="EW256" s="43"/>
      <c r="EX256" s="43"/>
      <c r="EY256" s="43"/>
      <c r="EZ256" s="43"/>
      <c r="FA256" s="43"/>
      <c r="FB256" s="43"/>
      <c r="FC256" s="43"/>
      <c r="FD256" s="43"/>
      <c r="FE256" s="43"/>
      <c r="FF256" s="43"/>
      <c r="FG256" s="43"/>
      <c r="FH256" s="50"/>
      <c r="FI256" s="50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/>
      <c r="ET257" s="43"/>
      <c r="EU257" s="43"/>
      <c r="EV257" s="43"/>
      <c r="EW257" s="43"/>
      <c r="EX257" s="43"/>
      <c r="EY257" s="43"/>
      <c r="EZ257" s="43"/>
      <c r="FA257" s="43"/>
      <c r="FB257" s="43"/>
      <c r="FC257" s="43"/>
      <c r="FD257" s="43"/>
      <c r="FE257" s="43"/>
      <c r="FF257" s="43"/>
      <c r="FG257" s="43"/>
      <c r="FH257" s="50"/>
      <c r="FI257" s="50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/>
      <c r="ET258" s="43"/>
      <c r="EU258" s="43"/>
      <c r="EV258" s="43"/>
      <c r="EW258" s="43"/>
      <c r="EX258" s="43"/>
      <c r="EY258" s="43"/>
      <c r="EZ258" s="43"/>
      <c r="FA258" s="43"/>
      <c r="FB258" s="43"/>
      <c r="FC258" s="43"/>
      <c r="FD258" s="43"/>
      <c r="FE258" s="43"/>
      <c r="FF258" s="43"/>
      <c r="FG258" s="43"/>
      <c r="FH258" s="50"/>
      <c r="FI258" s="50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43"/>
      <c r="EU259" s="43"/>
      <c r="EV259" s="43"/>
      <c r="EW259" s="43"/>
      <c r="EX259" s="43"/>
      <c r="EY259" s="43"/>
      <c r="EZ259" s="43"/>
      <c r="FA259" s="43"/>
      <c r="FB259" s="43"/>
      <c r="FC259" s="43"/>
      <c r="FD259" s="43"/>
      <c r="FE259" s="43"/>
      <c r="FF259" s="43"/>
      <c r="FG259" s="43"/>
      <c r="FH259" s="50"/>
      <c r="FI259" s="50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43"/>
      <c r="EU260" s="43"/>
      <c r="EV260" s="43"/>
      <c r="EW260" s="43"/>
      <c r="EX260" s="43"/>
      <c r="EY260" s="43"/>
      <c r="EZ260" s="43"/>
      <c r="FA260" s="43"/>
      <c r="FB260" s="43"/>
      <c r="FC260" s="43"/>
      <c r="FD260" s="43"/>
      <c r="FE260" s="43"/>
      <c r="FF260" s="43"/>
      <c r="FG260" s="43"/>
      <c r="FH260" s="50"/>
      <c r="FI260" s="50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43"/>
      <c r="EU261" s="43"/>
      <c r="EV261" s="43"/>
      <c r="EW261" s="43"/>
      <c r="EX261" s="43"/>
      <c r="EY261" s="43"/>
      <c r="EZ261" s="43"/>
      <c r="FA261" s="43"/>
      <c r="FB261" s="43"/>
      <c r="FC261" s="43"/>
      <c r="FD261" s="43"/>
      <c r="FE261" s="43"/>
      <c r="FF261" s="43"/>
      <c r="FG261" s="43"/>
      <c r="FH261" s="50"/>
      <c r="FI261" s="50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43"/>
      <c r="EU262" s="43"/>
      <c r="EV262" s="43"/>
      <c r="EW262" s="43"/>
      <c r="EX262" s="43"/>
      <c r="EY262" s="43"/>
      <c r="EZ262" s="43"/>
      <c r="FA262" s="43"/>
      <c r="FB262" s="43"/>
      <c r="FC262" s="43"/>
      <c r="FD262" s="43"/>
      <c r="FE262" s="43"/>
      <c r="FF262" s="43"/>
      <c r="FG262" s="43"/>
      <c r="FH262" s="50"/>
      <c r="FI262" s="50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43"/>
      <c r="EU263" s="43"/>
      <c r="EV263" s="43"/>
      <c r="EW263" s="43"/>
      <c r="EX263" s="43"/>
      <c r="EY263" s="43"/>
      <c r="EZ263" s="43"/>
      <c r="FA263" s="43"/>
      <c r="FB263" s="43"/>
      <c r="FC263" s="43"/>
      <c r="FD263" s="43"/>
      <c r="FE263" s="43"/>
      <c r="FF263" s="43"/>
      <c r="FG263" s="43"/>
      <c r="FH263" s="50"/>
      <c r="FI263" s="50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43"/>
      <c r="EU264" s="43"/>
      <c r="EV264" s="43"/>
      <c r="EW264" s="43"/>
      <c r="EX264" s="43"/>
      <c r="EY264" s="43"/>
      <c r="EZ264" s="43"/>
      <c r="FA264" s="43"/>
      <c r="FB264" s="43"/>
      <c r="FC264" s="43"/>
      <c r="FD264" s="43"/>
      <c r="FE264" s="43"/>
      <c r="FF264" s="43"/>
      <c r="FG264" s="43"/>
      <c r="FH264" s="50"/>
      <c r="FI264" s="50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43"/>
      <c r="EU265" s="43"/>
      <c r="EV265" s="43"/>
      <c r="EW265" s="43"/>
      <c r="EX265" s="43"/>
      <c r="EY265" s="43"/>
      <c r="EZ265" s="43"/>
      <c r="FA265" s="43"/>
      <c r="FB265" s="43"/>
      <c r="FC265" s="43"/>
      <c r="FD265" s="43"/>
      <c r="FE265" s="43"/>
      <c r="FF265" s="43"/>
      <c r="FG265" s="43"/>
      <c r="FH265" s="50"/>
      <c r="FI265" s="50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43"/>
      <c r="EU266" s="43"/>
      <c r="EV266" s="43"/>
      <c r="EW266" s="43"/>
      <c r="EX266" s="43"/>
      <c r="EY266" s="43"/>
      <c r="EZ266" s="43"/>
      <c r="FA266" s="43"/>
      <c r="FB266" s="43"/>
      <c r="FC266" s="43"/>
      <c r="FD266" s="43"/>
      <c r="FE266" s="43"/>
      <c r="FF266" s="43"/>
      <c r="FG266" s="43"/>
      <c r="FH266" s="50"/>
      <c r="FI266" s="50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43"/>
      <c r="EU267" s="43"/>
      <c r="EV267" s="43"/>
      <c r="EW267" s="43"/>
      <c r="EX267" s="43"/>
      <c r="EY267" s="43"/>
      <c r="EZ267" s="43"/>
      <c r="FA267" s="43"/>
      <c r="FB267" s="43"/>
      <c r="FC267" s="43"/>
      <c r="FD267" s="43"/>
      <c r="FE267" s="43"/>
      <c r="FF267" s="43"/>
      <c r="FG267" s="43"/>
      <c r="FH267" s="50"/>
      <c r="FI267" s="50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43"/>
      <c r="EU268" s="43"/>
      <c r="EV268" s="43"/>
      <c r="EW268" s="43"/>
      <c r="EX268" s="43"/>
      <c r="EY268" s="43"/>
      <c r="EZ268" s="43"/>
      <c r="FA268" s="43"/>
      <c r="FB268" s="43"/>
      <c r="FC268" s="43"/>
      <c r="FD268" s="43"/>
      <c r="FE268" s="43"/>
      <c r="FF268" s="43"/>
      <c r="FG268" s="43"/>
      <c r="FH268" s="50"/>
      <c r="FI268" s="50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43"/>
      <c r="EU269" s="43"/>
      <c r="EV269" s="43"/>
      <c r="EW269" s="43"/>
      <c r="EX269" s="43"/>
      <c r="EY269" s="43"/>
      <c r="EZ269" s="43"/>
      <c r="FA269" s="43"/>
      <c r="FB269" s="43"/>
      <c r="FC269" s="43"/>
      <c r="FD269" s="43"/>
      <c r="FE269" s="43"/>
      <c r="FF269" s="43"/>
      <c r="FG269" s="43"/>
      <c r="FH269" s="50"/>
      <c r="FI269" s="50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43"/>
      <c r="EU270" s="43"/>
      <c r="EV270" s="43"/>
      <c r="EW270" s="43"/>
      <c r="EX270" s="43"/>
      <c r="EY270" s="43"/>
      <c r="EZ270" s="43"/>
      <c r="FA270" s="43"/>
      <c r="FB270" s="43"/>
      <c r="FC270" s="43"/>
      <c r="FD270" s="43"/>
      <c r="FE270" s="43"/>
      <c r="FF270" s="43"/>
      <c r="FG270" s="43"/>
      <c r="FH270" s="50"/>
      <c r="FI270" s="50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/>
      <c r="EP271" s="43"/>
      <c r="EQ271" s="43"/>
      <c r="ER271" s="43"/>
      <c r="ES271" s="43"/>
      <c r="ET271" s="43"/>
      <c r="EU271" s="43"/>
      <c r="EV271" s="43"/>
      <c r="EW271" s="43"/>
      <c r="EX271" s="43"/>
      <c r="EY271" s="43"/>
      <c r="EZ271" s="43"/>
      <c r="FA271" s="43"/>
      <c r="FB271" s="43"/>
      <c r="FC271" s="43"/>
      <c r="FD271" s="43"/>
      <c r="FE271" s="43"/>
      <c r="FF271" s="43"/>
      <c r="FG271" s="43"/>
      <c r="FH271" s="50"/>
      <c r="FI271" s="50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/>
      <c r="EP272" s="43"/>
      <c r="EQ272" s="43"/>
      <c r="ER272" s="43"/>
      <c r="ES272" s="43"/>
      <c r="ET272" s="43"/>
      <c r="EU272" s="43"/>
      <c r="EV272" s="43"/>
      <c r="EW272" s="43"/>
      <c r="EX272" s="43"/>
      <c r="EY272" s="43"/>
      <c r="EZ272" s="43"/>
      <c r="FA272" s="43"/>
      <c r="FB272" s="43"/>
      <c r="FC272" s="43"/>
      <c r="FD272" s="43"/>
      <c r="FE272" s="43"/>
      <c r="FF272" s="43"/>
      <c r="FG272" s="43"/>
      <c r="FH272" s="50"/>
      <c r="FI272" s="50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43"/>
      <c r="EU273" s="43"/>
      <c r="EV273" s="43"/>
      <c r="EW273" s="43"/>
      <c r="EX273" s="43"/>
      <c r="EY273" s="43"/>
      <c r="EZ273" s="43"/>
      <c r="FA273" s="43"/>
      <c r="FB273" s="43"/>
      <c r="FC273" s="43"/>
      <c r="FD273" s="43"/>
      <c r="FE273" s="43"/>
      <c r="FF273" s="43"/>
      <c r="FG273" s="43"/>
      <c r="FH273" s="50"/>
      <c r="FI273" s="50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43"/>
      <c r="EU274" s="43"/>
      <c r="EV274" s="43"/>
      <c r="EW274" s="43"/>
      <c r="EX274" s="43"/>
      <c r="EY274" s="43"/>
      <c r="EZ274" s="43"/>
      <c r="FA274" s="43"/>
      <c r="FB274" s="43"/>
      <c r="FC274" s="43"/>
      <c r="FD274" s="43"/>
      <c r="FE274" s="43"/>
      <c r="FF274" s="43"/>
      <c r="FG274" s="43"/>
      <c r="FH274" s="50"/>
      <c r="FI274" s="50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43"/>
      <c r="EU275" s="43"/>
      <c r="EV275" s="43"/>
      <c r="EW275" s="43"/>
      <c r="EX275" s="43"/>
      <c r="EY275" s="43"/>
      <c r="EZ275" s="43"/>
      <c r="FA275" s="43"/>
      <c r="FB275" s="43"/>
      <c r="FC275" s="43"/>
      <c r="FD275" s="43"/>
      <c r="FE275" s="43"/>
      <c r="FF275" s="43"/>
      <c r="FG275" s="43"/>
      <c r="FH275" s="50"/>
      <c r="FI275" s="50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43"/>
      <c r="EU276" s="43"/>
      <c r="EV276" s="43"/>
      <c r="EW276" s="43"/>
      <c r="EX276" s="43"/>
      <c r="EY276" s="43"/>
      <c r="EZ276" s="43"/>
      <c r="FA276" s="43"/>
      <c r="FB276" s="43"/>
      <c r="FC276" s="43"/>
      <c r="FD276" s="43"/>
      <c r="FE276" s="43"/>
      <c r="FF276" s="43"/>
      <c r="FG276" s="43"/>
      <c r="FH276" s="50"/>
      <c r="FI276" s="50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43"/>
      <c r="EU277" s="43"/>
      <c r="EV277" s="43"/>
      <c r="EW277" s="43"/>
      <c r="EX277" s="43"/>
      <c r="EY277" s="43"/>
      <c r="EZ277" s="43"/>
      <c r="FA277" s="43"/>
      <c r="FB277" s="43"/>
      <c r="FC277" s="43"/>
      <c r="FD277" s="43"/>
      <c r="FE277" s="43"/>
      <c r="FF277" s="43"/>
      <c r="FG277" s="43"/>
      <c r="FH277" s="50"/>
      <c r="FI277" s="50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43"/>
      <c r="EU278" s="43"/>
      <c r="EV278" s="43"/>
      <c r="EW278" s="43"/>
      <c r="EX278" s="43"/>
      <c r="EY278" s="43"/>
      <c r="EZ278" s="43"/>
      <c r="FA278" s="43"/>
      <c r="FB278" s="43"/>
      <c r="FC278" s="43"/>
      <c r="FD278" s="43"/>
      <c r="FE278" s="43"/>
      <c r="FF278" s="43"/>
      <c r="FG278" s="43"/>
      <c r="FH278" s="50"/>
      <c r="FI278" s="50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43"/>
      <c r="EU279" s="43"/>
      <c r="EV279" s="43"/>
      <c r="EW279" s="43"/>
      <c r="EX279" s="43"/>
      <c r="EY279" s="43"/>
      <c r="EZ279" s="43"/>
      <c r="FA279" s="43"/>
      <c r="FB279" s="43"/>
      <c r="FC279" s="43"/>
      <c r="FD279" s="43"/>
      <c r="FE279" s="43"/>
      <c r="FF279" s="43"/>
      <c r="FG279" s="43"/>
      <c r="FH279" s="50"/>
      <c r="FI279" s="50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43"/>
      <c r="EB280" s="43"/>
      <c r="EC280" s="43"/>
      <c r="ED280" s="43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43"/>
      <c r="EU280" s="43"/>
      <c r="EV280" s="43"/>
      <c r="EW280" s="43"/>
      <c r="EX280" s="43"/>
      <c r="EY280" s="43"/>
      <c r="EZ280" s="43"/>
      <c r="FA280" s="43"/>
      <c r="FB280" s="43"/>
      <c r="FC280" s="43"/>
      <c r="FD280" s="43"/>
      <c r="FE280" s="43"/>
      <c r="FF280" s="43"/>
      <c r="FG280" s="43"/>
      <c r="FH280" s="50"/>
      <c r="FI280" s="50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43"/>
      <c r="EB281" s="43"/>
      <c r="EC281" s="43"/>
      <c r="ED281" s="43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43"/>
      <c r="EU281" s="43"/>
      <c r="EV281" s="43"/>
      <c r="EW281" s="43"/>
      <c r="EX281" s="43"/>
      <c r="EY281" s="43"/>
      <c r="EZ281" s="43"/>
      <c r="FA281" s="43"/>
      <c r="FB281" s="43"/>
      <c r="FC281" s="43"/>
      <c r="FD281" s="43"/>
      <c r="FE281" s="43"/>
      <c r="FF281" s="43"/>
      <c r="FG281" s="43"/>
      <c r="FH281" s="50"/>
      <c r="FI281" s="50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43"/>
      <c r="EB282" s="43"/>
      <c r="EC282" s="43"/>
      <c r="ED282" s="43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43"/>
      <c r="EU282" s="43"/>
      <c r="EV282" s="43"/>
      <c r="EW282" s="43"/>
      <c r="EX282" s="43"/>
      <c r="EY282" s="43"/>
      <c r="EZ282" s="43"/>
      <c r="FA282" s="43"/>
      <c r="FB282" s="43"/>
      <c r="FC282" s="43"/>
      <c r="FD282" s="43"/>
      <c r="FE282" s="43"/>
      <c r="FF282" s="43"/>
      <c r="FG282" s="43"/>
      <c r="FH282" s="50"/>
      <c r="FI282" s="50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43"/>
      <c r="EB283" s="43"/>
      <c r="EC283" s="43"/>
      <c r="ED283" s="43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43"/>
      <c r="EU283" s="43"/>
      <c r="EV283" s="43"/>
      <c r="EW283" s="43"/>
      <c r="EX283" s="43"/>
      <c r="EY283" s="43"/>
      <c r="EZ283" s="43"/>
      <c r="FA283" s="43"/>
      <c r="FB283" s="43"/>
      <c r="FC283" s="43"/>
      <c r="FD283" s="43"/>
      <c r="FE283" s="43"/>
      <c r="FF283" s="43"/>
      <c r="FG283" s="43"/>
      <c r="FH283" s="50"/>
      <c r="FI283" s="50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43"/>
      <c r="EB284" s="43"/>
      <c r="EC284" s="43"/>
      <c r="ED284" s="43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43"/>
      <c r="EU284" s="43"/>
      <c r="EV284" s="43"/>
      <c r="EW284" s="43"/>
      <c r="EX284" s="43"/>
      <c r="EY284" s="43"/>
      <c r="EZ284" s="43"/>
      <c r="FA284" s="43"/>
      <c r="FB284" s="43"/>
      <c r="FC284" s="43"/>
      <c r="FD284" s="43"/>
      <c r="FE284" s="43"/>
      <c r="FF284" s="43"/>
      <c r="FG284" s="43"/>
      <c r="FH284" s="50"/>
      <c r="FI284" s="50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43"/>
      <c r="EB285" s="43"/>
      <c r="EC285" s="43"/>
      <c r="ED285" s="43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43"/>
      <c r="EU285" s="43"/>
      <c r="EV285" s="43"/>
      <c r="EW285" s="43"/>
      <c r="EX285" s="43"/>
      <c r="EY285" s="43"/>
      <c r="EZ285" s="43"/>
      <c r="FA285" s="43"/>
      <c r="FB285" s="43"/>
      <c r="FC285" s="43"/>
      <c r="FD285" s="43"/>
      <c r="FE285" s="43"/>
      <c r="FF285" s="43"/>
      <c r="FG285" s="43"/>
      <c r="FH285" s="50"/>
      <c r="FI285" s="50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43"/>
      <c r="EU286" s="43"/>
      <c r="EV286" s="43"/>
      <c r="EW286" s="43"/>
      <c r="EX286" s="43"/>
      <c r="EY286" s="43"/>
      <c r="EZ286" s="43"/>
      <c r="FA286" s="43"/>
      <c r="FB286" s="43"/>
      <c r="FC286" s="43"/>
      <c r="FD286" s="43"/>
      <c r="FE286" s="43"/>
      <c r="FF286" s="43"/>
      <c r="FG286" s="43"/>
      <c r="FH286" s="50"/>
      <c r="FI286" s="50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43"/>
      <c r="EU287" s="43"/>
      <c r="EV287" s="43"/>
      <c r="EW287" s="43"/>
      <c r="EX287" s="43"/>
      <c r="EY287" s="43"/>
      <c r="EZ287" s="43"/>
      <c r="FA287" s="43"/>
      <c r="FB287" s="43"/>
      <c r="FC287" s="43"/>
      <c r="FD287" s="43"/>
      <c r="FE287" s="43"/>
      <c r="FF287" s="43"/>
      <c r="FG287" s="43"/>
      <c r="FH287" s="50"/>
      <c r="FI287" s="50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43"/>
      <c r="EU288" s="43"/>
      <c r="EV288" s="43"/>
      <c r="EW288" s="43"/>
      <c r="EX288" s="43"/>
      <c r="EY288" s="43"/>
      <c r="EZ288" s="43"/>
      <c r="FA288" s="43"/>
      <c r="FB288" s="43"/>
      <c r="FC288" s="43"/>
      <c r="FD288" s="43"/>
      <c r="FE288" s="43"/>
      <c r="FF288" s="43"/>
      <c r="FG288" s="43"/>
      <c r="FH288" s="50"/>
      <c r="FI288" s="50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43"/>
      <c r="EU289" s="43"/>
      <c r="EV289" s="43"/>
      <c r="EW289" s="43"/>
      <c r="EX289" s="43"/>
      <c r="EY289" s="43"/>
      <c r="EZ289" s="43"/>
      <c r="FA289" s="43"/>
      <c r="FB289" s="43"/>
      <c r="FC289" s="43"/>
      <c r="FD289" s="43"/>
      <c r="FE289" s="43"/>
      <c r="FF289" s="43"/>
      <c r="FG289" s="43"/>
      <c r="FH289" s="50"/>
      <c r="FI289" s="50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43"/>
      <c r="EU290" s="43"/>
      <c r="EV290" s="43"/>
      <c r="EW290" s="43"/>
      <c r="EX290" s="43"/>
      <c r="EY290" s="43"/>
      <c r="EZ290" s="43"/>
      <c r="FA290" s="43"/>
      <c r="FB290" s="43"/>
      <c r="FC290" s="43"/>
      <c r="FD290" s="43"/>
      <c r="FE290" s="43"/>
      <c r="FF290" s="43"/>
      <c r="FG290" s="43"/>
      <c r="FH290" s="50"/>
      <c r="FI290" s="50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43"/>
      <c r="EU291" s="43"/>
      <c r="EV291" s="43"/>
      <c r="EW291" s="43"/>
      <c r="EX291" s="43"/>
      <c r="EY291" s="43"/>
      <c r="EZ291" s="43"/>
      <c r="FA291" s="43"/>
      <c r="FB291" s="43"/>
      <c r="FC291" s="43"/>
      <c r="FD291" s="43"/>
      <c r="FE291" s="43"/>
      <c r="FF291" s="43"/>
      <c r="FG291" s="43"/>
      <c r="FH291" s="50"/>
      <c r="FI291" s="50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43"/>
      <c r="EU292" s="43"/>
      <c r="EV292" s="43"/>
      <c r="EW292" s="43"/>
      <c r="EX292" s="43"/>
      <c r="EY292" s="43"/>
      <c r="EZ292" s="43"/>
      <c r="FA292" s="43"/>
      <c r="FB292" s="43"/>
      <c r="FC292" s="43"/>
      <c r="FD292" s="43"/>
      <c r="FE292" s="43"/>
      <c r="FF292" s="43"/>
      <c r="FG292" s="43"/>
      <c r="FH292" s="50"/>
      <c r="FI292" s="50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43"/>
      <c r="EU293" s="43"/>
      <c r="EV293" s="43"/>
      <c r="EW293" s="43"/>
      <c r="EX293" s="43"/>
      <c r="EY293" s="43"/>
      <c r="EZ293" s="43"/>
      <c r="FA293" s="43"/>
      <c r="FB293" s="43"/>
      <c r="FC293" s="43"/>
      <c r="FD293" s="43"/>
      <c r="FE293" s="43"/>
      <c r="FF293" s="43"/>
      <c r="FG293" s="43"/>
      <c r="FH293" s="50"/>
      <c r="FI293" s="50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43"/>
      <c r="EB294" s="43"/>
      <c r="EC294" s="43"/>
      <c r="ED294" s="43"/>
      <c r="EE294" s="43"/>
      <c r="EF294" s="43"/>
      <c r="EG294" s="43"/>
      <c r="EH294" s="43"/>
      <c r="EI294" s="43"/>
      <c r="EJ294" s="43"/>
      <c r="EK294" s="43"/>
      <c r="EL294" s="43"/>
      <c r="EM294" s="43"/>
      <c r="EN294" s="43"/>
      <c r="EO294" s="43"/>
      <c r="EP294" s="43"/>
      <c r="EQ294" s="43"/>
      <c r="ER294" s="43"/>
      <c r="ES294" s="43"/>
      <c r="ET294" s="43"/>
      <c r="EU294" s="43"/>
      <c r="EV294" s="43"/>
      <c r="EW294" s="43"/>
      <c r="EX294" s="43"/>
      <c r="EY294" s="43"/>
      <c r="EZ294" s="43"/>
      <c r="FA294" s="43"/>
      <c r="FB294" s="43"/>
      <c r="FC294" s="43"/>
      <c r="FD294" s="43"/>
      <c r="FE294" s="43"/>
      <c r="FF294" s="43"/>
      <c r="FG294" s="43"/>
      <c r="FH294" s="50"/>
      <c r="FI294" s="50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43"/>
      <c r="EB295" s="43"/>
      <c r="EC295" s="43"/>
      <c r="ED295" s="43"/>
      <c r="EE295" s="43"/>
      <c r="EF295" s="43"/>
      <c r="EG295" s="43"/>
      <c r="EH295" s="43"/>
      <c r="EI295" s="43"/>
      <c r="EJ295" s="43"/>
      <c r="EK295" s="43"/>
      <c r="EL295" s="43"/>
      <c r="EM295" s="43"/>
      <c r="EN295" s="43"/>
      <c r="EO295" s="43"/>
      <c r="EP295" s="43"/>
      <c r="EQ295" s="43"/>
      <c r="ER295" s="43"/>
      <c r="ES295" s="43"/>
      <c r="ET295" s="43"/>
      <c r="EU295" s="43"/>
      <c r="EV295" s="43"/>
      <c r="EW295" s="43"/>
      <c r="EX295" s="43"/>
      <c r="EY295" s="43"/>
      <c r="EZ295" s="43"/>
      <c r="FA295" s="43"/>
      <c r="FB295" s="43"/>
      <c r="FC295" s="43"/>
      <c r="FD295" s="43"/>
      <c r="FE295" s="43"/>
      <c r="FF295" s="43"/>
      <c r="FG295" s="43"/>
      <c r="FH295" s="50"/>
      <c r="FI295" s="50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43"/>
      <c r="EB296" s="43"/>
      <c r="EC296" s="43"/>
      <c r="ED296" s="43"/>
      <c r="EE296" s="43"/>
      <c r="EF296" s="43"/>
      <c r="EG296" s="43"/>
      <c r="EH296" s="43"/>
      <c r="EI296" s="43"/>
      <c r="EJ296" s="43"/>
      <c r="EK296" s="43"/>
      <c r="EL296" s="43"/>
      <c r="EM296" s="43"/>
      <c r="EN296" s="43"/>
      <c r="EO296" s="43"/>
      <c r="EP296" s="43"/>
      <c r="EQ296" s="43"/>
      <c r="ER296" s="43"/>
      <c r="ES296" s="43"/>
      <c r="ET296" s="43"/>
      <c r="EU296" s="43"/>
      <c r="EV296" s="43"/>
      <c r="EW296" s="43"/>
      <c r="EX296" s="43"/>
      <c r="EY296" s="43"/>
      <c r="EZ296" s="43"/>
      <c r="FA296" s="43"/>
      <c r="FB296" s="43"/>
      <c r="FC296" s="43"/>
      <c r="FD296" s="43"/>
      <c r="FE296" s="43"/>
      <c r="FF296" s="43"/>
      <c r="FG296" s="43"/>
      <c r="FH296" s="50"/>
      <c r="FI296" s="50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/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43"/>
      <c r="EB297" s="43"/>
      <c r="EC297" s="43"/>
      <c r="ED297" s="43"/>
      <c r="EE297" s="43"/>
      <c r="EF297" s="43"/>
      <c r="EG297" s="43"/>
      <c r="EH297" s="43"/>
      <c r="EI297" s="43"/>
      <c r="EJ297" s="43"/>
      <c r="EK297" s="43"/>
      <c r="EL297" s="43"/>
      <c r="EM297" s="43"/>
      <c r="EN297" s="43"/>
      <c r="EO297" s="43"/>
      <c r="EP297" s="43"/>
      <c r="EQ297" s="43"/>
      <c r="ER297" s="43"/>
      <c r="ES297" s="43"/>
      <c r="ET297" s="43"/>
      <c r="EU297" s="43"/>
      <c r="EV297" s="43"/>
      <c r="EW297" s="43"/>
      <c r="EX297" s="43"/>
      <c r="EY297" s="43"/>
      <c r="EZ297" s="43"/>
      <c r="FA297" s="43"/>
      <c r="FB297" s="43"/>
      <c r="FC297" s="43"/>
      <c r="FD297" s="43"/>
      <c r="FE297" s="43"/>
      <c r="FF297" s="43"/>
      <c r="FG297" s="43"/>
      <c r="FH297" s="50"/>
      <c r="FI297" s="50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/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43"/>
      <c r="EB298" s="43"/>
      <c r="EC298" s="43"/>
      <c r="ED298" s="43"/>
      <c r="EE298" s="43"/>
      <c r="EF298" s="43"/>
      <c r="EG298" s="43"/>
      <c r="EH298" s="43"/>
      <c r="EI298" s="43"/>
      <c r="EJ298" s="43"/>
      <c r="EK298" s="43"/>
      <c r="EL298" s="43"/>
      <c r="EM298" s="43"/>
      <c r="EN298" s="43"/>
      <c r="EO298" s="43"/>
      <c r="EP298" s="43"/>
      <c r="EQ298" s="43"/>
      <c r="ER298" s="43"/>
      <c r="ES298" s="43"/>
      <c r="ET298" s="43"/>
      <c r="EU298" s="43"/>
      <c r="EV298" s="43"/>
      <c r="EW298" s="43"/>
      <c r="EX298" s="43"/>
      <c r="EY298" s="43"/>
      <c r="EZ298" s="43"/>
      <c r="FA298" s="43"/>
      <c r="FB298" s="43"/>
      <c r="FC298" s="43"/>
      <c r="FD298" s="43"/>
      <c r="FE298" s="43"/>
      <c r="FF298" s="43"/>
      <c r="FG298" s="43"/>
      <c r="FH298" s="50"/>
      <c r="FI298" s="50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43"/>
      <c r="EB299" s="43"/>
      <c r="EC299" s="43"/>
      <c r="ED299" s="43"/>
      <c r="EE299" s="43"/>
      <c r="EF299" s="43"/>
      <c r="EG299" s="43"/>
      <c r="EH299" s="43"/>
      <c r="EI299" s="43"/>
      <c r="EJ299" s="43"/>
      <c r="EK299" s="43"/>
      <c r="EL299" s="43"/>
      <c r="EM299" s="43"/>
      <c r="EN299" s="43"/>
      <c r="EO299" s="43"/>
      <c r="EP299" s="43"/>
      <c r="EQ299" s="43"/>
      <c r="ER299" s="43"/>
      <c r="ES299" s="43"/>
      <c r="ET299" s="43"/>
      <c r="EU299" s="43"/>
      <c r="EV299" s="43"/>
      <c r="EW299" s="43"/>
      <c r="EX299" s="43"/>
      <c r="EY299" s="43"/>
      <c r="EZ299" s="43"/>
      <c r="FA299" s="43"/>
      <c r="FB299" s="43"/>
      <c r="FC299" s="43"/>
      <c r="FD299" s="43"/>
      <c r="FE299" s="43"/>
      <c r="FF299" s="43"/>
      <c r="FG299" s="43"/>
      <c r="FH299" s="50"/>
      <c r="FI299" s="50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43"/>
      <c r="EB300" s="43"/>
      <c r="EC300" s="43"/>
      <c r="ED300" s="43"/>
      <c r="EE300" s="43"/>
      <c r="EF300" s="43"/>
      <c r="EG300" s="43"/>
      <c r="EH300" s="43"/>
      <c r="EI300" s="43"/>
      <c r="EJ300" s="43"/>
      <c r="EK300" s="43"/>
      <c r="EL300" s="43"/>
      <c r="EM300" s="43"/>
      <c r="EN300" s="43"/>
      <c r="EO300" s="43"/>
      <c r="EP300" s="43"/>
      <c r="EQ300" s="43"/>
      <c r="ER300" s="43"/>
      <c r="ES300" s="43"/>
      <c r="ET300" s="43"/>
      <c r="EU300" s="43"/>
      <c r="EV300" s="43"/>
      <c r="EW300" s="43"/>
      <c r="EX300" s="43"/>
      <c r="EY300" s="43"/>
      <c r="EZ300" s="43"/>
      <c r="FA300" s="43"/>
      <c r="FB300" s="43"/>
      <c r="FC300" s="43"/>
      <c r="FD300" s="43"/>
      <c r="FE300" s="43"/>
      <c r="FF300" s="43"/>
      <c r="FG300" s="43"/>
      <c r="FH300" s="50"/>
      <c r="FI300" s="50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43"/>
      <c r="EB301" s="43"/>
      <c r="EC301" s="43"/>
      <c r="ED301" s="43"/>
      <c r="EE301" s="43"/>
      <c r="EF301" s="43"/>
      <c r="EG301" s="43"/>
      <c r="EH301" s="43"/>
      <c r="EI301" s="43"/>
      <c r="EJ301" s="43"/>
      <c r="EK301" s="43"/>
      <c r="EL301" s="43"/>
      <c r="EM301" s="43"/>
      <c r="EN301" s="43"/>
      <c r="EO301" s="43"/>
      <c r="EP301" s="43"/>
      <c r="EQ301" s="43"/>
      <c r="ER301" s="43"/>
      <c r="ES301" s="43"/>
      <c r="ET301" s="43"/>
      <c r="EU301" s="43"/>
      <c r="EV301" s="43"/>
      <c r="EW301" s="43"/>
      <c r="EX301" s="43"/>
      <c r="EY301" s="43"/>
      <c r="EZ301" s="43"/>
      <c r="FA301" s="43"/>
      <c r="FB301" s="43"/>
      <c r="FC301" s="43"/>
      <c r="FD301" s="43"/>
      <c r="FE301" s="43"/>
      <c r="FF301" s="43"/>
      <c r="FG301" s="43"/>
      <c r="FH301" s="50"/>
      <c r="FI301" s="50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43"/>
      <c r="EB302" s="43"/>
      <c r="EC302" s="43"/>
      <c r="ED302" s="43"/>
      <c r="EE302" s="43"/>
      <c r="EF302" s="43"/>
      <c r="EG302" s="43"/>
      <c r="EH302" s="43"/>
      <c r="EI302" s="43"/>
      <c r="EJ302" s="43"/>
      <c r="EK302" s="43"/>
      <c r="EL302" s="43"/>
      <c r="EM302" s="43"/>
      <c r="EN302" s="43"/>
      <c r="EO302" s="43"/>
      <c r="EP302" s="43"/>
      <c r="EQ302" s="43"/>
      <c r="ER302" s="43"/>
      <c r="ES302" s="43"/>
      <c r="ET302" s="43"/>
      <c r="EU302" s="43"/>
      <c r="EV302" s="43"/>
      <c r="EW302" s="43"/>
      <c r="EX302" s="43"/>
      <c r="EY302" s="43"/>
      <c r="EZ302" s="43"/>
      <c r="FA302" s="43"/>
      <c r="FB302" s="43"/>
      <c r="FC302" s="43"/>
      <c r="FD302" s="43"/>
      <c r="FE302" s="43"/>
      <c r="FF302" s="43"/>
      <c r="FG302" s="43"/>
      <c r="FH302" s="50"/>
      <c r="FI302" s="50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43"/>
      <c r="EB303" s="43"/>
      <c r="EC303" s="43"/>
      <c r="ED303" s="43"/>
      <c r="EE303" s="43"/>
      <c r="EF303" s="43"/>
      <c r="EG303" s="43"/>
      <c r="EH303" s="43"/>
      <c r="EI303" s="43"/>
      <c r="EJ303" s="43"/>
      <c r="EK303" s="43"/>
      <c r="EL303" s="43"/>
      <c r="EM303" s="43"/>
      <c r="EN303" s="43"/>
      <c r="EO303" s="43"/>
      <c r="EP303" s="43"/>
      <c r="EQ303" s="43"/>
      <c r="ER303" s="43"/>
      <c r="ES303" s="43"/>
      <c r="ET303" s="43"/>
      <c r="EU303" s="43"/>
      <c r="EV303" s="43"/>
      <c r="EW303" s="43"/>
      <c r="EX303" s="43"/>
      <c r="EY303" s="43"/>
      <c r="EZ303" s="43"/>
      <c r="FA303" s="43"/>
      <c r="FB303" s="43"/>
      <c r="FC303" s="43"/>
      <c r="FD303" s="43"/>
      <c r="FE303" s="43"/>
      <c r="FF303" s="43"/>
      <c r="FG303" s="43"/>
      <c r="FH303" s="50"/>
      <c r="FI303" s="50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43"/>
      <c r="EB304" s="43"/>
      <c r="EC304" s="43"/>
      <c r="ED304" s="43"/>
      <c r="EE304" s="43"/>
      <c r="EF304" s="43"/>
      <c r="EG304" s="43"/>
      <c r="EH304" s="43"/>
      <c r="EI304" s="43"/>
      <c r="EJ304" s="43"/>
      <c r="EK304" s="43"/>
      <c r="EL304" s="43"/>
      <c r="EM304" s="43"/>
      <c r="EN304" s="43"/>
      <c r="EO304" s="43"/>
      <c r="EP304" s="43"/>
      <c r="EQ304" s="43"/>
      <c r="ER304" s="43"/>
      <c r="ES304" s="43"/>
      <c r="ET304" s="43"/>
      <c r="EU304" s="43"/>
      <c r="EV304" s="43"/>
      <c r="EW304" s="43"/>
      <c r="EX304" s="43"/>
      <c r="EY304" s="43"/>
      <c r="EZ304" s="43"/>
      <c r="FA304" s="43"/>
      <c r="FB304" s="43"/>
      <c r="FC304" s="43"/>
      <c r="FD304" s="43"/>
      <c r="FE304" s="43"/>
      <c r="FF304" s="43"/>
      <c r="FG304" s="43"/>
      <c r="FH304" s="50"/>
      <c r="FI304" s="50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43"/>
      <c r="EB305" s="43"/>
      <c r="EC305" s="43"/>
      <c r="ED305" s="43"/>
      <c r="EE305" s="43"/>
      <c r="EF305" s="43"/>
      <c r="EG305" s="43"/>
      <c r="EH305" s="43"/>
      <c r="EI305" s="43"/>
      <c r="EJ305" s="43"/>
      <c r="EK305" s="43"/>
      <c r="EL305" s="43"/>
      <c r="EM305" s="43"/>
      <c r="EN305" s="43"/>
      <c r="EO305" s="43"/>
      <c r="EP305" s="43"/>
      <c r="EQ305" s="43"/>
      <c r="ER305" s="43"/>
      <c r="ES305" s="43"/>
      <c r="ET305" s="43"/>
      <c r="EU305" s="43"/>
      <c r="EV305" s="43"/>
      <c r="EW305" s="43"/>
      <c r="EX305" s="43"/>
      <c r="EY305" s="43"/>
      <c r="EZ305" s="43"/>
      <c r="FA305" s="43"/>
      <c r="FB305" s="43"/>
      <c r="FC305" s="43"/>
      <c r="FD305" s="43"/>
      <c r="FE305" s="43"/>
      <c r="FF305" s="43"/>
      <c r="FG305" s="43"/>
      <c r="FH305" s="50"/>
      <c r="FI305" s="50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43"/>
      <c r="EB306" s="43"/>
      <c r="EC306" s="43"/>
      <c r="ED306" s="43"/>
      <c r="EE306" s="43"/>
      <c r="EF306" s="43"/>
      <c r="EG306" s="43"/>
      <c r="EH306" s="43"/>
      <c r="EI306" s="43"/>
      <c r="EJ306" s="43"/>
      <c r="EK306" s="43"/>
      <c r="EL306" s="43"/>
      <c r="EM306" s="43"/>
      <c r="EN306" s="43"/>
      <c r="EO306" s="43"/>
      <c r="EP306" s="43"/>
      <c r="EQ306" s="43"/>
      <c r="ER306" s="43"/>
      <c r="ES306" s="43"/>
      <c r="ET306" s="43"/>
      <c r="EU306" s="43"/>
      <c r="EV306" s="43"/>
      <c r="EW306" s="43"/>
      <c r="EX306" s="43"/>
      <c r="EY306" s="43"/>
      <c r="EZ306" s="43"/>
      <c r="FA306" s="43"/>
      <c r="FB306" s="43"/>
      <c r="FC306" s="43"/>
      <c r="FD306" s="43"/>
      <c r="FE306" s="43"/>
      <c r="FF306" s="43"/>
      <c r="FG306" s="43"/>
      <c r="FH306" s="50"/>
      <c r="FI306" s="50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/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43"/>
      <c r="EB307" s="43"/>
      <c r="EC307" s="43"/>
      <c r="ED307" s="43"/>
      <c r="EE307" s="43"/>
      <c r="EF307" s="43"/>
      <c r="EG307" s="43"/>
      <c r="EH307" s="43"/>
      <c r="EI307" s="43"/>
      <c r="EJ307" s="43"/>
      <c r="EK307" s="43"/>
      <c r="EL307" s="43"/>
      <c r="EM307" s="43"/>
      <c r="EN307" s="43"/>
      <c r="EO307" s="43"/>
      <c r="EP307" s="43"/>
      <c r="EQ307" s="43"/>
      <c r="ER307" s="43"/>
      <c r="ES307" s="43"/>
      <c r="ET307" s="43"/>
      <c r="EU307" s="43"/>
      <c r="EV307" s="43"/>
      <c r="EW307" s="43"/>
      <c r="EX307" s="43"/>
      <c r="EY307" s="43"/>
      <c r="EZ307" s="43"/>
      <c r="FA307" s="43"/>
      <c r="FB307" s="43"/>
      <c r="FC307" s="43"/>
      <c r="FD307" s="43"/>
      <c r="FE307" s="43"/>
      <c r="FF307" s="43"/>
      <c r="FG307" s="43"/>
      <c r="FH307" s="50"/>
      <c r="FI307" s="50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/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43"/>
      <c r="EB308" s="43"/>
      <c r="EC308" s="43"/>
      <c r="ED308" s="43"/>
      <c r="EE308" s="43"/>
      <c r="EF308" s="43"/>
      <c r="EG308" s="43"/>
      <c r="EH308" s="43"/>
      <c r="EI308" s="43"/>
      <c r="EJ308" s="43"/>
      <c r="EK308" s="43"/>
      <c r="EL308" s="43"/>
      <c r="EM308" s="43"/>
      <c r="EN308" s="43"/>
      <c r="EO308" s="43"/>
      <c r="EP308" s="43"/>
      <c r="EQ308" s="43"/>
      <c r="ER308" s="43"/>
      <c r="ES308" s="43"/>
      <c r="ET308" s="43"/>
      <c r="EU308" s="43"/>
      <c r="EV308" s="43"/>
      <c r="EW308" s="43"/>
      <c r="EX308" s="43"/>
      <c r="EY308" s="43"/>
      <c r="EZ308" s="43"/>
      <c r="FA308" s="43"/>
      <c r="FB308" s="43"/>
      <c r="FC308" s="43"/>
      <c r="FD308" s="43"/>
      <c r="FE308" s="43"/>
      <c r="FF308" s="43"/>
      <c r="FG308" s="43"/>
      <c r="FH308" s="50"/>
      <c r="FI308" s="50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/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43"/>
      <c r="EB309" s="43"/>
      <c r="EC309" s="43"/>
      <c r="ED309" s="43"/>
      <c r="EE309" s="43"/>
      <c r="EF309" s="43"/>
      <c r="EG309" s="43"/>
      <c r="EH309" s="43"/>
      <c r="EI309" s="43"/>
      <c r="EJ309" s="43"/>
      <c r="EK309" s="43"/>
      <c r="EL309" s="43"/>
      <c r="EM309" s="43"/>
      <c r="EN309" s="43"/>
      <c r="EO309" s="43"/>
      <c r="EP309" s="43"/>
      <c r="EQ309" s="43"/>
      <c r="ER309" s="43"/>
      <c r="ES309" s="43"/>
      <c r="ET309" s="43"/>
      <c r="EU309" s="43"/>
      <c r="EV309" s="43"/>
      <c r="EW309" s="43"/>
      <c r="EX309" s="43"/>
      <c r="EY309" s="43"/>
      <c r="EZ309" s="43"/>
      <c r="FA309" s="43"/>
      <c r="FB309" s="43"/>
      <c r="FC309" s="43"/>
      <c r="FD309" s="43"/>
      <c r="FE309" s="43"/>
      <c r="FF309" s="43"/>
      <c r="FG309" s="43"/>
      <c r="FH309" s="50"/>
      <c r="FI309" s="50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/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43"/>
      <c r="EB310" s="43"/>
      <c r="EC310" s="43"/>
      <c r="ED310" s="43"/>
      <c r="EE310" s="43"/>
      <c r="EF310" s="43"/>
      <c r="EG310" s="43"/>
      <c r="EH310" s="43"/>
      <c r="EI310" s="43"/>
      <c r="EJ310" s="43"/>
      <c r="EK310" s="43"/>
      <c r="EL310" s="43"/>
      <c r="EM310" s="43"/>
      <c r="EN310" s="43"/>
      <c r="EO310" s="43"/>
      <c r="EP310" s="43"/>
      <c r="EQ310" s="43"/>
      <c r="ER310" s="43"/>
      <c r="ES310" s="43"/>
      <c r="ET310" s="43"/>
      <c r="EU310" s="43"/>
      <c r="EV310" s="43"/>
      <c r="EW310" s="43"/>
      <c r="EX310" s="43"/>
      <c r="EY310" s="43"/>
      <c r="EZ310" s="43"/>
      <c r="FA310" s="43"/>
      <c r="FB310" s="43"/>
      <c r="FC310" s="43"/>
      <c r="FD310" s="43"/>
      <c r="FE310" s="43"/>
      <c r="FF310" s="43"/>
      <c r="FG310" s="43"/>
      <c r="FH310" s="50"/>
      <c r="FI310" s="50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43"/>
      <c r="EB311" s="43"/>
      <c r="EC311" s="43"/>
      <c r="ED311" s="43"/>
      <c r="EE311" s="43"/>
      <c r="EF311" s="43"/>
      <c r="EG311" s="43"/>
      <c r="EH311" s="43"/>
      <c r="EI311" s="43"/>
      <c r="EJ311" s="43"/>
      <c r="EK311" s="43"/>
      <c r="EL311" s="43"/>
      <c r="EM311" s="43"/>
      <c r="EN311" s="43"/>
      <c r="EO311" s="43"/>
      <c r="EP311" s="43"/>
      <c r="EQ311" s="43"/>
      <c r="ER311" s="43"/>
      <c r="ES311" s="43"/>
      <c r="ET311" s="43"/>
      <c r="EU311" s="43"/>
      <c r="EV311" s="43"/>
      <c r="EW311" s="43"/>
      <c r="EX311" s="43"/>
      <c r="EY311" s="43"/>
      <c r="EZ311" s="43"/>
      <c r="FA311" s="43"/>
      <c r="FB311" s="43"/>
      <c r="FC311" s="43"/>
      <c r="FD311" s="43"/>
      <c r="FE311" s="43"/>
      <c r="FF311" s="43"/>
      <c r="FG311" s="43"/>
      <c r="FH311" s="50"/>
      <c r="FI311" s="50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43"/>
      <c r="EB312" s="43"/>
      <c r="EC312" s="43"/>
      <c r="ED312" s="43"/>
      <c r="EE312" s="43"/>
      <c r="EF312" s="43"/>
      <c r="EG312" s="43"/>
      <c r="EH312" s="43"/>
      <c r="EI312" s="43"/>
      <c r="EJ312" s="43"/>
      <c r="EK312" s="43"/>
      <c r="EL312" s="43"/>
      <c r="EM312" s="43"/>
      <c r="EN312" s="43"/>
      <c r="EO312" s="43"/>
      <c r="EP312" s="43"/>
      <c r="EQ312" s="43"/>
      <c r="ER312" s="43"/>
      <c r="ES312" s="43"/>
      <c r="ET312" s="43"/>
      <c r="EU312" s="43"/>
      <c r="EV312" s="43"/>
      <c r="EW312" s="43"/>
      <c r="EX312" s="43"/>
      <c r="EY312" s="43"/>
      <c r="EZ312" s="43"/>
      <c r="FA312" s="43"/>
      <c r="FB312" s="43"/>
      <c r="FC312" s="43"/>
      <c r="FD312" s="43"/>
      <c r="FE312" s="43"/>
      <c r="FF312" s="43"/>
      <c r="FG312" s="43"/>
      <c r="FH312" s="50"/>
      <c r="FI312" s="50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43"/>
      <c r="EB313" s="43"/>
      <c r="EC313" s="43"/>
      <c r="ED313" s="43"/>
      <c r="EE313" s="43"/>
      <c r="EF313" s="43"/>
      <c r="EG313" s="43"/>
      <c r="EH313" s="43"/>
      <c r="EI313" s="43"/>
      <c r="EJ313" s="43"/>
      <c r="EK313" s="43"/>
      <c r="EL313" s="43"/>
      <c r="EM313" s="43"/>
      <c r="EN313" s="43"/>
      <c r="EO313" s="43"/>
      <c r="EP313" s="43"/>
      <c r="EQ313" s="43"/>
      <c r="ER313" s="43"/>
      <c r="ES313" s="43"/>
      <c r="ET313" s="43"/>
      <c r="EU313" s="43"/>
      <c r="EV313" s="43"/>
      <c r="EW313" s="43"/>
      <c r="EX313" s="43"/>
      <c r="EY313" s="43"/>
      <c r="EZ313" s="43"/>
      <c r="FA313" s="43"/>
      <c r="FB313" s="43"/>
      <c r="FC313" s="43"/>
      <c r="FD313" s="43"/>
      <c r="FE313" s="43"/>
      <c r="FF313" s="43"/>
      <c r="FG313" s="43"/>
      <c r="FH313" s="50"/>
      <c r="FI313" s="50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43"/>
      <c r="EB314" s="43"/>
      <c r="EC314" s="43"/>
      <c r="ED314" s="43"/>
      <c r="EE314" s="43"/>
      <c r="EF314" s="43"/>
      <c r="EG314" s="43"/>
      <c r="EH314" s="43"/>
      <c r="EI314" s="43"/>
      <c r="EJ314" s="43"/>
      <c r="EK314" s="43"/>
      <c r="EL314" s="43"/>
      <c r="EM314" s="43"/>
      <c r="EN314" s="43"/>
      <c r="EO314" s="43"/>
      <c r="EP314" s="43"/>
      <c r="EQ314" s="43"/>
      <c r="ER314" s="43"/>
      <c r="ES314" s="43"/>
      <c r="ET314" s="43"/>
      <c r="EU314" s="43"/>
      <c r="EV314" s="43"/>
      <c r="EW314" s="43"/>
      <c r="EX314" s="43"/>
      <c r="EY314" s="43"/>
      <c r="EZ314" s="43"/>
      <c r="FA314" s="43"/>
      <c r="FB314" s="43"/>
      <c r="FC314" s="43"/>
      <c r="FD314" s="43"/>
      <c r="FE314" s="43"/>
      <c r="FF314" s="43"/>
      <c r="FG314" s="43"/>
      <c r="FH314" s="50"/>
      <c r="FI314" s="50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43"/>
      <c r="EB315" s="43"/>
      <c r="EC315" s="43"/>
      <c r="ED315" s="43"/>
      <c r="EE315" s="43"/>
      <c r="EF315" s="43"/>
      <c r="EG315" s="43"/>
      <c r="EH315" s="43"/>
      <c r="EI315" s="43"/>
      <c r="EJ315" s="43"/>
      <c r="EK315" s="43"/>
      <c r="EL315" s="43"/>
      <c r="EM315" s="43"/>
      <c r="EN315" s="43"/>
      <c r="EO315" s="43"/>
      <c r="EP315" s="43"/>
      <c r="EQ315" s="43"/>
      <c r="ER315" s="43"/>
      <c r="ES315" s="43"/>
      <c r="ET315" s="43"/>
      <c r="EU315" s="43"/>
      <c r="EV315" s="43"/>
      <c r="EW315" s="43"/>
      <c r="EX315" s="43"/>
      <c r="EY315" s="43"/>
      <c r="EZ315" s="43"/>
      <c r="FA315" s="43"/>
      <c r="FB315" s="43"/>
      <c r="FC315" s="43"/>
      <c r="FD315" s="43"/>
      <c r="FE315" s="43"/>
      <c r="FF315" s="43"/>
      <c r="FG315" s="43"/>
      <c r="FH315" s="50"/>
      <c r="FI315" s="50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43"/>
      <c r="EB316" s="43"/>
      <c r="EC316" s="43"/>
      <c r="ED316" s="43"/>
      <c r="EE316" s="43"/>
      <c r="EF316" s="43"/>
      <c r="EG316" s="43"/>
      <c r="EH316" s="43"/>
      <c r="EI316" s="43"/>
      <c r="EJ316" s="43"/>
      <c r="EK316" s="43"/>
      <c r="EL316" s="43"/>
      <c r="EM316" s="43"/>
      <c r="EN316" s="43"/>
      <c r="EO316" s="43"/>
      <c r="EP316" s="43"/>
      <c r="EQ316" s="43"/>
      <c r="ER316" s="43"/>
      <c r="ES316" s="43"/>
      <c r="ET316" s="43"/>
      <c r="EU316" s="43"/>
      <c r="EV316" s="43"/>
      <c r="EW316" s="43"/>
      <c r="EX316" s="43"/>
      <c r="EY316" s="43"/>
      <c r="EZ316" s="43"/>
      <c r="FA316" s="43"/>
      <c r="FB316" s="43"/>
      <c r="FC316" s="43"/>
      <c r="FD316" s="43"/>
      <c r="FE316" s="43"/>
      <c r="FF316" s="43"/>
      <c r="FG316" s="43"/>
      <c r="FH316" s="50"/>
      <c r="FI316" s="50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50"/>
      <c r="FI317" s="50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50"/>
      <c r="FI318" s="50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50"/>
      <c r="FI319" s="50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43"/>
      <c r="EB320" s="43"/>
      <c r="EC320" s="43"/>
      <c r="ED320" s="43"/>
      <c r="EE320" s="43"/>
      <c r="EF320" s="43"/>
      <c r="EG320" s="43"/>
      <c r="EH320" s="43"/>
      <c r="EI320" s="43"/>
      <c r="EJ320" s="43"/>
      <c r="EK320" s="43"/>
      <c r="EL320" s="43"/>
      <c r="EM320" s="43"/>
      <c r="EN320" s="43"/>
      <c r="EO320" s="43"/>
      <c r="EP320" s="43"/>
      <c r="EQ320" s="43"/>
      <c r="ER320" s="43"/>
      <c r="ES320" s="43"/>
      <c r="ET320" s="43"/>
      <c r="EU320" s="43"/>
      <c r="EV320" s="43"/>
      <c r="EW320" s="43"/>
      <c r="EX320" s="43"/>
      <c r="EY320" s="43"/>
      <c r="EZ320" s="43"/>
      <c r="FA320" s="43"/>
      <c r="FB320" s="43"/>
      <c r="FC320" s="43"/>
      <c r="FD320" s="43"/>
      <c r="FE320" s="43"/>
      <c r="FF320" s="43"/>
      <c r="FG320" s="43"/>
      <c r="FH320" s="50"/>
      <c r="FI320" s="50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43"/>
      <c r="EB321" s="43"/>
      <c r="EC321" s="43"/>
      <c r="ED321" s="43"/>
      <c r="EE321" s="43"/>
      <c r="EF321" s="43"/>
      <c r="EG321" s="43"/>
      <c r="EH321" s="43"/>
      <c r="EI321" s="43"/>
      <c r="EJ321" s="43"/>
      <c r="EK321" s="43"/>
      <c r="EL321" s="43"/>
      <c r="EM321" s="43"/>
      <c r="EN321" s="43"/>
      <c r="EO321" s="43"/>
      <c r="EP321" s="43"/>
      <c r="EQ321" s="43"/>
      <c r="ER321" s="43"/>
      <c r="ES321" s="43"/>
      <c r="ET321" s="43"/>
      <c r="EU321" s="43"/>
      <c r="EV321" s="43"/>
      <c r="EW321" s="43"/>
      <c r="EX321" s="43"/>
      <c r="EY321" s="43"/>
      <c r="EZ321" s="43"/>
      <c r="FA321" s="43"/>
      <c r="FB321" s="43"/>
      <c r="FC321" s="43"/>
      <c r="FD321" s="43"/>
      <c r="FE321" s="43"/>
      <c r="FF321" s="43"/>
      <c r="FG321" s="43"/>
      <c r="FH321" s="50"/>
      <c r="FI321" s="50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43"/>
      <c r="EB322" s="43"/>
      <c r="EC322" s="43"/>
      <c r="ED322" s="43"/>
      <c r="EE322" s="43"/>
      <c r="EF322" s="43"/>
      <c r="EG322" s="43"/>
      <c r="EH322" s="43"/>
      <c r="EI322" s="43"/>
      <c r="EJ322" s="43"/>
      <c r="EK322" s="43"/>
      <c r="EL322" s="43"/>
      <c r="EM322" s="43"/>
      <c r="EN322" s="43"/>
      <c r="EO322" s="43"/>
      <c r="EP322" s="43"/>
      <c r="EQ322" s="43"/>
      <c r="ER322" s="43"/>
      <c r="ES322" s="43"/>
      <c r="ET322" s="43"/>
      <c r="EU322" s="43"/>
      <c r="EV322" s="43"/>
      <c r="EW322" s="43"/>
      <c r="EX322" s="43"/>
      <c r="EY322" s="43"/>
      <c r="EZ322" s="43"/>
      <c r="FA322" s="43"/>
      <c r="FB322" s="43"/>
      <c r="FC322" s="43"/>
      <c r="FD322" s="43"/>
      <c r="FE322" s="43"/>
      <c r="FF322" s="43"/>
      <c r="FG322" s="43"/>
      <c r="FH322" s="50"/>
      <c r="FI322" s="50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43"/>
      <c r="EB323" s="43"/>
      <c r="EC323" s="43"/>
      <c r="ED323" s="43"/>
      <c r="EE323" s="43"/>
      <c r="EF323" s="43"/>
      <c r="EG323" s="43"/>
      <c r="EH323" s="43"/>
      <c r="EI323" s="43"/>
      <c r="EJ323" s="43"/>
      <c r="EK323" s="43"/>
      <c r="EL323" s="43"/>
      <c r="EM323" s="43"/>
      <c r="EN323" s="43"/>
      <c r="EO323" s="43"/>
      <c r="EP323" s="43"/>
      <c r="EQ323" s="43"/>
      <c r="ER323" s="43"/>
      <c r="ES323" s="43"/>
      <c r="ET323" s="43"/>
      <c r="EU323" s="43"/>
      <c r="EV323" s="43"/>
      <c r="EW323" s="43"/>
      <c r="EX323" s="43"/>
      <c r="EY323" s="43"/>
      <c r="EZ323" s="43"/>
      <c r="FA323" s="43"/>
      <c r="FB323" s="43"/>
      <c r="FC323" s="43"/>
      <c r="FD323" s="43"/>
      <c r="FE323" s="43"/>
      <c r="FF323" s="43"/>
      <c r="FG323" s="43"/>
      <c r="FH323" s="50"/>
      <c r="FI323" s="50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43"/>
      <c r="EB324" s="43"/>
      <c r="EC324" s="43"/>
      <c r="ED324" s="43"/>
      <c r="EE324" s="43"/>
      <c r="EF324" s="43"/>
      <c r="EG324" s="43"/>
      <c r="EH324" s="43"/>
      <c r="EI324" s="43"/>
      <c r="EJ324" s="43"/>
      <c r="EK324" s="43"/>
      <c r="EL324" s="43"/>
      <c r="EM324" s="43"/>
      <c r="EN324" s="43"/>
      <c r="EO324" s="43"/>
      <c r="EP324" s="43"/>
      <c r="EQ324" s="43"/>
      <c r="ER324" s="43"/>
      <c r="ES324" s="43"/>
      <c r="ET324" s="43"/>
      <c r="EU324" s="43"/>
      <c r="EV324" s="43"/>
      <c r="EW324" s="43"/>
      <c r="EX324" s="43"/>
      <c r="EY324" s="43"/>
      <c r="EZ324" s="43"/>
      <c r="FA324" s="43"/>
      <c r="FB324" s="43"/>
      <c r="FC324" s="43"/>
      <c r="FD324" s="43"/>
      <c r="FE324" s="43"/>
      <c r="FF324" s="43"/>
      <c r="FG324" s="43"/>
      <c r="FH324" s="50"/>
      <c r="FI324" s="50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43"/>
      <c r="EO325" s="43"/>
      <c r="EP325" s="43"/>
      <c r="EQ325" s="43"/>
      <c r="ER325" s="43"/>
      <c r="ES325" s="43"/>
      <c r="ET325" s="43"/>
      <c r="EU325" s="43"/>
      <c r="EV325" s="43"/>
      <c r="EW325" s="43"/>
      <c r="EX325" s="43"/>
      <c r="EY325" s="43"/>
      <c r="EZ325" s="43"/>
      <c r="FA325" s="43"/>
      <c r="FB325" s="43"/>
      <c r="FC325" s="43"/>
      <c r="FD325" s="43"/>
      <c r="FE325" s="43"/>
      <c r="FF325" s="43"/>
      <c r="FG325" s="43"/>
      <c r="FH325" s="50"/>
      <c r="FI325" s="50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43"/>
      <c r="EO326" s="43"/>
      <c r="EP326" s="43"/>
      <c r="EQ326" s="43"/>
      <c r="ER326" s="43"/>
      <c r="ES326" s="43"/>
      <c r="ET326" s="43"/>
      <c r="EU326" s="43"/>
      <c r="EV326" s="43"/>
      <c r="EW326" s="43"/>
      <c r="EX326" s="43"/>
      <c r="EY326" s="43"/>
      <c r="EZ326" s="43"/>
      <c r="FA326" s="43"/>
      <c r="FB326" s="43"/>
      <c r="FC326" s="43"/>
      <c r="FD326" s="43"/>
      <c r="FE326" s="43"/>
      <c r="FF326" s="43"/>
      <c r="FG326" s="43"/>
      <c r="FH326" s="50"/>
      <c r="FI326" s="50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43"/>
      <c r="EO327" s="43"/>
      <c r="EP327" s="43"/>
      <c r="EQ327" s="43"/>
      <c r="ER327" s="43"/>
      <c r="ES327" s="43"/>
      <c r="ET327" s="43"/>
      <c r="EU327" s="43"/>
      <c r="EV327" s="43"/>
      <c r="EW327" s="43"/>
      <c r="EX327" s="43"/>
      <c r="EY327" s="43"/>
      <c r="EZ327" s="43"/>
      <c r="FA327" s="43"/>
      <c r="FB327" s="43"/>
      <c r="FC327" s="43"/>
      <c r="FD327" s="43"/>
      <c r="FE327" s="43"/>
      <c r="FF327" s="43"/>
      <c r="FG327" s="43"/>
      <c r="FH327" s="50"/>
      <c r="FI327" s="50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43"/>
      <c r="EO328" s="43"/>
      <c r="EP328" s="43"/>
      <c r="EQ328" s="43"/>
      <c r="ER328" s="43"/>
      <c r="ES328" s="43"/>
      <c r="ET328" s="43"/>
      <c r="EU328" s="43"/>
      <c r="EV328" s="43"/>
      <c r="EW328" s="43"/>
      <c r="EX328" s="43"/>
      <c r="EY328" s="43"/>
      <c r="EZ328" s="43"/>
      <c r="FA328" s="43"/>
      <c r="FB328" s="43"/>
      <c r="FC328" s="43"/>
      <c r="FD328" s="43"/>
      <c r="FE328" s="43"/>
      <c r="FF328" s="43"/>
      <c r="FG328" s="43"/>
      <c r="FH328" s="50"/>
      <c r="FI328" s="50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43"/>
      <c r="EO329" s="43"/>
      <c r="EP329" s="43"/>
      <c r="EQ329" s="43"/>
      <c r="ER329" s="43"/>
      <c r="ES329" s="43"/>
      <c r="ET329" s="43"/>
      <c r="EU329" s="43"/>
      <c r="EV329" s="43"/>
      <c r="EW329" s="43"/>
      <c r="EX329" s="43"/>
      <c r="EY329" s="43"/>
      <c r="EZ329" s="43"/>
      <c r="FA329" s="43"/>
      <c r="FB329" s="43"/>
      <c r="FC329" s="43"/>
      <c r="FD329" s="43"/>
      <c r="FE329" s="43"/>
      <c r="FF329" s="43"/>
      <c r="FG329" s="43"/>
      <c r="FH329" s="50"/>
      <c r="FI329" s="50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43"/>
      <c r="EO330" s="43"/>
      <c r="EP330" s="43"/>
      <c r="EQ330" s="43"/>
      <c r="ER330" s="43"/>
      <c r="ES330" s="43"/>
      <c r="ET330" s="43"/>
      <c r="EU330" s="43"/>
      <c r="EV330" s="43"/>
      <c r="EW330" s="43"/>
      <c r="EX330" s="43"/>
      <c r="EY330" s="43"/>
      <c r="EZ330" s="43"/>
      <c r="FA330" s="43"/>
      <c r="FB330" s="43"/>
      <c r="FC330" s="43"/>
      <c r="FD330" s="43"/>
      <c r="FE330" s="43"/>
      <c r="FF330" s="43"/>
      <c r="FG330" s="43"/>
      <c r="FH330" s="50"/>
      <c r="FI330" s="50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43"/>
      <c r="EO331" s="43"/>
      <c r="EP331" s="43"/>
      <c r="EQ331" s="43"/>
      <c r="ER331" s="43"/>
      <c r="ES331" s="43"/>
      <c r="ET331" s="43"/>
      <c r="EU331" s="43"/>
      <c r="EV331" s="43"/>
      <c r="EW331" s="43"/>
      <c r="EX331" s="43"/>
      <c r="EY331" s="43"/>
      <c r="EZ331" s="43"/>
      <c r="FA331" s="43"/>
      <c r="FB331" s="43"/>
      <c r="FC331" s="43"/>
      <c r="FD331" s="43"/>
      <c r="FE331" s="43"/>
      <c r="FF331" s="43"/>
      <c r="FG331" s="43"/>
      <c r="FH331" s="50"/>
      <c r="FI331" s="50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43"/>
      <c r="EO332" s="43"/>
      <c r="EP332" s="43"/>
      <c r="EQ332" s="43"/>
      <c r="ER332" s="43"/>
      <c r="ES332" s="43"/>
      <c r="ET332" s="43"/>
      <c r="EU332" s="43"/>
      <c r="EV332" s="43"/>
      <c r="EW332" s="43"/>
      <c r="EX332" s="43"/>
      <c r="EY332" s="43"/>
      <c r="EZ332" s="43"/>
      <c r="FA332" s="43"/>
      <c r="FB332" s="43"/>
      <c r="FC332" s="43"/>
      <c r="FD332" s="43"/>
      <c r="FE332" s="43"/>
      <c r="FF332" s="43"/>
      <c r="FG332" s="43"/>
      <c r="FH332" s="50"/>
      <c r="FI332" s="50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43"/>
      <c r="EB333" s="43"/>
      <c r="EC333" s="43"/>
      <c r="ED333" s="43"/>
      <c r="EE333" s="43"/>
      <c r="EF333" s="43"/>
      <c r="EG333" s="43"/>
      <c r="EH333" s="43"/>
      <c r="EI333" s="43"/>
      <c r="EJ333" s="43"/>
      <c r="EK333" s="43"/>
      <c r="EL333" s="43"/>
      <c r="EM333" s="43"/>
      <c r="EN333" s="43"/>
      <c r="EO333" s="43"/>
      <c r="EP333" s="43"/>
      <c r="EQ333" s="43"/>
      <c r="ER333" s="43"/>
      <c r="ES333" s="43"/>
      <c r="ET333" s="43"/>
      <c r="EU333" s="43"/>
      <c r="EV333" s="43"/>
      <c r="EW333" s="43"/>
      <c r="EX333" s="43"/>
      <c r="EY333" s="43"/>
      <c r="EZ333" s="43"/>
      <c r="FA333" s="43"/>
      <c r="FB333" s="43"/>
      <c r="FC333" s="43"/>
      <c r="FD333" s="43"/>
      <c r="FE333" s="43"/>
      <c r="FF333" s="43"/>
      <c r="FG333" s="43"/>
      <c r="FH333" s="50"/>
      <c r="FI333" s="50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43"/>
      <c r="EB334" s="43"/>
      <c r="EC334" s="43"/>
      <c r="ED334" s="43"/>
      <c r="EE334" s="43"/>
      <c r="EF334" s="43"/>
      <c r="EG334" s="43"/>
      <c r="EH334" s="43"/>
      <c r="EI334" s="43"/>
      <c r="EJ334" s="43"/>
      <c r="EK334" s="43"/>
      <c r="EL334" s="43"/>
      <c r="EM334" s="43"/>
      <c r="EN334" s="43"/>
      <c r="EO334" s="43"/>
      <c r="EP334" s="43"/>
      <c r="EQ334" s="43"/>
      <c r="ER334" s="43"/>
      <c r="ES334" s="43"/>
      <c r="ET334" s="43"/>
      <c r="EU334" s="43"/>
      <c r="EV334" s="43"/>
      <c r="EW334" s="43"/>
      <c r="EX334" s="43"/>
      <c r="EY334" s="43"/>
      <c r="EZ334" s="43"/>
      <c r="FA334" s="43"/>
      <c r="FB334" s="43"/>
      <c r="FC334" s="43"/>
      <c r="FD334" s="43"/>
      <c r="FE334" s="43"/>
      <c r="FF334" s="43"/>
      <c r="FG334" s="43"/>
      <c r="FH334" s="50"/>
      <c r="FI334" s="50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43"/>
      <c r="EB335" s="43"/>
      <c r="EC335" s="43"/>
      <c r="ED335" s="43"/>
      <c r="EE335" s="43"/>
      <c r="EF335" s="43"/>
      <c r="EG335" s="43"/>
      <c r="EH335" s="43"/>
      <c r="EI335" s="43"/>
      <c r="EJ335" s="43"/>
      <c r="EK335" s="43"/>
      <c r="EL335" s="43"/>
      <c r="EM335" s="43"/>
      <c r="EN335" s="43"/>
      <c r="EO335" s="43"/>
      <c r="EP335" s="43"/>
      <c r="EQ335" s="43"/>
      <c r="ER335" s="43"/>
      <c r="ES335" s="43"/>
      <c r="ET335" s="43"/>
      <c r="EU335" s="43"/>
      <c r="EV335" s="43"/>
      <c r="EW335" s="43"/>
      <c r="EX335" s="43"/>
      <c r="EY335" s="43"/>
      <c r="EZ335" s="43"/>
      <c r="FA335" s="43"/>
      <c r="FB335" s="43"/>
      <c r="FC335" s="43"/>
      <c r="FD335" s="43"/>
      <c r="FE335" s="43"/>
      <c r="FF335" s="43"/>
      <c r="FG335" s="43"/>
      <c r="FH335" s="50"/>
      <c r="FI335" s="50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43"/>
      <c r="EB336" s="43"/>
      <c r="EC336" s="43"/>
      <c r="ED336" s="43"/>
      <c r="EE336" s="43"/>
      <c r="EF336" s="43"/>
      <c r="EG336" s="43"/>
      <c r="EH336" s="43"/>
      <c r="EI336" s="43"/>
      <c r="EJ336" s="43"/>
      <c r="EK336" s="43"/>
      <c r="EL336" s="43"/>
      <c r="EM336" s="43"/>
      <c r="EN336" s="43"/>
      <c r="EO336" s="43"/>
      <c r="EP336" s="43"/>
      <c r="EQ336" s="43"/>
      <c r="ER336" s="43"/>
      <c r="ES336" s="43"/>
      <c r="ET336" s="43"/>
      <c r="EU336" s="43"/>
      <c r="EV336" s="43"/>
      <c r="EW336" s="43"/>
      <c r="EX336" s="43"/>
      <c r="EY336" s="43"/>
      <c r="EZ336" s="43"/>
      <c r="FA336" s="43"/>
      <c r="FB336" s="43"/>
      <c r="FC336" s="43"/>
      <c r="FD336" s="43"/>
      <c r="FE336" s="43"/>
      <c r="FF336" s="43"/>
      <c r="FG336" s="43"/>
      <c r="FH336" s="50"/>
      <c r="FI336" s="50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43"/>
      <c r="EB337" s="43"/>
      <c r="EC337" s="43"/>
      <c r="ED337" s="43"/>
      <c r="EE337" s="43"/>
      <c r="EF337" s="43"/>
      <c r="EG337" s="43"/>
      <c r="EH337" s="43"/>
      <c r="EI337" s="43"/>
      <c r="EJ337" s="43"/>
      <c r="EK337" s="43"/>
      <c r="EL337" s="43"/>
      <c r="EM337" s="43"/>
      <c r="EN337" s="43"/>
      <c r="EO337" s="43"/>
      <c r="EP337" s="43"/>
      <c r="EQ337" s="43"/>
      <c r="ER337" s="43"/>
      <c r="ES337" s="43"/>
      <c r="ET337" s="43"/>
      <c r="EU337" s="43"/>
      <c r="EV337" s="43"/>
      <c r="EW337" s="43"/>
      <c r="EX337" s="43"/>
      <c r="EY337" s="43"/>
      <c r="EZ337" s="43"/>
      <c r="FA337" s="43"/>
      <c r="FB337" s="43"/>
      <c r="FC337" s="43"/>
      <c r="FD337" s="43"/>
      <c r="FE337" s="43"/>
      <c r="FF337" s="43"/>
      <c r="FG337" s="43"/>
      <c r="FH337" s="50"/>
      <c r="FI337" s="50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43"/>
      <c r="EB338" s="43"/>
      <c r="EC338" s="43"/>
      <c r="ED338" s="43"/>
      <c r="EE338" s="43"/>
      <c r="EF338" s="43"/>
      <c r="EG338" s="43"/>
      <c r="EH338" s="43"/>
      <c r="EI338" s="43"/>
      <c r="EJ338" s="43"/>
      <c r="EK338" s="43"/>
      <c r="EL338" s="43"/>
      <c r="EM338" s="43"/>
      <c r="EN338" s="43"/>
      <c r="EO338" s="43"/>
      <c r="EP338" s="43"/>
      <c r="EQ338" s="43"/>
      <c r="ER338" s="43"/>
      <c r="ES338" s="43"/>
      <c r="ET338" s="43"/>
      <c r="EU338" s="43"/>
      <c r="EV338" s="43"/>
      <c r="EW338" s="43"/>
      <c r="EX338" s="43"/>
      <c r="EY338" s="43"/>
      <c r="EZ338" s="43"/>
      <c r="FA338" s="43"/>
      <c r="FB338" s="43"/>
      <c r="FC338" s="43"/>
      <c r="FD338" s="43"/>
      <c r="FE338" s="43"/>
      <c r="FF338" s="43"/>
      <c r="FG338" s="43"/>
      <c r="FH338" s="50"/>
      <c r="FI338" s="50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43"/>
      <c r="EB339" s="43"/>
      <c r="EC339" s="43"/>
      <c r="ED339" s="43"/>
      <c r="EE339" s="43"/>
      <c r="EF339" s="43"/>
      <c r="EG339" s="43"/>
      <c r="EH339" s="43"/>
      <c r="EI339" s="43"/>
      <c r="EJ339" s="43"/>
      <c r="EK339" s="43"/>
      <c r="EL339" s="43"/>
      <c r="EM339" s="43"/>
      <c r="EN339" s="43"/>
      <c r="EO339" s="43"/>
      <c r="EP339" s="43"/>
      <c r="EQ339" s="43"/>
      <c r="ER339" s="43"/>
      <c r="ES339" s="43"/>
      <c r="ET339" s="43"/>
      <c r="EU339" s="43"/>
      <c r="EV339" s="43"/>
      <c r="EW339" s="43"/>
      <c r="EX339" s="43"/>
      <c r="EY339" s="43"/>
      <c r="EZ339" s="43"/>
      <c r="FA339" s="43"/>
      <c r="FB339" s="43"/>
      <c r="FC339" s="43"/>
      <c r="FD339" s="43"/>
      <c r="FE339" s="43"/>
      <c r="FF339" s="43"/>
      <c r="FG339" s="43"/>
      <c r="FH339" s="50"/>
      <c r="FI339" s="50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50"/>
      <c r="FI340" s="50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50"/>
      <c r="FI341" s="50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/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43"/>
      <c r="EB342" s="43"/>
      <c r="EC342" s="43"/>
      <c r="ED342" s="43"/>
      <c r="EE342" s="43"/>
      <c r="EF342" s="43"/>
      <c r="EG342" s="43"/>
      <c r="EH342" s="43"/>
      <c r="EI342" s="43"/>
      <c r="EJ342" s="43"/>
      <c r="EK342" s="43"/>
      <c r="EL342" s="43"/>
      <c r="EM342" s="43"/>
      <c r="EN342" s="43"/>
      <c r="EO342" s="43"/>
      <c r="EP342" s="43"/>
      <c r="EQ342" s="43"/>
      <c r="ER342" s="43"/>
      <c r="ES342" s="43"/>
      <c r="ET342" s="43"/>
      <c r="EU342" s="43"/>
      <c r="EV342" s="43"/>
      <c r="EW342" s="43"/>
      <c r="EX342" s="43"/>
      <c r="EY342" s="43"/>
      <c r="EZ342" s="43"/>
      <c r="FA342" s="43"/>
      <c r="FB342" s="43"/>
      <c r="FC342" s="43"/>
      <c r="FD342" s="43"/>
      <c r="FE342" s="43"/>
      <c r="FF342" s="43"/>
      <c r="FG342" s="43"/>
      <c r="FH342" s="50"/>
      <c r="FI342" s="50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43"/>
      <c r="EB343" s="43"/>
      <c r="EC343" s="43"/>
      <c r="ED343" s="43"/>
      <c r="EE343" s="43"/>
      <c r="EF343" s="43"/>
      <c r="EG343" s="43"/>
      <c r="EH343" s="43"/>
      <c r="EI343" s="43"/>
      <c r="EJ343" s="43"/>
      <c r="EK343" s="43"/>
      <c r="EL343" s="43"/>
      <c r="EM343" s="43"/>
      <c r="EN343" s="43"/>
      <c r="EO343" s="43"/>
      <c r="EP343" s="43"/>
      <c r="EQ343" s="43"/>
      <c r="ER343" s="43"/>
      <c r="ES343" s="43"/>
      <c r="ET343" s="43"/>
      <c r="EU343" s="43"/>
      <c r="EV343" s="43"/>
      <c r="EW343" s="43"/>
      <c r="EX343" s="43"/>
      <c r="EY343" s="43"/>
      <c r="EZ343" s="43"/>
      <c r="FA343" s="43"/>
      <c r="FB343" s="43"/>
      <c r="FC343" s="43"/>
      <c r="FD343" s="43"/>
      <c r="FE343" s="43"/>
      <c r="FF343" s="43"/>
      <c r="FG343" s="43"/>
      <c r="FH343" s="50"/>
      <c r="FI343" s="50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43"/>
      <c r="EB344" s="43"/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43"/>
      <c r="EU344" s="43"/>
      <c r="EV344" s="43"/>
      <c r="EW344" s="43"/>
      <c r="EX344" s="43"/>
      <c r="EY344" s="43"/>
      <c r="EZ344" s="43"/>
      <c r="FA344" s="43"/>
      <c r="FB344" s="43"/>
      <c r="FC344" s="43"/>
      <c r="FD344" s="43"/>
      <c r="FE344" s="43"/>
      <c r="FF344" s="43"/>
      <c r="FG344" s="43"/>
      <c r="FH344" s="50"/>
      <c r="FI344" s="50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43"/>
      <c r="EB345" s="43"/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43"/>
      <c r="EU345" s="43"/>
      <c r="EV345" s="43"/>
      <c r="EW345" s="43"/>
      <c r="EX345" s="43"/>
      <c r="EY345" s="43"/>
      <c r="EZ345" s="43"/>
      <c r="FA345" s="43"/>
      <c r="FB345" s="43"/>
      <c r="FC345" s="43"/>
      <c r="FD345" s="43"/>
      <c r="FE345" s="43"/>
      <c r="FF345" s="43"/>
      <c r="FG345" s="43"/>
      <c r="FH345" s="50"/>
      <c r="FI345" s="50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43"/>
      <c r="EB346" s="43"/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43"/>
      <c r="EU346" s="43"/>
      <c r="EV346" s="43"/>
      <c r="EW346" s="43"/>
      <c r="EX346" s="43"/>
      <c r="EY346" s="43"/>
      <c r="EZ346" s="43"/>
      <c r="FA346" s="43"/>
      <c r="FB346" s="43"/>
      <c r="FC346" s="43"/>
      <c r="FD346" s="43"/>
      <c r="FE346" s="43"/>
      <c r="FF346" s="43"/>
      <c r="FG346" s="43"/>
      <c r="FH346" s="50"/>
      <c r="FI346" s="50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43"/>
      <c r="EB347" s="43"/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43"/>
      <c r="EU347" s="43"/>
      <c r="EV347" s="43"/>
      <c r="EW347" s="43"/>
      <c r="EX347" s="43"/>
      <c r="EY347" s="43"/>
      <c r="EZ347" s="43"/>
      <c r="FA347" s="43"/>
      <c r="FB347" s="43"/>
      <c r="FC347" s="43"/>
      <c r="FD347" s="43"/>
      <c r="FE347" s="43"/>
      <c r="FF347" s="43"/>
      <c r="FG347" s="43"/>
      <c r="FH347" s="50"/>
      <c r="FI347" s="50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43"/>
      <c r="EB348" s="43"/>
      <c r="EC348" s="43"/>
      <c r="ED348" s="43"/>
      <c r="EE348" s="43"/>
      <c r="EF348" s="43"/>
      <c r="EG348" s="43"/>
      <c r="EH348" s="43"/>
      <c r="EI348" s="43"/>
      <c r="EJ348" s="43"/>
      <c r="EK348" s="43"/>
      <c r="EL348" s="43"/>
      <c r="EM348" s="43"/>
      <c r="EN348" s="43"/>
      <c r="EO348" s="43"/>
      <c r="EP348" s="43"/>
      <c r="EQ348" s="43"/>
      <c r="ER348" s="43"/>
      <c r="ES348" s="43"/>
      <c r="ET348" s="43"/>
      <c r="EU348" s="43"/>
      <c r="EV348" s="43"/>
      <c r="EW348" s="43"/>
      <c r="EX348" s="43"/>
      <c r="EY348" s="43"/>
      <c r="EZ348" s="43"/>
      <c r="FA348" s="43"/>
      <c r="FB348" s="43"/>
      <c r="FC348" s="43"/>
      <c r="FD348" s="43"/>
      <c r="FE348" s="43"/>
      <c r="FF348" s="43"/>
      <c r="FG348" s="43"/>
      <c r="FH348" s="50"/>
      <c r="FI348" s="50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43"/>
      <c r="EB349" s="43"/>
      <c r="EC349" s="43"/>
      <c r="ED349" s="43"/>
      <c r="EE349" s="43"/>
      <c r="EF349" s="43"/>
      <c r="EG349" s="43"/>
      <c r="EH349" s="43"/>
      <c r="EI349" s="43"/>
      <c r="EJ349" s="43"/>
      <c r="EK349" s="43"/>
      <c r="EL349" s="43"/>
      <c r="EM349" s="43"/>
      <c r="EN349" s="43"/>
      <c r="EO349" s="43"/>
      <c r="EP349" s="43"/>
      <c r="EQ349" s="43"/>
      <c r="ER349" s="43"/>
      <c r="ES349" s="43"/>
      <c r="ET349" s="43"/>
      <c r="EU349" s="43"/>
      <c r="EV349" s="43"/>
      <c r="EW349" s="43"/>
      <c r="EX349" s="43"/>
      <c r="EY349" s="43"/>
      <c r="EZ349" s="43"/>
      <c r="FA349" s="43"/>
      <c r="FB349" s="43"/>
      <c r="FC349" s="43"/>
      <c r="FD349" s="43"/>
      <c r="FE349" s="43"/>
      <c r="FF349" s="43"/>
      <c r="FG349" s="43"/>
      <c r="FH349" s="50"/>
      <c r="FI349" s="50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43"/>
      <c r="CZ350" s="43"/>
      <c r="DA350" s="43"/>
      <c r="DB350" s="43"/>
      <c r="DC350" s="43"/>
      <c r="DD350" s="43"/>
      <c r="DE350" s="43"/>
      <c r="DF350" s="43"/>
      <c r="DG350" s="43"/>
      <c r="DH350" s="43"/>
      <c r="DI350" s="43"/>
      <c r="DJ350" s="43"/>
      <c r="DK350" s="43"/>
      <c r="DL350" s="43"/>
      <c r="DM350" s="43"/>
      <c r="DN350" s="43"/>
      <c r="DO350" s="43"/>
      <c r="DP350" s="43"/>
      <c r="DQ350" s="43"/>
      <c r="DR350" s="43"/>
      <c r="DS350" s="43"/>
      <c r="DT350" s="43"/>
      <c r="DU350" s="43"/>
      <c r="DV350" s="43"/>
      <c r="DW350" s="43"/>
      <c r="DX350" s="43"/>
      <c r="DY350" s="43"/>
      <c r="DZ350" s="43"/>
      <c r="EA350" s="43"/>
      <c r="EB350" s="43"/>
      <c r="EC350" s="43"/>
      <c r="ED350" s="43"/>
      <c r="EE350" s="43"/>
      <c r="EF350" s="43"/>
      <c r="EG350" s="43"/>
      <c r="EH350" s="43"/>
      <c r="EI350" s="43"/>
      <c r="EJ350" s="43"/>
      <c r="EK350" s="43"/>
      <c r="EL350" s="43"/>
      <c r="EM350" s="43"/>
      <c r="EN350" s="43"/>
      <c r="EO350" s="43"/>
      <c r="EP350" s="43"/>
      <c r="EQ350" s="43"/>
      <c r="ER350" s="43"/>
      <c r="ES350" s="43"/>
      <c r="ET350" s="43"/>
      <c r="EU350" s="43"/>
      <c r="EV350" s="43"/>
      <c r="EW350" s="43"/>
      <c r="EX350" s="43"/>
      <c r="EY350" s="43"/>
      <c r="EZ350" s="43"/>
      <c r="FA350" s="43"/>
      <c r="FB350" s="43"/>
      <c r="FC350" s="43"/>
      <c r="FD350" s="43"/>
      <c r="FE350" s="43"/>
      <c r="FF350" s="43"/>
      <c r="FG350" s="43"/>
      <c r="FH350" s="50"/>
      <c r="FI350" s="50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43"/>
      <c r="CZ351" s="43"/>
      <c r="DA351" s="43"/>
      <c r="DB351" s="43"/>
      <c r="DC351" s="43"/>
      <c r="DD351" s="43"/>
      <c r="DE351" s="43"/>
      <c r="DF351" s="43"/>
      <c r="DG351" s="43"/>
      <c r="DH351" s="43"/>
      <c r="DI351" s="43"/>
      <c r="DJ351" s="43"/>
      <c r="DK351" s="43"/>
      <c r="DL351" s="43"/>
      <c r="DM351" s="43"/>
      <c r="DN351" s="43"/>
      <c r="DO351" s="43"/>
      <c r="DP351" s="43"/>
      <c r="DQ351" s="43"/>
      <c r="DR351" s="43"/>
      <c r="DS351" s="43"/>
      <c r="DT351" s="43"/>
      <c r="DU351" s="43"/>
      <c r="DV351" s="43"/>
      <c r="DW351" s="43"/>
      <c r="DX351" s="43"/>
      <c r="DY351" s="43"/>
      <c r="DZ351" s="43"/>
      <c r="EA351" s="43"/>
      <c r="EB351" s="43"/>
      <c r="EC351" s="43"/>
      <c r="ED351" s="43"/>
      <c r="EE351" s="43"/>
      <c r="EF351" s="43"/>
      <c r="EG351" s="43"/>
      <c r="EH351" s="43"/>
      <c r="EI351" s="43"/>
      <c r="EJ351" s="43"/>
      <c r="EK351" s="43"/>
      <c r="EL351" s="43"/>
      <c r="EM351" s="43"/>
      <c r="EN351" s="43"/>
      <c r="EO351" s="43"/>
      <c r="EP351" s="43"/>
      <c r="EQ351" s="43"/>
      <c r="ER351" s="43"/>
      <c r="ES351" s="43"/>
      <c r="ET351" s="43"/>
      <c r="EU351" s="43"/>
      <c r="EV351" s="43"/>
      <c r="EW351" s="43"/>
      <c r="EX351" s="43"/>
      <c r="EY351" s="43"/>
      <c r="EZ351" s="43"/>
      <c r="FA351" s="43"/>
      <c r="FB351" s="43"/>
      <c r="FC351" s="43"/>
      <c r="FD351" s="43"/>
      <c r="FE351" s="43"/>
      <c r="FF351" s="43"/>
      <c r="FG351" s="43"/>
      <c r="FH351" s="50"/>
      <c r="FI351" s="50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43"/>
      <c r="CZ352" s="43"/>
      <c r="DA352" s="43"/>
      <c r="DB352" s="43"/>
      <c r="DC352" s="43"/>
      <c r="DD352" s="43"/>
      <c r="DE352" s="43"/>
      <c r="DF352" s="43"/>
      <c r="DG352" s="43"/>
      <c r="DH352" s="43"/>
      <c r="DI352" s="43"/>
      <c r="DJ352" s="43"/>
      <c r="DK352" s="43"/>
      <c r="DL352" s="43"/>
      <c r="DM352" s="43"/>
      <c r="DN352" s="43"/>
      <c r="DO352" s="43"/>
      <c r="DP352" s="43"/>
      <c r="DQ352" s="43"/>
      <c r="DR352" s="43"/>
      <c r="DS352" s="43"/>
      <c r="DT352" s="43"/>
      <c r="DU352" s="43"/>
      <c r="DV352" s="43"/>
      <c r="DW352" s="43"/>
      <c r="DX352" s="43"/>
      <c r="DY352" s="43"/>
      <c r="DZ352" s="43"/>
      <c r="EA352" s="43"/>
      <c r="EB352" s="43"/>
      <c r="EC352" s="43"/>
      <c r="ED352" s="43"/>
      <c r="EE352" s="43"/>
      <c r="EF352" s="43"/>
      <c r="EG352" s="43"/>
      <c r="EH352" s="43"/>
      <c r="EI352" s="43"/>
      <c r="EJ352" s="43"/>
      <c r="EK352" s="43"/>
      <c r="EL352" s="43"/>
      <c r="EM352" s="43"/>
      <c r="EN352" s="43"/>
      <c r="EO352" s="43"/>
      <c r="EP352" s="43"/>
      <c r="EQ352" s="43"/>
      <c r="ER352" s="43"/>
      <c r="ES352" s="43"/>
      <c r="ET352" s="43"/>
      <c r="EU352" s="43"/>
      <c r="EV352" s="43"/>
      <c r="EW352" s="43"/>
      <c r="EX352" s="43"/>
      <c r="EY352" s="43"/>
      <c r="EZ352" s="43"/>
      <c r="FA352" s="43"/>
      <c r="FB352" s="43"/>
      <c r="FC352" s="43"/>
      <c r="FD352" s="43"/>
      <c r="FE352" s="43"/>
      <c r="FF352" s="43"/>
      <c r="FG352" s="43"/>
      <c r="FH352" s="50"/>
      <c r="FI352" s="50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  <c r="DR353" s="43"/>
      <c r="DS353" s="43"/>
      <c r="DT353" s="43"/>
      <c r="DU353" s="43"/>
      <c r="DV353" s="43"/>
      <c r="DW353" s="43"/>
      <c r="DX353" s="43"/>
      <c r="DY353" s="43"/>
      <c r="DZ353" s="43"/>
      <c r="EA353" s="43"/>
      <c r="EB353" s="43"/>
      <c r="EC353" s="43"/>
      <c r="ED353" s="43"/>
      <c r="EE353" s="43"/>
      <c r="EF353" s="43"/>
      <c r="EG353" s="43"/>
      <c r="EH353" s="43"/>
      <c r="EI353" s="43"/>
      <c r="EJ353" s="43"/>
      <c r="EK353" s="43"/>
      <c r="EL353" s="43"/>
      <c r="EM353" s="43"/>
      <c r="EN353" s="43"/>
      <c r="EO353" s="43"/>
      <c r="EP353" s="43"/>
      <c r="EQ353" s="43"/>
      <c r="ER353" s="43"/>
      <c r="ES353" s="43"/>
      <c r="ET353" s="43"/>
      <c r="EU353" s="43"/>
      <c r="EV353" s="43"/>
      <c r="EW353" s="43"/>
      <c r="EX353" s="43"/>
      <c r="EY353" s="43"/>
      <c r="EZ353" s="43"/>
      <c r="FA353" s="43"/>
      <c r="FB353" s="43"/>
      <c r="FC353" s="43"/>
      <c r="FD353" s="43"/>
      <c r="FE353" s="43"/>
      <c r="FF353" s="43"/>
      <c r="FG353" s="43"/>
      <c r="FH353" s="50"/>
      <c r="FI353" s="50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43"/>
      <c r="CZ354" s="43"/>
      <c r="DA354" s="43"/>
      <c r="DB354" s="43"/>
      <c r="DC354" s="43"/>
      <c r="DD354" s="43"/>
      <c r="DE354" s="43"/>
      <c r="DF354" s="43"/>
      <c r="DG354" s="43"/>
      <c r="DH354" s="43"/>
      <c r="DI354" s="43"/>
      <c r="DJ354" s="43"/>
      <c r="DK354" s="43"/>
      <c r="DL354" s="43"/>
      <c r="DM354" s="43"/>
      <c r="DN354" s="43"/>
      <c r="DO354" s="43"/>
      <c r="DP354" s="43"/>
      <c r="DQ354" s="43"/>
      <c r="DR354" s="43"/>
      <c r="DS354" s="43"/>
      <c r="DT354" s="43"/>
      <c r="DU354" s="43"/>
      <c r="DV354" s="43"/>
      <c r="DW354" s="43"/>
      <c r="DX354" s="43"/>
      <c r="DY354" s="43"/>
      <c r="DZ354" s="43"/>
      <c r="EA354" s="43"/>
      <c r="EB354" s="43"/>
      <c r="EC354" s="43"/>
      <c r="ED354" s="43"/>
      <c r="EE354" s="43"/>
      <c r="EF354" s="43"/>
      <c r="EG354" s="43"/>
      <c r="EH354" s="43"/>
      <c r="EI354" s="43"/>
      <c r="EJ354" s="43"/>
      <c r="EK354" s="43"/>
      <c r="EL354" s="43"/>
      <c r="EM354" s="43"/>
      <c r="EN354" s="43"/>
      <c r="EO354" s="43"/>
      <c r="EP354" s="43"/>
      <c r="EQ354" s="43"/>
      <c r="ER354" s="43"/>
      <c r="ES354" s="43"/>
      <c r="ET354" s="43"/>
      <c r="EU354" s="43"/>
      <c r="EV354" s="43"/>
      <c r="EW354" s="43"/>
      <c r="EX354" s="43"/>
      <c r="EY354" s="43"/>
      <c r="EZ354" s="43"/>
      <c r="FA354" s="43"/>
      <c r="FB354" s="43"/>
      <c r="FC354" s="43"/>
      <c r="FD354" s="43"/>
      <c r="FE354" s="43"/>
      <c r="FF354" s="43"/>
      <c r="FG354" s="43"/>
      <c r="FH354" s="50"/>
      <c r="FI354" s="50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43"/>
      <c r="CZ355" s="43"/>
      <c r="DA355" s="43"/>
      <c r="DB355" s="43"/>
      <c r="DC355" s="43"/>
      <c r="DD355" s="43"/>
      <c r="DE355" s="43"/>
      <c r="DF355" s="43"/>
      <c r="DG355" s="43"/>
      <c r="DH355" s="43"/>
      <c r="DI355" s="43"/>
      <c r="DJ355" s="43"/>
      <c r="DK355" s="43"/>
      <c r="DL355" s="43"/>
      <c r="DM355" s="43"/>
      <c r="DN355" s="43"/>
      <c r="DO355" s="43"/>
      <c r="DP355" s="43"/>
      <c r="DQ355" s="43"/>
      <c r="DR355" s="43"/>
      <c r="DS355" s="43"/>
      <c r="DT355" s="43"/>
      <c r="DU355" s="43"/>
      <c r="DV355" s="43"/>
      <c r="DW355" s="43"/>
      <c r="DX355" s="43"/>
      <c r="DY355" s="43"/>
      <c r="DZ355" s="43"/>
      <c r="EA355" s="43"/>
      <c r="EB355" s="43"/>
      <c r="EC355" s="43"/>
      <c r="ED355" s="43"/>
      <c r="EE355" s="43"/>
      <c r="EF355" s="43"/>
      <c r="EG355" s="43"/>
      <c r="EH355" s="43"/>
      <c r="EI355" s="43"/>
      <c r="EJ355" s="43"/>
      <c r="EK355" s="43"/>
      <c r="EL355" s="43"/>
      <c r="EM355" s="43"/>
      <c r="EN355" s="43"/>
      <c r="EO355" s="43"/>
      <c r="EP355" s="43"/>
      <c r="EQ355" s="43"/>
      <c r="ER355" s="43"/>
      <c r="ES355" s="43"/>
      <c r="ET355" s="43"/>
      <c r="EU355" s="43"/>
      <c r="EV355" s="43"/>
      <c r="EW355" s="43"/>
      <c r="EX355" s="43"/>
      <c r="EY355" s="43"/>
      <c r="EZ355" s="43"/>
      <c r="FA355" s="43"/>
      <c r="FB355" s="43"/>
      <c r="FC355" s="43"/>
      <c r="FD355" s="43"/>
      <c r="FE355" s="43"/>
      <c r="FF355" s="43"/>
      <c r="FG355" s="43"/>
      <c r="FH355" s="50"/>
      <c r="FI355" s="50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/>
      <c r="CP356" s="43"/>
      <c r="CQ356" s="43"/>
      <c r="CR356" s="43"/>
      <c r="CS356" s="43"/>
      <c r="CT356" s="43"/>
      <c r="CU356" s="43"/>
      <c r="CV356" s="43"/>
      <c r="CW356" s="43"/>
      <c r="CX356" s="43"/>
      <c r="CY356" s="43"/>
      <c r="CZ356" s="43"/>
      <c r="DA356" s="43"/>
      <c r="DB356" s="43"/>
      <c r="DC356" s="43"/>
      <c r="DD356" s="43"/>
      <c r="DE356" s="43"/>
      <c r="DF356" s="43"/>
      <c r="DG356" s="43"/>
      <c r="DH356" s="43"/>
      <c r="DI356" s="43"/>
      <c r="DJ356" s="43"/>
      <c r="DK356" s="43"/>
      <c r="DL356" s="43"/>
      <c r="DM356" s="43"/>
      <c r="DN356" s="43"/>
      <c r="DO356" s="43"/>
      <c r="DP356" s="43"/>
      <c r="DQ356" s="43"/>
      <c r="DR356" s="43"/>
      <c r="DS356" s="43"/>
      <c r="DT356" s="43"/>
      <c r="DU356" s="43"/>
      <c r="DV356" s="43"/>
      <c r="DW356" s="43"/>
      <c r="DX356" s="43"/>
      <c r="DY356" s="43"/>
      <c r="DZ356" s="43"/>
      <c r="EA356" s="43"/>
      <c r="EB356" s="43"/>
      <c r="EC356" s="43"/>
      <c r="ED356" s="43"/>
      <c r="EE356" s="43"/>
      <c r="EF356" s="43"/>
      <c r="EG356" s="43"/>
      <c r="EH356" s="43"/>
      <c r="EI356" s="43"/>
      <c r="EJ356" s="43"/>
      <c r="EK356" s="43"/>
      <c r="EL356" s="43"/>
      <c r="EM356" s="43"/>
      <c r="EN356" s="43"/>
      <c r="EO356" s="43"/>
      <c r="EP356" s="43"/>
      <c r="EQ356" s="43"/>
      <c r="ER356" s="43"/>
      <c r="ES356" s="43"/>
      <c r="ET356" s="43"/>
      <c r="EU356" s="43"/>
      <c r="EV356" s="43"/>
      <c r="EW356" s="43"/>
      <c r="EX356" s="43"/>
      <c r="EY356" s="43"/>
      <c r="EZ356" s="43"/>
      <c r="FA356" s="43"/>
      <c r="FB356" s="43"/>
      <c r="FC356" s="43"/>
      <c r="FD356" s="43"/>
      <c r="FE356" s="43"/>
      <c r="FF356" s="43"/>
      <c r="FG356" s="43"/>
      <c r="FH356" s="50"/>
      <c r="FI356" s="50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/>
      <c r="CP357" s="43"/>
      <c r="CQ357" s="43"/>
      <c r="CR357" s="43"/>
      <c r="CS357" s="43"/>
      <c r="CT357" s="43"/>
      <c r="CU357" s="43"/>
      <c r="CV357" s="43"/>
      <c r="CW357" s="43"/>
      <c r="CX357" s="43"/>
      <c r="CY357" s="43"/>
      <c r="CZ357" s="43"/>
      <c r="DA357" s="43"/>
      <c r="DB357" s="43"/>
      <c r="DC357" s="43"/>
      <c r="DD357" s="43"/>
      <c r="DE357" s="43"/>
      <c r="DF357" s="43"/>
      <c r="DG357" s="43"/>
      <c r="DH357" s="43"/>
      <c r="DI357" s="43"/>
      <c r="DJ357" s="43"/>
      <c r="DK357" s="43"/>
      <c r="DL357" s="43"/>
      <c r="DM357" s="43"/>
      <c r="DN357" s="43"/>
      <c r="DO357" s="43"/>
      <c r="DP357" s="43"/>
      <c r="DQ357" s="43"/>
      <c r="DR357" s="43"/>
      <c r="DS357" s="43"/>
      <c r="DT357" s="43"/>
      <c r="DU357" s="43"/>
      <c r="DV357" s="43"/>
      <c r="DW357" s="43"/>
      <c r="DX357" s="43"/>
      <c r="DY357" s="43"/>
      <c r="DZ357" s="43"/>
      <c r="EA357" s="43"/>
      <c r="EB357" s="43"/>
      <c r="EC357" s="43"/>
      <c r="ED357" s="43"/>
      <c r="EE357" s="43"/>
      <c r="EF357" s="43"/>
      <c r="EG357" s="43"/>
      <c r="EH357" s="43"/>
      <c r="EI357" s="43"/>
      <c r="EJ357" s="43"/>
      <c r="EK357" s="43"/>
      <c r="EL357" s="43"/>
      <c r="EM357" s="43"/>
      <c r="EN357" s="43"/>
      <c r="EO357" s="43"/>
      <c r="EP357" s="43"/>
      <c r="EQ357" s="43"/>
      <c r="ER357" s="43"/>
      <c r="ES357" s="43"/>
      <c r="ET357" s="43"/>
      <c r="EU357" s="43"/>
      <c r="EV357" s="43"/>
      <c r="EW357" s="43"/>
      <c r="EX357" s="43"/>
      <c r="EY357" s="43"/>
      <c r="EZ357" s="43"/>
      <c r="FA357" s="43"/>
      <c r="FB357" s="43"/>
      <c r="FC357" s="43"/>
      <c r="FD357" s="43"/>
      <c r="FE357" s="43"/>
      <c r="FF357" s="43"/>
      <c r="FG357" s="43"/>
      <c r="FH357" s="50"/>
      <c r="FI357" s="50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/>
      <c r="CP358" s="43"/>
      <c r="CQ358" s="43"/>
      <c r="CR358" s="43"/>
      <c r="CS358" s="43"/>
      <c r="CT358" s="43"/>
      <c r="CU358" s="43"/>
      <c r="CV358" s="43"/>
      <c r="CW358" s="43"/>
      <c r="CX358" s="43"/>
      <c r="CY358" s="43"/>
      <c r="CZ358" s="43"/>
      <c r="DA358" s="43"/>
      <c r="DB358" s="43"/>
      <c r="DC358" s="43"/>
      <c r="DD358" s="43"/>
      <c r="DE358" s="43"/>
      <c r="DF358" s="43"/>
      <c r="DG358" s="43"/>
      <c r="DH358" s="43"/>
      <c r="DI358" s="43"/>
      <c r="DJ358" s="43"/>
      <c r="DK358" s="43"/>
      <c r="DL358" s="43"/>
      <c r="DM358" s="43"/>
      <c r="DN358" s="43"/>
      <c r="DO358" s="43"/>
      <c r="DP358" s="43"/>
      <c r="DQ358" s="43"/>
      <c r="DR358" s="43"/>
      <c r="DS358" s="43"/>
      <c r="DT358" s="43"/>
      <c r="DU358" s="43"/>
      <c r="DV358" s="43"/>
      <c r="DW358" s="43"/>
      <c r="DX358" s="43"/>
      <c r="DY358" s="43"/>
      <c r="DZ358" s="43"/>
      <c r="EA358" s="43"/>
      <c r="EB358" s="43"/>
      <c r="EC358" s="43"/>
      <c r="ED358" s="43"/>
      <c r="EE358" s="43"/>
      <c r="EF358" s="43"/>
      <c r="EG358" s="43"/>
      <c r="EH358" s="43"/>
      <c r="EI358" s="43"/>
      <c r="EJ358" s="43"/>
      <c r="EK358" s="43"/>
      <c r="EL358" s="43"/>
      <c r="EM358" s="43"/>
      <c r="EN358" s="43"/>
      <c r="EO358" s="43"/>
      <c r="EP358" s="43"/>
      <c r="EQ358" s="43"/>
      <c r="ER358" s="43"/>
      <c r="ES358" s="43"/>
      <c r="ET358" s="43"/>
      <c r="EU358" s="43"/>
      <c r="EV358" s="43"/>
      <c r="EW358" s="43"/>
      <c r="EX358" s="43"/>
      <c r="EY358" s="43"/>
      <c r="EZ358" s="43"/>
      <c r="FA358" s="43"/>
      <c r="FB358" s="43"/>
      <c r="FC358" s="43"/>
      <c r="FD358" s="43"/>
      <c r="FE358" s="43"/>
      <c r="FF358" s="43"/>
      <c r="FG358" s="43"/>
      <c r="FH358" s="50"/>
      <c r="FI358" s="50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  <c r="CS359" s="43"/>
      <c r="CT359" s="43"/>
      <c r="CU359" s="43"/>
      <c r="CV359" s="43"/>
      <c r="CW359" s="43"/>
      <c r="CX359" s="43"/>
      <c r="CY359" s="43"/>
      <c r="CZ359" s="43"/>
      <c r="DA359" s="43"/>
      <c r="DB359" s="43"/>
      <c r="DC359" s="43"/>
      <c r="DD359" s="43"/>
      <c r="DE359" s="43"/>
      <c r="DF359" s="43"/>
      <c r="DG359" s="43"/>
      <c r="DH359" s="43"/>
      <c r="DI359" s="43"/>
      <c r="DJ359" s="43"/>
      <c r="DK359" s="43"/>
      <c r="DL359" s="43"/>
      <c r="DM359" s="43"/>
      <c r="DN359" s="43"/>
      <c r="DO359" s="43"/>
      <c r="DP359" s="43"/>
      <c r="DQ359" s="43"/>
      <c r="DR359" s="43"/>
      <c r="DS359" s="43"/>
      <c r="DT359" s="43"/>
      <c r="DU359" s="43"/>
      <c r="DV359" s="43"/>
      <c r="DW359" s="43"/>
      <c r="DX359" s="43"/>
      <c r="DY359" s="43"/>
      <c r="DZ359" s="43"/>
      <c r="EA359" s="43"/>
      <c r="EB359" s="43"/>
      <c r="EC359" s="43"/>
      <c r="ED359" s="43"/>
      <c r="EE359" s="43"/>
      <c r="EF359" s="43"/>
      <c r="EG359" s="43"/>
      <c r="EH359" s="43"/>
      <c r="EI359" s="43"/>
      <c r="EJ359" s="43"/>
      <c r="EK359" s="43"/>
      <c r="EL359" s="43"/>
      <c r="EM359" s="43"/>
      <c r="EN359" s="43"/>
      <c r="EO359" s="43"/>
      <c r="EP359" s="43"/>
      <c r="EQ359" s="43"/>
      <c r="ER359" s="43"/>
      <c r="ES359" s="43"/>
      <c r="ET359" s="43"/>
      <c r="EU359" s="43"/>
      <c r="EV359" s="43"/>
      <c r="EW359" s="43"/>
      <c r="EX359" s="43"/>
      <c r="EY359" s="43"/>
      <c r="EZ359" s="43"/>
      <c r="FA359" s="43"/>
      <c r="FB359" s="43"/>
      <c r="FC359" s="43"/>
      <c r="FD359" s="43"/>
      <c r="FE359" s="43"/>
      <c r="FF359" s="43"/>
      <c r="FG359" s="43"/>
      <c r="FH359" s="50"/>
      <c r="FI359" s="50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/>
      <c r="CP360" s="43"/>
      <c r="CQ360" s="43"/>
      <c r="CR360" s="43"/>
      <c r="CS360" s="43"/>
      <c r="CT360" s="43"/>
      <c r="CU360" s="43"/>
      <c r="CV360" s="43"/>
      <c r="CW360" s="43"/>
      <c r="CX360" s="43"/>
      <c r="CY360" s="43"/>
      <c r="CZ360" s="43"/>
      <c r="DA360" s="43"/>
      <c r="DB360" s="43"/>
      <c r="DC360" s="43"/>
      <c r="DD360" s="43"/>
      <c r="DE360" s="43"/>
      <c r="DF360" s="43"/>
      <c r="DG360" s="43"/>
      <c r="DH360" s="43"/>
      <c r="DI360" s="43"/>
      <c r="DJ360" s="43"/>
      <c r="DK360" s="43"/>
      <c r="DL360" s="43"/>
      <c r="DM360" s="43"/>
      <c r="DN360" s="43"/>
      <c r="DO360" s="43"/>
      <c r="DP360" s="43"/>
      <c r="DQ360" s="43"/>
      <c r="DR360" s="43"/>
      <c r="DS360" s="43"/>
      <c r="DT360" s="43"/>
      <c r="DU360" s="43"/>
      <c r="DV360" s="43"/>
      <c r="DW360" s="43"/>
      <c r="DX360" s="43"/>
      <c r="DY360" s="43"/>
      <c r="DZ360" s="43"/>
      <c r="EA360" s="43"/>
      <c r="EB360" s="43"/>
      <c r="EC360" s="43"/>
      <c r="ED360" s="43"/>
      <c r="EE360" s="43"/>
      <c r="EF360" s="43"/>
      <c r="EG360" s="43"/>
      <c r="EH360" s="43"/>
      <c r="EI360" s="43"/>
      <c r="EJ360" s="43"/>
      <c r="EK360" s="43"/>
      <c r="EL360" s="43"/>
      <c r="EM360" s="43"/>
      <c r="EN360" s="43"/>
      <c r="EO360" s="43"/>
      <c r="EP360" s="43"/>
      <c r="EQ360" s="43"/>
      <c r="ER360" s="43"/>
      <c r="ES360" s="43"/>
      <c r="ET360" s="43"/>
      <c r="EU360" s="43"/>
      <c r="EV360" s="43"/>
      <c r="EW360" s="43"/>
      <c r="EX360" s="43"/>
      <c r="EY360" s="43"/>
      <c r="EZ360" s="43"/>
      <c r="FA360" s="43"/>
      <c r="FB360" s="43"/>
      <c r="FC360" s="43"/>
      <c r="FD360" s="43"/>
      <c r="FE360" s="43"/>
      <c r="FF360" s="43"/>
      <c r="FG360" s="43"/>
      <c r="FH360" s="50"/>
      <c r="FI360" s="50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/>
      <c r="CP361" s="43"/>
      <c r="CQ361" s="43"/>
      <c r="CR361" s="43"/>
      <c r="CS361" s="43"/>
      <c r="CT361" s="43"/>
      <c r="CU361" s="43"/>
      <c r="CV361" s="43"/>
      <c r="CW361" s="43"/>
      <c r="CX361" s="43"/>
      <c r="CY361" s="43"/>
      <c r="CZ361" s="43"/>
      <c r="DA361" s="43"/>
      <c r="DB361" s="43"/>
      <c r="DC361" s="43"/>
      <c r="DD361" s="43"/>
      <c r="DE361" s="43"/>
      <c r="DF361" s="43"/>
      <c r="DG361" s="43"/>
      <c r="DH361" s="43"/>
      <c r="DI361" s="43"/>
      <c r="DJ361" s="43"/>
      <c r="DK361" s="43"/>
      <c r="DL361" s="43"/>
      <c r="DM361" s="43"/>
      <c r="DN361" s="43"/>
      <c r="DO361" s="43"/>
      <c r="DP361" s="43"/>
      <c r="DQ361" s="43"/>
      <c r="DR361" s="43"/>
      <c r="DS361" s="43"/>
      <c r="DT361" s="43"/>
      <c r="DU361" s="43"/>
      <c r="DV361" s="43"/>
      <c r="DW361" s="43"/>
      <c r="DX361" s="43"/>
      <c r="DY361" s="43"/>
      <c r="DZ361" s="43"/>
      <c r="EA361" s="43"/>
      <c r="EB361" s="43"/>
      <c r="EC361" s="43"/>
      <c r="ED361" s="43"/>
      <c r="EE361" s="43"/>
      <c r="EF361" s="43"/>
      <c r="EG361" s="43"/>
      <c r="EH361" s="43"/>
      <c r="EI361" s="43"/>
      <c r="EJ361" s="43"/>
      <c r="EK361" s="43"/>
      <c r="EL361" s="43"/>
      <c r="EM361" s="43"/>
      <c r="EN361" s="43"/>
      <c r="EO361" s="43"/>
      <c r="EP361" s="43"/>
      <c r="EQ361" s="43"/>
      <c r="ER361" s="43"/>
      <c r="ES361" s="43"/>
      <c r="ET361" s="43"/>
      <c r="EU361" s="43"/>
      <c r="EV361" s="43"/>
      <c r="EW361" s="43"/>
      <c r="EX361" s="43"/>
      <c r="EY361" s="43"/>
      <c r="EZ361" s="43"/>
      <c r="FA361" s="43"/>
      <c r="FB361" s="43"/>
      <c r="FC361" s="43"/>
      <c r="FD361" s="43"/>
      <c r="FE361" s="43"/>
      <c r="FF361" s="43"/>
      <c r="FG361" s="43"/>
      <c r="FH361" s="50"/>
      <c r="FI361" s="50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/>
      <c r="CP362" s="43"/>
      <c r="CQ362" s="43"/>
      <c r="CR362" s="43"/>
      <c r="CS362" s="43"/>
      <c r="CT362" s="43"/>
      <c r="CU362" s="43"/>
      <c r="CV362" s="43"/>
      <c r="CW362" s="43"/>
      <c r="CX362" s="43"/>
      <c r="CY362" s="43"/>
      <c r="CZ362" s="43"/>
      <c r="DA362" s="43"/>
      <c r="DB362" s="43"/>
      <c r="DC362" s="43"/>
      <c r="DD362" s="43"/>
      <c r="DE362" s="43"/>
      <c r="DF362" s="43"/>
      <c r="DG362" s="43"/>
      <c r="DH362" s="43"/>
      <c r="DI362" s="43"/>
      <c r="DJ362" s="43"/>
      <c r="DK362" s="43"/>
      <c r="DL362" s="43"/>
      <c r="DM362" s="43"/>
      <c r="DN362" s="43"/>
      <c r="DO362" s="43"/>
      <c r="DP362" s="43"/>
      <c r="DQ362" s="43"/>
      <c r="DR362" s="43"/>
      <c r="DS362" s="43"/>
      <c r="DT362" s="43"/>
      <c r="DU362" s="43"/>
      <c r="DV362" s="43"/>
      <c r="DW362" s="43"/>
      <c r="DX362" s="43"/>
      <c r="DY362" s="43"/>
      <c r="DZ362" s="43"/>
      <c r="EA362" s="43"/>
      <c r="EB362" s="43"/>
      <c r="EC362" s="43"/>
      <c r="ED362" s="43"/>
      <c r="EE362" s="43"/>
      <c r="EF362" s="43"/>
      <c r="EG362" s="43"/>
      <c r="EH362" s="43"/>
      <c r="EI362" s="43"/>
      <c r="EJ362" s="43"/>
      <c r="EK362" s="43"/>
      <c r="EL362" s="43"/>
      <c r="EM362" s="43"/>
      <c r="EN362" s="43"/>
      <c r="EO362" s="43"/>
      <c r="EP362" s="43"/>
      <c r="EQ362" s="43"/>
      <c r="ER362" s="43"/>
      <c r="ES362" s="43"/>
      <c r="ET362" s="43"/>
      <c r="EU362" s="43"/>
      <c r="EV362" s="43"/>
      <c r="EW362" s="43"/>
      <c r="EX362" s="43"/>
      <c r="EY362" s="43"/>
      <c r="EZ362" s="43"/>
      <c r="FA362" s="43"/>
      <c r="FB362" s="43"/>
      <c r="FC362" s="43"/>
      <c r="FD362" s="43"/>
      <c r="FE362" s="43"/>
      <c r="FF362" s="43"/>
      <c r="FG362" s="43"/>
      <c r="FH362" s="50"/>
      <c r="FI362" s="50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/>
      <c r="CM363" s="43"/>
      <c r="CN363" s="43"/>
      <c r="CO363" s="43"/>
      <c r="CP363" s="43"/>
      <c r="CQ363" s="43"/>
      <c r="CR363" s="43"/>
      <c r="CS363" s="43"/>
      <c r="CT363" s="43"/>
      <c r="CU363" s="43"/>
      <c r="CV363" s="43"/>
      <c r="CW363" s="43"/>
      <c r="CX363" s="43"/>
      <c r="CY363" s="43"/>
      <c r="CZ363" s="43"/>
      <c r="DA363" s="43"/>
      <c r="DB363" s="43"/>
      <c r="DC363" s="43"/>
      <c r="DD363" s="43"/>
      <c r="DE363" s="43"/>
      <c r="DF363" s="43"/>
      <c r="DG363" s="43"/>
      <c r="DH363" s="43"/>
      <c r="DI363" s="43"/>
      <c r="DJ363" s="43"/>
      <c r="DK363" s="43"/>
      <c r="DL363" s="43"/>
      <c r="DM363" s="43"/>
      <c r="DN363" s="43"/>
      <c r="DO363" s="43"/>
      <c r="DP363" s="43"/>
      <c r="DQ363" s="43"/>
      <c r="DR363" s="43"/>
      <c r="DS363" s="43"/>
      <c r="DT363" s="43"/>
      <c r="DU363" s="43"/>
      <c r="DV363" s="43"/>
      <c r="DW363" s="43"/>
      <c r="DX363" s="43"/>
      <c r="DY363" s="43"/>
      <c r="DZ363" s="43"/>
      <c r="EA363" s="43"/>
      <c r="EB363" s="43"/>
      <c r="EC363" s="43"/>
      <c r="ED363" s="43"/>
      <c r="EE363" s="43"/>
      <c r="EF363" s="43"/>
      <c r="EG363" s="43"/>
      <c r="EH363" s="43"/>
      <c r="EI363" s="43"/>
      <c r="EJ363" s="43"/>
      <c r="EK363" s="43"/>
      <c r="EL363" s="43"/>
      <c r="EM363" s="43"/>
      <c r="EN363" s="43"/>
      <c r="EO363" s="43"/>
      <c r="EP363" s="43"/>
      <c r="EQ363" s="43"/>
      <c r="ER363" s="43"/>
      <c r="ES363" s="43"/>
      <c r="ET363" s="43"/>
      <c r="EU363" s="43"/>
      <c r="EV363" s="43"/>
      <c r="EW363" s="43"/>
      <c r="EX363" s="43"/>
      <c r="EY363" s="43"/>
      <c r="EZ363" s="43"/>
      <c r="FA363" s="43"/>
      <c r="FB363" s="43"/>
      <c r="FC363" s="43"/>
      <c r="FD363" s="43"/>
      <c r="FE363" s="43"/>
      <c r="FF363" s="43"/>
      <c r="FG363" s="43"/>
      <c r="FH363" s="50"/>
      <c r="FI363" s="50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  <c r="CI364" s="43"/>
      <c r="CJ364" s="43"/>
      <c r="CK364" s="43"/>
      <c r="CL364" s="43"/>
      <c r="CM364" s="43"/>
      <c r="CN364" s="43"/>
      <c r="CO364" s="43"/>
      <c r="CP364" s="43"/>
      <c r="CQ364" s="43"/>
      <c r="CR364" s="43"/>
      <c r="CS364" s="43"/>
      <c r="CT364" s="43"/>
      <c r="CU364" s="43"/>
      <c r="CV364" s="43"/>
      <c r="CW364" s="43"/>
      <c r="CX364" s="43"/>
      <c r="CY364" s="43"/>
      <c r="CZ364" s="43"/>
      <c r="DA364" s="43"/>
      <c r="DB364" s="43"/>
      <c r="DC364" s="43"/>
      <c r="DD364" s="43"/>
      <c r="DE364" s="43"/>
      <c r="DF364" s="43"/>
      <c r="DG364" s="43"/>
      <c r="DH364" s="43"/>
      <c r="DI364" s="43"/>
      <c r="DJ364" s="43"/>
      <c r="DK364" s="43"/>
      <c r="DL364" s="43"/>
      <c r="DM364" s="43"/>
      <c r="DN364" s="43"/>
      <c r="DO364" s="43"/>
      <c r="DP364" s="43"/>
      <c r="DQ364" s="43"/>
      <c r="DR364" s="43"/>
      <c r="DS364" s="43"/>
      <c r="DT364" s="43"/>
      <c r="DU364" s="43"/>
      <c r="DV364" s="43"/>
      <c r="DW364" s="43"/>
      <c r="DX364" s="43"/>
      <c r="DY364" s="43"/>
      <c r="DZ364" s="43"/>
      <c r="EA364" s="43"/>
      <c r="EB364" s="43"/>
      <c r="EC364" s="43"/>
      <c r="ED364" s="43"/>
      <c r="EE364" s="43"/>
      <c r="EF364" s="43"/>
      <c r="EG364" s="43"/>
      <c r="EH364" s="43"/>
      <c r="EI364" s="43"/>
      <c r="EJ364" s="43"/>
      <c r="EK364" s="43"/>
      <c r="EL364" s="43"/>
      <c r="EM364" s="43"/>
      <c r="EN364" s="43"/>
      <c r="EO364" s="43"/>
      <c r="EP364" s="43"/>
      <c r="EQ364" s="43"/>
      <c r="ER364" s="43"/>
      <c r="ES364" s="43"/>
      <c r="ET364" s="43"/>
      <c r="EU364" s="43"/>
      <c r="EV364" s="43"/>
      <c r="EW364" s="43"/>
      <c r="EX364" s="43"/>
      <c r="EY364" s="43"/>
      <c r="EZ364" s="43"/>
      <c r="FA364" s="43"/>
      <c r="FB364" s="43"/>
      <c r="FC364" s="43"/>
      <c r="FD364" s="43"/>
      <c r="FE364" s="43"/>
      <c r="FF364" s="43"/>
      <c r="FG364" s="43"/>
      <c r="FH364" s="50"/>
      <c r="FI364" s="50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  <c r="CI365" s="43"/>
      <c r="CJ365" s="43"/>
      <c r="CK365" s="43"/>
      <c r="CL365" s="43"/>
      <c r="CM365" s="43"/>
      <c r="CN365" s="43"/>
      <c r="CO365" s="43"/>
      <c r="CP365" s="43"/>
      <c r="CQ365" s="43"/>
      <c r="CR365" s="43"/>
      <c r="CS365" s="43"/>
      <c r="CT365" s="43"/>
      <c r="CU365" s="43"/>
      <c r="CV365" s="43"/>
      <c r="CW365" s="43"/>
      <c r="CX365" s="43"/>
      <c r="CY365" s="43"/>
      <c r="CZ365" s="43"/>
      <c r="DA365" s="43"/>
      <c r="DB365" s="43"/>
      <c r="DC365" s="43"/>
      <c r="DD365" s="43"/>
      <c r="DE365" s="43"/>
      <c r="DF365" s="43"/>
      <c r="DG365" s="43"/>
      <c r="DH365" s="43"/>
      <c r="DI365" s="43"/>
      <c r="DJ365" s="43"/>
      <c r="DK365" s="43"/>
      <c r="DL365" s="43"/>
      <c r="DM365" s="43"/>
      <c r="DN365" s="43"/>
      <c r="DO365" s="43"/>
      <c r="DP365" s="43"/>
      <c r="DQ365" s="43"/>
      <c r="DR365" s="43"/>
      <c r="DS365" s="43"/>
      <c r="DT365" s="43"/>
      <c r="DU365" s="43"/>
      <c r="DV365" s="43"/>
      <c r="DW365" s="43"/>
      <c r="DX365" s="43"/>
      <c r="DY365" s="43"/>
      <c r="DZ365" s="43"/>
      <c r="EA365" s="43"/>
      <c r="EB365" s="43"/>
      <c r="EC365" s="43"/>
      <c r="ED365" s="43"/>
      <c r="EE365" s="43"/>
      <c r="EF365" s="43"/>
      <c r="EG365" s="43"/>
      <c r="EH365" s="43"/>
      <c r="EI365" s="43"/>
      <c r="EJ365" s="43"/>
      <c r="EK365" s="43"/>
      <c r="EL365" s="43"/>
      <c r="EM365" s="43"/>
      <c r="EN365" s="43"/>
      <c r="EO365" s="43"/>
      <c r="EP365" s="43"/>
      <c r="EQ365" s="43"/>
      <c r="ER365" s="43"/>
      <c r="ES365" s="43"/>
      <c r="ET365" s="43"/>
      <c r="EU365" s="43"/>
      <c r="EV365" s="43"/>
      <c r="EW365" s="43"/>
      <c r="EX365" s="43"/>
      <c r="EY365" s="43"/>
      <c r="EZ365" s="43"/>
      <c r="FA365" s="43"/>
      <c r="FB365" s="43"/>
      <c r="FC365" s="43"/>
      <c r="FD365" s="43"/>
      <c r="FE365" s="43"/>
      <c r="FF365" s="43"/>
      <c r="FG365" s="43"/>
      <c r="FH365" s="50"/>
      <c r="FI365" s="50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  <c r="CS366" s="43"/>
      <c r="CT366" s="43"/>
      <c r="CU366" s="43"/>
      <c r="CV366" s="43"/>
      <c r="CW366" s="43"/>
      <c r="CX366" s="43"/>
      <c r="CY366" s="43"/>
      <c r="CZ366" s="43"/>
      <c r="DA366" s="43"/>
      <c r="DB366" s="43"/>
      <c r="DC366" s="43"/>
      <c r="DD366" s="43"/>
      <c r="DE366" s="43"/>
      <c r="DF366" s="43"/>
      <c r="DG366" s="43"/>
      <c r="DH366" s="43"/>
      <c r="DI366" s="43"/>
      <c r="DJ366" s="43"/>
      <c r="DK366" s="43"/>
      <c r="DL366" s="43"/>
      <c r="DM366" s="43"/>
      <c r="DN366" s="43"/>
      <c r="DO366" s="43"/>
      <c r="DP366" s="43"/>
      <c r="DQ366" s="43"/>
      <c r="DR366" s="43"/>
      <c r="DS366" s="43"/>
      <c r="DT366" s="43"/>
      <c r="DU366" s="43"/>
      <c r="DV366" s="43"/>
      <c r="DW366" s="43"/>
      <c r="DX366" s="43"/>
      <c r="DY366" s="43"/>
      <c r="DZ366" s="43"/>
      <c r="EA366" s="43"/>
      <c r="EB366" s="43"/>
      <c r="EC366" s="43"/>
      <c r="ED366" s="43"/>
      <c r="EE366" s="43"/>
      <c r="EF366" s="43"/>
      <c r="EG366" s="43"/>
      <c r="EH366" s="43"/>
      <c r="EI366" s="43"/>
      <c r="EJ366" s="43"/>
      <c r="EK366" s="43"/>
      <c r="EL366" s="43"/>
      <c r="EM366" s="43"/>
      <c r="EN366" s="43"/>
      <c r="EO366" s="43"/>
      <c r="EP366" s="43"/>
      <c r="EQ366" s="43"/>
      <c r="ER366" s="43"/>
      <c r="ES366" s="43"/>
      <c r="ET366" s="43"/>
      <c r="EU366" s="43"/>
      <c r="EV366" s="43"/>
      <c r="EW366" s="43"/>
      <c r="EX366" s="43"/>
      <c r="EY366" s="43"/>
      <c r="EZ366" s="43"/>
      <c r="FA366" s="43"/>
      <c r="FB366" s="43"/>
      <c r="FC366" s="43"/>
      <c r="FD366" s="43"/>
      <c r="FE366" s="43"/>
      <c r="FF366" s="43"/>
      <c r="FG366" s="43"/>
      <c r="FH366" s="50"/>
      <c r="FI366" s="50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  <c r="CI367" s="43"/>
      <c r="CJ367" s="43"/>
      <c r="CK367" s="43"/>
      <c r="CL367" s="43"/>
      <c r="CM367" s="43"/>
      <c r="CN367" s="43"/>
      <c r="CO367" s="43"/>
      <c r="CP367" s="43"/>
      <c r="CQ367" s="43"/>
      <c r="CR367" s="43"/>
      <c r="CS367" s="43"/>
      <c r="CT367" s="43"/>
      <c r="CU367" s="43"/>
      <c r="CV367" s="43"/>
      <c r="CW367" s="43"/>
      <c r="CX367" s="43"/>
      <c r="CY367" s="43"/>
      <c r="CZ367" s="43"/>
      <c r="DA367" s="43"/>
      <c r="DB367" s="43"/>
      <c r="DC367" s="43"/>
      <c r="DD367" s="43"/>
      <c r="DE367" s="43"/>
      <c r="DF367" s="43"/>
      <c r="DG367" s="43"/>
      <c r="DH367" s="43"/>
      <c r="DI367" s="43"/>
      <c r="DJ367" s="43"/>
      <c r="DK367" s="43"/>
      <c r="DL367" s="43"/>
      <c r="DM367" s="43"/>
      <c r="DN367" s="43"/>
      <c r="DO367" s="43"/>
      <c r="DP367" s="43"/>
      <c r="DQ367" s="43"/>
      <c r="DR367" s="43"/>
      <c r="DS367" s="43"/>
      <c r="DT367" s="43"/>
      <c r="DU367" s="43"/>
      <c r="DV367" s="43"/>
      <c r="DW367" s="43"/>
      <c r="DX367" s="43"/>
      <c r="DY367" s="43"/>
      <c r="DZ367" s="43"/>
      <c r="EA367" s="43"/>
      <c r="EB367" s="43"/>
      <c r="EC367" s="43"/>
      <c r="ED367" s="43"/>
      <c r="EE367" s="43"/>
      <c r="EF367" s="43"/>
      <c r="EG367" s="43"/>
      <c r="EH367" s="43"/>
      <c r="EI367" s="43"/>
      <c r="EJ367" s="43"/>
      <c r="EK367" s="43"/>
      <c r="EL367" s="43"/>
      <c r="EM367" s="43"/>
      <c r="EN367" s="43"/>
      <c r="EO367" s="43"/>
      <c r="EP367" s="43"/>
      <c r="EQ367" s="43"/>
      <c r="ER367" s="43"/>
      <c r="ES367" s="43"/>
      <c r="ET367" s="43"/>
      <c r="EU367" s="43"/>
      <c r="EV367" s="43"/>
      <c r="EW367" s="43"/>
      <c r="EX367" s="43"/>
      <c r="EY367" s="43"/>
      <c r="EZ367" s="43"/>
      <c r="FA367" s="43"/>
      <c r="FB367" s="43"/>
      <c r="FC367" s="43"/>
      <c r="FD367" s="43"/>
      <c r="FE367" s="43"/>
      <c r="FF367" s="43"/>
      <c r="FG367" s="43"/>
      <c r="FH367" s="50"/>
      <c r="FI367" s="50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  <c r="CS368" s="43"/>
      <c r="CT368" s="43"/>
      <c r="CU368" s="43"/>
      <c r="CV368" s="43"/>
      <c r="CW368" s="43"/>
      <c r="CX368" s="43"/>
      <c r="CY368" s="43"/>
      <c r="CZ368" s="43"/>
      <c r="DA368" s="43"/>
      <c r="DB368" s="43"/>
      <c r="DC368" s="43"/>
      <c r="DD368" s="43"/>
      <c r="DE368" s="43"/>
      <c r="DF368" s="43"/>
      <c r="DG368" s="43"/>
      <c r="DH368" s="43"/>
      <c r="DI368" s="43"/>
      <c r="DJ368" s="43"/>
      <c r="DK368" s="43"/>
      <c r="DL368" s="43"/>
      <c r="DM368" s="43"/>
      <c r="DN368" s="43"/>
      <c r="DO368" s="43"/>
      <c r="DP368" s="43"/>
      <c r="DQ368" s="43"/>
      <c r="DR368" s="43"/>
      <c r="DS368" s="43"/>
      <c r="DT368" s="43"/>
      <c r="DU368" s="43"/>
      <c r="DV368" s="43"/>
      <c r="DW368" s="43"/>
      <c r="DX368" s="43"/>
      <c r="DY368" s="43"/>
      <c r="DZ368" s="43"/>
      <c r="EA368" s="43"/>
      <c r="EB368" s="43"/>
      <c r="EC368" s="43"/>
      <c r="ED368" s="43"/>
      <c r="EE368" s="43"/>
      <c r="EF368" s="43"/>
      <c r="EG368" s="43"/>
      <c r="EH368" s="43"/>
      <c r="EI368" s="43"/>
      <c r="EJ368" s="43"/>
      <c r="EK368" s="43"/>
      <c r="EL368" s="43"/>
      <c r="EM368" s="43"/>
      <c r="EN368" s="43"/>
      <c r="EO368" s="43"/>
      <c r="EP368" s="43"/>
      <c r="EQ368" s="43"/>
      <c r="ER368" s="43"/>
      <c r="ES368" s="43"/>
      <c r="ET368" s="43"/>
      <c r="EU368" s="43"/>
      <c r="EV368" s="43"/>
      <c r="EW368" s="43"/>
      <c r="EX368" s="43"/>
      <c r="EY368" s="43"/>
      <c r="EZ368" s="43"/>
      <c r="FA368" s="43"/>
      <c r="FB368" s="43"/>
      <c r="FC368" s="43"/>
      <c r="FD368" s="43"/>
      <c r="FE368" s="43"/>
      <c r="FF368" s="43"/>
      <c r="FG368" s="43"/>
      <c r="FH368" s="50"/>
      <c r="FI368" s="50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  <c r="CI369" s="43"/>
      <c r="CJ369" s="43"/>
      <c r="CK369" s="43"/>
      <c r="CL369" s="43"/>
      <c r="CM369" s="43"/>
      <c r="CN369" s="43"/>
      <c r="CO369" s="43"/>
      <c r="CP369" s="43"/>
      <c r="CQ369" s="43"/>
      <c r="CR369" s="43"/>
      <c r="CS369" s="43"/>
      <c r="CT369" s="43"/>
      <c r="CU369" s="43"/>
      <c r="CV369" s="43"/>
      <c r="CW369" s="43"/>
      <c r="CX369" s="43"/>
      <c r="CY369" s="43"/>
      <c r="CZ369" s="43"/>
      <c r="DA369" s="43"/>
      <c r="DB369" s="43"/>
      <c r="DC369" s="43"/>
      <c r="DD369" s="43"/>
      <c r="DE369" s="43"/>
      <c r="DF369" s="43"/>
      <c r="DG369" s="43"/>
      <c r="DH369" s="43"/>
      <c r="DI369" s="43"/>
      <c r="DJ369" s="43"/>
      <c r="DK369" s="43"/>
      <c r="DL369" s="43"/>
      <c r="DM369" s="43"/>
      <c r="DN369" s="43"/>
      <c r="DO369" s="43"/>
      <c r="DP369" s="43"/>
      <c r="DQ369" s="43"/>
      <c r="DR369" s="43"/>
      <c r="DS369" s="43"/>
      <c r="DT369" s="43"/>
      <c r="DU369" s="43"/>
      <c r="DV369" s="43"/>
      <c r="DW369" s="43"/>
      <c r="DX369" s="43"/>
      <c r="DY369" s="43"/>
      <c r="DZ369" s="43"/>
      <c r="EA369" s="43"/>
      <c r="EB369" s="43"/>
      <c r="EC369" s="43"/>
      <c r="ED369" s="43"/>
      <c r="EE369" s="43"/>
      <c r="EF369" s="43"/>
      <c r="EG369" s="43"/>
      <c r="EH369" s="43"/>
      <c r="EI369" s="43"/>
      <c r="EJ369" s="43"/>
      <c r="EK369" s="43"/>
      <c r="EL369" s="43"/>
      <c r="EM369" s="43"/>
      <c r="EN369" s="43"/>
      <c r="EO369" s="43"/>
      <c r="EP369" s="43"/>
      <c r="EQ369" s="43"/>
      <c r="ER369" s="43"/>
      <c r="ES369" s="43"/>
      <c r="ET369" s="43"/>
      <c r="EU369" s="43"/>
      <c r="EV369" s="43"/>
      <c r="EW369" s="43"/>
      <c r="EX369" s="43"/>
      <c r="EY369" s="43"/>
      <c r="EZ369" s="43"/>
      <c r="FA369" s="43"/>
      <c r="FB369" s="43"/>
      <c r="FC369" s="43"/>
      <c r="FD369" s="43"/>
      <c r="FE369" s="43"/>
      <c r="FF369" s="43"/>
      <c r="FG369" s="43"/>
      <c r="FH369" s="50"/>
      <c r="FI369" s="50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  <c r="CI370" s="43"/>
      <c r="CJ370" s="43"/>
      <c r="CK370" s="43"/>
      <c r="CL370" s="43"/>
      <c r="CM370" s="43"/>
      <c r="CN370" s="43"/>
      <c r="CO370" s="43"/>
      <c r="CP370" s="43"/>
      <c r="CQ370" s="43"/>
      <c r="CR370" s="43"/>
      <c r="CS370" s="43"/>
      <c r="CT370" s="43"/>
      <c r="CU370" s="43"/>
      <c r="CV370" s="43"/>
      <c r="CW370" s="43"/>
      <c r="CX370" s="43"/>
      <c r="CY370" s="43"/>
      <c r="CZ370" s="43"/>
      <c r="DA370" s="43"/>
      <c r="DB370" s="43"/>
      <c r="DC370" s="43"/>
      <c r="DD370" s="43"/>
      <c r="DE370" s="43"/>
      <c r="DF370" s="43"/>
      <c r="DG370" s="43"/>
      <c r="DH370" s="43"/>
      <c r="DI370" s="43"/>
      <c r="DJ370" s="43"/>
      <c r="DK370" s="43"/>
      <c r="DL370" s="43"/>
      <c r="DM370" s="43"/>
      <c r="DN370" s="43"/>
      <c r="DO370" s="43"/>
      <c r="DP370" s="43"/>
      <c r="DQ370" s="43"/>
      <c r="DR370" s="43"/>
      <c r="DS370" s="43"/>
      <c r="DT370" s="43"/>
      <c r="DU370" s="43"/>
      <c r="DV370" s="43"/>
      <c r="DW370" s="43"/>
      <c r="DX370" s="43"/>
      <c r="DY370" s="43"/>
      <c r="DZ370" s="43"/>
      <c r="EA370" s="43"/>
      <c r="EB370" s="43"/>
      <c r="EC370" s="43"/>
      <c r="ED370" s="43"/>
      <c r="EE370" s="43"/>
      <c r="EF370" s="43"/>
      <c r="EG370" s="43"/>
      <c r="EH370" s="43"/>
      <c r="EI370" s="43"/>
      <c r="EJ370" s="43"/>
      <c r="EK370" s="43"/>
      <c r="EL370" s="43"/>
      <c r="EM370" s="43"/>
      <c r="EN370" s="43"/>
      <c r="EO370" s="43"/>
      <c r="EP370" s="43"/>
      <c r="EQ370" s="43"/>
      <c r="ER370" s="43"/>
      <c r="ES370" s="43"/>
      <c r="ET370" s="43"/>
      <c r="EU370" s="43"/>
      <c r="EV370" s="43"/>
      <c r="EW370" s="43"/>
      <c r="EX370" s="43"/>
      <c r="EY370" s="43"/>
      <c r="EZ370" s="43"/>
      <c r="FA370" s="43"/>
      <c r="FB370" s="43"/>
      <c r="FC370" s="43"/>
      <c r="FD370" s="43"/>
      <c r="FE370" s="43"/>
      <c r="FF370" s="43"/>
      <c r="FG370" s="43"/>
      <c r="FH370" s="50"/>
      <c r="FI370" s="50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  <c r="CS371" s="43"/>
      <c r="CT371" s="43"/>
      <c r="CU371" s="43"/>
      <c r="CV371" s="43"/>
      <c r="CW371" s="43"/>
      <c r="CX371" s="43"/>
      <c r="CY371" s="43"/>
      <c r="CZ371" s="43"/>
      <c r="DA371" s="43"/>
      <c r="DB371" s="43"/>
      <c r="DC371" s="43"/>
      <c r="DD371" s="43"/>
      <c r="DE371" s="43"/>
      <c r="DF371" s="43"/>
      <c r="DG371" s="43"/>
      <c r="DH371" s="43"/>
      <c r="DI371" s="43"/>
      <c r="DJ371" s="43"/>
      <c r="DK371" s="43"/>
      <c r="DL371" s="43"/>
      <c r="DM371" s="43"/>
      <c r="DN371" s="43"/>
      <c r="DO371" s="43"/>
      <c r="DP371" s="43"/>
      <c r="DQ371" s="43"/>
      <c r="DR371" s="43"/>
      <c r="DS371" s="43"/>
      <c r="DT371" s="43"/>
      <c r="DU371" s="43"/>
      <c r="DV371" s="43"/>
      <c r="DW371" s="43"/>
      <c r="DX371" s="43"/>
      <c r="DY371" s="43"/>
      <c r="DZ371" s="43"/>
      <c r="EA371" s="43"/>
      <c r="EB371" s="43"/>
      <c r="EC371" s="43"/>
      <c r="ED371" s="43"/>
      <c r="EE371" s="43"/>
      <c r="EF371" s="43"/>
      <c r="EG371" s="43"/>
      <c r="EH371" s="43"/>
      <c r="EI371" s="43"/>
      <c r="EJ371" s="43"/>
      <c r="EK371" s="43"/>
      <c r="EL371" s="43"/>
      <c r="EM371" s="43"/>
      <c r="EN371" s="43"/>
      <c r="EO371" s="43"/>
      <c r="EP371" s="43"/>
      <c r="EQ371" s="43"/>
      <c r="ER371" s="43"/>
      <c r="ES371" s="43"/>
      <c r="ET371" s="43"/>
      <c r="EU371" s="43"/>
      <c r="EV371" s="43"/>
      <c r="EW371" s="43"/>
      <c r="EX371" s="43"/>
      <c r="EY371" s="43"/>
      <c r="EZ371" s="43"/>
      <c r="FA371" s="43"/>
      <c r="FB371" s="43"/>
      <c r="FC371" s="43"/>
      <c r="FD371" s="43"/>
      <c r="FE371" s="43"/>
      <c r="FF371" s="43"/>
      <c r="FG371" s="43"/>
      <c r="FH371" s="50"/>
      <c r="FI371" s="50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  <c r="CI372" s="43"/>
      <c r="CJ372" s="43"/>
      <c r="CK372" s="43"/>
      <c r="CL372" s="43"/>
      <c r="CM372" s="43"/>
      <c r="CN372" s="43"/>
      <c r="CO372" s="43"/>
      <c r="CP372" s="43"/>
      <c r="CQ372" s="43"/>
      <c r="CR372" s="43"/>
      <c r="CS372" s="43"/>
      <c r="CT372" s="43"/>
      <c r="CU372" s="43"/>
      <c r="CV372" s="43"/>
      <c r="CW372" s="43"/>
      <c r="CX372" s="43"/>
      <c r="CY372" s="43"/>
      <c r="CZ372" s="43"/>
      <c r="DA372" s="43"/>
      <c r="DB372" s="43"/>
      <c r="DC372" s="43"/>
      <c r="DD372" s="43"/>
      <c r="DE372" s="43"/>
      <c r="DF372" s="43"/>
      <c r="DG372" s="43"/>
      <c r="DH372" s="43"/>
      <c r="DI372" s="43"/>
      <c r="DJ372" s="43"/>
      <c r="DK372" s="43"/>
      <c r="DL372" s="43"/>
      <c r="DM372" s="43"/>
      <c r="DN372" s="43"/>
      <c r="DO372" s="43"/>
      <c r="DP372" s="43"/>
      <c r="DQ372" s="43"/>
      <c r="DR372" s="43"/>
      <c r="DS372" s="43"/>
      <c r="DT372" s="43"/>
      <c r="DU372" s="43"/>
      <c r="DV372" s="43"/>
      <c r="DW372" s="43"/>
      <c r="DX372" s="43"/>
      <c r="DY372" s="43"/>
      <c r="DZ372" s="43"/>
      <c r="EA372" s="43"/>
      <c r="EB372" s="43"/>
      <c r="EC372" s="43"/>
      <c r="ED372" s="43"/>
      <c r="EE372" s="43"/>
      <c r="EF372" s="43"/>
      <c r="EG372" s="43"/>
      <c r="EH372" s="43"/>
      <c r="EI372" s="43"/>
      <c r="EJ372" s="43"/>
      <c r="EK372" s="43"/>
      <c r="EL372" s="43"/>
      <c r="EM372" s="43"/>
      <c r="EN372" s="43"/>
      <c r="EO372" s="43"/>
      <c r="EP372" s="43"/>
      <c r="EQ372" s="43"/>
      <c r="ER372" s="43"/>
      <c r="ES372" s="43"/>
      <c r="ET372" s="43"/>
      <c r="EU372" s="43"/>
      <c r="EV372" s="43"/>
      <c r="EW372" s="43"/>
      <c r="EX372" s="43"/>
      <c r="EY372" s="43"/>
      <c r="EZ372" s="43"/>
      <c r="FA372" s="43"/>
      <c r="FB372" s="43"/>
      <c r="FC372" s="43"/>
      <c r="FD372" s="43"/>
      <c r="FE372" s="43"/>
      <c r="FF372" s="43"/>
      <c r="FG372" s="43"/>
      <c r="FH372" s="50"/>
      <c r="FI372" s="50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  <c r="CI373" s="43"/>
      <c r="CJ373" s="43"/>
      <c r="CK373" s="43"/>
      <c r="CL373" s="43"/>
      <c r="CM373" s="43"/>
      <c r="CN373" s="43"/>
      <c r="CO373" s="43"/>
      <c r="CP373" s="43"/>
      <c r="CQ373" s="43"/>
      <c r="CR373" s="43"/>
      <c r="CS373" s="43"/>
      <c r="CT373" s="43"/>
      <c r="CU373" s="43"/>
      <c r="CV373" s="43"/>
      <c r="CW373" s="43"/>
      <c r="CX373" s="43"/>
      <c r="CY373" s="43"/>
      <c r="CZ373" s="43"/>
      <c r="DA373" s="43"/>
      <c r="DB373" s="43"/>
      <c r="DC373" s="43"/>
      <c r="DD373" s="43"/>
      <c r="DE373" s="43"/>
      <c r="DF373" s="43"/>
      <c r="DG373" s="43"/>
      <c r="DH373" s="43"/>
      <c r="DI373" s="43"/>
      <c r="DJ373" s="43"/>
      <c r="DK373" s="43"/>
      <c r="DL373" s="43"/>
      <c r="DM373" s="43"/>
      <c r="DN373" s="43"/>
      <c r="DO373" s="43"/>
      <c r="DP373" s="43"/>
      <c r="DQ373" s="43"/>
      <c r="DR373" s="43"/>
      <c r="DS373" s="43"/>
      <c r="DT373" s="43"/>
      <c r="DU373" s="43"/>
      <c r="DV373" s="43"/>
      <c r="DW373" s="43"/>
      <c r="DX373" s="43"/>
      <c r="DY373" s="43"/>
      <c r="DZ373" s="43"/>
      <c r="EA373" s="43"/>
      <c r="EB373" s="43"/>
      <c r="EC373" s="43"/>
      <c r="ED373" s="43"/>
      <c r="EE373" s="43"/>
      <c r="EF373" s="43"/>
      <c r="EG373" s="43"/>
      <c r="EH373" s="43"/>
      <c r="EI373" s="43"/>
      <c r="EJ373" s="43"/>
      <c r="EK373" s="43"/>
      <c r="EL373" s="43"/>
      <c r="EM373" s="43"/>
      <c r="EN373" s="43"/>
      <c r="EO373" s="43"/>
      <c r="EP373" s="43"/>
      <c r="EQ373" s="43"/>
      <c r="ER373" s="43"/>
      <c r="ES373" s="43"/>
      <c r="ET373" s="43"/>
      <c r="EU373" s="43"/>
      <c r="EV373" s="43"/>
      <c r="EW373" s="43"/>
      <c r="EX373" s="43"/>
      <c r="EY373" s="43"/>
      <c r="EZ373" s="43"/>
      <c r="FA373" s="43"/>
      <c r="FB373" s="43"/>
      <c r="FC373" s="43"/>
      <c r="FD373" s="43"/>
      <c r="FE373" s="43"/>
      <c r="FF373" s="43"/>
      <c r="FG373" s="43"/>
      <c r="FH373" s="50"/>
      <c r="FI373" s="50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  <c r="CS374" s="43"/>
      <c r="CT374" s="43"/>
      <c r="CU374" s="43"/>
      <c r="CV374" s="43"/>
      <c r="CW374" s="43"/>
      <c r="CX374" s="43"/>
      <c r="CY374" s="43"/>
      <c r="CZ374" s="43"/>
      <c r="DA374" s="43"/>
      <c r="DB374" s="43"/>
      <c r="DC374" s="43"/>
      <c r="DD374" s="43"/>
      <c r="DE374" s="43"/>
      <c r="DF374" s="43"/>
      <c r="DG374" s="43"/>
      <c r="DH374" s="43"/>
      <c r="DI374" s="43"/>
      <c r="DJ374" s="43"/>
      <c r="DK374" s="43"/>
      <c r="DL374" s="43"/>
      <c r="DM374" s="43"/>
      <c r="DN374" s="43"/>
      <c r="DO374" s="43"/>
      <c r="DP374" s="43"/>
      <c r="DQ374" s="43"/>
      <c r="DR374" s="43"/>
      <c r="DS374" s="43"/>
      <c r="DT374" s="43"/>
      <c r="DU374" s="43"/>
      <c r="DV374" s="43"/>
      <c r="DW374" s="43"/>
      <c r="DX374" s="43"/>
      <c r="DY374" s="43"/>
      <c r="DZ374" s="43"/>
      <c r="EA374" s="43"/>
      <c r="EB374" s="43"/>
      <c r="EC374" s="43"/>
      <c r="ED374" s="43"/>
      <c r="EE374" s="43"/>
      <c r="EF374" s="43"/>
      <c r="EG374" s="43"/>
      <c r="EH374" s="43"/>
      <c r="EI374" s="43"/>
      <c r="EJ374" s="43"/>
      <c r="EK374" s="43"/>
      <c r="EL374" s="43"/>
      <c r="EM374" s="43"/>
      <c r="EN374" s="43"/>
      <c r="EO374" s="43"/>
      <c r="EP374" s="43"/>
      <c r="EQ374" s="43"/>
      <c r="ER374" s="43"/>
      <c r="ES374" s="43"/>
      <c r="ET374" s="43"/>
      <c r="EU374" s="43"/>
      <c r="EV374" s="43"/>
      <c r="EW374" s="43"/>
      <c r="EX374" s="43"/>
      <c r="EY374" s="43"/>
      <c r="EZ374" s="43"/>
      <c r="FA374" s="43"/>
      <c r="FB374" s="43"/>
      <c r="FC374" s="43"/>
      <c r="FD374" s="43"/>
      <c r="FE374" s="43"/>
      <c r="FF374" s="43"/>
      <c r="FG374" s="43"/>
      <c r="FH374" s="50"/>
      <c r="FI374" s="50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  <c r="CI375" s="43"/>
      <c r="CJ375" s="43"/>
      <c r="CK375" s="43"/>
      <c r="CL375" s="43"/>
      <c r="CM375" s="43"/>
      <c r="CN375" s="43"/>
      <c r="CO375" s="43"/>
      <c r="CP375" s="43"/>
      <c r="CQ375" s="43"/>
      <c r="CR375" s="43"/>
      <c r="CS375" s="43"/>
      <c r="CT375" s="43"/>
      <c r="CU375" s="43"/>
      <c r="CV375" s="43"/>
      <c r="CW375" s="43"/>
      <c r="CX375" s="43"/>
      <c r="CY375" s="43"/>
      <c r="CZ375" s="43"/>
      <c r="DA375" s="43"/>
      <c r="DB375" s="43"/>
      <c r="DC375" s="43"/>
      <c r="DD375" s="43"/>
      <c r="DE375" s="43"/>
      <c r="DF375" s="43"/>
      <c r="DG375" s="43"/>
      <c r="DH375" s="43"/>
      <c r="DI375" s="43"/>
      <c r="DJ375" s="43"/>
      <c r="DK375" s="43"/>
      <c r="DL375" s="43"/>
      <c r="DM375" s="43"/>
      <c r="DN375" s="43"/>
      <c r="DO375" s="43"/>
      <c r="DP375" s="43"/>
      <c r="DQ375" s="43"/>
      <c r="DR375" s="43"/>
      <c r="DS375" s="43"/>
      <c r="DT375" s="43"/>
      <c r="DU375" s="43"/>
      <c r="DV375" s="43"/>
      <c r="DW375" s="43"/>
      <c r="DX375" s="43"/>
      <c r="DY375" s="43"/>
      <c r="DZ375" s="43"/>
      <c r="EA375" s="43"/>
      <c r="EB375" s="43"/>
      <c r="EC375" s="43"/>
      <c r="ED375" s="43"/>
      <c r="EE375" s="43"/>
      <c r="EF375" s="43"/>
      <c r="EG375" s="43"/>
      <c r="EH375" s="43"/>
      <c r="EI375" s="43"/>
      <c r="EJ375" s="43"/>
      <c r="EK375" s="43"/>
      <c r="EL375" s="43"/>
      <c r="EM375" s="43"/>
      <c r="EN375" s="43"/>
      <c r="EO375" s="43"/>
      <c r="EP375" s="43"/>
      <c r="EQ375" s="43"/>
      <c r="ER375" s="43"/>
      <c r="ES375" s="43"/>
      <c r="ET375" s="43"/>
      <c r="EU375" s="43"/>
      <c r="EV375" s="43"/>
      <c r="EW375" s="43"/>
      <c r="EX375" s="43"/>
      <c r="EY375" s="43"/>
      <c r="EZ375" s="43"/>
      <c r="FA375" s="43"/>
      <c r="FB375" s="43"/>
      <c r="FC375" s="43"/>
      <c r="FD375" s="43"/>
      <c r="FE375" s="43"/>
      <c r="FF375" s="43"/>
      <c r="FG375" s="43"/>
      <c r="FH375" s="50"/>
      <c r="FI375" s="50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  <c r="CI376" s="43"/>
      <c r="CJ376" s="43"/>
      <c r="CK376" s="43"/>
      <c r="CL376" s="43"/>
      <c r="CM376" s="43"/>
      <c r="CN376" s="43"/>
      <c r="CO376" s="43"/>
      <c r="CP376" s="43"/>
      <c r="CQ376" s="43"/>
      <c r="CR376" s="43"/>
      <c r="CS376" s="43"/>
      <c r="CT376" s="43"/>
      <c r="CU376" s="43"/>
      <c r="CV376" s="43"/>
      <c r="CW376" s="43"/>
      <c r="CX376" s="43"/>
      <c r="CY376" s="43"/>
      <c r="CZ376" s="43"/>
      <c r="DA376" s="43"/>
      <c r="DB376" s="43"/>
      <c r="DC376" s="43"/>
      <c r="DD376" s="43"/>
      <c r="DE376" s="43"/>
      <c r="DF376" s="43"/>
      <c r="DG376" s="43"/>
      <c r="DH376" s="43"/>
      <c r="DI376" s="43"/>
      <c r="DJ376" s="43"/>
      <c r="DK376" s="43"/>
      <c r="DL376" s="43"/>
      <c r="DM376" s="43"/>
      <c r="DN376" s="43"/>
      <c r="DO376" s="43"/>
      <c r="DP376" s="43"/>
      <c r="DQ376" s="43"/>
      <c r="DR376" s="43"/>
      <c r="DS376" s="43"/>
      <c r="DT376" s="43"/>
      <c r="DU376" s="43"/>
      <c r="DV376" s="43"/>
      <c r="DW376" s="43"/>
      <c r="DX376" s="43"/>
      <c r="DY376" s="43"/>
      <c r="DZ376" s="43"/>
      <c r="EA376" s="43"/>
      <c r="EB376" s="43"/>
      <c r="EC376" s="43"/>
      <c r="ED376" s="43"/>
      <c r="EE376" s="43"/>
      <c r="EF376" s="43"/>
      <c r="EG376" s="43"/>
      <c r="EH376" s="43"/>
      <c r="EI376" s="43"/>
      <c r="EJ376" s="43"/>
      <c r="EK376" s="43"/>
      <c r="EL376" s="43"/>
      <c r="EM376" s="43"/>
      <c r="EN376" s="43"/>
      <c r="EO376" s="43"/>
      <c r="EP376" s="43"/>
      <c r="EQ376" s="43"/>
      <c r="ER376" s="43"/>
      <c r="ES376" s="43"/>
      <c r="ET376" s="43"/>
      <c r="EU376" s="43"/>
      <c r="EV376" s="43"/>
      <c r="EW376" s="43"/>
      <c r="EX376" s="43"/>
      <c r="EY376" s="43"/>
      <c r="EZ376" s="43"/>
      <c r="FA376" s="43"/>
      <c r="FB376" s="43"/>
      <c r="FC376" s="43"/>
      <c r="FD376" s="43"/>
      <c r="FE376" s="43"/>
      <c r="FF376" s="43"/>
      <c r="FG376" s="43"/>
      <c r="FH376" s="50"/>
      <c r="FI376" s="50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/>
      <c r="CS377" s="43"/>
      <c r="CT377" s="43"/>
      <c r="CU377" s="43"/>
      <c r="CV377" s="43"/>
      <c r="CW377" s="43"/>
      <c r="CX377" s="43"/>
      <c r="CY377" s="43"/>
      <c r="CZ377" s="43"/>
      <c r="DA377" s="43"/>
      <c r="DB377" s="43"/>
      <c r="DC377" s="43"/>
      <c r="DD377" s="43"/>
      <c r="DE377" s="43"/>
      <c r="DF377" s="43"/>
      <c r="DG377" s="43"/>
      <c r="DH377" s="43"/>
      <c r="DI377" s="43"/>
      <c r="DJ377" s="43"/>
      <c r="DK377" s="43"/>
      <c r="DL377" s="43"/>
      <c r="DM377" s="43"/>
      <c r="DN377" s="43"/>
      <c r="DO377" s="43"/>
      <c r="DP377" s="43"/>
      <c r="DQ377" s="43"/>
      <c r="DR377" s="43"/>
      <c r="DS377" s="43"/>
      <c r="DT377" s="43"/>
      <c r="DU377" s="43"/>
      <c r="DV377" s="43"/>
      <c r="DW377" s="43"/>
      <c r="DX377" s="43"/>
      <c r="DY377" s="43"/>
      <c r="DZ377" s="43"/>
      <c r="EA377" s="43"/>
      <c r="EB377" s="43"/>
      <c r="EC377" s="43"/>
      <c r="ED377" s="43"/>
      <c r="EE377" s="43"/>
      <c r="EF377" s="43"/>
      <c r="EG377" s="43"/>
      <c r="EH377" s="43"/>
      <c r="EI377" s="43"/>
      <c r="EJ377" s="43"/>
      <c r="EK377" s="43"/>
      <c r="EL377" s="43"/>
      <c r="EM377" s="43"/>
      <c r="EN377" s="43"/>
      <c r="EO377" s="43"/>
      <c r="EP377" s="43"/>
      <c r="EQ377" s="43"/>
      <c r="ER377" s="43"/>
      <c r="ES377" s="43"/>
      <c r="ET377" s="43"/>
      <c r="EU377" s="43"/>
      <c r="EV377" s="43"/>
      <c r="EW377" s="43"/>
      <c r="EX377" s="43"/>
      <c r="EY377" s="43"/>
      <c r="EZ377" s="43"/>
      <c r="FA377" s="43"/>
      <c r="FB377" s="43"/>
      <c r="FC377" s="43"/>
      <c r="FD377" s="43"/>
      <c r="FE377" s="43"/>
      <c r="FF377" s="43"/>
      <c r="FG377" s="43"/>
      <c r="FH377" s="50"/>
      <c r="FI377" s="50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/>
      <c r="CS378" s="43"/>
      <c r="CT378" s="43"/>
      <c r="CU378" s="43"/>
      <c r="CV378" s="43"/>
      <c r="CW378" s="43"/>
      <c r="CX378" s="43"/>
      <c r="CY378" s="43"/>
      <c r="CZ378" s="43"/>
      <c r="DA378" s="43"/>
      <c r="DB378" s="43"/>
      <c r="DC378" s="43"/>
      <c r="DD378" s="43"/>
      <c r="DE378" s="43"/>
      <c r="DF378" s="43"/>
      <c r="DG378" s="43"/>
      <c r="DH378" s="43"/>
      <c r="DI378" s="43"/>
      <c r="DJ378" s="43"/>
      <c r="DK378" s="43"/>
      <c r="DL378" s="43"/>
      <c r="DM378" s="43"/>
      <c r="DN378" s="43"/>
      <c r="DO378" s="43"/>
      <c r="DP378" s="43"/>
      <c r="DQ378" s="43"/>
      <c r="DR378" s="43"/>
      <c r="DS378" s="43"/>
      <c r="DT378" s="43"/>
      <c r="DU378" s="43"/>
      <c r="DV378" s="43"/>
      <c r="DW378" s="43"/>
      <c r="DX378" s="43"/>
      <c r="DY378" s="43"/>
      <c r="DZ378" s="43"/>
      <c r="EA378" s="43"/>
      <c r="EB378" s="43"/>
      <c r="EC378" s="43"/>
      <c r="ED378" s="43"/>
      <c r="EE378" s="43"/>
      <c r="EF378" s="43"/>
      <c r="EG378" s="43"/>
      <c r="EH378" s="43"/>
      <c r="EI378" s="43"/>
      <c r="EJ378" s="43"/>
      <c r="EK378" s="43"/>
      <c r="EL378" s="43"/>
      <c r="EM378" s="43"/>
      <c r="EN378" s="43"/>
      <c r="EO378" s="43"/>
      <c r="EP378" s="43"/>
      <c r="EQ378" s="43"/>
      <c r="ER378" s="43"/>
      <c r="ES378" s="43"/>
      <c r="ET378" s="43"/>
      <c r="EU378" s="43"/>
      <c r="EV378" s="43"/>
      <c r="EW378" s="43"/>
      <c r="EX378" s="43"/>
      <c r="EY378" s="43"/>
      <c r="EZ378" s="43"/>
      <c r="FA378" s="43"/>
      <c r="FB378" s="43"/>
      <c r="FC378" s="43"/>
      <c r="FD378" s="43"/>
      <c r="FE378" s="43"/>
      <c r="FF378" s="43"/>
      <c r="FG378" s="43"/>
      <c r="FH378" s="50"/>
      <c r="FI378" s="50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/>
      <c r="CS379" s="43"/>
      <c r="CT379" s="43"/>
      <c r="CU379" s="43"/>
      <c r="CV379" s="43"/>
      <c r="CW379" s="43"/>
      <c r="CX379" s="43"/>
      <c r="CY379" s="43"/>
      <c r="CZ379" s="43"/>
      <c r="DA379" s="43"/>
      <c r="DB379" s="43"/>
      <c r="DC379" s="43"/>
      <c r="DD379" s="43"/>
      <c r="DE379" s="43"/>
      <c r="DF379" s="43"/>
      <c r="DG379" s="43"/>
      <c r="DH379" s="43"/>
      <c r="DI379" s="43"/>
      <c r="DJ379" s="43"/>
      <c r="DK379" s="43"/>
      <c r="DL379" s="43"/>
      <c r="DM379" s="43"/>
      <c r="DN379" s="43"/>
      <c r="DO379" s="43"/>
      <c r="DP379" s="43"/>
      <c r="DQ379" s="43"/>
      <c r="DR379" s="43"/>
      <c r="DS379" s="43"/>
      <c r="DT379" s="43"/>
      <c r="DU379" s="43"/>
      <c r="DV379" s="43"/>
      <c r="DW379" s="43"/>
      <c r="DX379" s="43"/>
      <c r="DY379" s="43"/>
      <c r="DZ379" s="43"/>
      <c r="EA379" s="43"/>
      <c r="EB379" s="43"/>
      <c r="EC379" s="43"/>
      <c r="ED379" s="43"/>
      <c r="EE379" s="43"/>
      <c r="EF379" s="43"/>
      <c r="EG379" s="43"/>
      <c r="EH379" s="43"/>
      <c r="EI379" s="43"/>
      <c r="EJ379" s="43"/>
      <c r="EK379" s="43"/>
      <c r="EL379" s="43"/>
      <c r="EM379" s="43"/>
      <c r="EN379" s="43"/>
      <c r="EO379" s="43"/>
      <c r="EP379" s="43"/>
      <c r="EQ379" s="43"/>
      <c r="ER379" s="43"/>
      <c r="ES379" s="43"/>
      <c r="ET379" s="43"/>
      <c r="EU379" s="43"/>
      <c r="EV379" s="43"/>
      <c r="EW379" s="43"/>
      <c r="EX379" s="43"/>
      <c r="EY379" s="43"/>
      <c r="EZ379" s="43"/>
      <c r="FA379" s="43"/>
      <c r="FB379" s="43"/>
      <c r="FC379" s="43"/>
      <c r="FD379" s="43"/>
      <c r="FE379" s="43"/>
      <c r="FF379" s="43"/>
      <c r="FG379" s="43"/>
      <c r="FH379" s="50"/>
      <c r="FI379" s="50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/>
      <c r="CS380" s="43"/>
      <c r="CT380" s="43"/>
      <c r="CU380" s="43"/>
      <c r="CV380" s="43"/>
      <c r="CW380" s="43"/>
      <c r="CX380" s="43"/>
      <c r="CY380" s="43"/>
      <c r="CZ380" s="43"/>
      <c r="DA380" s="43"/>
      <c r="DB380" s="43"/>
      <c r="DC380" s="43"/>
      <c r="DD380" s="43"/>
      <c r="DE380" s="43"/>
      <c r="DF380" s="43"/>
      <c r="DG380" s="43"/>
      <c r="DH380" s="43"/>
      <c r="DI380" s="43"/>
      <c r="DJ380" s="43"/>
      <c r="DK380" s="43"/>
      <c r="DL380" s="43"/>
      <c r="DM380" s="43"/>
      <c r="DN380" s="43"/>
      <c r="DO380" s="43"/>
      <c r="DP380" s="43"/>
      <c r="DQ380" s="43"/>
      <c r="DR380" s="43"/>
      <c r="DS380" s="43"/>
      <c r="DT380" s="43"/>
      <c r="DU380" s="43"/>
      <c r="DV380" s="43"/>
      <c r="DW380" s="43"/>
      <c r="DX380" s="43"/>
      <c r="DY380" s="43"/>
      <c r="DZ380" s="43"/>
      <c r="EA380" s="43"/>
      <c r="EB380" s="43"/>
      <c r="EC380" s="43"/>
      <c r="ED380" s="43"/>
      <c r="EE380" s="43"/>
      <c r="EF380" s="43"/>
      <c r="EG380" s="43"/>
      <c r="EH380" s="43"/>
      <c r="EI380" s="43"/>
      <c r="EJ380" s="43"/>
      <c r="EK380" s="43"/>
      <c r="EL380" s="43"/>
      <c r="EM380" s="43"/>
      <c r="EN380" s="43"/>
      <c r="EO380" s="43"/>
      <c r="EP380" s="43"/>
      <c r="EQ380" s="43"/>
      <c r="ER380" s="43"/>
      <c r="ES380" s="43"/>
      <c r="ET380" s="43"/>
      <c r="EU380" s="43"/>
      <c r="EV380" s="43"/>
      <c r="EW380" s="43"/>
      <c r="EX380" s="43"/>
      <c r="EY380" s="43"/>
      <c r="EZ380" s="43"/>
      <c r="FA380" s="43"/>
      <c r="FB380" s="43"/>
      <c r="FC380" s="43"/>
      <c r="FD380" s="43"/>
      <c r="FE380" s="43"/>
      <c r="FF380" s="43"/>
      <c r="FG380" s="43"/>
      <c r="FH380" s="50"/>
      <c r="FI380" s="50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/>
      <c r="CS381" s="43"/>
      <c r="CT381" s="43"/>
      <c r="CU381" s="43"/>
      <c r="CV381" s="43"/>
      <c r="CW381" s="43"/>
      <c r="CX381" s="43"/>
      <c r="CY381" s="43"/>
      <c r="CZ381" s="43"/>
      <c r="DA381" s="43"/>
      <c r="DB381" s="43"/>
      <c r="DC381" s="43"/>
      <c r="DD381" s="43"/>
      <c r="DE381" s="43"/>
      <c r="DF381" s="43"/>
      <c r="DG381" s="43"/>
      <c r="DH381" s="43"/>
      <c r="DI381" s="43"/>
      <c r="DJ381" s="43"/>
      <c r="DK381" s="43"/>
      <c r="DL381" s="43"/>
      <c r="DM381" s="43"/>
      <c r="DN381" s="43"/>
      <c r="DO381" s="43"/>
      <c r="DP381" s="43"/>
      <c r="DQ381" s="43"/>
      <c r="DR381" s="43"/>
      <c r="DS381" s="43"/>
      <c r="DT381" s="43"/>
      <c r="DU381" s="43"/>
      <c r="DV381" s="43"/>
      <c r="DW381" s="43"/>
      <c r="DX381" s="43"/>
      <c r="DY381" s="43"/>
      <c r="DZ381" s="43"/>
      <c r="EA381" s="43"/>
      <c r="EB381" s="43"/>
      <c r="EC381" s="43"/>
      <c r="ED381" s="43"/>
      <c r="EE381" s="43"/>
      <c r="EF381" s="43"/>
      <c r="EG381" s="43"/>
      <c r="EH381" s="43"/>
      <c r="EI381" s="43"/>
      <c r="EJ381" s="43"/>
      <c r="EK381" s="43"/>
      <c r="EL381" s="43"/>
      <c r="EM381" s="43"/>
      <c r="EN381" s="43"/>
      <c r="EO381" s="43"/>
      <c r="EP381" s="43"/>
      <c r="EQ381" s="43"/>
      <c r="ER381" s="43"/>
      <c r="ES381" s="43"/>
      <c r="ET381" s="43"/>
      <c r="EU381" s="43"/>
      <c r="EV381" s="43"/>
      <c r="EW381" s="43"/>
      <c r="EX381" s="43"/>
      <c r="EY381" s="43"/>
      <c r="EZ381" s="43"/>
      <c r="FA381" s="43"/>
      <c r="FB381" s="43"/>
      <c r="FC381" s="43"/>
      <c r="FD381" s="43"/>
      <c r="FE381" s="43"/>
      <c r="FF381" s="43"/>
      <c r="FG381" s="43"/>
      <c r="FH381" s="50"/>
      <c r="FI381" s="50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/>
      <c r="CS382" s="43"/>
      <c r="CT382" s="43"/>
      <c r="CU382" s="43"/>
      <c r="CV382" s="43"/>
      <c r="CW382" s="43"/>
      <c r="CX382" s="43"/>
      <c r="CY382" s="43"/>
      <c r="CZ382" s="43"/>
      <c r="DA382" s="43"/>
      <c r="DB382" s="43"/>
      <c r="DC382" s="43"/>
      <c r="DD382" s="43"/>
      <c r="DE382" s="43"/>
      <c r="DF382" s="43"/>
      <c r="DG382" s="43"/>
      <c r="DH382" s="43"/>
      <c r="DI382" s="43"/>
      <c r="DJ382" s="43"/>
      <c r="DK382" s="43"/>
      <c r="DL382" s="43"/>
      <c r="DM382" s="43"/>
      <c r="DN382" s="43"/>
      <c r="DO382" s="43"/>
      <c r="DP382" s="43"/>
      <c r="DQ382" s="43"/>
      <c r="DR382" s="43"/>
      <c r="DS382" s="43"/>
      <c r="DT382" s="43"/>
      <c r="DU382" s="43"/>
      <c r="DV382" s="43"/>
      <c r="DW382" s="43"/>
      <c r="DX382" s="43"/>
      <c r="DY382" s="43"/>
      <c r="DZ382" s="43"/>
      <c r="EA382" s="43"/>
      <c r="EB382" s="43"/>
      <c r="EC382" s="43"/>
      <c r="ED382" s="43"/>
      <c r="EE382" s="43"/>
      <c r="EF382" s="43"/>
      <c r="EG382" s="43"/>
      <c r="EH382" s="43"/>
      <c r="EI382" s="43"/>
      <c r="EJ382" s="43"/>
      <c r="EK382" s="43"/>
      <c r="EL382" s="43"/>
      <c r="EM382" s="43"/>
      <c r="EN382" s="43"/>
      <c r="EO382" s="43"/>
      <c r="EP382" s="43"/>
      <c r="EQ382" s="43"/>
      <c r="ER382" s="43"/>
      <c r="ES382" s="43"/>
      <c r="ET382" s="43"/>
      <c r="EU382" s="43"/>
      <c r="EV382" s="43"/>
      <c r="EW382" s="43"/>
      <c r="EX382" s="43"/>
      <c r="EY382" s="43"/>
      <c r="EZ382" s="43"/>
      <c r="FA382" s="43"/>
      <c r="FB382" s="43"/>
      <c r="FC382" s="43"/>
      <c r="FD382" s="43"/>
      <c r="FE382" s="43"/>
      <c r="FF382" s="43"/>
      <c r="FG382" s="43"/>
      <c r="FH382" s="50"/>
      <c r="FI382" s="50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/>
      <c r="CS383" s="43"/>
      <c r="CT383" s="43"/>
      <c r="CU383" s="43"/>
      <c r="CV383" s="43"/>
      <c r="CW383" s="43"/>
      <c r="CX383" s="43"/>
      <c r="CY383" s="43"/>
      <c r="CZ383" s="43"/>
      <c r="DA383" s="43"/>
      <c r="DB383" s="43"/>
      <c r="DC383" s="43"/>
      <c r="DD383" s="43"/>
      <c r="DE383" s="43"/>
      <c r="DF383" s="43"/>
      <c r="DG383" s="43"/>
      <c r="DH383" s="43"/>
      <c r="DI383" s="43"/>
      <c r="DJ383" s="43"/>
      <c r="DK383" s="43"/>
      <c r="DL383" s="43"/>
      <c r="DM383" s="43"/>
      <c r="DN383" s="43"/>
      <c r="DO383" s="43"/>
      <c r="DP383" s="43"/>
      <c r="DQ383" s="43"/>
      <c r="DR383" s="43"/>
      <c r="DS383" s="43"/>
      <c r="DT383" s="43"/>
      <c r="DU383" s="43"/>
      <c r="DV383" s="43"/>
      <c r="DW383" s="43"/>
      <c r="DX383" s="43"/>
      <c r="DY383" s="43"/>
      <c r="DZ383" s="43"/>
      <c r="EA383" s="43"/>
      <c r="EB383" s="43"/>
      <c r="EC383" s="43"/>
      <c r="ED383" s="43"/>
      <c r="EE383" s="43"/>
      <c r="EF383" s="43"/>
      <c r="EG383" s="43"/>
      <c r="EH383" s="43"/>
      <c r="EI383" s="43"/>
      <c r="EJ383" s="43"/>
      <c r="EK383" s="43"/>
      <c r="EL383" s="43"/>
      <c r="EM383" s="43"/>
      <c r="EN383" s="43"/>
      <c r="EO383" s="43"/>
      <c r="EP383" s="43"/>
      <c r="EQ383" s="43"/>
      <c r="ER383" s="43"/>
      <c r="ES383" s="43"/>
      <c r="ET383" s="43"/>
      <c r="EU383" s="43"/>
      <c r="EV383" s="43"/>
      <c r="EW383" s="43"/>
      <c r="EX383" s="43"/>
      <c r="EY383" s="43"/>
      <c r="EZ383" s="43"/>
      <c r="FA383" s="43"/>
      <c r="FB383" s="43"/>
      <c r="FC383" s="43"/>
      <c r="FD383" s="43"/>
      <c r="FE383" s="43"/>
      <c r="FF383" s="43"/>
      <c r="FG383" s="43"/>
      <c r="FH383" s="50"/>
      <c r="FI383" s="50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/>
      <c r="CS384" s="43"/>
      <c r="CT384" s="43"/>
      <c r="CU384" s="43"/>
      <c r="CV384" s="43"/>
      <c r="CW384" s="43"/>
      <c r="CX384" s="43"/>
      <c r="CY384" s="43"/>
      <c r="CZ384" s="43"/>
      <c r="DA384" s="43"/>
      <c r="DB384" s="43"/>
      <c r="DC384" s="43"/>
      <c r="DD384" s="43"/>
      <c r="DE384" s="43"/>
      <c r="DF384" s="43"/>
      <c r="DG384" s="43"/>
      <c r="DH384" s="43"/>
      <c r="DI384" s="43"/>
      <c r="DJ384" s="43"/>
      <c r="DK384" s="43"/>
      <c r="DL384" s="43"/>
      <c r="DM384" s="43"/>
      <c r="DN384" s="43"/>
      <c r="DO384" s="43"/>
      <c r="DP384" s="43"/>
      <c r="DQ384" s="43"/>
      <c r="DR384" s="43"/>
      <c r="DS384" s="43"/>
      <c r="DT384" s="43"/>
      <c r="DU384" s="43"/>
      <c r="DV384" s="43"/>
      <c r="DW384" s="43"/>
      <c r="DX384" s="43"/>
      <c r="DY384" s="43"/>
      <c r="DZ384" s="43"/>
      <c r="EA384" s="43"/>
      <c r="EB384" s="43"/>
      <c r="EC384" s="43"/>
      <c r="ED384" s="43"/>
      <c r="EE384" s="43"/>
      <c r="EF384" s="43"/>
      <c r="EG384" s="43"/>
      <c r="EH384" s="43"/>
      <c r="EI384" s="43"/>
      <c r="EJ384" s="43"/>
      <c r="EK384" s="43"/>
      <c r="EL384" s="43"/>
      <c r="EM384" s="43"/>
      <c r="EN384" s="43"/>
      <c r="EO384" s="43"/>
      <c r="EP384" s="43"/>
      <c r="EQ384" s="43"/>
      <c r="ER384" s="43"/>
      <c r="ES384" s="43"/>
      <c r="ET384" s="43"/>
      <c r="EU384" s="43"/>
      <c r="EV384" s="43"/>
      <c r="EW384" s="43"/>
      <c r="EX384" s="43"/>
      <c r="EY384" s="43"/>
      <c r="EZ384" s="43"/>
      <c r="FA384" s="43"/>
      <c r="FB384" s="43"/>
      <c r="FC384" s="43"/>
      <c r="FD384" s="43"/>
      <c r="FE384" s="43"/>
      <c r="FF384" s="43"/>
      <c r="FG384" s="43"/>
      <c r="FH384" s="50"/>
      <c r="FI384" s="50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/>
      <c r="CS385" s="43"/>
      <c r="CT385" s="43"/>
      <c r="CU385" s="43"/>
      <c r="CV385" s="43"/>
      <c r="CW385" s="43"/>
      <c r="CX385" s="43"/>
      <c r="CY385" s="43"/>
      <c r="CZ385" s="43"/>
      <c r="DA385" s="43"/>
      <c r="DB385" s="43"/>
      <c r="DC385" s="43"/>
      <c r="DD385" s="43"/>
      <c r="DE385" s="43"/>
      <c r="DF385" s="43"/>
      <c r="DG385" s="43"/>
      <c r="DH385" s="43"/>
      <c r="DI385" s="43"/>
      <c r="DJ385" s="43"/>
      <c r="DK385" s="43"/>
      <c r="DL385" s="43"/>
      <c r="DM385" s="43"/>
      <c r="DN385" s="43"/>
      <c r="DO385" s="43"/>
      <c r="DP385" s="43"/>
      <c r="DQ385" s="43"/>
      <c r="DR385" s="43"/>
      <c r="DS385" s="43"/>
      <c r="DT385" s="43"/>
      <c r="DU385" s="43"/>
      <c r="DV385" s="43"/>
      <c r="DW385" s="43"/>
      <c r="DX385" s="43"/>
      <c r="DY385" s="43"/>
      <c r="DZ385" s="43"/>
      <c r="EA385" s="43"/>
      <c r="EB385" s="43"/>
      <c r="EC385" s="43"/>
      <c r="ED385" s="43"/>
      <c r="EE385" s="43"/>
      <c r="EF385" s="43"/>
      <c r="EG385" s="43"/>
      <c r="EH385" s="43"/>
      <c r="EI385" s="43"/>
      <c r="EJ385" s="43"/>
      <c r="EK385" s="43"/>
      <c r="EL385" s="43"/>
      <c r="EM385" s="43"/>
      <c r="EN385" s="43"/>
      <c r="EO385" s="43"/>
      <c r="EP385" s="43"/>
      <c r="EQ385" s="43"/>
      <c r="ER385" s="43"/>
      <c r="ES385" s="43"/>
      <c r="ET385" s="43"/>
      <c r="EU385" s="43"/>
      <c r="EV385" s="43"/>
      <c r="EW385" s="43"/>
      <c r="EX385" s="43"/>
      <c r="EY385" s="43"/>
      <c r="EZ385" s="43"/>
      <c r="FA385" s="43"/>
      <c r="FB385" s="43"/>
      <c r="FC385" s="43"/>
      <c r="FD385" s="43"/>
      <c r="FE385" s="43"/>
      <c r="FF385" s="43"/>
      <c r="FG385" s="43"/>
      <c r="FH385" s="50"/>
      <c r="FI385" s="50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/>
      <c r="CS386" s="43"/>
      <c r="CT386" s="43"/>
      <c r="CU386" s="43"/>
      <c r="CV386" s="43"/>
      <c r="CW386" s="43"/>
      <c r="CX386" s="43"/>
      <c r="CY386" s="43"/>
      <c r="CZ386" s="43"/>
      <c r="DA386" s="43"/>
      <c r="DB386" s="43"/>
      <c r="DC386" s="43"/>
      <c r="DD386" s="43"/>
      <c r="DE386" s="43"/>
      <c r="DF386" s="43"/>
      <c r="DG386" s="43"/>
      <c r="DH386" s="43"/>
      <c r="DI386" s="43"/>
      <c r="DJ386" s="43"/>
      <c r="DK386" s="43"/>
      <c r="DL386" s="43"/>
      <c r="DM386" s="43"/>
      <c r="DN386" s="43"/>
      <c r="DO386" s="43"/>
      <c r="DP386" s="43"/>
      <c r="DQ386" s="43"/>
      <c r="DR386" s="43"/>
      <c r="DS386" s="43"/>
      <c r="DT386" s="43"/>
      <c r="DU386" s="43"/>
      <c r="DV386" s="43"/>
      <c r="DW386" s="43"/>
      <c r="DX386" s="43"/>
      <c r="DY386" s="43"/>
      <c r="DZ386" s="43"/>
      <c r="EA386" s="43"/>
      <c r="EB386" s="43"/>
      <c r="EC386" s="43"/>
      <c r="ED386" s="43"/>
      <c r="EE386" s="43"/>
      <c r="EF386" s="43"/>
      <c r="EG386" s="43"/>
      <c r="EH386" s="43"/>
      <c r="EI386" s="43"/>
      <c r="EJ386" s="43"/>
      <c r="EK386" s="43"/>
      <c r="EL386" s="43"/>
      <c r="EM386" s="43"/>
      <c r="EN386" s="43"/>
      <c r="EO386" s="43"/>
      <c r="EP386" s="43"/>
      <c r="EQ386" s="43"/>
      <c r="ER386" s="43"/>
      <c r="ES386" s="43"/>
      <c r="ET386" s="43"/>
      <c r="EU386" s="43"/>
      <c r="EV386" s="43"/>
      <c r="EW386" s="43"/>
      <c r="EX386" s="43"/>
      <c r="EY386" s="43"/>
      <c r="EZ386" s="43"/>
      <c r="FA386" s="43"/>
      <c r="FB386" s="43"/>
      <c r="FC386" s="43"/>
      <c r="FD386" s="43"/>
      <c r="FE386" s="43"/>
      <c r="FF386" s="43"/>
      <c r="FG386" s="43"/>
      <c r="FH386" s="50"/>
      <c r="FI386" s="50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  <c r="CS387" s="43"/>
      <c r="CT387" s="43"/>
      <c r="CU387" s="43"/>
      <c r="CV387" s="43"/>
      <c r="CW387" s="43"/>
      <c r="CX387" s="43"/>
      <c r="CY387" s="43"/>
      <c r="CZ387" s="43"/>
      <c r="DA387" s="43"/>
      <c r="DB387" s="43"/>
      <c r="DC387" s="43"/>
      <c r="DD387" s="43"/>
      <c r="DE387" s="43"/>
      <c r="DF387" s="43"/>
      <c r="DG387" s="43"/>
      <c r="DH387" s="43"/>
      <c r="DI387" s="43"/>
      <c r="DJ387" s="43"/>
      <c r="DK387" s="43"/>
      <c r="DL387" s="43"/>
      <c r="DM387" s="43"/>
      <c r="DN387" s="43"/>
      <c r="DO387" s="43"/>
      <c r="DP387" s="43"/>
      <c r="DQ387" s="43"/>
      <c r="DR387" s="43"/>
      <c r="DS387" s="43"/>
      <c r="DT387" s="43"/>
      <c r="DU387" s="43"/>
      <c r="DV387" s="43"/>
      <c r="DW387" s="43"/>
      <c r="DX387" s="43"/>
      <c r="DY387" s="43"/>
      <c r="DZ387" s="43"/>
      <c r="EA387" s="43"/>
      <c r="EB387" s="43"/>
      <c r="EC387" s="43"/>
      <c r="ED387" s="43"/>
      <c r="EE387" s="43"/>
      <c r="EF387" s="43"/>
      <c r="EG387" s="43"/>
      <c r="EH387" s="43"/>
      <c r="EI387" s="43"/>
      <c r="EJ387" s="43"/>
      <c r="EK387" s="43"/>
      <c r="EL387" s="43"/>
      <c r="EM387" s="43"/>
      <c r="EN387" s="43"/>
      <c r="EO387" s="43"/>
      <c r="EP387" s="43"/>
      <c r="EQ387" s="43"/>
      <c r="ER387" s="43"/>
      <c r="ES387" s="43"/>
      <c r="ET387" s="43"/>
      <c r="EU387" s="43"/>
      <c r="EV387" s="43"/>
      <c r="EW387" s="43"/>
      <c r="EX387" s="43"/>
      <c r="EY387" s="43"/>
      <c r="EZ387" s="43"/>
      <c r="FA387" s="43"/>
      <c r="FB387" s="43"/>
      <c r="FC387" s="43"/>
      <c r="FD387" s="43"/>
      <c r="FE387" s="43"/>
      <c r="FF387" s="43"/>
      <c r="FG387" s="43"/>
      <c r="FH387" s="50"/>
      <c r="FI387" s="50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  <c r="CI388" s="43"/>
      <c r="CJ388" s="43"/>
      <c r="CK388" s="43"/>
      <c r="CL388" s="43"/>
      <c r="CM388" s="43"/>
      <c r="CN388" s="43"/>
      <c r="CO388" s="43"/>
      <c r="CP388" s="43"/>
      <c r="CQ388" s="43"/>
      <c r="CR388" s="43"/>
      <c r="CS388" s="43"/>
      <c r="CT388" s="43"/>
      <c r="CU388" s="43"/>
      <c r="CV388" s="43"/>
      <c r="CW388" s="43"/>
      <c r="CX388" s="43"/>
      <c r="CY388" s="43"/>
      <c r="CZ388" s="43"/>
      <c r="DA388" s="43"/>
      <c r="DB388" s="43"/>
      <c r="DC388" s="43"/>
      <c r="DD388" s="43"/>
      <c r="DE388" s="43"/>
      <c r="DF388" s="43"/>
      <c r="DG388" s="43"/>
      <c r="DH388" s="43"/>
      <c r="DI388" s="43"/>
      <c r="DJ388" s="43"/>
      <c r="DK388" s="43"/>
      <c r="DL388" s="43"/>
      <c r="DM388" s="43"/>
      <c r="DN388" s="43"/>
      <c r="DO388" s="43"/>
      <c r="DP388" s="43"/>
      <c r="DQ388" s="43"/>
      <c r="DR388" s="43"/>
      <c r="DS388" s="43"/>
      <c r="DT388" s="43"/>
      <c r="DU388" s="43"/>
      <c r="DV388" s="43"/>
      <c r="DW388" s="43"/>
      <c r="DX388" s="43"/>
      <c r="DY388" s="43"/>
      <c r="DZ388" s="43"/>
      <c r="EA388" s="43"/>
      <c r="EB388" s="43"/>
      <c r="EC388" s="43"/>
      <c r="ED388" s="43"/>
      <c r="EE388" s="43"/>
      <c r="EF388" s="43"/>
      <c r="EG388" s="43"/>
      <c r="EH388" s="43"/>
      <c r="EI388" s="43"/>
      <c r="EJ388" s="43"/>
      <c r="EK388" s="43"/>
      <c r="EL388" s="43"/>
      <c r="EM388" s="43"/>
      <c r="EN388" s="43"/>
      <c r="EO388" s="43"/>
      <c r="EP388" s="43"/>
      <c r="EQ388" s="43"/>
      <c r="ER388" s="43"/>
      <c r="ES388" s="43"/>
      <c r="ET388" s="43"/>
      <c r="EU388" s="43"/>
      <c r="EV388" s="43"/>
      <c r="EW388" s="43"/>
      <c r="EX388" s="43"/>
      <c r="EY388" s="43"/>
      <c r="EZ388" s="43"/>
      <c r="FA388" s="43"/>
      <c r="FB388" s="43"/>
      <c r="FC388" s="43"/>
      <c r="FD388" s="43"/>
      <c r="FE388" s="43"/>
      <c r="FF388" s="43"/>
      <c r="FG388" s="43"/>
      <c r="FH388" s="50"/>
      <c r="FI388" s="50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  <c r="CS389" s="43"/>
      <c r="CT389" s="43"/>
      <c r="CU389" s="43"/>
      <c r="CV389" s="43"/>
      <c r="CW389" s="43"/>
      <c r="CX389" s="43"/>
      <c r="CY389" s="43"/>
      <c r="CZ389" s="43"/>
      <c r="DA389" s="43"/>
      <c r="DB389" s="43"/>
      <c r="DC389" s="43"/>
      <c r="DD389" s="43"/>
      <c r="DE389" s="43"/>
      <c r="DF389" s="43"/>
      <c r="DG389" s="43"/>
      <c r="DH389" s="43"/>
      <c r="DI389" s="43"/>
      <c r="DJ389" s="43"/>
      <c r="DK389" s="43"/>
      <c r="DL389" s="43"/>
      <c r="DM389" s="43"/>
      <c r="DN389" s="43"/>
      <c r="DO389" s="43"/>
      <c r="DP389" s="43"/>
      <c r="DQ389" s="43"/>
      <c r="DR389" s="43"/>
      <c r="DS389" s="43"/>
      <c r="DT389" s="43"/>
      <c r="DU389" s="43"/>
      <c r="DV389" s="43"/>
      <c r="DW389" s="43"/>
      <c r="DX389" s="43"/>
      <c r="DY389" s="43"/>
      <c r="DZ389" s="43"/>
      <c r="EA389" s="43"/>
      <c r="EB389" s="43"/>
      <c r="EC389" s="43"/>
      <c r="ED389" s="43"/>
      <c r="EE389" s="43"/>
      <c r="EF389" s="43"/>
      <c r="EG389" s="43"/>
      <c r="EH389" s="43"/>
      <c r="EI389" s="43"/>
      <c r="EJ389" s="43"/>
      <c r="EK389" s="43"/>
      <c r="EL389" s="43"/>
      <c r="EM389" s="43"/>
      <c r="EN389" s="43"/>
      <c r="EO389" s="43"/>
      <c r="EP389" s="43"/>
      <c r="EQ389" s="43"/>
      <c r="ER389" s="43"/>
      <c r="ES389" s="43"/>
      <c r="ET389" s="43"/>
      <c r="EU389" s="43"/>
      <c r="EV389" s="43"/>
      <c r="EW389" s="43"/>
      <c r="EX389" s="43"/>
      <c r="EY389" s="43"/>
      <c r="EZ389" s="43"/>
      <c r="FA389" s="43"/>
      <c r="FB389" s="43"/>
      <c r="FC389" s="43"/>
      <c r="FD389" s="43"/>
      <c r="FE389" s="43"/>
      <c r="FF389" s="43"/>
      <c r="FG389" s="43"/>
      <c r="FH389" s="50"/>
      <c r="FI389" s="50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  <c r="CS390" s="43"/>
      <c r="CT390" s="43"/>
      <c r="CU390" s="43"/>
      <c r="CV390" s="43"/>
      <c r="CW390" s="43"/>
      <c r="CX390" s="43"/>
      <c r="CY390" s="43"/>
      <c r="CZ390" s="43"/>
      <c r="DA390" s="43"/>
      <c r="DB390" s="43"/>
      <c r="DC390" s="43"/>
      <c r="DD390" s="43"/>
      <c r="DE390" s="43"/>
      <c r="DF390" s="43"/>
      <c r="DG390" s="43"/>
      <c r="DH390" s="43"/>
      <c r="DI390" s="43"/>
      <c r="DJ390" s="43"/>
      <c r="DK390" s="43"/>
      <c r="DL390" s="43"/>
      <c r="DM390" s="43"/>
      <c r="DN390" s="43"/>
      <c r="DO390" s="43"/>
      <c r="DP390" s="43"/>
      <c r="DQ390" s="43"/>
      <c r="DR390" s="43"/>
      <c r="DS390" s="43"/>
      <c r="DT390" s="43"/>
      <c r="DU390" s="43"/>
      <c r="DV390" s="43"/>
      <c r="DW390" s="43"/>
      <c r="DX390" s="43"/>
      <c r="DY390" s="43"/>
      <c r="DZ390" s="43"/>
      <c r="EA390" s="43"/>
      <c r="EB390" s="43"/>
      <c r="EC390" s="43"/>
      <c r="ED390" s="43"/>
      <c r="EE390" s="43"/>
      <c r="EF390" s="43"/>
      <c r="EG390" s="43"/>
      <c r="EH390" s="43"/>
      <c r="EI390" s="43"/>
      <c r="EJ390" s="43"/>
      <c r="EK390" s="43"/>
      <c r="EL390" s="43"/>
      <c r="EM390" s="43"/>
      <c r="EN390" s="43"/>
      <c r="EO390" s="43"/>
      <c r="EP390" s="43"/>
      <c r="EQ390" s="43"/>
      <c r="ER390" s="43"/>
      <c r="ES390" s="43"/>
      <c r="ET390" s="43"/>
      <c r="EU390" s="43"/>
      <c r="EV390" s="43"/>
      <c r="EW390" s="43"/>
      <c r="EX390" s="43"/>
      <c r="EY390" s="43"/>
      <c r="EZ390" s="43"/>
      <c r="FA390" s="43"/>
      <c r="FB390" s="43"/>
      <c r="FC390" s="43"/>
      <c r="FD390" s="43"/>
      <c r="FE390" s="43"/>
      <c r="FF390" s="43"/>
      <c r="FG390" s="43"/>
      <c r="FH390" s="50"/>
      <c r="FI390" s="50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  <c r="CI391" s="43"/>
      <c r="CJ391" s="43"/>
      <c r="CK391" s="43"/>
      <c r="CL391" s="43"/>
      <c r="CM391" s="43"/>
      <c r="CN391" s="43"/>
      <c r="CO391" s="43"/>
      <c r="CP391" s="43"/>
      <c r="CQ391" s="43"/>
      <c r="CR391" s="43"/>
      <c r="CS391" s="43"/>
      <c r="CT391" s="43"/>
      <c r="CU391" s="43"/>
      <c r="CV391" s="43"/>
      <c r="CW391" s="43"/>
      <c r="CX391" s="43"/>
      <c r="CY391" s="43"/>
      <c r="CZ391" s="43"/>
      <c r="DA391" s="43"/>
      <c r="DB391" s="43"/>
      <c r="DC391" s="43"/>
      <c r="DD391" s="43"/>
      <c r="DE391" s="43"/>
      <c r="DF391" s="43"/>
      <c r="DG391" s="43"/>
      <c r="DH391" s="43"/>
      <c r="DI391" s="43"/>
      <c r="DJ391" s="43"/>
      <c r="DK391" s="43"/>
      <c r="DL391" s="43"/>
      <c r="DM391" s="43"/>
      <c r="DN391" s="43"/>
      <c r="DO391" s="43"/>
      <c r="DP391" s="43"/>
      <c r="DQ391" s="43"/>
      <c r="DR391" s="43"/>
      <c r="DS391" s="43"/>
      <c r="DT391" s="43"/>
      <c r="DU391" s="43"/>
      <c r="DV391" s="43"/>
      <c r="DW391" s="43"/>
      <c r="DX391" s="43"/>
      <c r="DY391" s="43"/>
      <c r="DZ391" s="43"/>
      <c r="EA391" s="43"/>
      <c r="EB391" s="43"/>
      <c r="EC391" s="43"/>
      <c r="ED391" s="43"/>
      <c r="EE391" s="43"/>
      <c r="EF391" s="43"/>
      <c r="EG391" s="43"/>
      <c r="EH391" s="43"/>
      <c r="EI391" s="43"/>
      <c r="EJ391" s="43"/>
      <c r="EK391" s="43"/>
      <c r="EL391" s="43"/>
      <c r="EM391" s="43"/>
      <c r="EN391" s="43"/>
      <c r="EO391" s="43"/>
      <c r="EP391" s="43"/>
      <c r="EQ391" s="43"/>
      <c r="ER391" s="43"/>
      <c r="ES391" s="43"/>
      <c r="ET391" s="43"/>
      <c r="EU391" s="43"/>
      <c r="EV391" s="43"/>
      <c r="EW391" s="43"/>
      <c r="EX391" s="43"/>
      <c r="EY391" s="43"/>
      <c r="EZ391" s="43"/>
      <c r="FA391" s="43"/>
      <c r="FB391" s="43"/>
      <c r="FC391" s="43"/>
      <c r="FD391" s="43"/>
      <c r="FE391" s="43"/>
      <c r="FF391" s="43"/>
      <c r="FG391" s="43"/>
      <c r="FH391" s="50"/>
      <c r="FI391" s="50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/>
      <c r="CK392" s="43"/>
      <c r="CL392" s="43"/>
      <c r="CM392" s="43"/>
      <c r="CN392" s="43"/>
      <c r="CO392" s="43"/>
      <c r="CP392" s="43"/>
      <c r="CQ392" s="43"/>
      <c r="CR392" s="43"/>
      <c r="CS392" s="43"/>
      <c r="CT392" s="43"/>
      <c r="CU392" s="43"/>
      <c r="CV392" s="43"/>
      <c r="CW392" s="43"/>
      <c r="CX392" s="43"/>
      <c r="CY392" s="43"/>
      <c r="CZ392" s="43"/>
      <c r="DA392" s="43"/>
      <c r="DB392" s="43"/>
      <c r="DC392" s="43"/>
      <c r="DD392" s="43"/>
      <c r="DE392" s="43"/>
      <c r="DF392" s="43"/>
      <c r="DG392" s="43"/>
      <c r="DH392" s="43"/>
      <c r="DI392" s="43"/>
      <c r="DJ392" s="43"/>
      <c r="DK392" s="43"/>
      <c r="DL392" s="43"/>
      <c r="DM392" s="43"/>
      <c r="DN392" s="43"/>
      <c r="DO392" s="43"/>
      <c r="DP392" s="43"/>
      <c r="DQ392" s="43"/>
      <c r="DR392" s="43"/>
      <c r="DS392" s="43"/>
      <c r="DT392" s="43"/>
      <c r="DU392" s="43"/>
      <c r="DV392" s="43"/>
      <c r="DW392" s="43"/>
      <c r="DX392" s="43"/>
      <c r="DY392" s="43"/>
      <c r="DZ392" s="43"/>
      <c r="EA392" s="43"/>
      <c r="EB392" s="43"/>
      <c r="EC392" s="43"/>
      <c r="ED392" s="43"/>
      <c r="EE392" s="43"/>
      <c r="EF392" s="43"/>
      <c r="EG392" s="43"/>
      <c r="EH392" s="43"/>
      <c r="EI392" s="43"/>
      <c r="EJ392" s="43"/>
      <c r="EK392" s="43"/>
      <c r="EL392" s="43"/>
      <c r="EM392" s="43"/>
      <c r="EN392" s="43"/>
      <c r="EO392" s="43"/>
      <c r="EP392" s="43"/>
      <c r="EQ392" s="43"/>
      <c r="ER392" s="43"/>
      <c r="ES392" s="43"/>
      <c r="ET392" s="43"/>
      <c r="EU392" s="43"/>
      <c r="EV392" s="43"/>
      <c r="EW392" s="43"/>
      <c r="EX392" s="43"/>
      <c r="EY392" s="43"/>
      <c r="EZ392" s="43"/>
      <c r="FA392" s="43"/>
      <c r="FB392" s="43"/>
      <c r="FC392" s="43"/>
      <c r="FD392" s="43"/>
      <c r="FE392" s="43"/>
      <c r="FF392" s="43"/>
      <c r="FG392" s="43"/>
      <c r="FH392" s="50"/>
      <c r="FI392" s="50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  <c r="CI393" s="43"/>
      <c r="CJ393" s="43"/>
      <c r="CK393" s="43"/>
      <c r="CL393" s="43"/>
      <c r="CM393" s="43"/>
      <c r="CN393" s="43"/>
      <c r="CO393" s="43"/>
      <c r="CP393" s="43"/>
      <c r="CQ393" s="43"/>
      <c r="CR393" s="43"/>
      <c r="CS393" s="43"/>
      <c r="CT393" s="43"/>
      <c r="CU393" s="43"/>
      <c r="CV393" s="43"/>
      <c r="CW393" s="43"/>
      <c r="CX393" s="43"/>
      <c r="CY393" s="43"/>
      <c r="CZ393" s="43"/>
      <c r="DA393" s="43"/>
      <c r="DB393" s="43"/>
      <c r="DC393" s="43"/>
      <c r="DD393" s="43"/>
      <c r="DE393" s="43"/>
      <c r="DF393" s="43"/>
      <c r="DG393" s="43"/>
      <c r="DH393" s="43"/>
      <c r="DI393" s="43"/>
      <c r="DJ393" s="43"/>
      <c r="DK393" s="43"/>
      <c r="DL393" s="43"/>
      <c r="DM393" s="43"/>
      <c r="DN393" s="43"/>
      <c r="DO393" s="43"/>
      <c r="DP393" s="43"/>
      <c r="DQ393" s="43"/>
      <c r="DR393" s="43"/>
      <c r="DS393" s="43"/>
      <c r="DT393" s="43"/>
      <c r="DU393" s="43"/>
      <c r="DV393" s="43"/>
      <c r="DW393" s="43"/>
      <c r="DX393" s="43"/>
      <c r="DY393" s="43"/>
      <c r="DZ393" s="43"/>
      <c r="EA393" s="43"/>
      <c r="EB393" s="43"/>
      <c r="EC393" s="43"/>
      <c r="ED393" s="43"/>
      <c r="EE393" s="43"/>
      <c r="EF393" s="43"/>
      <c r="EG393" s="43"/>
      <c r="EH393" s="43"/>
      <c r="EI393" s="43"/>
      <c r="EJ393" s="43"/>
      <c r="EK393" s="43"/>
      <c r="EL393" s="43"/>
      <c r="EM393" s="43"/>
      <c r="EN393" s="43"/>
      <c r="EO393" s="43"/>
      <c r="EP393" s="43"/>
      <c r="EQ393" s="43"/>
      <c r="ER393" s="43"/>
      <c r="ES393" s="43"/>
      <c r="ET393" s="43"/>
      <c r="EU393" s="43"/>
      <c r="EV393" s="43"/>
      <c r="EW393" s="43"/>
      <c r="EX393" s="43"/>
      <c r="EY393" s="43"/>
      <c r="EZ393" s="43"/>
      <c r="FA393" s="43"/>
      <c r="FB393" s="43"/>
      <c r="FC393" s="43"/>
      <c r="FD393" s="43"/>
      <c r="FE393" s="43"/>
      <c r="FF393" s="43"/>
      <c r="FG393" s="43"/>
      <c r="FH393" s="50"/>
      <c r="FI393" s="50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  <c r="CI394" s="43"/>
      <c r="CJ394" s="43"/>
      <c r="CK394" s="43"/>
      <c r="CL394" s="43"/>
      <c r="CM394" s="43"/>
      <c r="CN394" s="43"/>
      <c r="CO394" s="43"/>
      <c r="CP394" s="43"/>
      <c r="CQ394" s="43"/>
      <c r="CR394" s="43"/>
      <c r="CS394" s="43"/>
      <c r="CT394" s="43"/>
      <c r="CU394" s="43"/>
      <c r="CV394" s="43"/>
      <c r="CW394" s="43"/>
      <c r="CX394" s="43"/>
      <c r="CY394" s="43"/>
      <c r="CZ394" s="43"/>
      <c r="DA394" s="43"/>
      <c r="DB394" s="43"/>
      <c r="DC394" s="43"/>
      <c r="DD394" s="43"/>
      <c r="DE394" s="43"/>
      <c r="DF394" s="43"/>
      <c r="DG394" s="43"/>
      <c r="DH394" s="43"/>
      <c r="DI394" s="43"/>
      <c r="DJ394" s="43"/>
      <c r="DK394" s="43"/>
      <c r="DL394" s="43"/>
      <c r="DM394" s="43"/>
      <c r="DN394" s="43"/>
      <c r="DO394" s="43"/>
      <c r="DP394" s="43"/>
      <c r="DQ394" s="43"/>
      <c r="DR394" s="43"/>
      <c r="DS394" s="43"/>
      <c r="DT394" s="43"/>
      <c r="DU394" s="43"/>
      <c r="DV394" s="43"/>
      <c r="DW394" s="43"/>
      <c r="DX394" s="43"/>
      <c r="DY394" s="43"/>
      <c r="DZ394" s="43"/>
      <c r="EA394" s="43"/>
      <c r="EB394" s="43"/>
      <c r="EC394" s="43"/>
      <c r="ED394" s="43"/>
      <c r="EE394" s="43"/>
      <c r="EF394" s="43"/>
      <c r="EG394" s="43"/>
      <c r="EH394" s="43"/>
      <c r="EI394" s="43"/>
      <c r="EJ394" s="43"/>
      <c r="EK394" s="43"/>
      <c r="EL394" s="43"/>
      <c r="EM394" s="43"/>
      <c r="EN394" s="43"/>
      <c r="EO394" s="43"/>
      <c r="EP394" s="43"/>
      <c r="EQ394" s="43"/>
      <c r="ER394" s="43"/>
      <c r="ES394" s="43"/>
      <c r="ET394" s="43"/>
      <c r="EU394" s="43"/>
      <c r="EV394" s="43"/>
      <c r="EW394" s="43"/>
      <c r="EX394" s="43"/>
      <c r="EY394" s="43"/>
      <c r="EZ394" s="43"/>
      <c r="FA394" s="43"/>
      <c r="FB394" s="43"/>
      <c r="FC394" s="43"/>
      <c r="FD394" s="43"/>
      <c r="FE394" s="43"/>
      <c r="FF394" s="43"/>
      <c r="FG394" s="43"/>
      <c r="FH394" s="50"/>
      <c r="FI394" s="50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  <c r="CI395" s="43"/>
      <c r="CJ395" s="43"/>
      <c r="CK395" s="43"/>
      <c r="CL395" s="43"/>
      <c r="CM395" s="43"/>
      <c r="CN395" s="43"/>
      <c r="CO395" s="43"/>
      <c r="CP395" s="43"/>
      <c r="CQ395" s="43"/>
      <c r="CR395" s="43"/>
      <c r="CS395" s="43"/>
      <c r="CT395" s="43"/>
      <c r="CU395" s="43"/>
      <c r="CV395" s="43"/>
      <c r="CW395" s="43"/>
      <c r="CX395" s="43"/>
      <c r="CY395" s="43"/>
      <c r="CZ395" s="43"/>
      <c r="DA395" s="43"/>
      <c r="DB395" s="43"/>
      <c r="DC395" s="43"/>
      <c r="DD395" s="43"/>
      <c r="DE395" s="43"/>
      <c r="DF395" s="43"/>
      <c r="DG395" s="43"/>
      <c r="DH395" s="43"/>
      <c r="DI395" s="43"/>
      <c r="DJ395" s="43"/>
      <c r="DK395" s="43"/>
      <c r="DL395" s="43"/>
      <c r="DM395" s="43"/>
      <c r="DN395" s="43"/>
      <c r="DO395" s="43"/>
      <c r="DP395" s="43"/>
      <c r="DQ395" s="43"/>
      <c r="DR395" s="43"/>
      <c r="DS395" s="43"/>
      <c r="DT395" s="43"/>
      <c r="DU395" s="43"/>
      <c r="DV395" s="43"/>
      <c r="DW395" s="43"/>
      <c r="DX395" s="43"/>
      <c r="DY395" s="43"/>
      <c r="DZ395" s="43"/>
      <c r="EA395" s="43"/>
      <c r="EB395" s="43"/>
      <c r="EC395" s="43"/>
      <c r="ED395" s="43"/>
      <c r="EE395" s="43"/>
      <c r="EF395" s="43"/>
      <c r="EG395" s="43"/>
      <c r="EH395" s="43"/>
      <c r="EI395" s="43"/>
      <c r="EJ395" s="43"/>
      <c r="EK395" s="43"/>
      <c r="EL395" s="43"/>
      <c r="EM395" s="43"/>
      <c r="EN395" s="43"/>
      <c r="EO395" s="43"/>
      <c r="EP395" s="43"/>
      <c r="EQ395" s="43"/>
      <c r="ER395" s="43"/>
      <c r="ES395" s="43"/>
      <c r="ET395" s="43"/>
      <c r="EU395" s="43"/>
      <c r="EV395" s="43"/>
      <c r="EW395" s="43"/>
      <c r="EX395" s="43"/>
      <c r="EY395" s="43"/>
      <c r="EZ395" s="43"/>
      <c r="FA395" s="43"/>
      <c r="FB395" s="43"/>
      <c r="FC395" s="43"/>
      <c r="FD395" s="43"/>
      <c r="FE395" s="43"/>
      <c r="FF395" s="43"/>
      <c r="FG395" s="43"/>
      <c r="FH395" s="50"/>
      <c r="FI395" s="50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  <c r="CI396" s="43"/>
      <c r="CJ396" s="43"/>
      <c r="CK396" s="43"/>
      <c r="CL396" s="43"/>
      <c r="CM396" s="43"/>
      <c r="CN396" s="43"/>
      <c r="CO396" s="43"/>
      <c r="CP396" s="43"/>
      <c r="CQ396" s="43"/>
      <c r="CR396" s="43"/>
      <c r="CS396" s="43"/>
      <c r="CT396" s="43"/>
      <c r="CU396" s="43"/>
      <c r="CV396" s="43"/>
      <c r="CW396" s="43"/>
      <c r="CX396" s="43"/>
      <c r="CY396" s="43"/>
      <c r="CZ396" s="43"/>
      <c r="DA396" s="43"/>
      <c r="DB396" s="43"/>
      <c r="DC396" s="43"/>
      <c r="DD396" s="43"/>
      <c r="DE396" s="43"/>
      <c r="DF396" s="43"/>
      <c r="DG396" s="43"/>
      <c r="DH396" s="43"/>
      <c r="DI396" s="43"/>
      <c r="DJ396" s="43"/>
      <c r="DK396" s="43"/>
      <c r="DL396" s="43"/>
      <c r="DM396" s="43"/>
      <c r="DN396" s="43"/>
      <c r="DO396" s="43"/>
      <c r="DP396" s="43"/>
      <c r="DQ396" s="43"/>
      <c r="DR396" s="43"/>
      <c r="DS396" s="43"/>
      <c r="DT396" s="43"/>
      <c r="DU396" s="43"/>
      <c r="DV396" s="43"/>
      <c r="DW396" s="43"/>
      <c r="DX396" s="43"/>
      <c r="DY396" s="43"/>
      <c r="DZ396" s="43"/>
      <c r="EA396" s="43"/>
      <c r="EB396" s="43"/>
      <c r="EC396" s="43"/>
      <c r="ED396" s="43"/>
      <c r="EE396" s="43"/>
      <c r="EF396" s="43"/>
      <c r="EG396" s="43"/>
      <c r="EH396" s="43"/>
      <c r="EI396" s="43"/>
      <c r="EJ396" s="43"/>
      <c r="EK396" s="43"/>
      <c r="EL396" s="43"/>
      <c r="EM396" s="43"/>
      <c r="EN396" s="43"/>
      <c r="EO396" s="43"/>
      <c r="EP396" s="43"/>
      <c r="EQ396" s="43"/>
      <c r="ER396" s="43"/>
      <c r="ES396" s="43"/>
      <c r="ET396" s="43"/>
      <c r="EU396" s="43"/>
      <c r="EV396" s="43"/>
      <c r="EW396" s="43"/>
      <c r="EX396" s="43"/>
      <c r="EY396" s="43"/>
      <c r="EZ396" s="43"/>
      <c r="FA396" s="43"/>
      <c r="FB396" s="43"/>
      <c r="FC396" s="43"/>
      <c r="FD396" s="43"/>
      <c r="FE396" s="43"/>
      <c r="FF396" s="43"/>
      <c r="FG396" s="43"/>
      <c r="FH396" s="50"/>
      <c r="FI396" s="50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  <c r="CI397" s="43"/>
      <c r="CJ397" s="43"/>
      <c r="CK397" s="43"/>
      <c r="CL397" s="43"/>
      <c r="CM397" s="43"/>
      <c r="CN397" s="43"/>
      <c r="CO397" s="43"/>
      <c r="CP397" s="43"/>
      <c r="CQ397" s="43"/>
      <c r="CR397" s="43"/>
      <c r="CS397" s="43"/>
      <c r="CT397" s="43"/>
      <c r="CU397" s="43"/>
      <c r="CV397" s="43"/>
      <c r="CW397" s="43"/>
      <c r="CX397" s="43"/>
      <c r="CY397" s="43"/>
      <c r="CZ397" s="43"/>
      <c r="DA397" s="43"/>
      <c r="DB397" s="43"/>
      <c r="DC397" s="43"/>
      <c r="DD397" s="43"/>
      <c r="DE397" s="43"/>
      <c r="DF397" s="43"/>
      <c r="DG397" s="43"/>
      <c r="DH397" s="43"/>
      <c r="DI397" s="43"/>
      <c r="DJ397" s="43"/>
      <c r="DK397" s="43"/>
      <c r="DL397" s="43"/>
      <c r="DM397" s="43"/>
      <c r="DN397" s="43"/>
      <c r="DO397" s="43"/>
      <c r="DP397" s="43"/>
      <c r="DQ397" s="43"/>
      <c r="DR397" s="43"/>
      <c r="DS397" s="43"/>
      <c r="DT397" s="43"/>
      <c r="DU397" s="43"/>
      <c r="DV397" s="43"/>
      <c r="DW397" s="43"/>
      <c r="DX397" s="43"/>
      <c r="DY397" s="43"/>
      <c r="DZ397" s="43"/>
      <c r="EA397" s="43"/>
      <c r="EB397" s="43"/>
      <c r="EC397" s="43"/>
      <c r="ED397" s="43"/>
      <c r="EE397" s="43"/>
      <c r="EF397" s="43"/>
      <c r="EG397" s="43"/>
      <c r="EH397" s="43"/>
      <c r="EI397" s="43"/>
      <c r="EJ397" s="43"/>
      <c r="EK397" s="43"/>
      <c r="EL397" s="43"/>
      <c r="EM397" s="43"/>
      <c r="EN397" s="43"/>
      <c r="EO397" s="43"/>
      <c r="EP397" s="43"/>
      <c r="EQ397" s="43"/>
      <c r="ER397" s="43"/>
      <c r="ES397" s="43"/>
      <c r="ET397" s="43"/>
      <c r="EU397" s="43"/>
      <c r="EV397" s="43"/>
      <c r="EW397" s="43"/>
      <c r="EX397" s="43"/>
      <c r="EY397" s="43"/>
      <c r="EZ397" s="43"/>
      <c r="FA397" s="43"/>
      <c r="FB397" s="43"/>
      <c r="FC397" s="43"/>
      <c r="FD397" s="43"/>
      <c r="FE397" s="43"/>
      <c r="FF397" s="43"/>
      <c r="FG397" s="43"/>
      <c r="FH397" s="50"/>
      <c r="FI397" s="50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  <c r="CI398" s="43"/>
      <c r="CJ398" s="43"/>
      <c r="CK398" s="43"/>
      <c r="CL398" s="43"/>
      <c r="CM398" s="43"/>
      <c r="CN398" s="43"/>
      <c r="CO398" s="43"/>
      <c r="CP398" s="43"/>
      <c r="CQ398" s="43"/>
      <c r="CR398" s="43"/>
      <c r="CS398" s="43"/>
      <c r="CT398" s="43"/>
      <c r="CU398" s="43"/>
      <c r="CV398" s="43"/>
      <c r="CW398" s="43"/>
      <c r="CX398" s="43"/>
      <c r="CY398" s="43"/>
      <c r="CZ398" s="43"/>
      <c r="DA398" s="43"/>
      <c r="DB398" s="43"/>
      <c r="DC398" s="43"/>
      <c r="DD398" s="43"/>
      <c r="DE398" s="43"/>
      <c r="DF398" s="43"/>
      <c r="DG398" s="43"/>
      <c r="DH398" s="43"/>
      <c r="DI398" s="43"/>
      <c r="DJ398" s="43"/>
      <c r="DK398" s="43"/>
      <c r="DL398" s="43"/>
      <c r="DM398" s="43"/>
      <c r="DN398" s="43"/>
      <c r="DO398" s="43"/>
      <c r="DP398" s="43"/>
      <c r="DQ398" s="43"/>
      <c r="DR398" s="43"/>
      <c r="DS398" s="43"/>
      <c r="DT398" s="43"/>
      <c r="DU398" s="43"/>
      <c r="DV398" s="43"/>
      <c r="DW398" s="43"/>
      <c r="DX398" s="43"/>
      <c r="DY398" s="43"/>
      <c r="DZ398" s="43"/>
      <c r="EA398" s="43"/>
      <c r="EB398" s="43"/>
      <c r="EC398" s="43"/>
      <c r="ED398" s="43"/>
      <c r="EE398" s="43"/>
      <c r="EF398" s="43"/>
      <c r="EG398" s="43"/>
      <c r="EH398" s="43"/>
      <c r="EI398" s="43"/>
      <c r="EJ398" s="43"/>
      <c r="EK398" s="43"/>
      <c r="EL398" s="43"/>
      <c r="EM398" s="43"/>
      <c r="EN398" s="43"/>
      <c r="EO398" s="43"/>
      <c r="EP398" s="43"/>
      <c r="EQ398" s="43"/>
      <c r="ER398" s="43"/>
      <c r="ES398" s="43"/>
      <c r="ET398" s="43"/>
      <c r="EU398" s="43"/>
      <c r="EV398" s="43"/>
      <c r="EW398" s="43"/>
      <c r="EX398" s="43"/>
      <c r="EY398" s="43"/>
      <c r="EZ398" s="43"/>
      <c r="FA398" s="43"/>
      <c r="FB398" s="43"/>
      <c r="FC398" s="43"/>
      <c r="FD398" s="43"/>
      <c r="FE398" s="43"/>
      <c r="FF398" s="43"/>
      <c r="FG398" s="43"/>
      <c r="FH398" s="50"/>
      <c r="FI398" s="50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43"/>
      <c r="CZ399" s="43"/>
      <c r="DA399" s="43"/>
      <c r="DB399" s="43"/>
      <c r="DC399" s="43"/>
      <c r="DD399" s="43"/>
      <c r="DE399" s="43"/>
      <c r="DF399" s="43"/>
      <c r="DG399" s="43"/>
      <c r="DH399" s="43"/>
      <c r="DI399" s="43"/>
      <c r="DJ399" s="43"/>
      <c r="DK399" s="43"/>
      <c r="DL399" s="43"/>
      <c r="DM399" s="43"/>
      <c r="DN399" s="43"/>
      <c r="DO399" s="43"/>
      <c r="DP399" s="43"/>
      <c r="DQ399" s="43"/>
      <c r="DR399" s="43"/>
      <c r="DS399" s="43"/>
      <c r="DT399" s="43"/>
      <c r="DU399" s="43"/>
      <c r="DV399" s="43"/>
      <c r="DW399" s="43"/>
      <c r="DX399" s="43"/>
      <c r="DY399" s="43"/>
      <c r="DZ399" s="43"/>
      <c r="EA399" s="43"/>
      <c r="EB399" s="43"/>
      <c r="EC399" s="43"/>
      <c r="ED399" s="43"/>
      <c r="EE399" s="43"/>
      <c r="EF399" s="43"/>
      <c r="EG399" s="43"/>
      <c r="EH399" s="43"/>
      <c r="EI399" s="43"/>
      <c r="EJ399" s="43"/>
      <c r="EK399" s="43"/>
      <c r="EL399" s="43"/>
      <c r="EM399" s="43"/>
      <c r="EN399" s="43"/>
      <c r="EO399" s="43"/>
      <c r="EP399" s="43"/>
      <c r="EQ399" s="43"/>
      <c r="ER399" s="43"/>
      <c r="ES399" s="43"/>
      <c r="ET399" s="43"/>
      <c r="EU399" s="43"/>
      <c r="EV399" s="43"/>
      <c r="EW399" s="43"/>
      <c r="EX399" s="43"/>
      <c r="EY399" s="43"/>
      <c r="EZ399" s="43"/>
      <c r="FA399" s="43"/>
      <c r="FB399" s="43"/>
      <c r="FC399" s="43"/>
      <c r="FD399" s="43"/>
      <c r="FE399" s="43"/>
      <c r="FF399" s="43"/>
      <c r="FG399" s="43"/>
      <c r="FH399" s="50"/>
      <c r="FI399" s="50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43"/>
      <c r="CZ400" s="43"/>
      <c r="DA400" s="43"/>
      <c r="DB400" s="43"/>
      <c r="DC400" s="43"/>
      <c r="DD400" s="43"/>
      <c r="DE400" s="43"/>
      <c r="DF400" s="43"/>
      <c r="DG400" s="43"/>
      <c r="DH400" s="43"/>
      <c r="DI400" s="43"/>
      <c r="DJ400" s="43"/>
      <c r="DK400" s="43"/>
      <c r="DL400" s="43"/>
      <c r="DM400" s="43"/>
      <c r="DN400" s="43"/>
      <c r="DO400" s="43"/>
      <c r="DP400" s="43"/>
      <c r="DQ400" s="43"/>
      <c r="DR400" s="43"/>
      <c r="DS400" s="43"/>
      <c r="DT400" s="43"/>
      <c r="DU400" s="43"/>
      <c r="DV400" s="43"/>
      <c r="DW400" s="43"/>
      <c r="DX400" s="43"/>
      <c r="DY400" s="43"/>
      <c r="DZ400" s="43"/>
      <c r="EA400" s="43"/>
      <c r="EB400" s="43"/>
      <c r="EC400" s="43"/>
      <c r="ED400" s="43"/>
      <c r="EE400" s="43"/>
      <c r="EF400" s="43"/>
      <c r="EG400" s="43"/>
      <c r="EH400" s="43"/>
      <c r="EI400" s="43"/>
      <c r="EJ400" s="43"/>
      <c r="EK400" s="43"/>
      <c r="EL400" s="43"/>
      <c r="EM400" s="43"/>
      <c r="EN400" s="43"/>
      <c r="EO400" s="43"/>
      <c r="EP400" s="43"/>
      <c r="EQ400" s="43"/>
      <c r="ER400" s="43"/>
      <c r="ES400" s="43"/>
      <c r="ET400" s="43"/>
      <c r="EU400" s="43"/>
      <c r="EV400" s="43"/>
      <c r="EW400" s="43"/>
      <c r="EX400" s="43"/>
      <c r="EY400" s="43"/>
      <c r="EZ400" s="43"/>
      <c r="FA400" s="43"/>
      <c r="FB400" s="43"/>
      <c r="FC400" s="43"/>
      <c r="FD400" s="43"/>
      <c r="FE400" s="43"/>
      <c r="FF400" s="43"/>
      <c r="FG400" s="43"/>
      <c r="FH400" s="50"/>
      <c r="FI400" s="50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43"/>
      <c r="CZ401" s="43"/>
      <c r="DA401" s="43"/>
      <c r="DB401" s="43"/>
      <c r="DC401" s="43"/>
      <c r="DD401" s="43"/>
      <c r="DE401" s="43"/>
      <c r="DF401" s="43"/>
      <c r="DG401" s="43"/>
      <c r="DH401" s="43"/>
      <c r="DI401" s="43"/>
      <c r="DJ401" s="43"/>
      <c r="DK401" s="43"/>
      <c r="DL401" s="43"/>
      <c r="DM401" s="43"/>
      <c r="DN401" s="43"/>
      <c r="DO401" s="43"/>
      <c r="DP401" s="43"/>
      <c r="DQ401" s="43"/>
      <c r="DR401" s="43"/>
      <c r="DS401" s="43"/>
      <c r="DT401" s="43"/>
      <c r="DU401" s="43"/>
      <c r="DV401" s="43"/>
      <c r="DW401" s="43"/>
      <c r="DX401" s="43"/>
      <c r="DY401" s="43"/>
      <c r="DZ401" s="43"/>
      <c r="EA401" s="43"/>
      <c r="EB401" s="43"/>
      <c r="EC401" s="43"/>
      <c r="ED401" s="43"/>
      <c r="EE401" s="43"/>
      <c r="EF401" s="43"/>
      <c r="EG401" s="43"/>
      <c r="EH401" s="43"/>
      <c r="EI401" s="43"/>
      <c r="EJ401" s="43"/>
      <c r="EK401" s="43"/>
      <c r="EL401" s="43"/>
      <c r="EM401" s="43"/>
      <c r="EN401" s="43"/>
      <c r="EO401" s="43"/>
      <c r="EP401" s="43"/>
      <c r="EQ401" s="43"/>
      <c r="ER401" s="43"/>
      <c r="ES401" s="43"/>
      <c r="ET401" s="43"/>
      <c r="EU401" s="43"/>
      <c r="EV401" s="43"/>
      <c r="EW401" s="43"/>
      <c r="EX401" s="43"/>
      <c r="EY401" s="43"/>
      <c r="EZ401" s="43"/>
      <c r="FA401" s="43"/>
      <c r="FB401" s="43"/>
      <c r="FC401" s="43"/>
      <c r="FD401" s="43"/>
      <c r="FE401" s="43"/>
      <c r="FF401" s="43"/>
      <c r="FG401" s="43"/>
      <c r="FH401" s="50"/>
      <c r="FI401" s="50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43"/>
      <c r="CZ402" s="43"/>
      <c r="DA402" s="43"/>
      <c r="DB402" s="43"/>
      <c r="DC402" s="43"/>
      <c r="DD402" s="43"/>
      <c r="DE402" s="43"/>
      <c r="DF402" s="43"/>
      <c r="DG402" s="43"/>
      <c r="DH402" s="43"/>
      <c r="DI402" s="43"/>
      <c r="DJ402" s="43"/>
      <c r="DK402" s="43"/>
      <c r="DL402" s="43"/>
      <c r="DM402" s="43"/>
      <c r="DN402" s="43"/>
      <c r="DO402" s="43"/>
      <c r="DP402" s="43"/>
      <c r="DQ402" s="43"/>
      <c r="DR402" s="43"/>
      <c r="DS402" s="43"/>
      <c r="DT402" s="43"/>
      <c r="DU402" s="43"/>
      <c r="DV402" s="43"/>
      <c r="DW402" s="43"/>
      <c r="DX402" s="43"/>
      <c r="DY402" s="43"/>
      <c r="DZ402" s="43"/>
      <c r="EA402" s="43"/>
      <c r="EB402" s="43"/>
      <c r="EC402" s="43"/>
      <c r="ED402" s="43"/>
      <c r="EE402" s="43"/>
      <c r="EF402" s="43"/>
      <c r="EG402" s="43"/>
      <c r="EH402" s="43"/>
      <c r="EI402" s="43"/>
      <c r="EJ402" s="43"/>
      <c r="EK402" s="43"/>
      <c r="EL402" s="43"/>
      <c r="EM402" s="43"/>
      <c r="EN402" s="43"/>
      <c r="EO402" s="43"/>
      <c r="EP402" s="43"/>
      <c r="EQ402" s="43"/>
      <c r="ER402" s="43"/>
      <c r="ES402" s="43"/>
      <c r="ET402" s="43"/>
      <c r="EU402" s="43"/>
      <c r="EV402" s="43"/>
      <c r="EW402" s="43"/>
      <c r="EX402" s="43"/>
      <c r="EY402" s="43"/>
      <c r="EZ402" s="43"/>
      <c r="FA402" s="43"/>
      <c r="FB402" s="43"/>
      <c r="FC402" s="43"/>
      <c r="FD402" s="43"/>
      <c r="FE402" s="43"/>
      <c r="FF402" s="43"/>
      <c r="FG402" s="43"/>
      <c r="FH402" s="50"/>
      <c r="FI402" s="50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43"/>
      <c r="CZ403" s="43"/>
      <c r="DA403" s="43"/>
      <c r="DB403" s="43"/>
      <c r="DC403" s="43"/>
      <c r="DD403" s="43"/>
      <c r="DE403" s="43"/>
      <c r="DF403" s="43"/>
      <c r="DG403" s="43"/>
      <c r="DH403" s="43"/>
      <c r="DI403" s="43"/>
      <c r="DJ403" s="43"/>
      <c r="DK403" s="43"/>
      <c r="DL403" s="43"/>
      <c r="DM403" s="43"/>
      <c r="DN403" s="43"/>
      <c r="DO403" s="43"/>
      <c r="DP403" s="43"/>
      <c r="DQ403" s="43"/>
      <c r="DR403" s="43"/>
      <c r="DS403" s="43"/>
      <c r="DT403" s="43"/>
      <c r="DU403" s="43"/>
      <c r="DV403" s="43"/>
      <c r="DW403" s="43"/>
      <c r="DX403" s="43"/>
      <c r="DY403" s="43"/>
      <c r="DZ403" s="43"/>
      <c r="EA403" s="43"/>
      <c r="EB403" s="43"/>
      <c r="EC403" s="43"/>
      <c r="ED403" s="43"/>
      <c r="EE403" s="43"/>
      <c r="EF403" s="43"/>
      <c r="EG403" s="43"/>
      <c r="EH403" s="43"/>
      <c r="EI403" s="43"/>
      <c r="EJ403" s="43"/>
      <c r="EK403" s="43"/>
      <c r="EL403" s="43"/>
      <c r="EM403" s="43"/>
      <c r="EN403" s="43"/>
      <c r="EO403" s="43"/>
      <c r="EP403" s="43"/>
      <c r="EQ403" s="43"/>
      <c r="ER403" s="43"/>
      <c r="ES403" s="43"/>
      <c r="ET403" s="43"/>
      <c r="EU403" s="43"/>
      <c r="EV403" s="43"/>
      <c r="EW403" s="43"/>
      <c r="EX403" s="43"/>
      <c r="EY403" s="43"/>
      <c r="EZ403" s="43"/>
      <c r="FA403" s="43"/>
      <c r="FB403" s="43"/>
      <c r="FC403" s="43"/>
      <c r="FD403" s="43"/>
      <c r="FE403" s="43"/>
      <c r="FF403" s="43"/>
      <c r="FG403" s="43"/>
      <c r="FH403" s="50"/>
      <c r="FI403" s="50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  <c r="DE404" s="43"/>
      <c r="DF404" s="43"/>
      <c r="DG404" s="43"/>
      <c r="DH404" s="43"/>
      <c r="DI404" s="43"/>
      <c r="DJ404" s="43"/>
      <c r="DK404" s="43"/>
      <c r="DL404" s="43"/>
      <c r="DM404" s="43"/>
      <c r="DN404" s="43"/>
      <c r="DO404" s="43"/>
      <c r="DP404" s="43"/>
      <c r="DQ404" s="43"/>
      <c r="DR404" s="43"/>
      <c r="DS404" s="43"/>
      <c r="DT404" s="43"/>
      <c r="DU404" s="43"/>
      <c r="DV404" s="43"/>
      <c r="DW404" s="43"/>
      <c r="DX404" s="43"/>
      <c r="DY404" s="43"/>
      <c r="DZ404" s="43"/>
      <c r="EA404" s="43"/>
      <c r="EB404" s="43"/>
      <c r="EC404" s="43"/>
      <c r="ED404" s="43"/>
      <c r="EE404" s="43"/>
      <c r="EF404" s="43"/>
      <c r="EG404" s="43"/>
      <c r="EH404" s="43"/>
      <c r="EI404" s="43"/>
      <c r="EJ404" s="43"/>
      <c r="EK404" s="43"/>
      <c r="EL404" s="43"/>
      <c r="EM404" s="43"/>
      <c r="EN404" s="43"/>
      <c r="EO404" s="43"/>
      <c r="EP404" s="43"/>
      <c r="EQ404" s="43"/>
      <c r="ER404" s="43"/>
      <c r="ES404" s="43"/>
      <c r="ET404" s="43"/>
      <c r="EU404" s="43"/>
      <c r="EV404" s="43"/>
      <c r="EW404" s="43"/>
      <c r="EX404" s="43"/>
      <c r="EY404" s="43"/>
      <c r="EZ404" s="43"/>
      <c r="FA404" s="43"/>
      <c r="FB404" s="43"/>
      <c r="FC404" s="43"/>
      <c r="FD404" s="43"/>
      <c r="FE404" s="43"/>
      <c r="FF404" s="43"/>
      <c r="FG404" s="43"/>
      <c r="FH404" s="50"/>
      <c r="FI404" s="50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43"/>
      <c r="CZ405" s="43"/>
      <c r="DA405" s="43"/>
      <c r="DB405" s="43"/>
      <c r="DC405" s="43"/>
      <c r="DD405" s="43"/>
      <c r="DE405" s="43"/>
      <c r="DF405" s="43"/>
      <c r="DG405" s="43"/>
      <c r="DH405" s="43"/>
      <c r="DI405" s="43"/>
      <c r="DJ405" s="43"/>
      <c r="DK405" s="43"/>
      <c r="DL405" s="43"/>
      <c r="DM405" s="43"/>
      <c r="DN405" s="43"/>
      <c r="DO405" s="43"/>
      <c r="DP405" s="43"/>
      <c r="DQ405" s="43"/>
      <c r="DR405" s="43"/>
      <c r="DS405" s="43"/>
      <c r="DT405" s="43"/>
      <c r="DU405" s="43"/>
      <c r="DV405" s="43"/>
      <c r="DW405" s="43"/>
      <c r="DX405" s="43"/>
      <c r="DY405" s="43"/>
      <c r="DZ405" s="43"/>
      <c r="EA405" s="43"/>
      <c r="EB405" s="43"/>
      <c r="EC405" s="43"/>
      <c r="ED405" s="43"/>
      <c r="EE405" s="43"/>
      <c r="EF405" s="43"/>
      <c r="EG405" s="43"/>
      <c r="EH405" s="43"/>
      <c r="EI405" s="43"/>
      <c r="EJ405" s="43"/>
      <c r="EK405" s="43"/>
      <c r="EL405" s="43"/>
      <c r="EM405" s="43"/>
      <c r="EN405" s="43"/>
      <c r="EO405" s="43"/>
      <c r="EP405" s="43"/>
      <c r="EQ405" s="43"/>
      <c r="ER405" s="43"/>
      <c r="ES405" s="43"/>
      <c r="ET405" s="43"/>
      <c r="EU405" s="43"/>
      <c r="EV405" s="43"/>
      <c r="EW405" s="43"/>
      <c r="EX405" s="43"/>
      <c r="EY405" s="43"/>
      <c r="EZ405" s="43"/>
      <c r="FA405" s="43"/>
      <c r="FB405" s="43"/>
      <c r="FC405" s="43"/>
      <c r="FD405" s="43"/>
      <c r="FE405" s="43"/>
      <c r="FF405" s="43"/>
      <c r="FG405" s="43"/>
      <c r="FH405" s="50"/>
      <c r="FI405" s="50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43"/>
      <c r="CZ406" s="43"/>
      <c r="DA406" s="43"/>
      <c r="DB406" s="43"/>
      <c r="DC406" s="43"/>
      <c r="DD406" s="43"/>
      <c r="DE406" s="43"/>
      <c r="DF406" s="43"/>
      <c r="DG406" s="43"/>
      <c r="DH406" s="43"/>
      <c r="DI406" s="43"/>
      <c r="DJ406" s="43"/>
      <c r="DK406" s="43"/>
      <c r="DL406" s="43"/>
      <c r="DM406" s="43"/>
      <c r="DN406" s="43"/>
      <c r="DO406" s="43"/>
      <c r="DP406" s="43"/>
      <c r="DQ406" s="43"/>
      <c r="DR406" s="43"/>
      <c r="DS406" s="43"/>
      <c r="DT406" s="43"/>
      <c r="DU406" s="43"/>
      <c r="DV406" s="43"/>
      <c r="DW406" s="43"/>
      <c r="DX406" s="43"/>
      <c r="DY406" s="43"/>
      <c r="DZ406" s="43"/>
      <c r="EA406" s="43"/>
      <c r="EB406" s="43"/>
      <c r="EC406" s="43"/>
      <c r="ED406" s="43"/>
      <c r="EE406" s="43"/>
      <c r="EF406" s="43"/>
      <c r="EG406" s="43"/>
      <c r="EH406" s="43"/>
      <c r="EI406" s="43"/>
      <c r="EJ406" s="43"/>
      <c r="EK406" s="43"/>
      <c r="EL406" s="43"/>
      <c r="EM406" s="43"/>
      <c r="EN406" s="43"/>
      <c r="EO406" s="43"/>
      <c r="EP406" s="43"/>
      <c r="EQ406" s="43"/>
      <c r="ER406" s="43"/>
      <c r="ES406" s="43"/>
      <c r="ET406" s="43"/>
      <c r="EU406" s="43"/>
      <c r="EV406" s="43"/>
      <c r="EW406" s="43"/>
      <c r="EX406" s="43"/>
      <c r="EY406" s="43"/>
      <c r="EZ406" s="43"/>
      <c r="FA406" s="43"/>
      <c r="FB406" s="43"/>
      <c r="FC406" s="43"/>
      <c r="FD406" s="43"/>
      <c r="FE406" s="43"/>
      <c r="FF406" s="43"/>
      <c r="FG406" s="43"/>
      <c r="FH406" s="50"/>
      <c r="FI406" s="50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  <c r="CI407" s="43"/>
      <c r="CJ407" s="43"/>
      <c r="CK407" s="43"/>
      <c r="CL407" s="43"/>
      <c r="CM407" s="43"/>
      <c r="CN407" s="43"/>
      <c r="CO407" s="43"/>
      <c r="CP407" s="43"/>
      <c r="CQ407" s="43"/>
      <c r="CR407" s="43"/>
      <c r="CS407" s="43"/>
      <c r="CT407" s="43"/>
      <c r="CU407" s="43"/>
      <c r="CV407" s="43"/>
      <c r="CW407" s="43"/>
      <c r="CX407" s="43"/>
      <c r="CY407" s="43"/>
      <c r="CZ407" s="43"/>
      <c r="DA407" s="43"/>
      <c r="DB407" s="43"/>
      <c r="DC407" s="43"/>
      <c r="DD407" s="43"/>
      <c r="DE407" s="43"/>
      <c r="DF407" s="43"/>
      <c r="DG407" s="43"/>
      <c r="DH407" s="43"/>
      <c r="DI407" s="43"/>
      <c r="DJ407" s="43"/>
      <c r="DK407" s="43"/>
      <c r="DL407" s="43"/>
      <c r="DM407" s="43"/>
      <c r="DN407" s="43"/>
      <c r="DO407" s="43"/>
      <c r="DP407" s="43"/>
      <c r="DQ407" s="43"/>
      <c r="DR407" s="43"/>
      <c r="DS407" s="43"/>
      <c r="DT407" s="43"/>
      <c r="DU407" s="43"/>
      <c r="DV407" s="43"/>
      <c r="DW407" s="43"/>
      <c r="DX407" s="43"/>
      <c r="DY407" s="43"/>
      <c r="DZ407" s="43"/>
      <c r="EA407" s="43"/>
      <c r="EB407" s="43"/>
      <c r="EC407" s="43"/>
      <c r="ED407" s="43"/>
      <c r="EE407" s="43"/>
      <c r="EF407" s="43"/>
      <c r="EG407" s="43"/>
      <c r="EH407" s="43"/>
      <c r="EI407" s="43"/>
      <c r="EJ407" s="43"/>
      <c r="EK407" s="43"/>
      <c r="EL407" s="43"/>
      <c r="EM407" s="43"/>
      <c r="EN407" s="43"/>
      <c r="EO407" s="43"/>
      <c r="EP407" s="43"/>
      <c r="EQ407" s="43"/>
      <c r="ER407" s="43"/>
      <c r="ES407" s="43"/>
      <c r="ET407" s="43"/>
      <c r="EU407" s="43"/>
      <c r="EV407" s="43"/>
      <c r="EW407" s="43"/>
      <c r="EX407" s="43"/>
      <c r="EY407" s="43"/>
      <c r="EZ407" s="43"/>
      <c r="FA407" s="43"/>
      <c r="FB407" s="43"/>
      <c r="FC407" s="43"/>
      <c r="FD407" s="43"/>
      <c r="FE407" s="43"/>
      <c r="FF407" s="43"/>
      <c r="FG407" s="43"/>
      <c r="FH407" s="50"/>
      <c r="FI407" s="50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  <c r="CI408" s="43"/>
      <c r="CJ408" s="43"/>
      <c r="CK408" s="43"/>
      <c r="CL408" s="43"/>
      <c r="CM408" s="43"/>
      <c r="CN408" s="43"/>
      <c r="CO408" s="43"/>
      <c r="CP408" s="43"/>
      <c r="CQ408" s="43"/>
      <c r="CR408" s="43"/>
      <c r="CS408" s="43"/>
      <c r="CT408" s="43"/>
      <c r="CU408" s="43"/>
      <c r="CV408" s="43"/>
      <c r="CW408" s="43"/>
      <c r="CX408" s="43"/>
      <c r="CY408" s="43"/>
      <c r="CZ408" s="43"/>
      <c r="DA408" s="43"/>
      <c r="DB408" s="43"/>
      <c r="DC408" s="43"/>
      <c r="DD408" s="43"/>
      <c r="DE408" s="43"/>
      <c r="DF408" s="43"/>
      <c r="DG408" s="43"/>
      <c r="DH408" s="43"/>
      <c r="DI408" s="43"/>
      <c r="DJ408" s="43"/>
      <c r="DK408" s="43"/>
      <c r="DL408" s="43"/>
      <c r="DM408" s="43"/>
      <c r="DN408" s="43"/>
      <c r="DO408" s="43"/>
      <c r="DP408" s="43"/>
      <c r="DQ408" s="43"/>
      <c r="DR408" s="43"/>
      <c r="DS408" s="43"/>
      <c r="DT408" s="43"/>
      <c r="DU408" s="43"/>
      <c r="DV408" s="43"/>
      <c r="DW408" s="43"/>
      <c r="DX408" s="43"/>
      <c r="DY408" s="43"/>
      <c r="DZ408" s="43"/>
      <c r="EA408" s="43"/>
      <c r="EB408" s="43"/>
      <c r="EC408" s="43"/>
      <c r="ED408" s="43"/>
      <c r="EE408" s="43"/>
      <c r="EF408" s="43"/>
      <c r="EG408" s="43"/>
      <c r="EH408" s="43"/>
      <c r="EI408" s="43"/>
      <c r="EJ408" s="43"/>
      <c r="EK408" s="43"/>
      <c r="EL408" s="43"/>
      <c r="EM408" s="43"/>
      <c r="EN408" s="43"/>
      <c r="EO408" s="43"/>
      <c r="EP408" s="43"/>
      <c r="EQ408" s="43"/>
      <c r="ER408" s="43"/>
      <c r="ES408" s="43"/>
      <c r="ET408" s="43"/>
      <c r="EU408" s="43"/>
      <c r="EV408" s="43"/>
      <c r="EW408" s="43"/>
      <c r="EX408" s="43"/>
      <c r="EY408" s="43"/>
      <c r="EZ408" s="43"/>
      <c r="FA408" s="43"/>
      <c r="FB408" s="43"/>
      <c r="FC408" s="43"/>
      <c r="FD408" s="43"/>
      <c r="FE408" s="43"/>
      <c r="FF408" s="43"/>
      <c r="FG408" s="43"/>
      <c r="FH408" s="50"/>
      <c r="FI408" s="50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  <c r="CI409" s="43"/>
      <c r="CJ409" s="43"/>
      <c r="CK409" s="43"/>
      <c r="CL409" s="43"/>
      <c r="CM409" s="43"/>
      <c r="CN409" s="43"/>
      <c r="CO409" s="43"/>
      <c r="CP409" s="43"/>
      <c r="CQ409" s="43"/>
      <c r="CR409" s="43"/>
      <c r="CS409" s="43"/>
      <c r="CT409" s="43"/>
      <c r="CU409" s="43"/>
      <c r="CV409" s="43"/>
      <c r="CW409" s="43"/>
      <c r="CX409" s="43"/>
      <c r="CY409" s="43"/>
      <c r="CZ409" s="43"/>
      <c r="DA409" s="43"/>
      <c r="DB409" s="43"/>
      <c r="DC409" s="43"/>
      <c r="DD409" s="43"/>
      <c r="DE409" s="43"/>
      <c r="DF409" s="43"/>
      <c r="DG409" s="43"/>
      <c r="DH409" s="43"/>
      <c r="DI409" s="43"/>
      <c r="DJ409" s="43"/>
      <c r="DK409" s="43"/>
      <c r="DL409" s="43"/>
      <c r="DM409" s="43"/>
      <c r="DN409" s="43"/>
      <c r="DO409" s="43"/>
      <c r="DP409" s="43"/>
      <c r="DQ409" s="43"/>
      <c r="DR409" s="43"/>
      <c r="DS409" s="43"/>
      <c r="DT409" s="43"/>
      <c r="DU409" s="43"/>
      <c r="DV409" s="43"/>
      <c r="DW409" s="43"/>
      <c r="DX409" s="43"/>
      <c r="DY409" s="43"/>
      <c r="DZ409" s="43"/>
      <c r="EA409" s="43"/>
      <c r="EB409" s="43"/>
      <c r="EC409" s="43"/>
      <c r="ED409" s="43"/>
      <c r="EE409" s="43"/>
      <c r="EF409" s="43"/>
      <c r="EG409" s="43"/>
      <c r="EH409" s="43"/>
      <c r="EI409" s="43"/>
      <c r="EJ409" s="43"/>
      <c r="EK409" s="43"/>
      <c r="EL409" s="43"/>
      <c r="EM409" s="43"/>
      <c r="EN409" s="43"/>
      <c r="EO409" s="43"/>
      <c r="EP409" s="43"/>
      <c r="EQ409" s="43"/>
      <c r="ER409" s="43"/>
      <c r="ES409" s="43"/>
      <c r="ET409" s="43"/>
      <c r="EU409" s="43"/>
      <c r="EV409" s="43"/>
      <c r="EW409" s="43"/>
      <c r="EX409" s="43"/>
      <c r="EY409" s="43"/>
      <c r="EZ409" s="43"/>
      <c r="FA409" s="43"/>
      <c r="FB409" s="43"/>
      <c r="FC409" s="43"/>
      <c r="FD409" s="43"/>
      <c r="FE409" s="43"/>
      <c r="FF409" s="43"/>
      <c r="FG409" s="43"/>
      <c r="FH409" s="50"/>
      <c r="FI409" s="50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  <c r="CV410" s="43"/>
      <c r="CW410" s="43"/>
      <c r="CX410" s="43"/>
      <c r="CY410" s="43"/>
      <c r="CZ410" s="43"/>
      <c r="DA410" s="43"/>
      <c r="DB410" s="43"/>
      <c r="DC410" s="43"/>
      <c r="DD410" s="43"/>
      <c r="DE410" s="43"/>
      <c r="DF410" s="43"/>
      <c r="DG410" s="43"/>
      <c r="DH410" s="43"/>
      <c r="DI410" s="43"/>
      <c r="DJ410" s="43"/>
      <c r="DK410" s="43"/>
      <c r="DL410" s="43"/>
      <c r="DM410" s="43"/>
      <c r="DN410" s="43"/>
      <c r="DO410" s="43"/>
      <c r="DP410" s="43"/>
      <c r="DQ410" s="43"/>
      <c r="DR410" s="43"/>
      <c r="DS410" s="43"/>
      <c r="DT410" s="43"/>
      <c r="DU410" s="43"/>
      <c r="DV410" s="43"/>
      <c r="DW410" s="43"/>
      <c r="DX410" s="43"/>
      <c r="DY410" s="43"/>
      <c r="DZ410" s="43"/>
      <c r="EA410" s="43"/>
      <c r="EB410" s="43"/>
      <c r="EC410" s="43"/>
      <c r="ED410" s="43"/>
      <c r="EE410" s="43"/>
      <c r="EF410" s="43"/>
      <c r="EG410" s="43"/>
      <c r="EH410" s="43"/>
      <c r="EI410" s="43"/>
      <c r="EJ410" s="43"/>
      <c r="EK410" s="43"/>
      <c r="EL410" s="43"/>
      <c r="EM410" s="43"/>
      <c r="EN410" s="43"/>
      <c r="EO410" s="43"/>
      <c r="EP410" s="43"/>
      <c r="EQ410" s="43"/>
      <c r="ER410" s="43"/>
      <c r="ES410" s="43"/>
      <c r="ET410" s="43"/>
      <c r="EU410" s="43"/>
      <c r="EV410" s="43"/>
      <c r="EW410" s="43"/>
      <c r="EX410" s="43"/>
      <c r="EY410" s="43"/>
      <c r="EZ410" s="43"/>
      <c r="FA410" s="43"/>
      <c r="FB410" s="43"/>
      <c r="FC410" s="43"/>
      <c r="FD410" s="43"/>
      <c r="FE410" s="43"/>
      <c r="FF410" s="43"/>
      <c r="FG410" s="43"/>
      <c r="FH410" s="50"/>
      <c r="FI410" s="50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  <c r="CI411" s="43"/>
      <c r="CJ411" s="43"/>
      <c r="CK411" s="43"/>
      <c r="CL411" s="43"/>
      <c r="CM411" s="43"/>
      <c r="CN411" s="43"/>
      <c r="CO411" s="43"/>
      <c r="CP411" s="43"/>
      <c r="CQ411" s="43"/>
      <c r="CR411" s="43"/>
      <c r="CS411" s="43"/>
      <c r="CT411" s="43"/>
      <c r="CU411" s="43"/>
      <c r="CV411" s="43"/>
      <c r="CW411" s="43"/>
      <c r="CX411" s="43"/>
      <c r="CY411" s="43"/>
      <c r="CZ411" s="43"/>
      <c r="DA411" s="43"/>
      <c r="DB411" s="43"/>
      <c r="DC411" s="43"/>
      <c r="DD411" s="43"/>
      <c r="DE411" s="43"/>
      <c r="DF411" s="43"/>
      <c r="DG411" s="43"/>
      <c r="DH411" s="43"/>
      <c r="DI411" s="43"/>
      <c r="DJ411" s="43"/>
      <c r="DK411" s="43"/>
      <c r="DL411" s="43"/>
      <c r="DM411" s="43"/>
      <c r="DN411" s="43"/>
      <c r="DO411" s="43"/>
      <c r="DP411" s="43"/>
      <c r="DQ411" s="43"/>
      <c r="DR411" s="43"/>
      <c r="DS411" s="43"/>
      <c r="DT411" s="43"/>
      <c r="DU411" s="43"/>
      <c r="DV411" s="43"/>
      <c r="DW411" s="43"/>
      <c r="DX411" s="43"/>
      <c r="DY411" s="43"/>
      <c r="DZ411" s="43"/>
      <c r="EA411" s="43"/>
      <c r="EB411" s="43"/>
      <c r="EC411" s="43"/>
      <c r="ED411" s="43"/>
      <c r="EE411" s="43"/>
      <c r="EF411" s="43"/>
      <c r="EG411" s="43"/>
      <c r="EH411" s="43"/>
      <c r="EI411" s="43"/>
      <c r="EJ411" s="43"/>
      <c r="EK411" s="43"/>
      <c r="EL411" s="43"/>
      <c r="EM411" s="43"/>
      <c r="EN411" s="43"/>
      <c r="EO411" s="43"/>
      <c r="EP411" s="43"/>
      <c r="EQ411" s="43"/>
      <c r="ER411" s="43"/>
      <c r="ES411" s="43"/>
      <c r="ET411" s="43"/>
      <c r="EU411" s="43"/>
      <c r="EV411" s="43"/>
      <c r="EW411" s="43"/>
      <c r="EX411" s="43"/>
      <c r="EY411" s="43"/>
      <c r="EZ411" s="43"/>
      <c r="FA411" s="43"/>
      <c r="FB411" s="43"/>
      <c r="FC411" s="43"/>
      <c r="FD411" s="43"/>
      <c r="FE411" s="43"/>
      <c r="FF411" s="43"/>
      <c r="FG411" s="43"/>
      <c r="FH411" s="50"/>
      <c r="FI411" s="50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  <c r="CI412" s="43"/>
      <c r="CJ412" s="43"/>
      <c r="CK412" s="43"/>
      <c r="CL412" s="43"/>
      <c r="CM412" s="43"/>
      <c r="CN412" s="43"/>
      <c r="CO412" s="43"/>
      <c r="CP412" s="43"/>
      <c r="CQ412" s="43"/>
      <c r="CR412" s="43"/>
      <c r="CS412" s="43"/>
      <c r="CT412" s="43"/>
      <c r="CU412" s="43"/>
      <c r="CV412" s="43"/>
      <c r="CW412" s="43"/>
      <c r="CX412" s="43"/>
      <c r="CY412" s="43"/>
      <c r="CZ412" s="43"/>
      <c r="DA412" s="43"/>
      <c r="DB412" s="43"/>
      <c r="DC412" s="43"/>
      <c r="DD412" s="43"/>
      <c r="DE412" s="43"/>
      <c r="DF412" s="43"/>
      <c r="DG412" s="43"/>
      <c r="DH412" s="43"/>
      <c r="DI412" s="43"/>
      <c r="DJ412" s="43"/>
      <c r="DK412" s="43"/>
      <c r="DL412" s="43"/>
      <c r="DM412" s="43"/>
      <c r="DN412" s="43"/>
      <c r="DO412" s="43"/>
      <c r="DP412" s="43"/>
      <c r="DQ412" s="43"/>
      <c r="DR412" s="43"/>
      <c r="DS412" s="43"/>
      <c r="DT412" s="43"/>
      <c r="DU412" s="43"/>
      <c r="DV412" s="43"/>
      <c r="DW412" s="43"/>
      <c r="DX412" s="43"/>
      <c r="DY412" s="43"/>
      <c r="DZ412" s="43"/>
      <c r="EA412" s="43"/>
      <c r="EB412" s="43"/>
      <c r="EC412" s="43"/>
      <c r="ED412" s="43"/>
      <c r="EE412" s="43"/>
      <c r="EF412" s="43"/>
      <c r="EG412" s="43"/>
      <c r="EH412" s="43"/>
      <c r="EI412" s="43"/>
      <c r="EJ412" s="43"/>
      <c r="EK412" s="43"/>
      <c r="EL412" s="43"/>
      <c r="EM412" s="43"/>
      <c r="EN412" s="43"/>
      <c r="EO412" s="43"/>
      <c r="EP412" s="43"/>
      <c r="EQ412" s="43"/>
      <c r="ER412" s="43"/>
      <c r="ES412" s="43"/>
      <c r="ET412" s="43"/>
      <c r="EU412" s="43"/>
      <c r="EV412" s="43"/>
      <c r="EW412" s="43"/>
      <c r="EX412" s="43"/>
      <c r="EY412" s="43"/>
      <c r="EZ412" s="43"/>
      <c r="FA412" s="43"/>
      <c r="FB412" s="43"/>
      <c r="FC412" s="43"/>
      <c r="FD412" s="43"/>
      <c r="FE412" s="43"/>
      <c r="FF412" s="43"/>
      <c r="FG412" s="43"/>
      <c r="FH412" s="50"/>
      <c r="FI412" s="50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  <c r="CI413" s="43"/>
      <c r="CJ413" s="43"/>
      <c r="CK413" s="43"/>
      <c r="CL413" s="43"/>
      <c r="CM413" s="43"/>
      <c r="CN413" s="43"/>
      <c r="CO413" s="43"/>
      <c r="CP413" s="43"/>
      <c r="CQ413" s="43"/>
      <c r="CR413" s="43"/>
      <c r="CS413" s="43"/>
      <c r="CT413" s="43"/>
      <c r="CU413" s="43"/>
      <c r="CV413" s="43"/>
      <c r="CW413" s="43"/>
      <c r="CX413" s="43"/>
      <c r="CY413" s="43"/>
      <c r="CZ413" s="43"/>
      <c r="DA413" s="43"/>
      <c r="DB413" s="43"/>
      <c r="DC413" s="43"/>
      <c r="DD413" s="43"/>
      <c r="DE413" s="43"/>
      <c r="DF413" s="43"/>
      <c r="DG413" s="43"/>
      <c r="DH413" s="43"/>
      <c r="DI413" s="43"/>
      <c r="DJ413" s="43"/>
      <c r="DK413" s="43"/>
      <c r="DL413" s="43"/>
      <c r="DM413" s="43"/>
      <c r="DN413" s="43"/>
      <c r="DO413" s="43"/>
      <c r="DP413" s="43"/>
      <c r="DQ413" s="43"/>
      <c r="DR413" s="43"/>
      <c r="DS413" s="43"/>
      <c r="DT413" s="43"/>
      <c r="DU413" s="43"/>
      <c r="DV413" s="43"/>
      <c r="DW413" s="43"/>
      <c r="DX413" s="43"/>
      <c r="DY413" s="43"/>
      <c r="DZ413" s="43"/>
      <c r="EA413" s="43"/>
      <c r="EB413" s="43"/>
      <c r="EC413" s="43"/>
      <c r="ED413" s="43"/>
      <c r="EE413" s="43"/>
      <c r="EF413" s="43"/>
      <c r="EG413" s="43"/>
      <c r="EH413" s="43"/>
      <c r="EI413" s="43"/>
      <c r="EJ413" s="43"/>
      <c r="EK413" s="43"/>
      <c r="EL413" s="43"/>
      <c r="EM413" s="43"/>
      <c r="EN413" s="43"/>
      <c r="EO413" s="43"/>
      <c r="EP413" s="43"/>
      <c r="EQ413" s="43"/>
      <c r="ER413" s="43"/>
      <c r="ES413" s="43"/>
      <c r="ET413" s="43"/>
      <c r="EU413" s="43"/>
      <c r="EV413" s="43"/>
      <c r="EW413" s="43"/>
      <c r="EX413" s="43"/>
      <c r="EY413" s="43"/>
      <c r="EZ413" s="43"/>
      <c r="FA413" s="43"/>
      <c r="FB413" s="43"/>
      <c r="FC413" s="43"/>
      <c r="FD413" s="43"/>
      <c r="FE413" s="43"/>
      <c r="FF413" s="43"/>
      <c r="FG413" s="43"/>
      <c r="FH413" s="50"/>
      <c r="FI413" s="50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  <c r="CI414" s="43"/>
      <c r="CJ414" s="43"/>
      <c r="CK414" s="43"/>
      <c r="CL414" s="43"/>
      <c r="CM414" s="43"/>
      <c r="CN414" s="43"/>
      <c r="CO414" s="43"/>
      <c r="CP414" s="43"/>
      <c r="CQ414" s="43"/>
      <c r="CR414" s="43"/>
      <c r="CS414" s="43"/>
      <c r="CT414" s="43"/>
      <c r="CU414" s="43"/>
      <c r="CV414" s="43"/>
      <c r="CW414" s="43"/>
      <c r="CX414" s="43"/>
      <c r="CY414" s="43"/>
      <c r="CZ414" s="43"/>
      <c r="DA414" s="43"/>
      <c r="DB414" s="43"/>
      <c r="DC414" s="43"/>
      <c r="DD414" s="43"/>
      <c r="DE414" s="43"/>
      <c r="DF414" s="43"/>
      <c r="DG414" s="43"/>
      <c r="DH414" s="43"/>
      <c r="DI414" s="43"/>
      <c r="DJ414" s="43"/>
      <c r="DK414" s="43"/>
      <c r="DL414" s="43"/>
      <c r="DM414" s="43"/>
      <c r="DN414" s="43"/>
      <c r="DO414" s="43"/>
      <c r="DP414" s="43"/>
      <c r="DQ414" s="43"/>
      <c r="DR414" s="43"/>
      <c r="DS414" s="43"/>
      <c r="DT414" s="43"/>
      <c r="DU414" s="43"/>
      <c r="DV414" s="43"/>
      <c r="DW414" s="43"/>
      <c r="DX414" s="43"/>
      <c r="DY414" s="43"/>
      <c r="DZ414" s="43"/>
      <c r="EA414" s="43"/>
      <c r="EB414" s="43"/>
      <c r="EC414" s="43"/>
      <c r="ED414" s="43"/>
      <c r="EE414" s="43"/>
      <c r="EF414" s="43"/>
      <c r="EG414" s="43"/>
      <c r="EH414" s="43"/>
      <c r="EI414" s="43"/>
      <c r="EJ414" s="43"/>
      <c r="EK414" s="43"/>
      <c r="EL414" s="43"/>
      <c r="EM414" s="43"/>
      <c r="EN414" s="43"/>
      <c r="EO414" s="43"/>
      <c r="EP414" s="43"/>
      <c r="EQ414" s="43"/>
      <c r="ER414" s="43"/>
      <c r="ES414" s="43"/>
      <c r="ET414" s="43"/>
      <c r="EU414" s="43"/>
      <c r="EV414" s="43"/>
      <c r="EW414" s="43"/>
      <c r="EX414" s="43"/>
      <c r="EY414" s="43"/>
      <c r="EZ414" s="43"/>
      <c r="FA414" s="43"/>
      <c r="FB414" s="43"/>
      <c r="FC414" s="43"/>
      <c r="FD414" s="43"/>
      <c r="FE414" s="43"/>
      <c r="FF414" s="43"/>
      <c r="FG414" s="43"/>
      <c r="FH414" s="50"/>
      <c r="FI414" s="50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  <c r="CI415" s="43"/>
      <c r="CJ415" s="43"/>
      <c r="CK415" s="43"/>
      <c r="CL415" s="43"/>
      <c r="CM415" s="43"/>
      <c r="CN415" s="43"/>
      <c r="CO415" s="43"/>
      <c r="CP415" s="43"/>
      <c r="CQ415" s="43"/>
      <c r="CR415" s="43"/>
      <c r="CS415" s="43"/>
      <c r="CT415" s="43"/>
      <c r="CU415" s="43"/>
      <c r="CV415" s="43"/>
      <c r="CW415" s="43"/>
      <c r="CX415" s="43"/>
      <c r="CY415" s="43"/>
      <c r="CZ415" s="43"/>
      <c r="DA415" s="43"/>
      <c r="DB415" s="43"/>
      <c r="DC415" s="43"/>
      <c r="DD415" s="43"/>
      <c r="DE415" s="43"/>
      <c r="DF415" s="43"/>
      <c r="DG415" s="43"/>
      <c r="DH415" s="43"/>
      <c r="DI415" s="43"/>
      <c r="DJ415" s="43"/>
      <c r="DK415" s="43"/>
      <c r="DL415" s="43"/>
      <c r="DM415" s="43"/>
      <c r="DN415" s="43"/>
      <c r="DO415" s="43"/>
      <c r="DP415" s="43"/>
      <c r="DQ415" s="43"/>
      <c r="DR415" s="43"/>
      <c r="DS415" s="43"/>
      <c r="DT415" s="43"/>
      <c r="DU415" s="43"/>
      <c r="DV415" s="43"/>
      <c r="DW415" s="43"/>
      <c r="DX415" s="43"/>
      <c r="DY415" s="43"/>
      <c r="DZ415" s="43"/>
      <c r="EA415" s="43"/>
      <c r="EB415" s="43"/>
      <c r="EC415" s="43"/>
      <c r="ED415" s="43"/>
      <c r="EE415" s="43"/>
      <c r="EF415" s="43"/>
      <c r="EG415" s="43"/>
      <c r="EH415" s="43"/>
      <c r="EI415" s="43"/>
      <c r="EJ415" s="43"/>
      <c r="EK415" s="43"/>
      <c r="EL415" s="43"/>
      <c r="EM415" s="43"/>
      <c r="EN415" s="43"/>
      <c r="EO415" s="43"/>
      <c r="EP415" s="43"/>
      <c r="EQ415" s="43"/>
      <c r="ER415" s="43"/>
      <c r="ES415" s="43"/>
      <c r="ET415" s="43"/>
      <c r="EU415" s="43"/>
      <c r="EV415" s="43"/>
      <c r="EW415" s="43"/>
      <c r="EX415" s="43"/>
      <c r="EY415" s="43"/>
      <c r="EZ415" s="43"/>
      <c r="FA415" s="43"/>
      <c r="FB415" s="43"/>
      <c r="FC415" s="43"/>
      <c r="FD415" s="43"/>
      <c r="FE415" s="43"/>
      <c r="FF415" s="43"/>
      <c r="FG415" s="43"/>
      <c r="FH415" s="50"/>
      <c r="FI415" s="50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  <c r="CI416" s="43"/>
      <c r="CJ416" s="43"/>
      <c r="CK416" s="43"/>
      <c r="CL416" s="43"/>
      <c r="CM416" s="43"/>
      <c r="CN416" s="43"/>
      <c r="CO416" s="43"/>
      <c r="CP416" s="43"/>
      <c r="CQ416" s="43"/>
      <c r="CR416" s="43"/>
      <c r="CS416" s="43"/>
      <c r="CT416" s="43"/>
      <c r="CU416" s="43"/>
      <c r="CV416" s="43"/>
      <c r="CW416" s="43"/>
      <c r="CX416" s="43"/>
      <c r="CY416" s="43"/>
      <c r="CZ416" s="43"/>
      <c r="DA416" s="43"/>
      <c r="DB416" s="43"/>
      <c r="DC416" s="43"/>
      <c r="DD416" s="43"/>
      <c r="DE416" s="43"/>
      <c r="DF416" s="43"/>
      <c r="DG416" s="43"/>
      <c r="DH416" s="43"/>
      <c r="DI416" s="43"/>
      <c r="DJ416" s="43"/>
      <c r="DK416" s="43"/>
      <c r="DL416" s="43"/>
      <c r="DM416" s="43"/>
      <c r="DN416" s="43"/>
      <c r="DO416" s="43"/>
      <c r="DP416" s="43"/>
      <c r="DQ416" s="43"/>
      <c r="DR416" s="43"/>
      <c r="DS416" s="43"/>
      <c r="DT416" s="43"/>
      <c r="DU416" s="43"/>
      <c r="DV416" s="43"/>
      <c r="DW416" s="43"/>
      <c r="DX416" s="43"/>
      <c r="DY416" s="43"/>
      <c r="DZ416" s="43"/>
      <c r="EA416" s="43"/>
      <c r="EB416" s="43"/>
      <c r="EC416" s="43"/>
      <c r="ED416" s="43"/>
      <c r="EE416" s="43"/>
      <c r="EF416" s="43"/>
      <c r="EG416" s="43"/>
      <c r="EH416" s="43"/>
      <c r="EI416" s="43"/>
      <c r="EJ416" s="43"/>
      <c r="EK416" s="43"/>
      <c r="EL416" s="43"/>
      <c r="EM416" s="43"/>
      <c r="EN416" s="43"/>
      <c r="EO416" s="43"/>
      <c r="EP416" s="43"/>
      <c r="EQ416" s="43"/>
      <c r="ER416" s="43"/>
      <c r="ES416" s="43"/>
      <c r="ET416" s="43"/>
      <c r="EU416" s="43"/>
      <c r="EV416" s="43"/>
      <c r="EW416" s="43"/>
      <c r="EX416" s="43"/>
      <c r="EY416" s="43"/>
      <c r="EZ416" s="43"/>
      <c r="FA416" s="43"/>
      <c r="FB416" s="43"/>
      <c r="FC416" s="43"/>
      <c r="FD416" s="43"/>
      <c r="FE416" s="43"/>
      <c r="FF416" s="43"/>
      <c r="FG416" s="43"/>
      <c r="FH416" s="50"/>
      <c r="FI416" s="50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  <c r="CI417" s="43"/>
      <c r="CJ417" s="43"/>
      <c r="CK417" s="43"/>
      <c r="CL417" s="43"/>
      <c r="CM417" s="43"/>
      <c r="CN417" s="43"/>
      <c r="CO417" s="43"/>
      <c r="CP417" s="43"/>
      <c r="CQ417" s="43"/>
      <c r="CR417" s="43"/>
      <c r="CS417" s="43"/>
      <c r="CT417" s="43"/>
      <c r="CU417" s="43"/>
      <c r="CV417" s="43"/>
      <c r="CW417" s="43"/>
      <c r="CX417" s="43"/>
      <c r="CY417" s="43"/>
      <c r="CZ417" s="43"/>
      <c r="DA417" s="43"/>
      <c r="DB417" s="43"/>
      <c r="DC417" s="43"/>
      <c r="DD417" s="43"/>
      <c r="DE417" s="43"/>
      <c r="DF417" s="43"/>
      <c r="DG417" s="43"/>
      <c r="DH417" s="43"/>
      <c r="DI417" s="43"/>
      <c r="DJ417" s="43"/>
      <c r="DK417" s="43"/>
      <c r="DL417" s="43"/>
      <c r="DM417" s="43"/>
      <c r="DN417" s="43"/>
      <c r="DO417" s="43"/>
      <c r="DP417" s="43"/>
      <c r="DQ417" s="43"/>
      <c r="DR417" s="43"/>
      <c r="DS417" s="43"/>
      <c r="DT417" s="43"/>
      <c r="DU417" s="43"/>
      <c r="DV417" s="43"/>
      <c r="DW417" s="43"/>
      <c r="DX417" s="43"/>
      <c r="DY417" s="43"/>
      <c r="DZ417" s="43"/>
      <c r="EA417" s="43"/>
      <c r="EB417" s="43"/>
      <c r="EC417" s="43"/>
      <c r="ED417" s="43"/>
      <c r="EE417" s="43"/>
      <c r="EF417" s="43"/>
      <c r="EG417" s="43"/>
      <c r="EH417" s="43"/>
      <c r="EI417" s="43"/>
      <c r="EJ417" s="43"/>
      <c r="EK417" s="43"/>
      <c r="EL417" s="43"/>
      <c r="EM417" s="43"/>
      <c r="EN417" s="43"/>
      <c r="EO417" s="43"/>
      <c r="EP417" s="43"/>
      <c r="EQ417" s="43"/>
      <c r="ER417" s="43"/>
      <c r="ES417" s="43"/>
      <c r="ET417" s="43"/>
      <c r="EU417" s="43"/>
      <c r="EV417" s="43"/>
      <c r="EW417" s="43"/>
      <c r="EX417" s="43"/>
      <c r="EY417" s="43"/>
      <c r="EZ417" s="43"/>
      <c r="FA417" s="43"/>
      <c r="FB417" s="43"/>
      <c r="FC417" s="43"/>
      <c r="FD417" s="43"/>
      <c r="FE417" s="43"/>
      <c r="FF417" s="43"/>
      <c r="FG417" s="43"/>
      <c r="FH417" s="50"/>
      <c r="FI417" s="50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  <c r="CI418" s="43"/>
      <c r="CJ418" s="43"/>
      <c r="CK418" s="43"/>
      <c r="CL418" s="43"/>
      <c r="CM418" s="43"/>
      <c r="CN418" s="43"/>
      <c r="CO418" s="43"/>
      <c r="CP418" s="43"/>
      <c r="CQ418" s="43"/>
      <c r="CR418" s="43"/>
      <c r="CS418" s="43"/>
      <c r="CT418" s="43"/>
      <c r="CU418" s="43"/>
      <c r="CV418" s="43"/>
      <c r="CW418" s="43"/>
      <c r="CX418" s="43"/>
      <c r="CY418" s="43"/>
      <c r="CZ418" s="43"/>
      <c r="DA418" s="43"/>
      <c r="DB418" s="43"/>
      <c r="DC418" s="43"/>
      <c r="DD418" s="43"/>
      <c r="DE418" s="43"/>
      <c r="DF418" s="43"/>
      <c r="DG418" s="43"/>
      <c r="DH418" s="43"/>
      <c r="DI418" s="43"/>
      <c r="DJ418" s="43"/>
      <c r="DK418" s="43"/>
      <c r="DL418" s="43"/>
      <c r="DM418" s="43"/>
      <c r="DN418" s="43"/>
      <c r="DO418" s="43"/>
      <c r="DP418" s="43"/>
      <c r="DQ418" s="43"/>
      <c r="DR418" s="43"/>
      <c r="DS418" s="43"/>
      <c r="DT418" s="43"/>
      <c r="DU418" s="43"/>
      <c r="DV418" s="43"/>
      <c r="DW418" s="43"/>
      <c r="DX418" s="43"/>
      <c r="DY418" s="43"/>
      <c r="DZ418" s="43"/>
      <c r="EA418" s="43"/>
      <c r="EB418" s="43"/>
      <c r="EC418" s="43"/>
      <c r="ED418" s="43"/>
      <c r="EE418" s="43"/>
      <c r="EF418" s="43"/>
      <c r="EG418" s="43"/>
      <c r="EH418" s="43"/>
      <c r="EI418" s="43"/>
      <c r="EJ418" s="43"/>
      <c r="EK418" s="43"/>
      <c r="EL418" s="43"/>
      <c r="EM418" s="43"/>
      <c r="EN418" s="43"/>
      <c r="EO418" s="43"/>
      <c r="EP418" s="43"/>
      <c r="EQ418" s="43"/>
      <c r="ER418" s="43"/>
      <c r="ES418" s="43"/>
      <c r="ET418" s="43"/>
      <c r="EU418" s="43"/>
      <c r="EV418" s="43"/>
      <c r="EW418" s="43"/>
      <c r="EX418" s="43"/>
      <c r="EY418" s="43"/>
      <c r="EZ418" s="43"/>
      <c r="FA418" s="43"/>
      <c r="FB418" s="43"/>
      <c r="FC418" s="43"/>
      <c r="FD418" s="43"/>
      <c r="FE418" s="43"/>
      <c r="FF418" s="43"/>
      <c r="FG418" s="43"/>
      <c r="FH418" s="50"/>
      <c r="FI418" s="50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  <c r="CS419" s="43"/>
      <c r="CT419" s="43"/>
      <c r="CU419" s="43"/>
      <c r="CV419" s="43"/>
      <c r="CW419" s="43"/>
      <c r="CX419" s="43"/>
      <c r="CY419" s="43"/>
      <c r="CZ419" s="43"/>
      <c r="DA419" s="43"/>
      <c r="DB419" s="43"/>
      <c r="DC419" s="43"/>
      <c r="DD419" s="43"/>
      <c r="DE419" s="43"/>
      <c r="DF419" s="43"/>
      <c r="DG419" s="43"/>
      <c r="DH419" s="43"/>
      <c r="DI419" s="43"/>
      <c r="DJ419" s="43"/>
      <c r="DK419" s="43"/>
      <c r="DL419" s="43"/>
      <c r="DM419" s="43"/>
      <c r="DN419" s="43"/>
      <c r="DO419" s="43"/>
      <c r="DP419" s="43"/>
      <c r="DQ419" s="43"/>
      <c r="DR419" s="43"/>
      <c r="DS419" s="43"/>
      <c r="DT419" s="43"/>
      <c r="DU419" s="43"/>
      <c r="DV419" s="43"/>
      <c r="DW419" s="43"/>
      <c r="DX419" s="43"/>
      <c r="DY419" s="43"/>
      <c r="DZ419" s="43"/>
      <c r="EA419" s="43"/>
      <c r="EB419" s="43"/>
      <c r="EC419" s="43"/>
      <c r="ED419" s="43"/>
      <c r="EE419" s="43"/>
      <c r="EF419" s="43"/>
      <c r="EG419" s="43"/>
      <c r="EH419" s="43"/>
      <c r="EI419" s="43"/>
      <c r="EJ419" s="43"/>
      <c r="EK419" s="43"/>
      <c r="EL419" s="43"/>
      <c r="EM419" s="43"/>
      <c r="EN419" s="43"/>
      <c r="EO419" s="43"/>
      <c r="EP419" s="43"/>
      <c r="EQ419" s="43"/>
      <c r="ER419" s="43"/>
      <c r="ES419" s="43"/>
      <c r="ET419" s="43"/>
      <c r="EU419" s="43"/>
      <c r="EV419" s="43"/>
      <c r="EW419" s="43"/>
      <c r="EX419" s="43"/>
      <c r="EY419" s="43"/>
      <c r="EZ419" s="43"/>
      <c r="FA419" s="43"/>
      <c r="FB419" s="43"/>
      <c r="FC419" s="43"/>
      <c r="FD419" s="43"/>
      <c r="FE419" s="43"/>
      <c r="FF419" s="43"/>
      <c r="FG419" s="43"/>
      <c r="FH419" s="50"/>
      <c r="FI419" s="50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  <c r="CI420" s="43"/>
      <c r="CJ420" s="43"/>
      <c r="CK420" s="43"/>
      <c r="CL420" s="43"/>
      <c r="CM420" s="43"/>
      <c r="CN420" s="43"/>
      <c r="CO420" s="43"/>
      <c r="CP420" s="43"/>
      <c r="CQ420" s="43"/>
      <c r="CR420" s="43"/>
      <c r="CS420" s="43"/>
      <c r="CT420" s="43"/>
      <c r="CU420" s="43"/>
      <c r="CV420" s="43"/>
      <c r="CW420" s="43"/>
      <c r="CX420" s="43"/>
      <c r="CY420" s="43"/>
      <c r="CZ420" s="43"/>
      <c r="DA420" s="43"/>
      <c r="DB420" s="43"/>
      <c r="DC420" s="43"/>
      <c r="DD420" s="43"/>
      <c r="DE420" s="43"/>
      <c r="DF420" s="43"/>
      <c r="DG420" s="43"/>
      <c r="DH420" s="43"/>
      <c r="DI420" s="43"/>
      <c r="DJ420" s="43"/>
      <c r="DK420" s="43"/>
      <c r="DL420" s="43"/>
      <c r="DM420" s="43"/>
      <c r="DN420" s="43"/>
      <c r="DO420" s="43"/>
      <c r="DP420" s="43"/>
      <c r="DQ420" s="43"/>
      <c r="DR420" s="43"/>
      <c r="DS420" s="43"/>
      <c r="DT420" s="43"/>
      <c r="DU420" s="43"/>
      <c r="DV420" s="43"/>
      <c r="DW420" s="43"/>
      <c r="DX420" s="43"/>
      <c r="DY420" s="43"/>
      <c r="DZ420" s="43"/>
      <c r="EA420" s="43"/>
      <c r="EB420" s="43"/>
      <c r="EC420" s="43"/>
      <c r="ED420" s="43"/>
      <c r="EE420" s="43"/>
      <c r="EF420" s="43"/>
      <c r="EG420" s="43"/>
      <c r="EH420" s="43"/>
      <c r="EI420" s="43"/>
      <c r="EJ420" s="43"/>
      <c r="EK420" s="43"/>
      <c r="EL420" s="43"/>
      <c r="EM420" s="43"/>
      <c r="EN420" s="43"/>
      <c r="EO420" s="43"/>
      <c r="EP420" s="43"/>
      <c r="EQ420" s="43"/>
      <c r="ER420" s="43"/>
      <c r="ES420" s="43"/>
      <c r="ET420" s="43"/>
      <c r="EU420" s="43"/>
      <c r="EV420" s="43"/>
      <c r="EW420" s="43"/>
      <c r="EX420" s="43"/>
      <c r="EY420" s="43"/>
      <c r="EZ420" s="43"/>
      <c r="FA420" s="43"/>
      <c r="FB420" s="43"/>
      <c r="FC420" s="43"/>
      <c r="FD420" s="43"/>
      <c r="FE420" s="43"/>
      <c r="FF420" s="43"/>
      <c r="FG420" s="43"/>
      <c r="FH420" s="50"/>
      <c r="FI420" s="50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  <c r="CS421" s="43"/>
      <c r="CT421" s="43"/>
      <c r="CU421" s="43"/>
      <c r="CV421" s="43"/>
      <c r="CW421" s="43"/>
      <c r="CX421" s="43"/>
      <c r="CY421" s="43"/>
      <c r="CZ421" s="43"/>
      <c r="DA421" s="43"/>
      <c r="DB421" s="43"/>
      <c r="DC421" s="43"/>
      <c r="DD421" s="43"/>
      <c r="DE421" s="43"/>
      <c r="DF421" s="43"/>
      <c r="DG421" s="43"/>
      <c r="DH421" s="43"/>
      <c r="DI421" s="43"/>
      <c r="DJ421" s="43"/>
      <c r="DK421" s="43"/>
      <c r="DL421" s="43"/>
      <c r="DM421" s="43"/>
      <c r="DN421" s="43"/>
      <c r="DO421" s="43"/>
      <c r="DP421" s="43"/>
      <c r="DQ421" s="43"/>
      <c r="DR421" s="43"/>
      <c r="DS421" s="43"/>
      <c r="DT421" s="43"/>
      <c r="DU421" s="43"/>
      <c r="DV421" s="43"/>
      <c r="DW421" s="43"/>
      <c r="DX421" s="43"/>
      <c r="DY421" s="43"/>
      <c r="DZ421" s="43"/>
      <c r="EA421" s="43"/>
      <c r="EB421" s="43"/>
      <c r="EC421" s="43"/>
      <c r="ED421" s="43"/>
      <c r="EE421" s="43"/>
      <c r="EF421" s="43"/>
      <c r="EG421" s="43"/>
      <c r="EH421" s="43"/>
      <c r="EI421" s="43"/>
      <c r="EJ421" s="43"/>
      <c r="EK421" s="43"/>
      <c r="EL421" s="43"/>
      <c r="EM421" s="43"/>
      <c r="EN421" s="43"/>
      <c r="EO421" s="43"/>
      <c r="EP421" s="43"/>
      <c r="EQ421" s="43"/>
      <c r="ER421" s="43"/>
      <c r="ES421" s="43"/>
      <c r="ET421" s="43"/>
      <c r="EU421" s="43"/>
      <c r="EV421" s="43"/>
      <c r="EW421" s="43"/>
      <c r="EX421" s="43"/>
      <c r="EY421" s="43"/>
      <c r="EZ421" s="43"/>
      <c r="FA421" s="43"/>
      <c r="FB421" s="43"/>
      <c r="FC421" s="43"/>
      <c r="FD421" s="43"/>
      <c r="FE421" s="43"/>
      <c r="FF421" s="43"/>
      <c r="FG421" s="43"/>
      <c r="FH421" s="50"/>
      <c r="FI421" s="50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  <c r="CI422" s="43"/>
      <c r="CJ422" s="43"/>
      <c r="CK422" s="43"/>
      <c r="CL422" s="43"/>
      <c r="CM422" s="43"/>
      <c r="CN422" s="43"/>
      <c r="CO422" s="43"/>
      <c r="CP422" s="43"/>
      <c r="CQ422" s="43"/>
      <c r="CR422" s="43"/>
      <c r="CS422" s="43"/>
      <c r="CT422" s="43"/>
      <c r="CU422" s="43"/>
      <c r="CV422" s="43"/>
      <c r="CW422" s="43"/>
      <c r="CX422" s="43"/>
      <c r="CY422" s="43"/>
      <c r="CZ422" s="43"/>
      <c r="DA422" s="43"/>
      <c r="DB422" s="43"/>
      <c r="DC422" s="43"/>
      <c r="DD422" s="43"/>
      <c r="DE422" s="43"/>
      <c r="DF422" s="43"/>
      <c r="DG422" s="43"/>
      <c r="DH422" s="43"/>
      <c r="DI422" s="43"/>
      <c r="DJ422" s="43"/>
      <c r="DK422" s="43"/>
      <c r="DL422" s="43"/>
      <c r="DM422" s="43"/>
      <c r="DN422" s="43"/>
      <c r="DO422" s="43"/>
      <c r="DP422" s="43"/>
      <c r="DQ422" s="43"/>
      <c r="DR422" s="43"/>
      <c r="DS422" s="43"/>
      <c r="DT422" s="43"/>
      <c r="DU422" s="43"/>
      <c r="DV422" s="43"/>
      <c r="DW422" s="43"/>
      <c r="DX422" s="43"/>
      <c r="DY422" s="43"/>
      <c r="DZ422" s="43"/>
      <c r="EA422" s="43"/>
      <c r="EB422" s="43"/>
      <c r="EC422" s="43"/>
      <c r="ED422" s="43"/>
      <c r="EE422" s="43"/>
      <c r="EF422" s="43"/>
      <c r="EG422" s="43"/>
      <c r="EH422" s="43"/>
      <c r="EI422" s="43"/>
      <c r="EJ422" s="43"/>
      <c r="EK422" s="43"/>
      <c r="EL422" s="43"/>
      <c r="EM422" s="43"/>
      <c r="EN422" s="43"/>
      <c r="EO422" s="43"/>
      <c r="EP422" s="43"/>
      <c r="EQ422" s="43"/>
      <c r="ER422" s="43"/>
      <c r="ES422" s="43"/>
      <c r="ET422" s="43"/>
      <c r="EU422" s="43"/>
      <c r="EV422" s="43"/>
      <c r="EW422" s="43"/>
      <c r="EX422" s="43"/>
      <c r="EY422" s="43"/>
      <c r="EZ422" s="43"/>
      <c r="FA422" s="43"/>
      <c r="FB422" s="43"/>
      <c r="FC422" s="43"/>
      <c r="FD422" s="43"/>
      <c r="FE422" s="43"/>
      <c r="FF422" s="43"/>
      <c r="FG422" s="43"/>
      <c r="FH422" s="50"/>
      <c r="FI422" s="50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  <c r="CI423" s="43"/>
      <c r="CJ423" s="43"/>
      <c r="CK423" s="43"/>
      <c r="CL423" s="43"/>
      <c r="CM423" s="43"/>
      <c r="CN423" s="43"/>
      <c r="CO423" s="43"/>
      <c r="CP423" s="43"/>
      <c r="CQ423" s="43"/>
      <c r="CR423" s="43"/>
      <c r="CS423" s="43"/>
      <c r="CT423" s="43"/>
      <c r="CU423" s="43"/>
      <c r="CV423" s="43"/>
      <c r="CW423" s="43"/>
      <c r="CX423" s="43"/>
      <c r="CY423" s="43"/>
      <c r="CZ423" s="43"/>
      <c r="DA423" s="43"/>
      <c r="DB423" s="43"/>
      <c r="DC423" s="43"/>
      <c r="DD423" s="43"/>
      <c r="DE423" s="43"/>
      <c r="DF423" s="43"/>
      <c r="DG423" s="43"/>
      <c r="DH423" s="43"/>
      <c r="DI423" s="43"/>
      <c r="DJ423" s="43"/>
      <c r="DK423" s="43"/>
      <c r="DL423" s="43"/>
      <c r="DM423" s="43"/>
      <c r="DN423" s="43"/>
      <c r="DO423" s="43"/>
      <c r="DP423" s="43"/>
      <c r="DQ423" s="43"/>
      <c r="DR423" s="43"/>
      <c r="DS423" s="43"/>
      <c r="DT423" s="43"/>
      <c r="DU423" s="43"/>
      <c r="DV423" s="43"/>
      <c r="DW423" s="43"/>
      <c r="DX423" s="43"/>
      <c r="DY423" s="43"/>
      <c r="DZ423" s="43"/>
      <c r="EA423" s="43"/>
      <c r="EB423" s="43"/>
      <c r="EC423" s="43"/>
      <c r="ED423" s="43"/>
      <c r="EE423" s="43"/>
      <c r="EF423" s="43"/>
      <c r="EG423" s="43"/>
      <c r="EH423" s="43"/>
      <c r="EI423" s="43"/>
      <c r="EJ423" s="43"/>
      <c r="EK423" s="43"/>
      <c r="EL423" s="43"/>
      <c r="EM423" s="43"/>
      <c r="EN423" s="43"/>
      <c r="EO423" s="43"/>
      <c r="EP423" s="43"/>
      <c r="EQ423" s="43"/>
      <c r="ER423" s="43"/>
      <c r="ES423" s="43"/>
      <c r="ET423" s="43"/>
      <c r="EU423" s="43"/>
      <c r="EV423" s="43"/>
      <c r="EW423" s="43"/>
      <c r="EX423" s="43"/>
      <c r="EY423" s="43"/>
      <c r="EZ423" s="43"/>
      <c r="FA423" s="43"/>
      <c r="FB423" s="43"/>
      <c r="FC423" s="43"/>
      <c r="FD423" s="43"/>
      <c r="FE423" s="43"/>
      <c r="FF423" s="43"/>
      <c r="FG423" s="43"/>
      <c r="FH423" s="50"/>
      <c r="FI423" s="50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  <c r="CI424" s="43"/>
      <c r="CJ424" s="43"/>
      <c r="CK424" s="43"/>
      <c r="CL424" s="43"/>
      <c r="CM424" s="43"/>
      <c r="CN424" s="43"/>
      <c r="CO424" s="43"/>
      <c r="CP424" s="43"/>
      <c r="CQ424" s="43"/>
      <c r="CR424" s="43"/>
      <c r="CS424" s="43"/>
      <c r="CT424" s="43"/>
      <c r="CU424" s="43"/>
      <c r="CV424" s="43"/>
      <c r="CW424" s="43"/>
      <c r="CX424" s="43"/>
      <c r="CY424" s="43"/>
      <c r="CZ424" s="43"/>
      <c r="DA424" s="43"/>
      <c r="DB424" s="43"/>
      <c r="DC424" s="43"/>
      <c r="DD424" s="43"/>
      <c r="DE424" s="43"/>
      <c r="DF424" s="43"/>
      <c r="DG424" s="43"/>
      <c r="DH424" s="43"/>
      <c r="DI424" s="43"/>
      <c r="DJ424" s="43"/>
      <c r="DK424" s="43"/>
      <c r="DL424" s="43"/>
      <c r="DM424" s="43"/>
      <c r="DN424" s="43"/>
      <c r="DO424" s="43"/>
      <c r="DP424" s="43"/>
      <c r="DQ424" s="43"/>
      <c r="DR424" s="43"/>
      <c r="DS424" s="43"/>
      <c r="DT424" s="43"/>
      <c r="DU424" s="43"/>
      <c r="DV424" s="43"/>
      <c r="DW424" s="43"/>
      <c r="DX424" s="43"/>
      <c r="DY424" s="43"/>
      <c r="DZ424" s="43"/>
      <c r="EA424" s="43"/>
      <c r="EB424" s="43"/>
      <c r="EC424" s="43"/>
      <c r="ED424" s="43"/>
      <c r="EE424" s="43"/>
      <c r="EF424" s="43"/>
      <c r="EG424" s="43"/>
      <c r="EH424" s="43"/>
      <c r="EI424" s="43"/>
      <c r="EJ424" s="43"/>
      <c r="EK424" s="43"/>
      <c r="EL424" s="43"/>
      <c r="EM424" s="43"/>
      <c r="EN424" s="43"/>
      <c r="EO424" s="43"/>
      <c r="EP424" s="43"/>
      <c r="EQ424" s="43"/>
      <c r="ER424" s="43"/>
      <c r="ES424" s="43"/>
      <c r="ET424" s="43"/>
      <c r="EU424" s="43"/>
      <c r="EV424" s="43"/>
      <c r="EW424" s="43"/>
      <c r="EX424" s="43"/>
      <c r="EY424" s="43"/>
      <c r="EZ424" s="43"/>
      <c r="FA424" s="43"/>
      <c r="FB424" s="43"/>
      <c r="FC424" s="43"/>
      <c r="FD424" s="43"/>
      <c r="FE424" s="43"/>
      <c r="FF424" s="43"/>
      <c r="FG424" s="43"/>
      <c r="FH424" s="50"/>
      <c r="FI424" s="50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  <c r="CS425" s="43"/>
      <c r="CT425" s="43"/>
      <c r="CU425" s="43"/>
      <c r="CV425" s="43"/>
      <c r="CW425" s="43"/>
      <c r="CX425" s="43"/>
      <c r="CY425" s="43"/>
      <c r="CZ425" s="43"/>
      <c r="DA425" s="43"/>
      <c r="DB425" s="43"/>
      <c r="DC425" s="43"/>
      <c r="DD425" s="43"/>
      <c r="DE425" s="43"/>
      <c r="DF425" s="43"/>
      <c r="DG425" s="43"/>
      <c r="DH425" s="43"/>
      <c r="DI425" s="43"/>
      <c r="DJ425" s="43"/>
      <c r="DK425" s="43"/>
      <c r="DL425" s="43"/>
      <c r="DM425" s="43"/>
      <c r="DN425" s="43"/>
      <c r="DO425" s="43"/>
      <c r="DP425" s="43"/>
      <c r="DQ425" s="43"/>
      <c r="DR425" s="43"/>
      <c r="DS425" s="43"/>
      <c r="DT425" s="43"/>
      <c r="DU425" s="43"/>
      <c r="DV425" s="43"/>
      <c r="DW425" s="43"/>
      <c r="DX425" s="43"/>
      <c r="DY425" s="43"/>
      <c r="DZ425" s="43"/>
      <c r="EA425" s="43"/>
      <c r="EB425" s="43"/>
      <c r="EC425" s="43"/>
      <c r="ED425" s="43"/>
      <c r="EE425" s="43"/>
      <c r="EF425" s="43"/>
      <c r="EG425" s="43"/>
      <c r="EH425" s="43"/>
      <c r="EI425" s="43"/>
      <c r="EJ425" s="43"/>
      <c r="EK425" s="43"/>
      <c r="EL425" s="43"/>
      <c r="EM425" s="43"/>
      <c r="EN425" s="43"/>
      <c r="EO425" s="43"/>
      <c r="EP425" s="43"/>
      <c r="EQ425" s="43"/>
      <c r="ER425" s="43"/>
      <c r="ES425" s="43"/>
      <c r="ET425" s="43"/>
      <c r="EU425" s="43"/>
      <c r="EV425" s="43"/>
      <c r="EW425" s="43"/>
      <c r="EX425" s="43"/>
      <c r="EY425" s="43"/>
      <c r="EZ425" s="43"/>
      <c r="FA425" s="43"/>
      <c r="FB425" s="43"/>
      <c r="FC425" s="43"/>
      <c r="FD425" s="43"/>
      <c r="FE425" s="43"/>
      <c r="FF425" s="43"/>
      <c r="FG425" s="43"/>
      <c r="FH425" s="50"/>
      <c r="FI425" s="50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  <c r="CI426" s="43"/>
      <c r="CJ426" s="43"/>
      <c r="CK426" s="43"/>
      <c r="CL426" s="43"/>
      <c r="CM426" s="43"/>
      <c r="CN426" s="43"/>
      <c r="CO426" s="43"/>
      <c r="CP426" s="43"/>
      <c r="CQ426" s="43"/>
      <c r="CR426" s="43"/>
      <c r="CS426" s="43"/>
      <c r="CT426" s="43"/>
      <c r="CU426" s="43"/>
      <c r="CV426" s="43"/>
      <c r="CW426" s="43"/>
      <c r="CX426" s="43"/>
      <c r="CY426" s="43"/>
      <c r="CZ426" s="43"/>
      <c r="DA426" s="43"/>
      <c r="DB426" s="43"/>
      <c r="DC426" s="43"/>
      <c r="DD426" s="43"/>
      <c r="DE426" s="43"/>
      <c r="DF426" s="43"/>
      <c r="DG426" s="43"/>
      <c r="DH426" s="43"/>
      <c r="DI426" s="43"/>
      <c r="DJ426" s="43"/>
      <c r="DK426" s="43"/>
      <c r="DL426" s="43"/>
      <c r="DM426" s="43"/>
      <c r="DN426" s="43"/>
      <c r="DO426" s="43"/>
      <c r="DP426" s="43"/>
      <c r="DQ426" s="43"/>
      <c r="DR426" s="43"/>
      <c r="DS426" s="43"/>
      <c r="DT426" s="43"/>
      <c r="DU426" s="43"/>
      <c r="DV426" s="43"/>
      <c r="DW426" s="43"/>
      <c r="DX426" s="43"/>
      <c r="DY426" s="43"/>
      <c r="DZ426" s="43"/>
      <c r="EA426" s="43"/>
      <c r="EB426" s="43"/>
      <c r="EC426" s="43"/>
      <c r="ED426" s="43"/>
      <c r="EE426" s="43"/>
      <c r="EF426" s="43"/>
      <c r="EG426" s="43"/>
      <c r="EH426" s="43"/>
      <c r="EI426" s="43"/>
      <c r="EJ426" s="43"/>
      <c r="EK426" s="43"/>
      <c r="EL426" s="43"/>
      <c r="EM426" s="43"/>
      <c r="EN426" s="43"/>
      <c r="EO426" s="43"/>
      <c r="EP426" s="43"/>
      <c r="EQ426" s="43"/>
      <c r="ER426" s="43"/>
      <c r="ES426" s="43"/>
      <c r="ET426" s="43"/>
      <c r="EU426" s="43"/>
      <c r="EV426" s="43"/>
      <c r="EW426" s="43"/>
      <c r="EX426" s="43"/>
      <c r="EY426" s="43"/>
      <c r="EZ426" s="43"/>
      <c r="FA426" s="43"/>
      <c r="FB426" s="43"/>
      <c r="FC426" s="43"/>
      <c r="FD426" s="43"/>
      <c r="FE426" s="43"/>
      <c r="FF426" s="43"/>
      <c r="FG426" s="43"/>
      <c r="FH426" s="50"/>
      <c r="FI426" s="50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  <c r="CI427" s="43"/>
      <c r="CJ427" s="43"/>
      <c r="CK427" s="43"/>
      <c r="CL427" s="43"/>
      <c r="CM427" s="43"/>
      <c r="CN427" s="43"/>
      <c r="CO427" s="43"/>
      <c r="CP427" s="43"/>
      <c r="CQ427" s="43"/>
      <c r="CR427" s="43"/>
      <c r="CS427" s="43"/>
      <c r="CT427" s="43"/>
      <c r="CU427" s="43"/>
      <c r="CV427" s="43"/>
      <c r="CW427" s="43"/>
      <c r="CX427" s="43"/>
      <c r="CY427" s="43"/>
      <c r="CZ427" s="43"/>
      <c r="DA427" s="43"/>
      <c r="DB427" s="43"/>
      <c r="DC427" s="43"/>
      <c r="DD427" s="43"/>
      <c r="DE427" s="43"/>
      <c r="DF427" s="43"/>
      <c r="DG427" s="43"/>
      <c r="DH427" s="43"/>
      <c r="DI427" s="43"/>
      <c r="DJ427" s="43"/>
      <c r="DK427" s="43"/>
      <c r="DL427" s="43"/>
      <c r="DM427" s="43"/>
      <c r="DN427" s="43"/>
      <c r="DO427" s="43"/>
      <c r="DP427" s="43"/>
      <c r="DQ427" s="43"/>
      <c r="DR427" s="43"/>
      <c r="DS427" s="43"/>
      <c r="DT427" s="43"/>
      <c r="DU427" s="43"/>
      <c r="DV427" s="43"/>
      <c r="DW427" s="43"/>
      <c r="DX427" s="43"/>
      <c r="DY427" s="43"/>
      <c r="DZ427" s="43"/>
      <c r="EA427" s="43"/>
      <c r="EB427" s="43"/>
      <c r="EC427" s="43"/>
      <c r="ED427" s="43"/>
      <c r="EE427" s="43"/>
      <c r="EF427" s="43"/>
      <c r="EG427" s="43"/>
      <c r="EH427" s="43"/>
      <c r="EI427" s="43"/>
      <c r="EJ427" s="43"/>
      <c r="EK427" s="43"/>
      <c r="EL427" s="43"/>
      <c r="EM427" s="43"/>
      <c r="EN427" s="43"/>
      <c r="EO427" s="43"/>
      <c r="EP427" s="43"/>
      <c r="EQ427" s="43"/>
      <c r="ER427" s="43"/>
      <c r="ES427" s="43"/>
      <c r="ET427" s="43"/>
      <c r="EU427" s="43"/>
      <c r="EV427" s="43"/>
      <c r="EW427" s="43"/>
      <c r="EX427" s="43"/>
      <c r="EY427" s="43"/>
      <c r="EZ427" s="43"/>
      <c r="FA427" s="43"/>
      <c r="FB427" s="43"/>
      <c r="FC427" s="43"/>
      <c r="FD427" s="43"/>
      <c r="FE427" s="43"/>
      <c r="FF427" s="43"/>
      <c r="FG427" s="43"/>
      <c r="FH427" s="50"/>
      <c r="FI427" s="50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  <c r="CI428" s="43"/>
      <c r="CJ428" s="43"/>
      <c r="CK428" s="43"/>
      <c r="CL428" s="43"/>
      <c r="CM428" s="43"/>
      <c r="CN428" s="43"/>
      <c r="CO428" s="43"/>
      <c r="CP428" s="43"/>
      <c r="CQ428" s="43"/>
      <c r="CR428" s="43"/>
      <c r="CS428" s="43"/>
      <c r="CT428" s="43"/>
      <c r="CU428" s="43"/>
      <c r="CV428" s="43"/>
      <c r="CW428" s="43"/>
      <c r="CX428" s="43"/>
      <c r="CY428" s="43"/>
      <c r="CZ428" s="43"/>
      <c r="DA428" s="43"/>
      <c r="DB428" s="43"/>
      <c r="DC428" s="43"/>
      <c r="DD428" s="43"/>
      <c r="DE428" s="43"/>
      <c r="DF428" s="43"/>
      <c r="DG428" s="43"/>
      <c r="DH428" s="43"/>
      <c r="DI428" s="43"/>
      <c r="DJ428" s="43"/>
      <c r="DK428" s="43"/>
      <c r="DL428" s="43"/>
      <c r="DM428" s="43"/>
      <c r="DN428" s="43"/>
      <c r="DO428" s="43"/>
      <c r="DP428" s="43"/>
      <c r="DQ428" s="43"/>
      <c r="DR428" s="43"/>
      <c r="DS428" s="43"/>
      <c r="DT428" s="43"/>
      <c r="DU428" s="43"/>
      <c r="DV428" s="43"/>
      <c r="DW428" s="43"/>
      <c r="DX428" s="43"/>
      <c r="DY428" s="43"/>
      <c r="DZ428" s="43"/>
      <c r="EA428" s="43"/>
      <c r="EB428" s="43"/>
      <c r="EC428" s="43"/>
      <c r="ED428" s="43"/>
      <c r="EE428" s="43"/>
      <c r="EF428" s="43"/>
      <c r="EG428" s="43"/>
      <c r="EH428" s="43"/>
      <c r="EI428" s="43"/>
      <c r="EJ428" s="43"/>
      <c r="EK428" s="43"/>
      <c r="EL428" s="43"/>
      <c r="EM428" s="43"/>
      <c r="EN428" s="43"/>
      <c r="EO428" s="43"/>
      <c r="EP428" s="43"/>
      <c r="EQ428" s="43"/>
      <c r="ER428" s="43"/>
      <c r="ES428" s="43"/>
      <c r="ET428" s="43"/>
      <c r="EU428" s="43"/>
      <c r="EV428" s="43"/>
      <c r="EW428" s="43"/>
      <c r="EX428" s="43"/>
      <c r="EY428" s="43"/>
      <c r="EZ428" s="43"/>
      <c r="FA428" s="43"/>
      <c r="FB428" s="43"/>
      <c r="FC428" s="43"/>
      <c r="FD428" s="43"/>
      <c r="FE428" s="43"/>
      <c r="FF428" s="43"/>
      <c r="FG428" s="43"/>
      <c r="FH428" s="50"/>
      <c r="FI428" s="50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  <c r="CI429" s="43"/>
      <c r="CJ429" s="43"/>
      <c r="CK429" s="43"/>
      <c r="CL429" s="43"/>
      <c r="CM429" s="43"/>
      <c r="CN429" s="43"/>
      <c r="CO429" s="43"/>
      <c r="CP429" s="43"/>
      <c r="CQ429" s="43"/>
      <c r="CR429" s="43"/>
      <c r="CS429" s="43"/>
      <c r="CT429" s="43"/>
      <c r="CU429" s="43"/>
      <c r="CV429" s="43"/>
      <c r="CW429" s="43"/>
      <c r="CX429" s="43"/>
      <c r="CY429" s="43"/>
      <c r="CZ429" s="43"/>
      <c r="DA429" s="43"/>
      <c r="DB429" s="43"/>
      <c r="DC429" s="43"/>
      <c r="DD429" s="43"/>
      <c r="DE429" s="43"/>
      <c r="DF429" s="43"/>
      <c r="DG429" s="43"/>
      <c r="DH429" s="43"/>
      <c r="DI429" s="43"/>
      <c r="DJ429" s="43"/>
      <c r="DK429" s="43"/>
      <c r="DL429" s="43"/>
      <c r="DM429" s="43"/>
      <c r="DN429" s="43"/>
      <c r="DO429" s="43"/>
      <c r="DP429" s="43"/>
      <c r="DQ429" s="43"/>
      <c r="DR429" s="43"/>
      <c r="DS429" s="43"/>
      <c r="DT429" s="43"/>
      <c r="DU429" s="43"/>
      <c r="DV429" s="43"/>
      <c r="DW429" s="43"/>
      <c r="DX429" s="43"/>
      <c r="DY429" s="43"/>
      <c r="DZ429" s="43"/>
      <c r="EA429" s="43"/>
      <c r="EB429" s="43"/>
      <c r="EC429" s="43"/>
      <c r="ED429" s="43"/>
      <c r="EE429" s="43"/>
      <c r="EF429" s="43"/>
      <c r="EG429" s="43"/>
      <c r="EH429" s="43"/>
      <c r="EI429" s="43"/>
      <c r="EJ429" s="43"/>
      <c r="EK429" s="43"/>
      <c r="EL429" s="43"/>
      <c r="EM429" s="43"/>
      <c r="EN429" s="43"/>
      <c r="EO429" s="43"/>
      <c r="EP429" s="43"/>
      <c r="EQ429" s="43"/>
      <c r="ER429" s="43"/>
      <c r="ES429" s="43"/>
      <c r="ET429" s="43"/>
      <c r="EU429" s="43"/>
      <c r="EV429" s="43"/>
      <c r="EW429" s="43"/>
      <c r="EX429" s="43"/>
      <c r="EY429" s="43"/>
      <c r="EZ429" s="43"/>
      <c r="FA429" s="43"/>
      <c r="FB429" s="43"/>
      <c r="FC429" s="43"/>
      <c r="FD429" s="43"/>
      <c r="FE429" s="43"/>
      <c r="FF429" s="43"/>
      <c r="FG429" s="43"/>
      <c r="FH429" s="50"/>
      <c r="FI429" s="50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  <c r="CI430" s="43"/>
      <c r="CJ430" s="43"/>
      <c r="CK430" s="43"/>
      <c r="CL430" s="43"/>
      <c r="CM430" s="43"/>
      <c r="CN430" s="43"/>
      <c r="CO430" s="43"/>
      <c r="CP430" s="43"/>
      <c r="CQ430" s="43"/>
      <c r="CR430" s="43"/>
      <c r="CS430" s="43"/>
      <c r="CT430" s="43"/>
      <c r="CU430" s="43"/>
      <c r="CV430" s="43"/>
      <c r="CW430" s="43"/>
      <c r="CX430" s="43"/>
      <c r="CY430" s="43"/>
      <c r="CZ430" s="43"/>
      <c r="DA430" s="43"/>
      <c r="DB430" s="43"/>
      <c r="DC430" s="43"/>
      <c r="DD430" s="43"/>
      <c r="DE430" s="43"/>
      <c r="DF430" s="43"/>
      <c r="DG430" s="43"/>
      <c r="DH430" s="43"/>
      <c r="DI430" s="43"/>
      <c r="DJ430" s="43"/>
      <c r="DK430" s="43"/>
      <c r="DL430" s="43"/>
      <c r="DM430" s="43"/>
      <c r="DN430" s="43"/>
      <c r="DO430" s="43"/>
      <c r="DP430" s="43"/>
      <c r="DQ430" s="43"/>
      <c r="DR430" s="43"/>
      <c r="DS430" s="43"/>
      <c r="DT430" s="43"/>
      <c r="DU430" s="43"/>
      <c r="DV430" s="43"/>
      <c r="DW430" s="43"/>
      <c r="DX430" s="43"/>
      <c r="DY430" s="43"/>
      <c r="DZ430" s="43"/>
      <c r="EA430" s="43"/>
      <c r="EB430" s="43"/>
      <c r="EC430" s="43"/>
      <c r="ED430" s="43"/>
      <c r="EE430" s="43"/>
      <c r="EF430" s="43"/>
      <c r="EG430" s="43"/>
      <c r="EH430" s="43"/>
      <c r="EI430" s="43"/>
      <c r="EJ430" s="43"/>
      <c r="EK430" s="43"/>
      <c r="EL430" s="43"/>
      <c r="EM430" s="43"/>
      <c r="EN430" s="43"/>
      <c r="EO430" s="43"/>
      <c r="EP430" s="43"/>
      <c r="EQ430" s="43"/>
      <c r="ER430" s="43"/>
      <c r="ES430" s="43"/>
      <c r="ET430" s="43"/>
      <c r="EU430" s="43"/>
      <c r="EV430" s="43"/>
      <c r="EW430" s="43"/>
      <c r="EX430" s="43"/>
      <c r="EY430" s="43"/>
      <c r="EZ430" s="43"/>
      <c r="FA430" s="43"/>
      <c r="FB430" s="43"/>
      <c r="FC430" s="43"/>
      <c r="FD430" s="43"/>
      <c r="FE430" s="43"/>
      <c r="FF430" s="43"/>
      <c r="FG430" s="43"/>
      <c r="FH430" s="50"/>
      <c r="FI430" s="50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  <c r="CV431" s="43"/>
      <c r="CW431" s="43"/>
      <c r="CX431" s="43"/>
      <c r="CY431" s="43"/>
      <c r="CZ431" s="43"/>
      <c r="DA431" s="43"/>
      <c r="DB431" s="43"/>
      <c r="DC431" s="43"/>
      <c r="DD431" s="43"/>
      <c r="DE431" s="43"/>
      <c r="DF431" s="43"/>
      <c r="DG431" s="43"/>
      <c r="DH431" s="43"/>
      <c r="DI431" s="43"/>
      <c r="DJ431" s="43"/>
      <c r="DK431" s="43"/>
      <c r="DL431" s="43"/>
      <c r="DM431" s="43"/>
      <c r="DN431" s="43"/>
      <c r="DO431" s="43"/>
      <c r="DP431" s="43"/>
      <c r="DQ431" s="43"/>
      <c r="DR431" s="43"/>
      <c r="DS431" s="43"/>
      <c r="DT431" s="43"/>
      <c r="DU431" s="43"/>
      <c r="DV431" s="43"/>
      <c r="DW431" s="43"/>
      <c r="DX431" s="43"/>
      <c r="DY431" s="43"/>
      <c r="DZ431" s="43"/>
      <c r="EA431" s="43"/>
      <c r="EB431" s="43"/>
      <c r="EC431" s="43"/>
      <c r="ED431" s="43"/>
      <c r="EE431" s="43"/>
      <c r="EF431" s="43"/>
      <c r="EG431" s="43"/>
      <c r="EH431" s="43"/>
      <c r="EI431" s="43"/>
      <c r="EJ431" s="43"/>
      <c r="EK431" s="43"/>
      <c r="EL431" s="43"/>
      <c r="EM431" s="43"/>
      <c r="EN431" s="43"/>
      <c r="EO431" s="43"/>
      <c r="EP431" s="43"/>
      <c r="EQ431" s="43"/>
      <c r="ER431" s="43"/>
      <c r="ES431" s="43"/>
      <c r="ET431" s="43"/>
      <c r="EU431" s="43"/>
      <c r="EV431" s="43"/>
      <c r="EW431" s="43"/>
      <c r="EX431" s="43"/>
      <c r="EY431" s="43"/>
      <c r="EZ431" s="43"/>
      <c r="FA431" s="43"/>
      <c r="FB431" s="43"/>
      <c r="FC431" s="43"/>
      <c r="FD431" s="43"/>
      <c r="FE431" s="43"/>
      <c r="FF431" s="43"/>
      <c r="FG431" s="43"/>
      <c r="FH431" s="50"/>
      <c r="FI431" s="50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  <c r="CS432" s="43"/>
      <c r="CT432" s="43"/>
      <c r="CU432" s="43"/>
      <c r="CV432" s="43"/>
      <c r="CW432" s="43"/>
      <c r="CX432" s="43"/>
      <c r="CY432" s="43"/>
      <c r="CZ432" s="43"/>
      <c r="DA432" s="43"/>
      <c r="DB432" s="43"/>
      <c r="DC432" s="43"/>
      <c r="DD432" s="43"/>
      <c r="DE432" s="43"/>
      <c r="DF432" s="43"/>
      <c r="DG432" s="43"/>
      <c r="DH432" s="43"/>
      <c r="DI432" s="43"/>
      <c r="DJ432" s="43"/>
      <c r="DK432" s="43"/>
      <c r="DL432" s="43"/>
      <c r="DM432" s="43"/>
      <c r="DN432" s="43"/>
      <c r="DO432" s="43"/>
      <c r="DP432" s="43"/>
      <c r="DQ432" s="43"/>
      <c r="DR432" s="43"/>
      <c r="DS432" s="43"/>
      <c r="DT432" s="43"/>
      <c r="DU432" s="43"/>
      <c r="DV432" s="43"/>
      <c r="DW432" s="43"/>
      <c r="DX432" s="43"/>
      <c r="DY432" s="43"/>
      <c r="DZ432" s="43"/>
      <c r="EA432" s="43"/>
      <c r="EB432" s="43"/>
      <c r="EC432" s="43"/>
      <c r="ED432" s="43"/>
      <c r="EE432" s="43"/>
      <c r="EF432" s="43"/>
      <c r="EG432" s="43"/>
      <c r="EH432" s="43"/>
      <c r="EI432" s="43"/>
      <c r="EJ432" s="43"/>
      <c r="EK432" s="43"/>
      <c r="EL432" s="43"/>
      <c r="EM432" s="43"/>
      <c r="EN432" s="43"/>
      <c r="EO432" s="43"/>
      <c r="EP432" s="43"/>
      <c r="EQ432" s="43"/>
      <c r="ER432" s="43"/>
      <c r="ES432" s="43"/>
      <c r="ET432" s="43"/>
      <c r="EU432" s="43"/>
      <c r="EV432" s="43"/>
      <c r="EW432" s="43"/>
      <c r="EX432" s="43"/>
      <c r="EY432" s="43"/>
      <c r="EZ432" s="43"/>
      <c r="FA432" s="43"/>
      <c r="FB432" s="43"/>
      <c r="FC432" s="43"/>
      <c r="FD432" s="43"/>
      <c r="FE432" s="43"/>
      <c r="FF432" s="43"/>
      <c r="FG432" s="43"/>
      <c r="FH432" s="50"/>
      <c r="FI432" s="50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  <c r="CS433" s="43"/>
      <c r="CT433" s="43"/>
      <c r="CU433" s="43"/>
      <c r="CV433" s="43"/>
      <c r="CW433" s="43"/>
      <c r="CX433" s="43"/>
      <c r="CY433" s="43"/>
      <c r="CZ433" s="43"/>
      <c r="DA433" s="43"/>
      <c r="DB433" s="43"/>
      <c r="DC433" s="43"/>
      <c r="DD433" s="43"/>
      <c r="DE433" s="43"/>
      <c r="DF433" s="43"/>
      <c r="DG433" s="43"/>
      <c r="DH433" s="43"/>
      <c r="DI433" s="43"/>
      <c r="DJ433" s="43"/>
      <c r="DK433" s="43"/>
      <c r="DL433" s="43"/>
      <c r="DM433" s="43"/>
      <c r="DN433" s="43"/>
      <c r="DO433" s="43"/>
      <c r="DP433" s="43"/>
      <c r="DQ433" s="43"/>
      <c r="DR433" s="43"/>
      <c r="DS433" s="43"/>
      <c r="DT433" s="43"/>
      <c r="DU433" s="43"/>
      <c r="DV433" s="43"/>
      <c r="DW433" s="43"/>
      <c r="DX433" s="43"/>
      <c r="DY433" s="43"/>
      <c r="DZ433" s="43"/>
      <c r="EA433" s="43"/>
      <c r="EB433" s="43"/>
      <c r="EC433" s="43"/>
      <c r="ED433" s="43"/>
      <c r="EE433" s="43"/>
      <c r="EF433" s="43"/>
      <c r="EG433" s="43"/>
      <c r="EH433" s="43"/>
      <c r="EI433" s="43"/>
      <c r="EJ433" s="43"/>
      <c r="EK433" s="43"/>
      <c r="EL433" s="43"/>
      <c r="EM433" s="43"/>
      <c r="EN433" s="43"/>
      <c r="EO433" s="43"/>
      <c r="EP433" s="43"/>
      <c r="EQ433" s="43"/>
      <c r="ER433" s="43"/>
      <c r="ES433" s="43"/>
      <c r="ET433" s="43"/>
      <c r="EU433" s="43"/>
      <c r="EV433" s="43"/>
      <c r="EW433" s="43"/>
      <c r="EX433" s="43"/>
      <c r="EY433" s="43"/>
      <c r="EZ433" s="43"/>
      <c r="FA433" s="43"/>
      <c r="FB433" s="43"/>
      <c r="FC433" s="43"/>
      <c r="FD433" s="43"/>
      <c r="FE433" s="43"/>
      <c r="FF433" s="43"/>
      <c r="FG433" s="43"/>
      <c r="FH433" s="50"/>
      <c r="FI433" s="50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  <c r="CV434" s="43"/>
      <c r="CW434" s="43"/>
      <c r="CX434" s="43"/>
      <c r="CY434" s="43"/>
      <c r="CZ434" s="43"/>
      <c r="DA434" s="43"/>
      <c r="DB434" s="43"/>
      <c r="DC434" s="43"/>
      <c r="DD434" s="43"/>
      <c r="DE434" s="43"/>
      <c r="DF434" s="43"/>
      <c r="DG434" s="43"/>
      <c r="DH434" s="43"/>
      <c r="DI434" s="43"/>
      <c r="DJ434" s="43"/>
      <c r="DK434" s="43"/>
      <c r="DL434" s="43"/>
      <c r="DM434" s="43"/>
      <c r="DN434" s="43"/>
      <c r="DO434" s="43"/>
      <c r="DP434" s="43"/>
      <c r="DQ434" s="43"/>
      <c r="DR434" s="43"/>
      <c r="DS434" s="43"/>
      <c r="DT434" s="43"/>
      <c r="DU434" s="43"/>
      <c r="DV434" s="43"/>
      <c r="DW434" s="43"/>
      <c r="DX434" s="43"/>
      <c r="DY434" s="43"/>
      <c r="DZ434" s="43"/>
      <c r="EA434" s="43"/>
      <c r="EB434" s="43"/>
      <c r="EC434" s="43"/>
      <c r="ED434" s="43"/>
      <c r="EE434" s="43"/>
      <c r="EF434" s="43"/>
      <c r="EG434" s="43"/>
      <c r="EH434" s="43"/>
      <c r="EI434" s="43"/>
      <c r="EJ434" s="43"/>
      <c r="EK434" s="43"/>
      <c r="EL434" s="43"/>
      <c r="EM434" s="43"/>
      <c r="EN434" s="43"/>
      <c r="EO434" s="43"/>
      <c r="EP434" s="43"/>
      <c r="EQ434" s="43"/>
      <c r="ER434" s="43"/>
      <c r="ES434" s="43"/>
      <c r="ET434" s="43"/>
      <c r="EU434" s="43"/>
      <c r="EV434" s="43"/>
      <c r="EW434" s="43"/>
      <c r="EX434" s="43"/>
      <c r="EY434" s="43"/>
      <c r="EZ434" s="43"/>
      <c r="FA434" s="43"/>
      <c r="FB434" s="43"/>
      <c r="FC434" s="43"/>
      <c r="FD434" s="43"/>
      <c r="FE434" s="43"/>
      <c r="FF434" s="43"/>
      <c r="FG434" s="43"/>
      <c r="FH434" s="50"/>
      <c r="FI434" s="50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  <c r="CS435" s="43"/>
      <c r="CT435" s="43"/>
      <c r="CU435" s="43"/>
      <c r="CV435" s="43"/>
      <c r="CW435" s="43"/>
      <c r="CX435" s="43"/>
      <c r="CY435" s="43"/>
      <c r="CZ435" s="43"/>
      <c r="DA435" s="43"/>
      <c r="DB435" s="43"/>
      <c r="DC435" s="43"/>
      <c r="DD435" s="43"/>
      <c r="DE435" s="43"/>
      <c r="DF435" s="43"/>
      <c r="DG435" s="43"/>
      <c r="DH435" s="43"/>
      <c r="DI435" s="43"/>
      <c r="DJ435" s="43"/>
      <c r="DK435" s="43"/>
      <c r="DL435" s="43"/>
      <c r="DM435" s="43"/>
      <c r="DN435" s="43"/>
      <c r="DO435" s="43"/>
      <c r="DP435" s="43"/>
      <c r="DQ435" s="43"/>
      <c r="DR435" s="43"/>
      <c r="DS435" s="43"/>
      <c r="DT435" s="43"/>
      <c r="DU435" s="43"/>
      <c r="DV435" s="43"/>
      <c r="DW435" s="43"/>
      <c r="DX435" s="43"/>
      <c r="DY435" s="43"/>
      <c r="DZ435" s="43"/>
      <c r="EA435" s="43"/>
      <c r="EB435" s="43"/>
      <c r="EC435" s="43"/>
      <c r="ED435" s="43"/>
      <c r="EE435" s="43"/>
      <c r="EF435" s="43"/>
      <c r="EG435" s="43"/>
      <c r="EH435" s="43"/>
      <c r="EI435" s="43"/>
      <c r="EJ435" s="43"/>
      <c r="EK435" s="43"/>
      <c r="EL435" s="43"/>
      <c r="EM435" s="43"/>
      <c r="EN435" s="43"/>
      <c r="EO435" s="43"/>
      <c r="EP435" s="43"/>
      <c r="EQ435" s="43"/>
      <c r="ER435" s="43"/>
      <c r="ES435" s="43"/>
      <c r="ET435" s="43"/>
      <c r="EU435" s="43"/>
      <c r="EV435" s="43"/>
      <c r="EW435" s="43"/>
      <c r="EX435" s="43"/>
      <c r="EY435" s="43"/>
      <c r="EZ435" s="43"/>
      <c r="FA435" s="43"/>
      <c r="FB435" s="43"/>
      <c r="FC435" s="43"/>
      <c r="FD435" s="43"/>
      <c r="FE435" s="43"/>
      <c r="FF435" s="43"/>
      <c r="FG435" s="43"/>
      <c r="FH435" s="50"/>
      <c r="FI435" s="50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43"/>
      <c r="CW436" s="43"/>
      <c r="CX436" s="43"/>
      <c r="CY436" s="43"/>
      <c r="CZ436" s="43"/>
      <c r="DA436" s="43"/>
      <c r="DB436" s="43"/>
      <c r="DC436" s="43"/>
      <c r="DD436" s="43"/>
      <c r="DE436" s="43"/>
      <c r="DF436" s="43"/>
      <c r="DG436" s="43"/>
      <c r="DH436" s="43"/>
      <c r="DI436" s="43"/>
      <c r="DJ436" s="43"/>
      <c r="DK436" s="43"/>
      <c r="DL436" s="43"/>
      <c r="DM436" s="43"/>
      <c r="DN436" s="43"/>
      <c r="DO436" s="43"/>
      <c r="DP436" s="43"/>
      <c r="DQ436" s="43"/>
      <c r="DR436" s="43"/>
      <c r="DS436" s="43"/>
      <c r="DT436" s="43"/>
      <c r="DU436" s="43"/>
      <c r="DV436" s="43"/>
      <c r="DW436" s="43"/>
      <c r="DX436" s="43"/>
      <c r="DY436" s="43"/>
      <c r="DZ436" s="43"/>
      <c r="EA436" s="43"/>
      <c r="EB436" s="43"/>
      <c r="EC436" s="43"/>
      <c r="ED436" s="43"/>
      <c r="EE436" s="43"/>
      <c r="EF436" s="43"/>
      <c r="EG436" s="43"/>
      <c r="EH436" s="43"/>
      <c r="EI436" s="43"/>
      <c r="EJ436" s="43"/>
      <c r="EK436" s="43"/>
      <c r="EL436" s="43"/>
      <c r="EM436" s="43"/>
      <c r="EN436" s="43"/>
      <c r="EO436" s="43"/>
      <c r="EP436" s="43"/>
      <c r="EQ436" s="43"/>
      <c r="ER436" s="43"/>
      <c r="ES436" s="43"/>
      <c r="ET436" s="43"/>
      <c r="EU436" s="43"/>
      <c r="EV436" s="43"/>
      <c r="EW436" s="43"/>
      <c r="EX436" s="43"/>
      <c r="EY436" s="43"/>
      <c r="EZ436" s="43"/>
      <c r="FA436" s="43"/>
      <c r="FB436" s="43"/>
      <c r="FC436" s="43"/>
      <c r="FD436" s="43"/>
      <c r="FE436" s="43"/>
      <c r="FF436" s="43"/>
      <c r="FG436" s="43"/>
      <c r="FH436" s="50"/>
      <c r="FI436" s="50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  <c r="CV437" s="43"/>
      <c r="CW437" s="43"/>
      <c r="CX437" s="43"/>
      <c r="CY437" s="43"/>
      <c r="CZ437" s="43"/>
      <c r="DA437" s="43"/>
      <c r="DB437" s="43"/>
      <c r="DC437" s="43"/>
      <c r="DD437" s="43"/>
      <c r="DE437" s="43"/>
      <c r="DF437" s="43"/>
      <c r="DG437" s="43"/>
      <c r="DH437" s="43"/>
      <c r="DI437" s="43"/>
      <c r="DJ437" s="43"/>
      <c r="DK437" s="43"/>
      <c r="DL437" s="43"/>
      <c r="DM437" s="43"/>
      <c r="DN437" s="43"/>
      <c r="DO437" s="43"/>
      <c r="DP437" s="43"/>
      <c r="DQ437" s="43"/>
      <c r="DR437" s="43"/>
      <c r="DS437" s="43"/>
      <c r="DT437" s="43"/>
      <c r="DU437" s="43"/>
      <c r="DV437" s="43"/>
      <c r="DW437" s="43"/>
      <c r="DX437" s="43"/>
      <c r="DY437" s="43"/>
      <c r="DZ437" s="43"/>
      <c r="EA437" s="43"/>
      <c r="EB437" s="43"/>
      <c r="EC437" s="43"/>
      <c r="ED437" s="43"/>
      <c r="EE437" s="43"/>
      <c r="EF437" s="43"/>
      <c r="EG437" s="43"/>
      <c r="EH437" s="43"/>
      <c r="EI437" s="43"/>
      <c r="EJ437" s="43"/>
      <c r="EK437" s="43"/>
      <c r="EL437" s="43"/>
      <c r="EM437" s="43"/>
      <c r="EN437" s="43"/>
      <c r="EO437" s="43"/>
      <c r="EP437" s="43"/>
      <c r="EQ437" s="43"/>
      <c r="ER437" s="43"/>
      <c r="ES437" s="43"/>
      <c r="ET437" s="43"/>
      <c r="EU437" s="43"/>
      <c r="EV437" s="43"/>
      <c r="EW437" s="43"/>
      <c r="EX437" s="43"/>
      <c r="EY437" s="43"/>
      <c r="EZ437" s="43"/>
      <c r="FA437" s="43"/>
      <c r="FB437" s="43"/>
      <c r="FC437" s="43"/>
      <c r="FD437" s="43"/>
      <c r="FE437" s="43"/>
      <c r="FF437" s="43"/>
      <c r="FG437" s="43"/>
      <c r="FH437" s="50"/>
      <c r="FI437" s="50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/>
      <c r="CI438" s="43"/>
      <c r="CJ438" s="43"/>
      <c r="CK438" s="43"/>
      <c r="CL438" s="43"/>
      <c r="CM438" s="43"/>
      <c r="CN438" s="43"/>
      <c r="CO438" s="43"/>
      <c r="CP438" s="43"/>
      <c r="CQ438" s="43"/>
      <c r="CR438" s="43"/>
      <c r="CS438" s="43"/>
      <c r="CT438" s="43"/>
      <c r="CU438" s="43"/>
      <c r="CV438" s="43"/>
      <c r="CW438" s="43"/>
      <c r="CX438" s="43"/>
      <c r="CY438" s="43"/>
      <c r="CZ438" s="43"/>
      <c r="DA438" s="43"/>
      <c r="DB438" s="43"/>
      <c r="DC438" s="43"/>
      <c r="DD438" s="43"/>
      <c r="DE438" s="43"/>
      <c r="DF438" s="43"/>
      <c r="DG438" s="43"/>
      <c r="DH438" s="43"/>
      <c r="DI438" s="43"/>
      <c r="DJ438" s="43"/>
      <c r="DK438" s="43"/>
      <c r="DL438" s="43"/>
      <c r="DM438" s="43"/>
      <c r="DN438" s="43"/>
      <c r="DO438" s="43"/>
      <c r="DP438" s="43"/>
      <c r="DQ438" s="43"/>
      <c r="DR438" s="43"/>
      <c r="DS438" s="43"/>
      <c r="DT438" s="43"/>
      <c r="DU438" s="43"/>
      <c r="DV438" s="43"/>
      <c r="DW438" s="43"/>
      <c r="DX438" s="43"/>
      <c r="DY438" s="43"/>
      <c r="DZ438" s="43"/>
      <c r="EA438" s="43"/>
      <c r="EB438" s="43"/>
      <c r="EC438" s="43"/>
      <c r="ED438" s="43"/>
      <c r="EE438" s="43"/>
      <c r="EF438" s="43"/>
      <c r="EG438" s="43"/>
      <c r="EH438" s="43"/>
      <c r="EI438" s="43"/>
      <c r="EJ438" s="43"/>
      <c r="EK438" s="43"/>
      <c r="EL438" s="43"/>
      <c r="EM438" s="43"/>
      <c r="EN438" s="43"/>
      <c r="EO438" s="43"/>
      <c r="EP438" s="43"/>
      <c r="EQ438" s="43"/>
      <c r="ER438" s="43"/>
      <c r="ES438" s="43"/>
      <c r="ET438" s="43"/>
      <c r="EU438" s="43"/>
      <c r="EV438" s="43"/>
      <c r="EW438" s="43"/>
      <c r="EX438" s="43"/>
      <c r="EY438" s="43"/>
      <c r="EZ438" s="43"/>
      <c r="FA438" s="43"/>
      <c r="FB438" s="43"/>
      <c r="FC438" s="43"/>
      <c r="FD438" s="43"/>
      <c r="FE438" s="43"/>
      <c r="FF438" s="43"/>
      <c r="FG438" s="43"/>
      <c r="FH438" s="50"/>
      <c r="FI438" s="50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/>
      <c r="CM439" s="43"/>
      <c r="CN439" s="43"/>
      <c r="CO439" s="43"/>
      <c r="CP439" s="43"/>
      <c r="CQ439" s="43"/>
      <c r="CR439" s="43"/>
      <c r="CS439" s="43"/>
      <c r="CT439" s="43"/>
      <c r="CU439" s="43"/>
      <c r="CV439" s="43"/>
      <c r="CW439" s="43"/>
      <c r="CX439" s="43"/>
      <c r="CY439" s="43"/>
      <c r="CZ439" s="43"/>
      <c r="DA439" s="43"/>
      <c r="DB439" s="43"/>
      <c r="DC439" s="43"/>
      <c r="DD439" s="43"/>
      <c r="DE439" s="43"/>
      <c r="DF439" s="43"/>
      <c r="DG439" s="43"/>
      <c r="DH439" s="43"/>
      <c r="DI439" s="43"/>
      <c r="DJ439" s="43"/>
      <c r="DK439" s="43"/>
      <c r="DL439" s="43"/>
      <c r="DM439" s="43"/>
      <c r="DN439" s="43"/>
      <c r="DO439" s="43"/>
      <c r="DP439" s="43"/>
      <c r="DQ439" s="43"/>
      <c r="DR439" s="43"/>
      <c r="DS439" s="43"/>
      <c r="DT439" s="43"/>
      <c r="DU439" s="43"/>
      <c r="DV439" s="43"/>
      <c r="DW439" s="43"/>
      <c r="DX439" s="43"/>
      <c r="DY439" s="43"/>
      <c r="DZ439" s="43"/>
      <c r="EA439" s="43"/>
      <c r="EB439" s="43"/>
      <c r="EC439" s="43"/>
      <c r="ED439" s="43"/>
      <c r="EE439" s="43"/>
      <c r="EF439" s="43"/>
      <c r="EG439" s="43"/>
      <c r="EH439" s="43"/>
      <c r="EI439" s="43"/>
      <c r="EJ439" s="43"/>
      <c r="EK439" s="43"/>
      <c r="EL439" s="43"/>
      <c r="EM439" s="43"/>
      <c r="EN439" s="43"/>
      <c r="EO439" s="43"/>
      <c r="EP439" s="43"/>
      <c r="EQ439" s="43"/>
      <c r="ER439" s="43"/>
      <c r="ES439" s="43"/>
      <c r="ET439" s="43"/>
      <c r="EU439" s="43"/>
      <c r="EV439" s="43"/>
      <c r="EW439" s="43"/>
      <c r="EX439" s="43"/>
      <c r="EY439" s="43"/>
      <c r="EZ439" s="43"/>
      <c r="FA439" s="43"/>
      <c r="FB439" s="43"/>
      <c r="FC439" s="43"/>
      <c r="FD439" s="43"/>
      <c r="FE439" s="43"/>
      <c r="FF439" s="43"/>
      <c r="FG439" s="43"/>
      <c r="FH439" s="50"/>
      <c r="FI439" s="50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  <c r="CS440" s="43"/>
      <c r="CT440" s="43"/>
      <c r="CU440" s="43"/>
      <c r="CV440" s="43"/>
      <c r="CW440" s="43"/>
      <c r="CX440" s="43"/>
      <c r="CY440" s="43"/>
      <c r="CZ440" s="43"/>
      <c r="DA440" s="43"/>
      <c r="DB440" s="43"/>
      <c r="DC440" s="43"/>
      <c r="DD440" s="43"/>
      <c r="DE440" s="43"/>
      <c r="DF440" s="43"/>
      <c r="DG440" s="43"/>
      <c r="DH440" s="43"/>
      <c r="DI440" s="43"/>
      <c r="DJ440" s="43"/>
      <c r="DK440" s="43"/>
      <c r="DL440" s="43"/>
      <c r="DM440" s="43"/>
      <c r="DN440" s="43"/>
      <c r="DO440" s="43"/>
      <c r="DP440" s="43"/>
      <c r="DQ440" s="43"/>
      <c r="DR440" s="43"/>
      <c r="DS440" s="43"/>
      <c r="DT440" s="43"/>
      <c r="DU440" s="43"/>
      <c r="DV440" s="43"/>
      <c r="DW440" s="43"/>
      <c r="DX440" s="43"/>
      <c r="DY440" s="43"/>
      <c r="DZ440" s="43"/>
      <c r="EA440" s="43"/>
      <c r="EB440" s="43"/>
      <c r="EC440" s="43"/>
      <c r="ED440" s="43"/>
      <c r="EE440" s="43"/>
      <c r="EF440" s="43"/>
      <c r="EG440" s="43"/>
      <c r="EH440" s="43"/>
      <c r="EI440" s="43"/>
      <c r="EJ440" s="43"/>
      <c r="EK440" s="43"/>
      <c r="EL440" s="43"/>
      <c r="EM440" s="43"/>
      <c r="EN440" s="43"/>
      <c r="EO440" s="43"/>
      <c r="EP440" s="43"/>
      <c r="EQ440" s="43"/>
      <c r="ER440" s="43"/>
      <c r="ES440" s="43"/>
      <c r="ET440" s="43"/>
      <c r="EU440" s="43"/>
      <c r="EV440" s="43"/>
      <c r="EW440" s="43"/>
      <c r="EX440" s="43"/>
      <c r="EY440" s="43"/>
      <c r="EZ440" s="43"/>
      <c r="FA440" s="43"/>
      <c r="FB440" s="43"/>
      <c r="FC440" s="43"/>
      <c r="FD440" s="43"/>
      <c r="FE440" s="43"/>
      <c r="FF440" s="43"/>
      <c r="FG440" s="43"/>
      <c r="FH440" s="50"/>
      <c r="FI440" s="50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/>
      <c r="CM441" s="43"/>
      <c r="CN441" s="43"/>
      <c r="CO441" s="43"/>
      <c r="CP441" s="43"/>
      <c r="CQ441" s="43"/>
      <c r="CR441" s="43"/>
      <c r="CS441" s="43"/>
      <c r="CT441" s="43"/>
      <c r="CU441" s="43"/>
      <c r="CV441" s="43"/>
      <c r="CW441" s="43"/>
      <c r="CX441" s="43"/>
      <c r="CY441" s="43"/>
      <c r="CZ441" s="43"/>
      <c r="DA441" s="43"/>
      <c r="DB441" s="43"/>
      <c r="DC441" s="43"/>
      <c r="DD441" s="43"/>
      <c r="DE441" s="43"/>
      <c r="DF441" s="43"/>
      <c r="DG441" s="43"/>
      <c r="DH441" s="43"/>
      <c r="DI441" s="43"/>
      <c r="DJ441" s="43"/>
      <c r="DK441" s="43"/>
      <c r="DL441" s="43"/>
      <c r="DM441" s="43"/>
      <c r="DN441" s="43"/>
      <c r="DO441" s="43"/>
      <c r="DP441" s="43"/>
      <c r="DQ441" s="43"/>
      <c r="DR441" s="43"/>
      <c r="DS441" s="43"/>
      <c r="DT441" s="43"/>
      <c r="DU441" s="43"/>
      <c r="DV441" s="43"/>
      <c r="DW441" s="43"/>
      <c r="DX441" s="43"/>
      <c r="DY441" s="43"/>
      <c r="DZ441" s="43"/>
      <c r="EA441" s="43"/>
      <c r="EB441" s="43"/>
      <c r="EC441" s="43"/>
      <c r="ED441" s="43"/>
      <c r="EE441" s="43"/>
      <c r="EF441" s="43"/>
      <c r="EG441" s="43"/>
      <c r="EH441" s="43"/>
      <c r="EI441" s="43"/>
      <c r="EJ441" s="43"/>
      <c r="EK441" s="43"/>
      <c r="EL441" s="43"/>
      <c r="EM441" s="43"/>
      <c r="EN441" s="43"/>
      <c r="EO441" s="43"/>
      <c r="EP441" s="43"/>
      <c r="EQ441" s="43"/>
      <c r="ER441" s="43"/>
      <c r="ES441" s="43"/>
      <c r="ET441" s="43"/>
      <c r="EU441" s="43"/>
      <c r="EV441" s="43"/>
      <c r="EW441" s="43"/>
      <c r="EX441" s="43"/>
      <c r="EY441" s="43"/>
      <c r="EZ441" s="43"/>
      <c r="FA441" s="43"/>
      <c r="FB441" s="43"/>
      <c r="FC441" s="43"/>
      <c r="FD441" s="43"/>
      <c r="FE441" s="43"/>
      <c r="FF441" s="43"/>
      <c r="FG441" s="43"/>
      <c r="FH441" s="50"/>
      <c r="FI441" s="50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/>
      <c r="CM442" s="43"/>
      <c r="CN442" s="43"/>
      <c r="CO442" s="43"/>
      <c r="CP442" s="43"/>
      <c r="CQ442" s="43"/>
      <c r="CR442" s="43"/>
      <c r="CS442" s="43"/>
      <c r="CT442" s="43"/>
      <c r="CU442" s="43"/>
      <c r="CV442" s="43"/>
      <c r="CW442" s="43"/>
      <c r="CX442" s="43"/>
      <c r="CY442" s="43"/>
      <c r="CZ442" s="43"/>
      <c r="DA442" s="43"/>
      <c r="DB442" s="43"/>
      <c r="DC442" s="43"/>
      <c r="DD442" s="43"/>
      <c r="DE442" s="43"/>
      <c r="DF442" s="43"/>
      <c r="DG442" s="43"/>
      <c r="DH442" s="43"/>
      <c r="DI442" s="43"/>
      <c r="DJ442" s="43"/>
      <c r="DK442" s="43"/>
      <c r="DL442" s="43"/>
      <c r="DM442" s="43"/>
      <c r="DN442" s="43"/>
      <c r="DO442" s="43"/>
      <c r="DP442" s="43"/>
      <c r="DQ442" s="43"/>
      <c r="DR442" s="43"/>
      <c r="DS442" s="43"/>
      <c r="DT442" s="43"/>
      <c r="DU442" s="43"/>
      <c r="DV442" s="43"/>
      <c r="DW442" s="43"/>
      <c r="DX442" s="43"/>
      <c r="DY442" s="43"/>
      <c r="DZ442" s="43"/>
      <c r="EA442" s="43"/>
      <c r="EB442" s="43"/>
      <c r="EC442" s="43"/>
      <c r="ED442" s="43"/>
      <c r="EE442" s="43"/>
      <c r="EF442" s="43"/>
      <c r="EG442" s="43"/>
      <c r="EH442" s="43"/>
      <c r="EI442" s="43"/>
      <c r="EJ442" s="43"/>
      <c r="EK442" s="43"/>
      <c r="EL442" s="43"/>
      <c r="EM442" s="43"/>
      <c r="EN442" s="43"/>
      <c r="EO442" s="43"/>
      <c r="EP442" s="43"/>
      <c r="EQ442" s="43"/>
      <c r="ER442" s="43"/>
      <c r="ES442" s="43"/>
      <c r="ET442" s="43"/>
      <c r="EU442" s="43"/>
      <c r="EV442" s="43"/>
      <c r="EW442" s="43"/>
      <c r="EX442" s="43"/>
      <c r="EY442" s="43"/>
      <c r="EZ442" s="43"/>
      <c r="FA442" s="43"/>
      <c r="FB442" s="43"/>
      <c r="FC442" s="43"/>
      <c r="FD442" s="43"/>
      <c r="FE442" s="43"/>
      <c r="FF442" s="43"/>
      <c r="FG442" s="43"/>
      <c r="FH442" s="50"/>
      <c r="FI442" s="50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  <c r="CS443" s="43"/>
      <c r="CT443" s="43"/>
      <c r="CU443" s="43"/>
      <c r="CV443" s="43"/>
      <c r="CW443" s="43"/>
      <c r="CX443" s="43"/>
      <c r="CY443" s="43"/>
      <c r="CZ443" s="43"/>
      <c r="DA443" s="43"/>
      <c r="DB443" s="43"/>
      <c r="DC443" s="43"/>
      <c r="DD443" s="43"/>
      <c r="DE443" s="43"/>
      <c r="DF443" s="43"/>
      <c r="DG443" s="43"/>
      <c r="DH443" s="43"/>
      <c r="DI443" s="43"/>
      <c r="DJ443" s="43"/>
      <c r="DK443" s="43"/>
      <c r="DL443" s="43"/>
      <c r="DM443" s="43"/>
      <c r="DN443" s="43"/>
      <c r="DO443" s="43"/>
      <c r="DP443" s="43"/>
      <c r="DQ443" s="43"/>
      <c r="DR443" s="43"/>
      <c r="DS443" s="43"/>
      <c r="DT443" s="43"/>
      <c r="DU443" s="43"/>
      <c r="DV443" s="43"/>
      <c r="DW443" s="43"/>
      <c r="DX443" s="43"/>
      <c r="DY443" s="43"/>
      <c r="DZ443" s="43"/>
      <c r="EA443" s="43"/>
      <c r="EB443" s="43"/>
      <c r="EC443" s="43"/>
      <c r="ED443" s="43"/>
      <c r="EE443" s="43"/>
      <c r="EF443" s="43"/>
      <c r="EG443" s="43"/>
      <c r="EH443" s="43"/>
      <c r="EI443" s="43"/>
      <c r="EJ443" s="43"/>
      <c r="EK443" s="43"/>
      <c r="EL443" s="43"/>
      <c r="EM443" s="43"/>
      <c r="EN443" s="43"/>
      <c r="EO443" s="43"/>
      <c r="EP443" s="43"/>
      <c r="EQ443" s="43"/>
      <c r="ER443" s="43"/>
      <c r="ES443" s="43"/>
      <c r="ET443" s="43"/>
      <c r="EU443" s="43"/>
      <c r="EV443" s="43"/>
      <c r="EW443" s="43"/>
      <c r="EX443" s="43"/>
      <c r="EY443" s="43"/>
      <c r="EZ443" s="43"/>
      <c r="FA443" s="43"/>
      <c r="FB443" s="43"/>
      <c r="FC443" s="43"/>
      <c r="FD443" s="43"/>
      <c r="FE443" s="43"/>
      <c r="FF443" s="43"/>
      <c r="FG443" s="43"/>
      <c r="FH443" s="50"/>
      <c r="FI443" s="50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/>
      <c r="CM444" s="43"/>
      <c r="CN444" s="43"/>
      <c r="CO444" s="43"/>
      <c r="CP444" s="43"/>
      <c r="CQ444" s="43"/>
      <c r="CR444" s="43"/>
      <c r="CS444" s="43"/>
      <c r="CT444" s="43"/>
      <c r="CU444" s="43"/>
      <c r="CV444" s="43"/>
      <c r="CW444" s="43"/>
      <c r="CX444" s="43"/>
      <c r="CY444" s="43"/>
      <c r="CZ444" s="43"/>
      <c r="DA444" s="43"/>
      <c r="DB444" s="43"/>
      <c r="DC444" s="43"/>
      <c r="DD444" s="43"/>
      <c r="DE444" s="43"/>
      <c r="DF444" s="43"/>
      <c r="DG444" s="43"/>
      <c r="DH444" s="43"/>
      <c r="DI444" s="43"/>
      <c r="DJ444" s="43"/>
      <c r="DK444" s="43"/>
      <c r="DL444" s="43"/>
      <c r="DM444" s="43"/>
      <c r="DN444" s="43"/>
      <c r="DO444" s="43"/>
      <c r="DP444" s="43"/>
      <c r="DQ444" s="43"/>
      <c r="DR444" s="43"/>
      <c r="DS444" s="43"/>
      <c r="DT444" s="43"/>
      <c r="DU444" s="43"/>
      <c r="DV444" s="43"/>
      <c r="DW444" s="43"/>
      <c r="DX444" s="43"/>
      <c r="DY444" s="43"/>
      <c r="DZ444" s="43"/>
      <c r="EA444" s="43"/>
      <c r="EB444" s="43"/>
      <c r="EC444" s="43"/>
      <c r="ED444" s="43"/>
      <c r="EE444" s="43"/>
      <c r="EF444" s="43"/>
      <c r="EG444" s="43"/>
      <c r="EH444" s="43"/>
      <c r="EI444" s="43"/>
      <c r="EJ444" s="43"/>
      <c r="EK444" s="43"/>
      <c r="EL444" s="43"/>
      <c r="EM444" s="43"/>
      <c r="EN444" s="43"/>
      <c r="EO444" s="43"/>
      <c r="EP444" s="43"/>
      <c r="EQ444" s="43"/>
      <c r="ER444" s="43"/>
      <c r="ES444" s="43"/>
      <c r="ET444" s="43"/>
      <c r="EU444" s="43"/>
      <c r="EV444" s="43"/>
      <c r="EW444" s="43"/>
      <c r="EX444" s="43"/>
      <c r="EY444" s="43"/>
      <c r="EZ444" s="43"/>
      <c r="FA444" s="43"/>
      <c r="FB444" s="43"/>
      <c r="FC444" s="43"/>
      <c r="FD444" s="43"/>
      <c r="FE444" s="43"/>
      <c r="FF444" s="43"/>
      <c r="FG444" s="43"/>
      <c r="FH444" s="50"/>
      <c r="FI444" s="50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/>
      <c r="CM445" s="43"/>
      <c r="CN445" s="43"/>
      <c r="CO445" s="43"/>
      <c r="CP445" s="43"/>
      <c r="CQ445" s="43"/>
      <c r="CR445" s="43"/>
      <c r="CS445" s="43"/>
      <c r="CT445" s="43"/>
      <c r="CU445" s="43"/>
      <c r="CV445" s="43"/>
      <c r="CW445" s="43"/>
      <c r="CX445" s="43"/>
      <c r="CY445" s="43"/>
      <c r="CZ445" s="43"/>
      <c r="DA445" s="43"/>
      <c r="DB445" s="43"/>
      <c r="DC445" s="43"/>
      <c r="DD445" s="43"/>
      <c r="DE445" s="43"/>
      <c r="DF445" s="43"/>
      <c r="DG445" s="43"/>
      <c r="DH445" s="43"/>
      <c r="DI445" s="43"/>
      <c r="DJ445" s="43"/>
      <c r="DK445" s="43"/>
      <c r="DL445" s="43"/>
      <c r="DM445" s="43"/>
      <c r="DN445" s="43"/>
      <c r="DO445" s="43"/>
      <c r="DP445" s="43"/>
      <c r="DQ445" s="43"/>
      <c r="DR445" s="43"/>
      <c r="DS445" s="43"/>
      <c r="DT445" s="43"/>
      <c r="DU445" s="43"/>
      <c r="DV445" s="43"/>
      <c r="DW445" s="43"/>
      <c r="DX445" s="43"/>
      <c r="DY445" s="43"/>
      <c r="DZ445" s="43"/>
      <c r="EA445" s="43"/>
      <c r="EB445" s="43"/>
      <c r="EC445" s="43"/>
      <c r="ED445" s="43"/>
      <c r="EE445" s="43"/>
      <c r="EF445" s="43"/>
      <c r="EG445" s="43"/>
      <c r="EH445" s="43"/>
      <c r="EI445" s="43"/>
      <c r="EJ445" s="43"/>
      <c r="EK445" s="43"/>
      <c r="EL445" s="43"/>
      <c r="EM445" s="43"/>
      <c r="EN445" s="43"/>
      <c r="EO445" s="43"/>
      <c r="EP445" s="43"/>
      <c r="EQ445" s="43"/>
      <c r="ER445" s="43"/>
      <c r="ES445" s="43"/>
      <c r="ET445" s="43"/>
      <c r="EU445" s="43"/>
      <c r="EV445" s="43"/>
      <c r="EW445" s="43"/>
      <c r="EX445" s="43"/>
      <c r="EY445" s="43"/>
      <c r="EZ445" s="43"/>
      <c r="FA445" s="43"/>
      <c r="FB445" s="43"/>
      <c r="FC445" s="43"/>
      <c r="FD445" s="43"/>
      <c r="FE445" s="43"/>
      <c r="FF445" s="43"/>
      <c r="FG445" s="43"/>
      <c r="FH445" s="50"/>
      <c r="FI445" s="50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/>
      <c r="CF446" s="43"/>
      <c r="CG446" s="43"/>
      <c r="CH446" s="43"/>
      <c r="CI446" s="43"/>
      <c r="CJ446" s="43"/>
      <c r="CK446" s="43"/>
      <c r="CL446" s="43"/>
      <c r="CM446" s="43"/>
      <c r="CN446" s="43"/>
      <c r="CO446" s="43"/>
      <c r="CP446" s="43"/>
      <c r="CQ446" s="43"/>
      <c r="CR446" s="43"/>
      <c r="CS446" s="43"/>
      <c r="CT446" s="43"/>
      <c r="CU446" s="43"/>
      <c r="CV446" s="43"/>
      <c r="CW446" s="43"/>
      <c r="CX446" s="43"/>
      <c r="CY446" s="43"/>
      <c r="CZ446" s="43"/>
      <c r="DA446" s="43"/>
      <c r="DB446" s="43"/>
      <c r="DC446" s="43"/>
      <c r="DD446" s="43"/>
      <c r="DE446" s="43"/>
      <c r="DF446" s="43"/>
      <c r="DG446" s="43"/>
      <c r="DH446" s="43"/>
      <c r="DI446" s="43"/>
      <c r="DJ446" s="43"/>
      <c r="DK446" s="43"/>
      <c r="DL446" s="43"/>
      <c r="DM446" s="43"/>
      <c r="DN446" s="43"/>
      <c r="DO446" s="43"/>
      <c r="DP446" s="43"/>
      <c r="DQ446" s="43"/>
      <c r="DR446" s="43"/>
      <c r="DS446" s="43"/>
      <c r="DT446" s="43"/>
      <c r="DU446" s="43"/>
      <c r="DV446" s="43"/>
      <c r="DW446" s="43"/>
      <c r="DX446" s="43"/>
      <c r="DY446" s="43"/>
      <c r="DZ446" s="43"/>
      <c r="EA446" s="43"/>
      <c r="EB446" s="43"/>
      <c r="EC446" s="43"/>
      <c r="ED446" s="43"/>
      <c r="EE446" s="43"/>
      <c r="EF446" s="43"/>
      <c r="EG446" s="43"/>
      <c r="EH446" s="43"/>
      <c r="EI446" s="43"/>
      <c r="EJ446" s="43"/>
      <c r="EK446" s="43"/>
      <c r="EL446" s="43"/>
      <c r="EM446" s="43"/>
      <c r="EN446" s="43"/>
      <c r="EO446" s="43"/>
      <c r="EP446" s="43"/>
      <c r="EQ446" s="43"/>
      <c r="ER446" s="43"/>
      <c r="ES446" s="43"/>
      <c r="ET446" s="43"/>
      <c r="EU446" s="43"/>
      <c r="EV446" s="43"/>
      <c r="EW446" s="43"/>
      <c r="EX446" s="43"/>
      <c r="EY446" s="43"/>
      <c r="EZ446" s="43"/>
      <c r="FA446" s="43"/>
      <c r="FB446" s="43"/>
      <c r="FC446" s="43"/>
      <c r="FD446" s="43"/>
      <c r="FE446" s="43"/>
      <c r="FF446" s="43"/>
      <c r="FG446" s="43"/>
      <c r="FH446" s="50"/>
      <c r="FI446" s="50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43"/>
      <c r="CF447" s="43"/>
      <c r="CG447" s="43"/>
      <c r="CH447" s="43"/>
      <c r="CI447" s="43"/>
      <c r="CJ447" s="43"/>
      <c r="CK447" s="43"/>
      <c r="CL447" s="43"/>
      <c r="CM447" s="43"/>
      <c r="CN447" s="43"/>
      <c r="CO447" s="43"/>
      <c r="CP447" s="43"/>
      <c r="CQ447" s="43"/>
      <c r="CR447" s="43"/>
      <c r="CS447" s="43"/>
      <c r="CT447" s="43"/>
      <c r="CU447" s="43"/>
      <c r="CV447" s="43"/>
      <c r="CW447" s="43"/>
      <c r="CX447" s="43"/>
      <c r="CY447" s="43"/>
      <c r="CZ447" s="43"/>
      <c r="DA447" s="43"/>
      <c r="DB447" s="43"/>
      <c r="DC447" s="43"/>
      <c r="DD447" s="43"/>
      <c r="DE447" s="43"/>
      <c r="DF447" s="43"/>
      <c r="DG447" s="43"/>
      <c r="DH447" s="43"/>
      <c r="DI447" s="43"/>
      <c r="DJ447" s="43"/>
      <c r="DK447" s="43"/>
      <c r="DL447" s="43"/>
      <c r="DM447" s="43"/>
      <c r="DN447" s="43"/>
      <c r="DO447" s="43"/>
      <c r="DP447" s="43"/>
      <c r="DQ447" s="43"/>
      <c r="DR447" s="43"/>
      <c r="DS447" s="43"/>
      <c r="DT447" s="43"/>
      <c r="DU447" s="43"/>
      <c r="DV447" s="43"/>
      <c r="DW447" s="43"/>
      <c r="DX447" s="43"/>
      <c r="DY447" s="43"/>
      <c r="DZ447" s="43"/>
      <c r="EA447" s="43"/>
      <c r="EB447" s="43"/>
      <c r="EC447" s="43"/>
      <c r="ED447" s="43"/>
      <c r="EE447" s="43"/>
      <c r="EF447" s="43"/>
      <c r="EG447" s="43"/>
      <c r="EH447" s="43"/>
      <c r="EI447" s="43"/>
      <c r="EJ447" s="43"/>
      <c r="EK447" s="43"/>
      <c r="EL447" s="43"/>
      <c r="EM447" s="43"/>
      <c r="EN447" s="43"/>
      <c r="EO447" s="43"/>
      <c r="EP447" s="43"/>
      <c r="EQ447" s="43"/>
      <c r="ER447" s="43"/>
      <c r="ES447" s="43"/>
      <c r="ET447" s="43"/>
      <c r="EU447" s="43"/>
      <c r="EV447" s="43"/>
      <c r="EW447" s="43"/>
      <c r="EX447" s="43"/>
      <c r="EY447" s="43"/>
      <c r="EZ447" s="43"/>
      <c r="FA447" s="43"/>
      <c r="FB447" s="43"/>
      <c r="FC447" s="43"/>
      <c r="FD447" s="43"/>
      <c r="FE447" s="43"/>
      <c r="FF447" s="43"/>
      <c r="FG447" s="43"/>
      <c r="FH447" s="50"/>
      <c r="FI447" s="50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43"/>
      <c r="CF448" s="43"/>
      <c r="CG448" s="43"/>
      <c r="CH448" s="43"/>
      <c r="CI448" s="43"/>
      <c r="CJ448" s="43"/>
      <c r="CK448" s="43"/>
      <c r="CL448" s="43"/>
      <c r="CM448" s="43"/>
      <c r="CN448" s="43"/>
      <c r="CO448" s="43"/>
      <c r="CP448" s="43"/>
      <c r="CQ448" s="43"/>
      <c r="CR448" s="43"/>
      <c r="CS448" s="43"/>
      <c r="CT448" s="43"/>
      <c r="CU448" s="43"/>
      <c r="CV448" s="43"/>
      <c r="CW448" s="43"/>
      <c r="CX448" s="43"/>
      <c r="CY448" s="43"/>
      <c r="CZ448" s="43"/>
      <c r="DA448" s="43"/>
      <c r="DB448" s="43"/>
      <c r="DC448" s="43"/>
      <c r="DD448" s="43"/>
      <c r="DE448" s="43"/>
      <c r="DF448" s="43"/>
      <c r="DG448" s="43"/>
      <c r="DH448" s="43"/>
      <c r="DI448" s="43"/>
      <c r="DJ448" s="43"/>
      <c r="DK448" s="43"/>
      <c r="DL448" s="43"/>
      <c r="DM448" s="43"/>
      <c r="DN448" s="43"/>
      <c r="DO448" s="43"/>
      <c r="DP448" s="43"/>
      <c r="DQ448" s="43"/>
      <c r="DR448" s="43"/>
      <c r="DS448" s="43"/>
      <c r="DT448" s="43"/>
      <c r="DU448" s="43"/>
      <c r="DV448" s="43"/>
      <c r="DW448" s="43"/>
      <c r="DX448" s="43"/>
      <c r="DY448" s="43"/>
      <c r="DZ448" s="43"/>
      <c r="EA448" s="43"/>
      <c r="EB448" s="43"/>
      <c r="EC448" s="43"/>
      <c r="ED448" s="43"/>
      <c r="EE448" s="43"/>
      <c r="EF448" s="43"/>
      <c r="EG448" s="43"/>
      <c r="EH448" s="43"/>
      <c r="EI448" s="43"/>
      <c r="EJ448" s="43"/>
      <c r="EK448" s="43"/>
      <c r="EL448" s="43"/>
      <c r="EM448" s="43"/>
      <c r="EN448" s="43"/>
      <c r="EO448" s="43"/>
      <c r="EP448" s="43"/>
      <c r="EQ448" s="43"/>
      <c r="ER448" s="43"/>
      <c r="ES448" s="43"/>
      <c r="ET448" s="43"/>
      <c r="EU448" s="43"/>
      <c r="EV448" s="43"/>
      <c r="EW448" s="43"/>
      <c r="EX448" s="43"/>
      <c r="EY448" s="43"/>
      <c r="EZ448" s="43"/>
      <c r="FA448" s="43"/>
      <c r="FB448" s="43"/>
      <c r="FC448" s="43"/>
      <c r="FD448" s="43"/>
      <c r="FE448" s="43"/>
      <c r="FF448" s="43"/>
      <c r="FG448" s="43"/>
      <c r="FH448" s="50"/>
      <c r="FI448" s="50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43"/>
      <c r="CF449" s="43"/>
      <c r="CG449" s="43"/>
      <c r="CH449" s="43"/>
      <c r="CI449" s="43"/>
      <c r="CJ449" s="43"/>
      <c r="CK449" s="43"/>
      <c r="CL449" s="43"/>
      <c r="CM449" s="43"/>
      <c r="CN449" s="43"/>
      <c r="CO449" s="43"/>
      <c r="CP449" s="43"/>
      <c r="CQ449" s="43"/>
      <c r="CR449" s="43"/>
      <c r="CS449" s="43"/>
      <c r="CT449" s="43"/>
      <c r="CU449" s="43"/>
      <c r="CV449" s="43"/>
      <c r="CW449" s="43"/>
      <c r="CX449" s="43"/>
      <c r="CY449" s="43"/>
      <c r="CZ449" s="43"/>
      <c r="DA449" s="43"/>
      <c r="DB449" s="43"/>
      <c r="DC449" s="43"/>
      <c r="DD449" s="43"/>
      <c r="DE449" s="43"/>
      <c r="DF449" s="43"/>
      <c r="DG449" s="43"/>
      <c r="DH449" s="43"/>
      <c r="DI449" s="43"/>
      <c r="DJ449" s="43"/>
      <c r="DK449" s="43"/>
      <c r="DL449" s="43"/>
      <c r="DM449" s="43"/>
      <c r="DN449" s="43"/>
      <c r="DO449" s="43"/>
      <c r="DP449" s="43"/>
      <c r="DQ449" s="43"/>
      <c r="DR449" s="43"/>
      <c r="DS449" s="43"/>
      <c r="DT449" s="43"/>
      <c r="DU449" s="43"/>
      <c r="DV449" s="43"/>
      <c r="DW449" s="43"/>
      <c r="DX449" s="43"/>
      <c r="DY449" s="43"/>
      <c r="DZ449" s="43"/>
      <c r="EA449" s="43"/>
      <c r="EB449" s="43"/>
      <c r="EC449" s="43"/>
      <c r="ED449" s="43"/>
      <c r="EE449" s="43"/>
      <c r="EF449" s="43"/>
      <c r="EG449" s="43"/>
      <c r="EH449" s="43"/>
      <c r="EI449" s="43"/>
      <c r="EJ449" s="43"/>
      <c r="EK449" s="43"/>
      <c r="EL449" s="43"/>
      <c r="EM449" s="43"/>
      <c r="EN449" s="43"/>
      <c r="EO449" s="43"/>
      <c r="EP449" s="43"/>
      <c r="EQ449" s="43"/>
      <c r="ER449" s="43"/>
      <c r="ES449" s="43"/>
      <c r="ET449" s="43"/>
      <c r="EU449" s="43"/>
      <c r="EV449" s="43"/>
      <c r="EW449" s="43"/>
      <c r="EX449" s="43"/>
      <c r="EY449" s="43"/>
      <c r="EZ449" s="43"/>
      <c r="FA449" s="43"/>
      <c r="FB449" s="43"/>
      <c r="FC449" s="43"/>
      <c r="FD449" s="43"/>
      <c r="FE449" s="43"/>
      <c r="FF449" s="43"/>
      <c r="FG449" s="43"/>
      <c r="FH449" s="50"/>
      <c r="FI449" s="50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43"/>
      <c r="CF450" s="43"/>
      <c r="CG450" s="43"/>
      <c r="CH450" s="43"/>
      <c r="CI450" s="43"/>
      <c r="CJ450" s="43"/>
      <c r="CK450" s="43"/>
      <c r="CL450" s="43"/>
      <c r="CM450" s="43"/>
      <c r="CN450" s="43"/>
      <c r="CO450" s="43"/>
      <c r="CP450" s="43"/>
      <c r="CQ450" s="43"/>
      <c r="CR450" s="43"/>
      <c r="CS450" s="43"/>
      <c r="CT450" s="43"/>
      <c r="CU450" s="43"/>
      <c r="CV450" s="43"/>
      <c r="CW450" s="43"/>
      <c r="CX450" s="43"/>
      <c r="CY450" s="43"/>
      <c r="CZ450" s="43"/>
      <c r="DA450" s="43"/>
      <c r="DB450" s="43"/>
      <c r="DC450" s="43"/>
      <c r="DD450" s="43"/>
      <c r="DE450" s="43"/>
      <c r="DF450" s="43"/>
      <c r="DG450" s="43"/>
      <c r="DH450" s="43"/>
      <c r="DI450" s="43"/>
      <c r="DJ450" s="43"/>
      <c r="DK450" s="43"/>
      <c r="DL450" s="43"/>
      <c r="DM450" s="43"/>
      <c r="DN450" s="43"/>
      <c r="DO450" s="43"/>
      <c r="DP450" s="43"/>
      <c r="DQ450" s="43"/>
      <c r="DR450" s="43"/>
      <c r="DS450" s="43"/>
      <c r="DT450" s="43"/>
      <c r="DU450" s="43"/>
      <c r="DV450" s="43"/>
      <c r="DW450" s="43"/>
      <c r="DX450" s="43"/>
      <c r="DY450" s="43"/>
      <c r="DZ450" s="43"/>
      <c r="EA450" s="43"/>
      <c r="EB450" s="43"/>
      <c r="EC450" s="43"/>
      <c r="ED450" s="43"/>
      <c r="EE450" s="43"/>
      <c r="EF450" s="43"/>
      <c r="EG450" s="43"/>
      <c r="EH450" s="43"/>
      <c r="EI450" s="43"/>
      <c r="EJ450" s="43"/>
      <c r="EK450" s="43"/>
      <c r="EL450" s="43"/>
      <c r="EM450" s="43"/>
      <c r="EN450" s="43"/>
      <c r="EO450" s="43"/>
      <c r="EP450" s="43"/>
      <c r="EQ450" s="43"/>
      <c r="ER450" s="43"/>
      <c r="ES450" s="43"/>
      <c r="ET450" s="43"/>
      <c r="EU450" s="43"/>
      <c r="EV450" s="43"/>
      <c r="EW450" s="43"/>
      <c r="EX450" s="43"/>
      <c r="EY450" s="43"/>
      <c r="EZ450" s="43"/>
      <c r="FA450" s="43"/>
      <c r="FB450" s="43"/>
      <c r="FC450" s="43"/>
      <c r="FD450" s="43"/>
      <c r="FE450" s="43"/>
      <c r="FF450" s="43"/>
      <c r="FG450" s="43"/>
      <c r="FH450" s="50"/>
      <c r="FI450" s="50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43"/>
      <c r="CF451" s="43"/>
      <c r="CG451" s="43"/>
      <c r="CH451" s="43"/>
      <c r="CI451" s="43"/>
      <c r="CJ451" s="43"/>
      <c r="CK451" s="43"/>
      <c r="CL451" s="43"/>
      <c r="CM451" s="43"/>
      <c r="CN451" s="43"/>
      <c r="CO451" s="43"/>
      <c r="CP451" s="43"/>
      <c r="CQ451" s="43"/>
      <c r="CR451" s="43"/>
      <c r="CS451" s="43"/>
      <c r="CT451" s="43"/>
      <c r="CU451" s="43"/>
      <c r="CV451" s="43"/>
      <c r="CW451" s="43"/>
      <c r="CX451" s="43"/>
      <c r="CY451" s="43"/>
      <c r="CZ451" s="43"/>
      <c r="DA451" s="43"/>
      <c r="DB451" s="43"/>
      <c r="DC451" s="43"/>
      <c r="DD451" s="43"/>
      <c r="DE451" s="43"/>
      <c r="DF451" s="43"/>
      <c r="DG451" s="43"/>
      <c r="DH451" s="43"/>
      <c r="DI451" s="43"/>
      <c r="DJ451" s="43"/>
      <c r="DK451" s="43"/>
      <c r="DL451" s="43"/>
      <c r="DM451" s="43"/>
      <c r="DN451" s="43"/>
      <c r="DO451" s="43"/>
      <c r="DP451" s="43"/>
      <c r="DQ451" s="43"/>
      <c r="DR451" s="43"/>
      <c r="DS451" s="43"/>
      <c r="DT451" s="43"/>
      <c r="DU451" s="43"/>
      <c r="DV451" s="43"/>
      <c r="DW451" s="43"/>
      <c r="DX451" s="43"/>
      <c r="DY451" s="43"/>
      <c r="DZ451" s="43"/>
      <c r="EA451" s="43"/>
      <c r="EB451" s="43"/>
      <c r="EC451" s="43"/>
      <c r="ED451" s="43"/>
      <c r="EE451" s="43"/>
      <c r="EF451" s="43"/>
      <c r="EG451" s="43"/>
      <c r="EH451" s="43"/>
      <c r="EI451" s="43"/>
      <c r="EJ451" s="43"/>
      <c r="EK451" s="43"/>
      <c r="EL451" s="43"/>
      <c r="EM451" s="43"/>
      <c r="EN451" s="43"/>
      <c r="EO451" s="43"/>
      <c r="EP451" s="43"/>
      <c r="EQ451" s="43"/>
      <c r="ER451" s="43"/>
      <c r="ES451" s="43"/>
      <c r="ET451" s="43"/>
      <c r="EU451" s="43"/>
      <c r="EV451" s="43"/>
      <c r="EW451" s="43"/>
      <c r="EX451" s="43"/>
      <c r="EY451" s="43"/>
      <c r="EZ451" s="43"/>
      <c r="FA451" s="43"/>
      <c r="FB451" s="43"/>
      <c r="FC451" s="43"/>
      <c r="FD451" s="43"/>
      <c r="FE451" s="43"/>
      <c r="FF451" s="43"/>
      <c r="FG451" s="43"/>
      <c r="FH451" s="50"/>
      <c r="FI451" s="50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  <c r="CS452" s="43"/>
      <c r="CT452" s="43"/>
      <c r="CU452" s="43"/>
      <c r="CV452" s="43"/>
      <c r="CW452" s="43"/>
      <c r="CX452" s="43"/>
      <c r="CY452" s="43"/>
      <c r="CZ452" s="43"/>
      <c r="DA452" s="43"/>
      <c r="DB452" s="43"/>
      <c r="DC452" s="43"/>
      <c r="DD452" s="43"/>
      <c r="DE452" s="43"/>
      <c r="DF452" s="43"/>
      <c r="DG452" s="43"/>
      <c r="DH452" s="43"/>
      <c r="DI452" s="43"/>
      <c r="DJ452" s="43"/>
      <c r="DK452" s="43"/>
      <c r="DL452" s="43"/>
      <c r="DM452" s="43"/>
      <c r="DN452" s="43"/>
      <c r="DO452" s="43"/>
      <c r="DP452" s="43"/>
      <c r="DQ452" s="43"/>
      <c r="DR452" s="43"/>
      <c r="DS452" s="43"/>
      <c r="DT452" s="43"/>
      <c r="DU452" s="43"/>
      <c r="DV452" s="43"/>
      <c r="DW452" s="43"/>
      <c r="DX452" s="43"/>
      <c r="DY452" s="43"/>
      <c r="DZ452" s="43"/>
      <c r="EA452" s="43"/>
      <c r="EB452" s="43"/>
      <c r="EC452" s="43"/>
      <c r="ED452" s="43"/>
      <c r="EE452" s="43"/>
      <c r="EF452" s="43"/>
      <c r="EG452" s="43"/>
      <c r="EH452" s="43"/>
      <c r="EI452" s="43"/>
      <c r="EJ452" s="43"/>
      <c r="EK452" s="43"/>
      <c r="EL452" s="43"/>
      <c r="EM452" s="43"/>
      <c r="EN452" s="43"/>
      <c r="EO452" s="43"/>
      <c r="EP452" s="43"/>
      <c r="EQ452" s="43"/>
      <c r="ER452" s="43"/>
      <c r="ES452" s="43"/>
      <c r="ET452" s="43"/>
      <c r="EU452" s="43"/>
      <c r="EV452" s="43"/>
      <c r="EW452" s="43"/>
      <c r="EX452" s="43"/>
      <c r="EY452" s="43"/>
      <c r="EZ452" s="43"/>
      <c r="FA452" s="43"/>
      <c r="FB452" s="43"/>
      <c r="FC452" s="43"/>
      <c r="FD452" s="43"/>
      <c r="FE452" s="43"/>
      <c r="FF452" s="43"/>
      <c r="FG452" s="43"/>
      <c r="FH452" s="50"/>
      <c r="FI452" s="50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43"/>
      <c r="CF453" s="43"/>
      <c r="CG453" s="43"/>
      <c r="CH453" s="43"/>
      <c r="CI453" s="43"/>
      <c r="CJ453" s="43"/>
      <c r="CK453" s="43"/>
      <c r="CL453" s="43"/>
      <c r="CM453" s="43"/>
      <c r="CN453" s="43"/>
      <c r="CO453" s="43"/>
      <c r="CP453" s="43"/>
      <c r="CQ453" s="43"/>
      <c r="CR453" s="43"/>
      <c r="CS453" s="43"/>
      <c r="CT453" s="43"/>
      <c r="CU453" s="43"/>
      <c r="CV453" s="43"/>
      <c r="CW453" s="43"/>
      <c r="CX453" s="43"/>
      <c r="CY453" s="43"/>
      <c r="CZ453" s="43"/>
      <c r="DA453" s="43"/>
      <c r="DB453" s="43"/>
      <c r="DC453" s="43"/>
      <c r="DD453" s="43"/>
      <c r="DE453" s="43"/>
      <c r="DF453" s="43"/>
      <c r="DG453" s="43"/>
      <c r="DH453" s="43"/>
      <c r="DI453" s="43"/>
      <c r="DJ453" s="43"/>
      <c r="DK453" s="43"/>
      <c r="DL453" s="43"/>
      <c r="DM453" s="43"/>
      <c r="DN453" s="43"/>
      <c r="DO453" s="43"/>
      <c r="DP453" s="43"/>
      <c r="DQ453" s="43"/>
      <c r="DR453" s="43"/>
      <c r="DS453" s="43"/>
      <c r="DT453" s="43"/>
      <c r="DU453" s="43"/>
      <c r="DV453" s="43"/>
      <c r="DW453" s="43"/>
      <c r="DX453" s="43"/>
      <c r="DY453" s="43"/>
      <c r="DZ453" s="43"/>
      <c r="EA453" s="43"/>
      <c r="EB453" s="43"/>
      <c r="EC453" s="43"/>
      <c r="ED453" s="43"/>
      <c r="EE453" s="43"/>
      <c r="EF453" s="43"/>
      <c r="EG453" s="43"/>
      <c r="EH453" s="43"/>
      <c r="EI453" s="43"/>
      <c r="EJ453" s="43"/>
      <c r="EK453" s="43"/>
      <c r="EL453" s="43"/>
      <c r="EM453" s="43"/>
      <c r="EN453" s="43"/>
      <c r="EO453" s="43"/>
      <c r="EP453" s="43"/>
      <c r="EQ453" s="43"/>
      <c r="ER453" s="43"/>
      <c r="ES453" s="43"/>
      <c r="ET453" s="43"/>
      <c r="EU453" s="43"/>
      <c r="EV453" s="43"/>
      <c r="EW453" s="43"/>
      <c r="EX453" s="43"/>
      <c r="EY453" s="43"/>
      <c r="EZ453" s="43"/>
      <c r="FA453" s="43"/>
      <c r="FB453" s="43"/>
      <c r="FC453" s="43"/>
      <c r="FD453" s="43"/>
      <c r="FE453" s="43"/>
      <c r="FF453" s="43"/>
      <c r="FG453" s="43"/>
      <c r="FH453" s="50"/>
      <c r="FI453" s="50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43"/>
      <c r="CF454" s="43"/>
      <c r="CG454" s="43"/>
      <c r="CH454" s="43"/>
      <c r="CI454" s="43"/>
      <c r="CJ454" s="43"/>
      <c r="CK454" s="43"/>
      <c r="CL454" s="43"/>
      <c r="CM454" s="43"/>
      <c r="CN454" s="43"/>
      <c r="CO454" s="43"/>
      <c r="CP454" s="43"/>
      <c r="CQ454" s="43"/>
      <c r="CR454" s="43"/>
      <c r="CS454" s="43"/>
      <c r="CT454" s="43"/>
      <c r="CU454" s="43"/>
      <c r="CV454" s="43"/>
      <c r="CW454" s="43"/>
      <c r="CX454" s="43"/>
      <c r="CY454" s="43"/>
      <c r="CZ454" s="43"/>
      <c r="DA454" s="43"/>
      <c r="DB454" s="43"/>
      <c r="DC454" s="43"/>
      <c r="DD454" s="43"/>
      <c r="DE454" s="43"/>
      <c r="DF454" s="43"/>
      <c r="DG454" s="43"/>
      <c r="DH454" s="43"/>
      <c r="DI454" s="43"/>
      <c r="DJ454" s="43"/>
      <c r="DK454" s="43"/>
      <c r="DL454" s="43"/>
      <c r="DM454" s="43"/>
      <c r="DN454" s="43"/>
      <c r="DO454" s="43"/>
      <c r="DP454" s="43"/>
      <c r="DQ454" s="43"/>
      <c r="DR454" s="43"/>
      <c r="DS454" s="43"/>
      <c r="DT454" s="43"/>
      <c r="DU454" s="43"/>
      <c r="DV454" s="43"/>
      <c r="DW454" s="43"/>
      <c r="DX454" s="43"/>
      <c r="DY454" s="43"/>
      <c r="DZ454" s="43"/>
      <c r="EA454" s="43"/>
      <c r="EB454" s="43"/>
      <c r="EC454" s="43"/>
      <c r="ED454" s="43"/>
      <c r="EE454" s="43"/>
      <c r="EF454" s="43"/>
      <c r="EG454" s="43"/>
      <c r="EH454" s="43"/>
      <c r="EI454" s="43"/>
      <c r="EJ454" s="43"/>
      <c r="EK454" s="43"/>
      <c r="EL454" s="43"/>
      <c r="EM454" s="43"/>
      <c r="EN454" s="43"/>
      <c r="EO454" s="43"/>
      <c r="EP454" s="43"/>
      <c r="EQ454" s="43"/>
      <c r="ER454" s="43"/>
      <c r="ES454" s="43"/>
      <c r="ET454" s="43"/>
      <c r="EU454" s="43"/>
      <c r="EV454" s="43"/>
      <c r="EW454" s="43"/>
      <c r="EX454" s="43"/>
      <c r="EY454" s="43"/>
      <c r="EZ454" s="43"/>
      <c r="FA454" s="43"/>
      <c r="FB454" s="43"/>
      <c r="FC454" s="43"/>
      <c r="FD454" s="43"/>
      <c r="FE454" s="43"/>
      <c r="FF454" s="43"/>
      <c r="FG454" s="43"/>
      <c r="FH454" s="50"/>
      <c r="FI454" s="50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43"/>
      <c r="CF455" s="43"/>
      <c r="CG455" s="43"/>
      <c r="CH455" s="43"/>
      <c r="CI455" s="43"/>
      <c r="CJ455" s="43"/>
      <c r="CK455" s="43"/>
      <c r="CL455" s="43"/>
      <c r="CM455" s="43"/>
      <c r="CN455" s="43"/>
      <c r="CO455" s="43"/>
      <c r="CP455" s="43"/>
      <c r="CQ455" s="43"/>
      <c r="CR455" s="43"/>
      <c r="CS455" s="43"/>
      <c r="CT455" s="43"/>
      <c r="CU455" s="43"/>
      <c r="CV455" s="43"/>
      <c r="CW455" s="43"/>
      <c r="CX455" s="43"/>
      <c r="CY455" s="43"/>
      <c r="CZ455" s="43"/>
      <c r="DA455" s="43"/>
      <c r="DB455" s="43"/>
      <c r="DC455" s="43"/>
      <c r="DD455" s="43"/>
      <c r="DE455" s="43"/>
      <c r="DF455" s="43"/>
      <c r="DG455" s="43"/>
      <c r="DH455" s="43"/>
      <c r="DI455" s="43"/>
      <c r="DJ455" s="43"/>
      <c r="DK455" s="43"/>
      <c r="DL455" s="43"/>
      <c r="DM455" s="43"/>
      <c r="DN455" s="43"/>
      <c r="DO455" s="43"/>
      <c r="DP455" s="43"/>
      <c r="DQ455" s="43"/>
      <c r="DR455" s="43"/>
      <c r="DS455" s="43"/>
      <c r="DT455" s="43"/>
      <c r="DU455" s="43"/>
      <c r="DV455" s="43"/>
      <c r="DW455" s="43"/>
      <c r="DX455" s="43"/>
      <c r="DY455" s="43"/>
      <c r="DZ455" s="43"/>
      <c r="EA455" s="43"/>
      <c r="EB455" s="43"/>
      <c r="EC455" s="43"/>
      <c r="ED455" s="43"/>
      <c r="EE455" s="43"/>
      <c r="EF455" s="43"/>
      <c r="EG455" s="43"/>
      <c r="EH455" s="43"/>
      <c r="EI455" s="43"/>
      <c r="EJ455" s="43"/>
      <c r="EK455" s="43"/>
      <c r="EL455" s="43"/>
      <c r="EM455" s="43"/>
      <c r="EN455" s="43"/>
      <c r="EO455" s="43"/>
      <c r="EP455" s="43"/>
      <c r="EQ455" s="43"/>
      <c r="ER455" s="43"/>
      <c r="ES455" s="43"/>
      <c r="ET455" s="43"/>
      <c r="EU455" s="43"/>
      <c r="EV455" s="43"/>
      <c r="EW455" s="43"/>
      <c r="EX455" s="43"/>
      <c r="EY455" s="43"/>
      <c r="EZ455" s="43"/>
      <c r="FA455" s="43"/>
      <c r="FB455" s="43"/>
      <c r="FC455" s="43"/>
      <c r="FD455" s="43"/>
      <c r="FE455" s="43"/>
      <c r="FF455" s="43"/>
      <c r="FG455" s="43"/>
      <c r="FH455" s="50"/>
      <c r="FI455" s="50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43"/>
      <c r="CF456" s="43"/>
      <c r="CG456" s="43"/>
      <c r="CH456" s="43"/>
      <c r="CI456" s="43"/>
      <c r="CJ456" s="43"/>
      <c r="CK456" s="43"/>
      <c r="CL456" s="43"/>
      <c r="CM456" s="43"/>
      <c r="CN456" s="43"/>
      <c r="CO456" s="43"/>
      <c r="CP456" s="43"/>
      <c r="CQ456" s="43"/>
      <c r="CR456" s="43"/>
      <c r="CS456" s="43"/>
      <c r="CT456" s="43"/>
      <c r="CU456" s="43"/>
      <c r="CV456" s="43"/>
      <c r="CW456" s="43"/>
      <c r="CX456" s="43"/>
      <c r="CY456" s="43"/>
      <c r="CZ456" s="43"/>
      <c r="DA456" s="43"/>
      <c r="DB456" s="43"/>
      <c r="DC456" s="43"/>
      <c r="DD456" s="43"/>
      <c r="DE456" s="43"/>
      <c r="DF456" s="43"/>
      <c r="DG456" s="43"/>
      <c r="DH456" s="43"/>
      <c r="DI456" s="43"/>
      <c r="DJ456" s="43"/>
      <c r="DK456" s="43"/>
      <c r="DL456" s="43"/>
      <c r="DM456" s="43"/>
      <c r="DN456" s="43"/>
      <c r="DO456" s="43"/>
      <c r="DP456" s="43"/>
      <c r="DQ456" s="43"/>
      <c r="DR456" s="43"/>
      <c r="DS456" s="43"/>
      <c r="DT456" s="43"/>
      <c r="DU456" s="43"/>
      <c r="DV456" s="43"/>
      <c r="DW456" s="43"/>
      <c r="DX456" s="43"/>
      <c r="DY456" s="43"/>
      <c r="DZ456" s="43"/>
      <c r="EA456" s="43"/>
      <c r="EB456" s="43"/>
      <c r="EC456" s="43"/>
      <c r="ED456" s="43"/>
      <c r="EE456" s="43"/>
      <c r="EF456" s="43"/>
      <c r="EG456" s="43"/>
      <c r="EH456" s="43"/>
      <c r="EI456" s="43"/>
      <c r="EJ456" s="43"/>
      <c r="EK456" s="43"/>
      <c r="EL456" s="43"/>
      <c r="EM456" s="43"/>
      <c r="EN456" s="43"/>
      <c r="EO456" s="43"/>
      <c r="EP456" s="43"/>
      <c r="EQ456" s="43"/>
      <c r="ER456" s="43"/>
      <c r="ES456" s="43"/>
      <c r="ET456" s="43"/>
      <c r="EU456" s="43"/>
      <c r="EV456" s="43"/>
      <c r="EW456" s="43"/>
      <c r="EX456" s="43"/>
      <c r="EY456" s="43"/>
      <c r="EZ456" s="43"/>
      <c r="FA456" s="43"/>
      <c r="FB456" s="43"/>
      <c r="FC456" s="43"/>
      <c r="FD456" s="43"/>
      <c r="FE456" s="43"/>
      <c r="FF456" s="43"/>
      <c r="FG456" s="43"/>
      <c r="FH456" s="50"/>
      <c r="FI456" s="50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43"/>
      <c r="CF457" s="43"/>
      <c r="CG457" s="43"/>
      <c r="CH457" s="43"/>
      <c r="CI457" s="43"/>
      <c r="CJ457" s="43"/>
      <c r="CK457" s="43"/>
      <c r="CL457" s="43"/>
      <c r="CM457" s="43"/>
      <c r="CN457" s="43"/>
      <c r="CO457" s="43"/>
      <c r="CP457" s="43"/>
      <c r="CQ457" s="43"/>
      <c r="CR457" s="43"/>
      <c r="CS457" s="43"/>
      <c r="CT457" s="43"/>
      <c r="CU457" s="43"/>
      <c r="CV457" s="43"/>
      <c r="CW457" s="43"/>
      <c r="CX457" s="43"/>
      <c r="CY457" s="43"/>
      <c r="CZ457" s="43"/>
      <c r="DA457" s="43"/>
      <c r="DB457" s="43"/>
      <c r="DC457" s="43"/>
      <c r="DD457" s="43"/>
      <c r="DE457" s="43"/>
      <c r="DF457" s="43"/>
      <c r="DG457" s="43"/>
      <c r="DH457" s="43"/>
      <c r="DI457" s="43"/>
      <c r="DJ457" s="43"/>
      <c r="DK457" s="43"/>
      <c r="DL457" s="43"/>
      <c r="DM457" s="43"/>
      <c r="DN457" s="43"/>
      <c r="DO457" s="43"/>
      <c r="DP457" s="43"/>
      <c r="DQ457" s="43"/>
      <c r="DR457" s="43"/>
      <c r="DS457" s="43"/>
      <c r="DT457" s="43"/>
      <c r="DU457" s="43"/>
      <c r="DV457" s="43"/>
      <c r="DW457" s="43"/>
      <c r="DX457" s="43"/>
      <c r="DY457" s="43"/>
      <c r="DZ457" s="43"/>
      <c r="EA457" s="43"/>
      <c r="EB457" s="43"/>
      <c r="EC457" s="43"/>
      <c r="ED457" s="43"/>
      <c r="EE457" s="43"/>
      <c r="EF457" s="43"/>
      <c r="EG457" s="43"/>
      <c r="EH457" s="43"/>
      <c r="EI457" s="43"/>
      <c r="EJ457" s="43"/>
      <c r="EK457" s="43"/>
      <c r="EL457" s="43"/>
      <c r="EM457" s="43"/>
      <c r="EN457" s="43"/>
      <c r="EO457" s="43"/>
      <c r="EP457" s="43"/>
      <c r="EQ457" s="43"/>
      <c r="ER457" s="43"/>
      <c r="ES457" s="43"/>
      <c r="ET457" s="43"/>
      <c r="EU457" s="43"/>
      <c r="EV457" s="43"/>
      <c r="EW457" s="43"/>
      <c r="EX457" s="43"/>
      <c r="EY457" s="43"/>
      <c r="EZ457" s="43"/>
      <c r="FA457" s="43"/>
      <c r="FB457" s="43"/>
      <c r="FC457" s="43"/>
      <c r="FD457" s="43"/>
      <c r="FE457" s="43"/>
      <c r="FF457" s="43"/>
      <c r="FG457" s="43"/>
      <c r="FH457" s="50"/>
      <c r="FI457" s="50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43"/>
      <c r="CF458" s="43"/>
      <c r="CG458" s="43"/>
      <c r="CH458" s="43"/>
      <c r="CI458" s="43"/>
      <c r="CJ458" s="43"/>
      <c r="CK458" s="43"/>
      <c r="CL458" s="43"/>
      <c r="CM458" s="43"/>
      <c r="CN458" s="43"/>
      <c r="CO458" s="43"/>
      <c r="CP458" s="43"/>
      <c r="CQ458" s="43"/>
      <c r="CR458" s="43"/>
      <c r="CS458" s="43"/>
      <c r="CT458" s="43"/>
      <c r="CU458" s="43"/>
      <c r="CV458" s="43"/>
      <c r="CW458" s="43"/>
      <c r="CX458" s="43"/>
      <c r="CY458" s="43"/>
      <c r="CZ458" s="43"/>
      <c r="DA458" s="43"/>
      <c r="DB458" s="43"/>
      <c r="DC458" s="43"/>
      <c r="DD458" s="43"/>
      <c r="DE458" s="43"/>
      <c r="DF458" s="43"/>
      <c r="DG458" s="43"/>
      <c r="DH458" s="43"/>
      <c r="DI458" s="43"/>
      <c r="DJ458" s="43"/>
      <c r="DK458" s="43"/>
      <c r="DL458" s="43"/>
      <c r="DM458" s="43"/>
      <c r="DN458" s="43"/>
      <c r="DO458" s="43"/>
      <c r="DP458" s="43"/>
      <c r="DQ458" s="43"/>
      <c r="DR458" s="43"/>
      <c r="DS458" s="43"/>
      <c r="DT458" s="43"/>
      <c r="DU458" s="43"/>
      <c r="DV458" s="43"/>
      <c r="DW458" s="43"/>
      <c r="DX458" s="43"/>
      <c r="DY458" s="43"/>
      <c r="DZ458" s="43"/>
      <c r="EA458" s="43"/>
      <c r="EB458" s="43"/>
      <c r="EC458" s="43"/>
      <c r="ED458" s="43"/>
      <c r="EE458" s="43"/>
      <c r="EF458" s="43"/>
      <c r="EG458" s="43"/>
      <c r="EH458" s="43"/>
      <c r="EI458" s="43"/>
      <c r="EJ458" s="43"/>
      <c r="EK458" s="43"/>
      <c r="EL458" s="43"/>
      <c r="EM458" s="43"/>
      <c r="EN458" s="43"/>
      <c r="EO458" s="43"/>
      <c r="EP458" s="43"/>
      <c r="EQ458" s="43"/>
      <c r="ER458" s="43"/>
      <c r="ES458" s="43"/>
      <c r="ET458" s="43"/>
      <c r="EU458" s="43"/>
      <c r="EV458" s="43"/>
      <c r="EW458" s="43"/>
      <c r="EX458" s="43"/>
      <c r="EY458" s="43"/>
      <c r="EZ458" s="43"/>
      <c r="FA458" s="43"/>
      <c r="FB458" s="43"/>
      <c r="FC458" s="43"/>
      <c r="FD458" s="43"/>
      <c r="FE458" s="43"/>
      <c r="FF458" s="43"/>
      <c r="FG458" s="43"/>
      <c r="FH458" s="50"/>
      <c r="FI458" s="50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/>
      <c r="CK459" s="43"/>
      <c r="CL459" s="43"/>
      <c r="CM459" s="43"/>
      <c r="CN459" s="43"/>
      <c r="CO459" s="43"/>
      <c r="CP459" s="43"/>
      <c r="CQ459" s="43"/>
      <c r="CR459" s="43"/>
      <c r="CS459" s="43"/>
      <c r="CT459" s="43"/>
      <c r="CU459" s="43"/>
      <c r="CV459" s="43"/>
      <c r="CW459" s="43"/>
      <c r="CX459" s="43"/>
      <c r="CY459" s="43"/>
      <c r="CZ459" s="43"/>
      <c r="DA459" s="43"/>
      <c r="DB459" s="43"/>
      <c r="DC459" s="43"/>
      <c r="DD459" s="43"/>
      <c r="DE459" s="43"/>
      <c r="DF459" s="43"/>
      <c r="DG459" s="43"/>
      <c r="DH459" s="43"/>
      <c r="DI459" s="43"/>
      <c r="DJ459" s="43"/>
      <c r="DK459" s="43"/>
      <c r="DL459" s="43"/>
      <c r="DM459" s="43"/>
      <c r="DN459" s="43"/>
      <c r="DO459" s="43"/>
      <c r="DP459" s="43"/>
      <c r="DQ459" s="43"/>
      <c r="DR459" s="43"/>
      <c r="DS459" s="43"/>
      <c r="DT459" s="43"/>
      <c r="DU459" s="43"/>
      <c r="DV459" s="43"/>
      <c r="DW459" s="43"/>
      <c r="DX459" s="43"/>
      <c r="DY459" s="43"/>
      <c r="DZ459" s="43"/>
      <c r="EA459" s="43"/>
      <c r="EB459" s="43"/>
      <c r="EC459" s="43"/>
      <c r="ED459" s="43"/>
      <c r="EE459" s="43"/>
      <c r="EF459" s="43"/>
      <c r="EG459" s="43"/>
      <c r="EH459" s="43"/>
      <c r="EI459" s="43"/>
      <c r="EJ459" s="43"/>
      <c r="EK459" s="43"/>
      <c r="EL459" s="43"/>
      <c r="EM459" s="43"/>
      <c r="EN459" s="43"/>
      <c r="EO459" s="43"/>
      <c r="EP459" s="43"/>
      <c r="EQ459" s="43"/>
      <c r="ER459" s="43"/>
      <c r="ES459" s="43"/>
      <c r="ET459" s="43"/>
      <c r="EU459" s="43"/>
      <c r="EV459" s="43"/>
      <c r="EW459" s="43"/>
      <c r="EX459" s="43"/>
      <c r="EY459" s="43"/>
      <c r="EZ459" s="43"/>
      <c r="FA459" s="43"/>
      <c r="FB459" s="43"/>
      <c r="FC459" s="43"/>
      <c r="FD459" s="43"/>
      <c r="FE459" s="43"/>
      <c r="FF459" s="43"/>
      <c r="FG459" s="43"/>
      <c r="FH459" s="50"/>
      <c r="FI459" s="50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43"/>
      <c r="CF460" s="43"/>
      <c r="CG460" s="43"/>
      <c r="CH460" s="43"/>
      <c r="CI460" s="43"/>
      <c r="CJ460" s="43"/>
      <c r="CK460" s="43"/>
      <c r="CL460" s="43"/>
      <c r="CM460" s="43"/>
      <c r="CN460" s="43"/>
      <c r="CO460" s="43"/>
      <c r="CP460" s="43"/>
      <c r="CQ460" s="43"/>
      <c r="CR460" s="43"/>
      <c r="CS460" s="43"/>
      <c r="CT460" s="43"/>
      <c r="CU460" s="43"/>
      <c r="CV460" s="43"/>
      <c r="CW460" s="43"/>
      <c r="CX460" s="43"/>
      <c r="CY460" s="43"/>
      <c r="CZ460" s="43"/>
      <c r="DA460" s="43"/>
      <c r="DB460" s="43"/>
      <c r="DC460" s="43"/>
      <c r="DD460" s="43"/>
      <c r="DE460" s="43"/>
      <c r="DF460" s="43"/>
      <c r="DG460" s="43"/>
      <c r="DH460" s="43"/>
      <c r="DI460" s="43"/>
      <c r="DJ460" s="43"/>
      <c r="DK460" s="43"/>
      <c r="DL460" s="43"/>
      <c r="DM460" s="43"/>
      <c r="DN460" s="43"/>
      <c r="DO460" s="43"/>
      <c r="DP460" s="43"/>
      <c r="DQ460" s="43"/>
      <c r="DR460" s="43"/>
      <c r="DS460" s="43"/>
      <c r="DT460" s="43"/>
      <c r="DU460" s="43"/>
      <c r="DV460" s="43"/>
      <c r="DW460" s="43"/>
      <c r="DX460" s="43"/>
      <c r="DY460" s="43"/>
      <c r="DZ460" s="43"/>
      <c r="EA460" s="43"/>
      <c r="EB460" s="43"/>
      <c r="EC460" s="43"/>
      <c r="ED460" s="43"/>
      <c r="EE460" s="43"/>
      <c r="EF460" s="43"/>
      <c r="EG460" s="43"/>
      <c r="EH460" s="43"/>
      <c r="EI460" s="43"/>
      <c r="EJ460" s="43"/>
      <c r="EK460" s="43"/>
      <c r="EL460" s="43"/>
      <c r="EM460" s="43"/>
      <c r="EN460" s="43"/>
      <c r="EO460" s="43"/>
      <c r="EP460" s="43"/>
      <c r="EQ460" s="43"/>
      <c r="ER460" s="43"/>
      <c r="ES460" s="43"/>
      <c r="ET460" s="43"/>
      <c r="EU460" s="43"/>
      <c r="EV460" s="43"/>
      <c r="EW460" s="43"/>
      <c r="EX460" s="43"/>
      <c r="EY460" s="43"/>
      <c r="EZ460" s="43"/>
      <c r="FA460" s="43"/>
      <c r="FB460" s="43"/>
      <c r="FC460" s="43"/>
      <c r="FD460" s="43"/>
      <c r="FE460" s="43"/>
      <c r="FF460" s="43"/>
      <c r="FG460" s="43"/>
      <c r="FH460" s="50"/>
      <c r="FI460" s="50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43"/>
      <c r="CF461" s="43"/>
      <c r="CG461" s="43"/>
      <c r="CH461" s="43"/>
      <c r="CI461" s="43"/>
      <c r="CJ461" s="43"/>
      <c r="CK461" s="43"/>
      <c r="CL461" s="43"/>
      <c r="CM461" s="43"/>
      <c r="CN461" s="43"/>
      <c r="CO461" s="43"/>
      <c r="CP461" s="43"/>
      <c r="CQ461" s="43"/>
      <c r="CR461" s="43"/>
      <c r="CS461" s="43"/>
      <c r="CT461" s="43"/>
      <c r="CU461" s="43"/>
      <c r="CV461" s="43"/>
      <c r="CW461" s="43"/>
      <c r="CX461" s="43"/>
      <c r="CY461" s="43"/>
      <c r="CZ461" s="43"/>
      <c r="DA461" s="43"/>
      <c r="DB461" s="43"/>
      <c r="DC461" s="43"/>
      <c r="DD461" s="43"/>
      <c r="DE461" s="43"/>
      <c r="DF461" s="43"/>
      <c r="DG461" s="43"/>
      <c r="DH461" s="43"/>
      <c r="DI461" s="43"/>
      <c r="DJ461" s="43"/>
      <c r="DK461" s="43"/>
      <c r="DL461" s="43"/>
      <c r="DM461" s="43"/>
      <c r="DN461" s="43"/>
      <c r="DO461" s="43"/>
      <c r="DP461" s="43"/>
      <c r="DQ461" s="43"/>
      <c r="DR461" s="43"/>
      <c r="DS461" s="43"/>
      <c r="DT461" s="43"/>
      <c r="DU461" s="43"/>
      <c r="DV461" s="43"/>
      <c r="DW461" s="43"/>
      <c r="DX461" s="43"/>
      <c r="DY461" s="43"/>
      <c r="DZ461" s="43"/>
      <c r="EA461" s="43"/>
      <c r="EB461" s="43"/>
      <c r="EC461" s="43"/>
      <c r="ED461" s="43"/>
      <c r="EE461" s="43"/>
      <c r="EF461" s="43"/>
      <c r="EG461" s="43"/>
      <c r="EH461" s="43"/>
      <c r="EI461" s="43"/>
      <c r="EJ461" s="43"/>
      <c r="EK461" s="43"/>
      <c r="EL461" s="43"/>
      <c r="EM461" s="43"/>
      <c r="EN461" s="43"/>
      <c r="EO461" s="43"/>
      <c r="EP461" s="43"/>
      <c r="EQ461" s="43"/>
      <c r="ER461" s="43"/>
      <c r="ES461" s="43"/>
      <c r="ET461" s="43"/>
      <c r="EU461" s="43"/>
      <c r="EV461" s="43"/>
      <c r="EW461" s="43"/>
      <c r="EX461" s="43"/>
      <c r="EY461" s="43"/>
      <c r="EZ461" s="43"/>
      <c r="FA461" s="43"/>
      <c r="FB461" s="43"/>
      <c r="FC461" s="43"/>
      <c r="FD461" s="43"/>
      <c r="FE461" s="43"/>
      <c r="FF461" s="43"/>
      <c r="FG461" s="43"/>
      <c r="FH461" s="50"/>
      <c r="FI461" s="50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/>
      <c r="CK462" s="43"/>
      <c r="CL462" s="43"/>
      <c r="CM462" s="43"/>
      <c r="CN462" s="43"/>
      <c r="CO462" s="43"/>
      <c r="CP462" s="43"/>
      <c r="CQ462" s="43"/>
      <c r="CR462" s="43"/>
      <c r="CS462" s="43"/>
      <c r="CT462" s="43"/>
      <c r="CU462" s="43"/>
      <c r="CV462" s="43"/>
      <c r="CW462" s="43"/>
      <c r="CX462" s="43"/>
      <c r="CY462" s="43"/>
      <c r="CZ462" s="43"/>
      <c r="DA462" s="43"/>
      <c r="DB462" s="43"/>
      <c r="DC462" s="43"/>
      <c r="DD462" s="43"/>
      <c r="DE462" s="43"/>
      <c r="DF462" s="43"/>
      <c r="DG462" s="43"/>
      <c r="DH462" s="43"/>
      <c r="DI462" s="43"/>
      <c r="DJ462" s="43"/>
      <c r="DK462" s="43"/>
      <c r="DL462" s="43"/>
      <c r="DM462" s="43"/>
      <c r="DN462" s="43"/>
      <c r="DO462" s="43"/>
      <c r="DP462" s="43"/>
      <c r="DQ462" s="43"/>
      <c r="DR462" s="43"/>
      <c r="DS462" s="43"/>
      <c r="DT462" s="43"/>
      <c r="DU462" s="43"/>
      <c r="DV462" s="43"/>
      <c r="DW462" s="43"/>
      <c r="DX462" s="43"/>
      <c r="DY462" s="43"/>
      <c r="DZ462" s="43"/>
      <c r="EA462" s="43"/>
      <c r="EB462" s="43"/>
      <c r="EC462" s="43"/>
      <c r="ED462" s="43"/>
      <c r="EE462" s="43"/>
      <c r="EF462" s="43"/>
      <c r="EG462" s="43"/>
      <c r="EH462" s="43"/>
      <c r="EI462" s="43"/>
      <c r="EJ462" s="43"/>
      <c r="EK462" s="43"/>
      <c r="EL462" s="43"/>
      <c r="EM462" s="43"/>
      <c r="EN462" s="43"/>
      <c r="EO462" s="43"/>
      <c r="EP462" s="43"/>
      <c r="EQ462" s="43"/>
      <c r="ER462" s="43"/>
      <c r="ES462" s="43"/>
      <c r="ET462" s="43"/>
      <c r="EU462" s="43"/>
      <c r="EV462" s="43"/>
      <c r="EW462" s="43"/>
      <c r="EX462" s="43"/>
      <c r="EY462" s="43"/>
      <c r="EZ462" s="43"/>
      <c r="FA462" s="43"/>
      <c r="FB462" s="43"/>
      <c r="FC462" s="43"/>
      <c r="FD462" s="43"/>
      <c r="FE462" s="43"/>
      <c r="FF462" s="43"/>
      <c r="FG462" s="43"/>
      <c r="FH462" s="50"/>
      <c r="FI462" s="50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43"/>
      <c r="CF463" s="43"/>
      <c r="CG463" s="43"/>
      <c r="CH463" s="43"/>
      <c r="CI463" s="43"/>
      <c r="CJ463" s="43"/>
      <c r="CK463" s="43"/>
      <c r="CL463" s="43"/>
      <c r="CM463" s="43"/>
      <c r="CN463" s="43"/>
      <c r="CO463" s="43"/>
      <c r="CP463" s="43"/>
      <c r="CQ463" s="43"/>
      <c r="CR463" s="43"/>
      <c r="CS463" s="43"/>
      <c r="CT463" s="43"/>
      <c r="CU463" s="43"/>
      <c r="CV463" s="43"/>
      <c r="CW463" s="43"/>
      <c r="CX463" s="43"/>
      <c r="CY463" s="43"/>
      <c r="CZ463" s="43"/>
      <c r="DA463" s="43"/>
      <c r="DB463" s="43"/>
      <c r="DC463" s="43"/>
      <c r="DD463" s="43"/>
      <c r="DE463" s="43"/>
      <c r="DF463" s="43"/>
      <c r="DG463" s="43"/>
      <c r="DH463" s="43"/>
      <c r="DI463" s="43"/>
      <c r="DJ463" s="43"/>
      <c r="DK463" s="43"/>
      <c r="DL463" s="43"/>
      <c r="DM463" s="43"/>
      <c r="DN463" s="43"/>
      <c r="DO463" s="43"/>
      <c r="DP463" s="43"/>
      <c r="DQ463" s="43"/>
      <c r="DR463" s="43"/>
      <c r="DS463" s="43"/>
      <c r="DT463" s="43"/>
      <c r="DU463" s="43"/>
      <c r="DV463" s="43"/>
      <c r="DW463" s="43"/>
      <c r="DX463" s="43"/>
      <c r="DY463" s="43"/>
      <c r="DZ463" s="43"/>
      <c r="EA463" s="43"/>
      <c r="EB463" s="43"/>
      <c r="EC463" s="43"/>
      <c r="ED463" s="43"/>
      <c r="EE463" s="43"/>
      <c r="EF463" s="43"/>
      <c r="EG463" s="43"/>
      <c r="EH463" s="43"/>
      <c r="EI463" s="43"/>
      <c r="EJ463" s="43"/>
      <c r="EK463" s="43"/>
      <c r="EL463" s="43"/>
      <c r="EM463" s="43"/>
      <c r="EN463" s="43"/>
      <c r="EO463" s="43"/>
      <c r="EP463" s="43"/>
      <c r="EQ463" s="43"/>
      <c r="ER463" s="43"/>
      <c r="ES463" s="43"/>
      <c r="ET463" s="43"/>
      <c r="EU463" s="43"/>
      <c r="EV463" s="43"/>
      <c r="EW463" s="43"/>
      <c r="EX463" s="43"/>
      <c r="EY463" s="43"/>
      <c r="EZ463" s="43"/>
      <c r="FA463" s="43"/>
      <c r="FB463" s="43"/>
      <c r="FC463" s="43"/>
      <c r="FD463" s="43"/>
      <c r="FE463" s="43"/>
      <c r="FF463" s="43"/>
      <c r="FG463" s="43"/>
      <c r="FH463" s="50"/>
      <c r="FI463" s="50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43"/>
      <c r="CF464" s="43"/>
      <c r="CG464" s="43"/>
      <c r="CH464" s="43"/>
      <c r="CI464" s="43"/>
      <c r="CJ464" s="43"/>
      <c r="CK464" s="43"/>
      <c r="CL464" s="43"/>
      <c r="CM464" s="43"/>
      <c r="CN464" s="43"/>
      <c r="CO464" s="43"/>
      <c r="CP464" s="43"/>
      <c r="CQ464" s="43"/>
      <c r="CR464" s="43"/>
      <c r="CS464" s="43"/>
      <c r="CT464" s="43"/>
      <c r="CU464" s="43"/>
      <c r="CV464" s="43"/>
      <c r="CW464" s="43"/>
      <c r="CX464" s="43"/>
      <c r="CY464" s="43"/>
      <c r="CZ464" s="43"/>
      <c r="DA464" s="43"/>
      <c r="DB464" s="43"/>
      <c r="DC464" s="43"/>
      <c r="DD464" s="43"/>
      <c r="DE464" s="43"/>
      <c r="DF464" s="43"/>
      <c r="DG464" s="43"/>
      <c r="DH464" s="43"/>
      <c r="DI464" s="43"/>
      <c r="DJ464" s="43"/>
      <c r="DK464" s="43"/>
      <c r="DL464" s="43"/>
      <c r="DM464" s="43"/>
      <c r="DN464" s="43"/>
      <c r="DO464" s="43"/>
      <c r="DP464" s="43"/>
      <c r="DQ464" s="43"/>
      <c r="DR464" s="43"/>
      <c r="DS464" s="43"/>
      <c r="DT464" s="43"/>
      <c r="DU464" s="43"/>
      <c r="DV464" s="43"/>
      <c r="DW464" s="43"/>
      <c r="DX464" s="43"/>
      <c r="DY464" s="43"/>
      <c r="DZ464" s="43"/>
      <c r="EA464" s="43"/>
      <c r="EB464" s="43"/>
      <c r="EC464" s="43"/>
      <c r="ED464" s="43"/>
      <c r="EE464" s="43"/>
      <c r="EF464" s="43"/>
      <c r="EG464" s="43"/>
      <c r="EH464" s="43"/>
      <c r="EI464" s="43"/>
      <c r="EJ464" s="43"/>
      <c r="EK464" s="43"/>
      <c r="EL464" s="43"/>
      <c r="EM464" s="43"/>
      <c r="EN464" s="43"/>
      <c r="EO464" s="43"/>
      <c r="EP464" s="43"/>
      <c r="EQ464" s="43"/>
      <c r="ER464" s="43"/>
      <c r="ES464" s="43"/>
      <c r="ET464" s="43"/>
      <c r="EU464" s="43"/>
      <c r="EV464" s="43"/>
      <c r="EW464" s="43"/>
      <c r="EX464" s="43"/>
      <c r="EY464" s="43"/>
      <c r="EZ464" s="43"/>
      <c r="FA464" s="43"/>
      <c r="FB464" s="43"/>
      <c r="FC464" s="43"/>
      <c r="FD464" s="43"/>
      <c r="FE464" s="43"/>
      <c r="FF464" s="43"/>
      <c r="FG464" s="43"/>
      <c r="FH464" s="50"/>
      <c r="FI464" s="50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43"/>
      <c r="CF465" s="43"/>
      <c r="CG465" s="43"/>
      <c r="CH465" s="43"/>
      <c r="CI465" s="43"/>
      <c r="CJ465" s="43"/>
      <c r="CK465" s="43"/>
      <c r="CL465" s="43"/>
      <c r="CM465" s="43"/>
      <c r="CN465" s="43"/>
      <c r="CO465" s="43"/>
      <c r="CP465" s="43"/>
      <c r="CQ465" s="43"/>
      <c r="CR465" s="43"/>
      <c r="CS465" s="43"/>
      <c r="CT465" s="43"/>
      <c r="CU465" s="43"/>
      <c r="CV465" s="43"/>
      <c r="CW465" s="43"/>
      <c r="CX465" s="43"/>
      <c r="CY465" s="43"/>
      <c r="CZ465" s="43"/>
      <c r="DA465" s="43"/>
      <c r="DB465" s="43"/>
      <c r="DC465" s="43"/>
      <c r="DD465" s="43"/>
      <c r="DE465" s="43"/>
      <c r="DF465" s="43"/>
      <c r="DG465" s="43"/>
      <c r="DH465" s="43"/>
      <c r="DI465" s="43"/>
      <c r="DJ465" s="43"/>
      <c r="DK465" s="43"/>
      <c r="DL465" s="43"/>
      <c r="DM465" s="43"/>
      <c r="DN465" s="43"/>
      <c r="DO465" s="43"/>
      <c r="DP465" s="43"/>
      <c r="DQ465" s="43"/>
      <c r="DR465" s="43"/>
      <c r="DS465" s="43"/>
      <c r="DT465" s="43"/>
      <c r="DU465" s="43"/>
      <c r="DV465" s="43"/>
      <c r="DW465" s="43"/>
      <c r="DX465" s="43"/>
      <c r="DY465" s="43"/>
      <c r="DZ465" s="43"/>
      <c r="EA465" s="43"/>
      <c r="EB465" s="43"/>
      <c r="EC465" s="43"/>
      <c r="ED465" s="43"/>
      <c r="EE465" s="43"/>
      <c r="EF465" s="43"/>
      <c r="EG465" s="43"/>
      <c r="EH465" s="43"/>
      <c r="EI465" s="43"/>
      <c r="EJ465" s="43"/>
      <c r="EK465" s="43"/>
      <c r="EL465" s="43"/>
      <c r="EM465" s="43"/>
      <c r="EN465" s="43"/>
      <c r="EO465" s="43"/>
      <c r="EP465" s="43"/>
      <c r="EQ465" s="43"/>
      <c r="ER465" s="43"/>
      <c r="ES465" s="43"/>
      <c r="ET465" s="43"/>
      <c r="EU465" s="43"/>
      <c r="EV465" s="43"/>
      <c r="EW465" s="43"/>
      <c r="EX465" s="43"/>
      <c r="EY465" s="43"/>
      <c r="EZ465" s="43"/>
      <c r="FA465" s="43"/>
      <c r="FB465" s="43"/>
      <c r="FC465" s="43"/>
      <c r="FD465" s="43"/>
      <c r="FE465" s="43"/>
      <c r="FF465" s="43"/>
      <c r="FG465" s="43"/>
      <c r="FH465" s="50"/>
      <c r="FI465" s="50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43"/>
      <c r="CF466" s="43"/>
      <c r="CG466" s="43"/>
      <c r="CH466" s="43"/>
      <c r="CI466" s="43"/>
      <c r="CJ466" s="43"/>
      <c r="CK466" s="43"/>
      <c r="CL466" s="43"/>
      <c r="CM466" s="43"/>
      <c r="CN466" s="43"/>
      <c r="CO466" s="43"/>
      <c r="CP466" s="43"/>
      <c r="CQ466" s="43"/>
      <c r="CR466" s="43"/>
      <c r="CS466" s="43"/>
      <c r="CT466" s="43"/>
      <c r="CU466" s="43"/>
      <c r="CV466" s="43"/>
      <c r="CW466" s="43"/>
      <c r="CX466" s="43"/>
      <c r="CY466" s="43"/>
      <c r="CZ466" s="43"/>
      <c r="DA466" s="43"/>
      <c r="DB466" s="43"/>
      <c r="DC466" s="43"/>
      <c r="DD466" s="43"/>
      <c r="DE466" s="43"/>
      <c r="DF466" s="43"/>
      <c r="DG466" s="43"/>
      <c r="DH466" s="43"/>
      <c r="DI466" s="43"/>
      <c r="DJ466" s="43"/>
      <c r="DK466" s="43"/>
      <c r="DL466" s="43"/>
      <c r="DM466" s="43"/>
      <c r="DN466" s="43"/>
      <c r="DO466" s="43"/>
      <c r="DP466" s="43"/>
      <c r="DQ466" s="43"/>
      <c r="DR466" s="43"/>
      <c r="DS466" s="43"/>
      <c r="DT466" s="43"/>
      <c r="DU466" s="43"/>
      <c r="DV466" s="43"/>
      <c r="DW466" s="43"/>
      <c r="DX466" s="43"/>
      <c r="DY466" s="43"/>
      <c r="DZ466" s="43"/>
      <c r="EA466" s="43"/>
      <c r="EB466" s="43"/>
      <c r="EC466" s="43"/>
      <c r="ED466" s="43"/>
      <c r="EE466" s="43"/>
      <c r="EF466" s="43"/>
      <c r="EG466" s="43"/>
      <c r="EH466" s="43"/>
      <c r="EI466" s="43"/>
      <c r="EJ466" s="43"/>
      <c r="EK466" s="43"/>
      <c r="EL466" s="43"/>
      <c r="EM466" s="43"/>
      <c r="EN466" s="43"/>
      <c r="EO466" s="43"/>
      <c r="EP466" s="43"/>
      <c r="EQ466" s="43"/>
      <c r="ER466" s="43"/>
      <c r="ES466" s="43"/>
      <c r="ET466" s="43"/>
      <c r="EU466" s="43"/>
      <c r="EV466" s="43"/>
      <c r="EW466" s="43"/>
      <c r="EX466" s="43"/>
      <c r="EY466" s="43"/>
      <c r="EZ466" s="43"/>
      <c r="FA466" s="43"/>
      <c r="FB466" s="43"/>
      <c r="FC466" s="43"/>
      <c r="FD466" s="43"/>
      <c r="FE466" s="43"/>
      <c r="FF466" s="43"/>
      <c r="FG466" s="43"/>
      <c r="FH466" s="50"/>
      <c r="FI466" s="50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43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43"/>
      <c r="CF467" s="43"/>
      <c r="CG467" s="43"/>
      <c r="CH467" s="43"/>
      <c r="CI467" s="43"/>
      <c r="CJ467" s="43"/>
      <c r="CK467" s="43"/>
      <c r="CL467" s="43"/>
      <c r="CM467" s="43"/>
      <c r="CN467" s="43"/>
      <c r="CO467" s="43"/>
      <c r="CP467" s="43"/>
      <c r="CQ467" s="43"/>
      <c r="CR467" s="43"/>
      <c r="CS467" s="43"/>
      <c r="CT467" s="43"/>
      <c r="CU467" s="43"/>
      <c r="CV467" s="43"/>
      <c r="CW467" s="43"/>
      <c r="CX467" s="43"/>
      <c r="CY467" s="43"/>
      <c r="CZ467" s="43"/>
      <c r="DA467" s="43"/>
      <c r="DB467" s="43"/>
      <c r="DC467" s="43"/>
      <c r="DD467" s="43"/>
      <c r="DE467" s="43"/>
      <c r="DF467" s="43"/>
      <c r="DG467" s="43"/>
      <c r="DH467" s="43"/>
      <c r="DI467" s="43"/>
      <c r="DJ467" s="43"/>
      <c r="DK467" s="43"/>
      <c r="DL467" s="43"/>
      <c r="DM467" s="43"/>
      <c r="DN467" s="43"/>
      <c r="DO467" s="43"/>
      <c r="DP467" s="43"/>
      <c r="DQ467" s="43"/>
      <c r="DR467" s="43"/>
      <c r="DS467" s="43"/>
      <c r="DT467" s="43"/>
      <c r="DU467" s="43"/>
      <c r="DV467" s="43"/>
      <c r="DW467" s="43"/>
      <c r="DX467" s="43"/>
      <c r="DY467" s="43"/>
      <c r="DZ467" s="43"/>
      <c r="EA467" s="43"/>
      <c r="EB467" s="43"/>
      <c r="EC467" s="43"/>
      <c r="ED467" s="43"/>
      <c r="EE467" s="43"/>
      <c r="EF467" s="43"/>
      <c r="EG467" s="43"/>
      <c r="EH467" s="43"/>
      <c r="EI467" s="43"/>
      <c r="EJ467" s="43"/>
      <c r="EK467" s="43"/>
      <c r="EL467" s="43"/>
      <c r="EM467" s="43"/>
      <c r="EN467" s="43"/>
      <c r="EO467" s="43"/>
      <c r="EP467" s="43"/>
      <c r="EQ467" s="43"/>
      <c r="ER467" s="43"/>
      <c r="ES467" s="43"/>
      <c r="ET467" s="43"/>
      <c r="EU467" s="43"/>
      <c r="EV467" s="43"/>
      <c r="EW467" s="43"/>
      <c r="EX467" s="43"/>
      <c r="EY467" s="43"/>
      <c r="EZ467" s="43"/>
      <c r="FA467" s="43"/>
      <c r="FB467" s="43"/>
      <c r="FC467" s="43"/>
      <c r="FD467" s="43"/>
      <c r="FE467" s="43"/>
      <c r="FF467" s="43"/>
      <c r="FG467" s="43"/>
      <c r="FH467" s="50"/>
      <c r="FI467" s="50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43"/>
      <c r="CF468" s="43"/>
      <c r="CG468" s="43"/>
      <c r="CH468" s="43"/>
      <c r="CI468" s="43"/>
      <c r="CJ468" s="43"/>
      <c r="CK468" s="43"/>
      <c r="CL468" s="43"/>
      <c r="CM468" s="43"/>
      <c r="CN468" s="43"/>
      <c r="CO468" s="43"/>
      <c r="CP468" s="43"/>
      <c r="CQ468" s="43"/>
      <c r="CR468" s="43"/>
      <c r="CS468" s="43"/>
      <c r="CT468" s="43"/>
      <c r="CU468" s="43"/>
      <c r="CV468" s="43"/>
      <c r="CW468" s="43"/>
      <c r="CX468" s="43"/>
      <c r="CY468" s="43"/>
      <c r="CZ468" s="43"/>
      <c r="DA468" s="43"/>
      <c r="DB468" s="43"/>
      <c r="DC468" s="43"/>
      <c r="DD468" s="43"/>
      <c r="DE468" s="43"/>
      <c r="DF468" s="43"/>
      <c r="DG468" s="43"/>
      <c r="DH468" s="43"/>
      <c r="DI468" s="43"/>
      <c r="DJ468" s="43"/>
      <c r="DK468" s="43"/>
      <c r="DL468" s="43"/>
      <c r="DM468" s="43"/>
      <c r="DN468" s="43"/>
      <c r="DO468" s="43"/>
      <c r="DP468" s="43"/>
      <c r="DQ468" s="43"/>
      <c r="DR468" s="43"/>
      <c r="DS468" s="43"/>
      <c r="DT468" s="43"/>
      <c r="DU468" s="43"/>
      <c r="DV468" s="43"/>
      <c r="DW468" s="43"/>
      <c r="DX468" s="43"/>
      <c r="DY468" s="43"/>
      <c r="DZ468" s="43"/>
      <c r="EA468" s="43"/>
      <c r="EB468" s="43"/>
      <c r="EC468" s="43"/>
      <c r="ED468" s="43"/>
      <c r="EE468" s="43"/>
      <c r="EF468" s="43"/>
      <c r="EG468" s="43"/>
      <c r="EH468" s="43"/>
      <c r="EI468" s="43"/>
      <c r="EJ468" s="43"/>
      <c r="EK468" s="43"/>
      <c r="EL468" s="43"/>
      <c r="EM468" s="43"/>
      <c r="EN468" s="43"/>
      <c r="EO468" s="43"/>
      <c r="EP468" s="43"/>
      <c r="EQ468" s="43"/>
      <c r="ER468" s="43"/>
      <c r="ES468" s="43"/>
      <c r="ET468" s="43"/>
      <c r="EU468" s="43"/>
      <c r="EV468" s="43"/>
      <c r="EW468" s="43"/>
      <c r="EX468" s="43"/>
      <c r="EY468" s="43"/>
      <c r="EZ468" s="43"/>
      <c r="FA468" s="43"/>
      <c r="FB468" s="43"/>
      <c r="FC468" s="43"/>
      <c r="FD468" s="43"/>
      <c r="FE468" s="43"/>
      <c r="FF468" s="43"/>
      <c r="FG468" s="43"/>
      <c r="FH468" s="50"/>
      <c r="FI468" s="50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43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43"/>
      <c r="CF469" s="43"/>
      <c r="CG469" s="43"/>
      <c r="CH469" s="43"/>
      <c r="CI469" s="43"/>
      <c r="CJ469" s="43"/>
      <c r="CK469" s="43"/>
      <c r="CL469" s="43"/>
      <c r="CM469" s="43"/>
      <c r="CN469" s="43"/>
      <c r="CO469" s="43"/>
      <c r="CP469" s="43"/>
      <c r="CQ469" s="43"/>
      <c r="CR469" s="43"/>
      <c r="CS469" s="43"/>
      <c r="CT469" s="43"/>
      <c r="CU469" s="43"/>
      <c r="CV469" s="43"/>
      <c r="CW469" s="43"/>
      <c r="CX469" s="43"/>
      <c r="CY469" s="43"/>
      <c r="CZ469" s="43"/>
      <c r="DA469" s="43"/>
      <c r="DB469" s="43"/>
      <c r="DC469" s="43"/>
      <c r="DD469" s="43"/>
      <c r="DE469" s="43"/>
      <c r="DF469" s="43"/>
      <c r="DG469" s="43"/>
      <c r="DH469" s="43"/>
      <c r="DI469" s="43"/>
      <c r="DJ469" s="43"/>
      <c r="DK469" s="43"/>
      <c r="DL469" s="43"/>
      <c r="DM469" s="43"/>
      <c r="DN469" s="43"/>
      <c r="DO469" s="43"/>
      <c r="DP469" s="43"/>
      <c r="DQ469" s="43"/>
      <c r="DR469" s="43"/>
      <c r="DS469" s="43"/>
      <c r="DT469" s="43"/>
      <c r="DU469" s="43"/>
      <c r="DV469" s="43"/>
      <c r="DW469" s="43"/>
      <c r="DX469" s="43"/>
      <c r="DY469" s="43"/>
      <c r="DZ469" s="43"/>
      <c r="EA469" s="43"/>
      <c r="EB469" s="43"/>
      <c r="EC469" s="43"/>
      <c r="ED469" s="43"/>
      <c r="EE469" s="43"/>
      <c r="EF469" s="43"/>
      <c r="EG469" s="43"/>
      <c r="EH469" s="43"/>
      <c r="EI469" s="43"/>
      <c r="EJ469" s="43"/>
      <c r="EK469" s="43"/>
      <c r="EL469" s="43"/>
      <c r="EM469" s="43"/>
      <c r="EN469" s="43"/>
      <c r="EO469" s="43"/>
      <c r="EP469" s="43"/>
      <c r="EQ469" s="43"/>
      <c r="ER469" s="43"/>
      <c r="ES469" s="43"/>
      <c r="ET469" s="43"/>
      <c r="EU469" s="43"/>
      <c r="EV469" s="43"/>
      <c r="EW469" s="43"/>
      <c r="EX469" s="43"/>
      <c r="EY469" s="43"/>
      <c r="EZ469" s="43"/>
      <c r="FA469" s="43"/>
      <c r="FB469" s="43"/>
      <c r="FC469" s="43"/>
      <c r="FD469" s="43"/>
      <c r="FE469" s="43"/>
      <c r="FF469" s="43"/>
      <c r="FG469" s="43"/>
      <c r="FH469" s="50"/>
      <c r="FI469" s="50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43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43"/>
      <c r="CF470" s="43"/>
      <c r="CG470" s="43"/>
      <c r="CH470" s="43"/>
      <c r="CI470" s="43"/>
      <c r="CJ470" s="43"/>
      <c r="CK470" s="43"/>
      <c r="CL470" s="43"/>
      <c r="CM470" s="43"/>
      <c r="CN470" s="43"/>
      <c r="CO470" s="43"/>
      <c r="CP470" s="43"/>
      <c r="CQ470" s="43"/>
      <c r="CR470" s="43"/>
      <c r="CS470" s="43"/>
      <c r="CT470" s="43"/>
      <c r="CU470" s="43"/>
      <c r="CV470" s="43"/>
      <c r="CW470" s="43"/>
      <c r="CX470" s="43"/>
      <c r="CY470" s="43"/>
      <c r="CZ470" s="43"/>
      <c r="DA470" s="43"/>
      <c r="DB470" s="43"/>
      <c r="DC470" s="43"/>
      <c r="DD470" s="43"/>
      <c r="DE470" s="43"/>
      <c r="DF470" s="43"/>
      <c r="DG470" s="43"/>
      <c r="DH470" s="43"/>
      <c r="DI470" s="43"/>
      <c r="DJ470" s="43"/>
      <c r="DK470" s="43"/>
      <c r="DL470" s="43"/>
      <c r="DM470" s="43"/>
      <c r="DN470" s="43"/>
      <c r="DO470" s="43"/>
      <c r="DP470" s="43"/>
      <c r="DQ470" s="43"/>
      <c r="DR470" s="43"/>
      <c r="DS470" s="43"/>
      <c r="DT470" s="43"/>
      <c r="DU470" s="43"/>
      <c r="DV470" s="43"/>
      <c r="DW470" s="43"/>
      <c r="DX470" s="43"/>
      <c r="DY470" s="43"/>
      <c r="DZ470" s="43"/>
      <c r="EA470" s="43"/>
      <c r="EB470" s="43"/>
      <c r="EC470" s="43"/>
      <c r="ED470" s="43"/>
      <c r="EE470" s="43"/>
      <c r="EF470" s="43"/>
      <c r="EG470" s="43"/>
      <c r="EH470" s="43"/>
      <c r="EI470" s="43"/>
      <c r="EJ470" s="43"/>
      <c r="EK470" s="43"/>
      <c r="EL470" s="43"/>
      <c r="EM470" s="43"/>
      <c r="EN470" s="43"/>
      <c r="EO470" s="43"/>
      <c r="EP470" s="43"/>
      <c r="EQ470" s="43"/>
      <c r="ER470" s="43"/>
      <c r="ES470" s="43"/>
      <c r="ET470" s="43"/>
      <c r="EU470" s="43"/>
      <c r="EV470" s="43"/>
      <c r="EW470" s="43"/>
      <c r="EX470" s="43"/>
      <c r="EY470" s="43"/>
      <c r="EZ470" s="43"/>
      <c r="FA470" s="43"/>
      <c r="FB470" s="43"/>
      <c r="FC470" s="43"/>
      <c r="FD470" s="43"/>
      <c r="FE470" s="43"/>
      <c r="FF470" s="43"/>
      <c r="FG470" s="43"/>
      <c r="FH470" s="50"/>
      <c r="FI470" s="50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43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43"/>
      <c r="CF471" s="43"/>
      <c r="CG471" s="43"/>
      <c r="CH471" s="43"/>
      <c r="CI471" s="43"/>
      <c r="CJ471" s="43"/>
      <c r="CK471" s="43"/>
      <c r="CL471" s="43"/>
      <c r="CM471" s="43"/>
      <c r="CN471" s="43"/>
      <c r="CO471" s="43"/>
      <c r="CP471" s="43"/>
      <c r="CQ471" s="43"/>
      <c r="CR471" s="43"/>
      <c r="CS471" s="43"/>
      <c r="CT471" s="43"/>
      <c r="CU471" s="43"/>
      <c r="CV471" s="43"/>
      <c r="CW471" s="43"/>
      <c r="CX471" s="43"/>
      <c r="CY471" s="43"/>
      <c r="CZ471" s="43"/>
      <c r="DA471" s="43"/>
      <c r="DB471" s="43"/>
      <c r="DC471" s="43"/>
      <c r="DD471" s="43"/>
      <c r="DE471" s="43"/>
      <c r="DF471" s="43"/>
      <c r="DG471" s="43"/>
      <c r="DH471" s="43"/>
      <c r="DI471" s="43"/>
      <c r="DJ471" s="43"/>
      <c r="DK471" s="43"/>
      <c r="DL471" s="43"/>
      <c r="DM471" s="43"/>
      <c r="DN471" s="43"/>
      <c r="DO471" s="43"/>
      <c r="DP471" s="43"/>
      <c r="DQ471" s="43"/>
      <c r="DR471" s="43"/>
      <c r="DS471" s="43"/>
      <c r="DT471" s="43"/>
      <c r="DU471" s="43"/>
      <c r="DV471" s="43"/>
      <c r="DW471" s="43"/>
      <c r="DX471" s="43"/>
      <c r="DY471" s="43"/>
      <c r="DZ471" s="43"/>
      <c r="EA471" s="43"/>
      <c r="EB471" s="43"/>
      <c r="EC471" s="43"/>
      <c r="ED471" s="43"/>
      <c r="EE471" s="43"/>
      <c r="EF471" s="43"/>
      <c r="EG471" s="43"/>
      <c r="EH471" s="43"/>
      <c r="EI471" s="43"/>
      <c r="EJ471" s="43"/>
      <c r="EK471" s="43"/>
      <c r="EL471" s="43"/>
      <c r="EM471" s="43"/>
      <c r="EN471" s="43"/>
      <c r="EO471" s="43"/>
      <c r="EP471" s="43"/>
      <c r="EQ471" s="43"/>
      <c r="ER471" s="43"/>
      <c r="ES471" s="43"/>
      <c r="ET471" s="43"/>
      <c r="EU471" s="43"/>
      <c r="EV471" s="43"/>
      <c r="EW471" s="43"/>
      <c r="EX471" s="43"/>
      <c r="EY471" s="43"/>
      <c r="EZ471" s="43"/>
      <c r="FA471" s="43"/>
      <c r="FB471" s="43"/>
      <c r="FC471" s="43"/>
      <c r="FD471" s="43"/>
      <c r="FE471" s="43"/>
      <c r="FF471" s="43"/>
      <c r="FG471" s="43"/>
      <c r="FH471" s="50"/>
      <c r="FI471" s="50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43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43"/>
      <c r="CF472" s="43"/>
      <c r="CG472" s="43"/>
      <c r="CH472" s="43"/>
      <c r="CI472" s="43"/>
      <c r="CJ472" s="43"/>
      <c r="CK472" s="43"/>
      <c r="CL472" s="43"/>
      <c r="CM472" s="43"/>
      <c r="CN472" s="43"/>
      <c r="CO472" s="43"/>
      <c r="CP472" s="43"/>
      <c r="CQ472" s="43"/>
      <c r="CR472" s="43"/>
      <c r="CS472" s="43"/>
      <c r="CT472" s="43"/>
      <c r="CU472" s="43"/>
      <c r="CV472" s="43"/>
      <c r="CW472" s="43"/>
      <c r="CX472" s="43"/>
      <c r="CY472" s="43"/>
      <c r="CZ472" s="43"/>
      <c r="DA472" s="43"/>
      <c r="DB472" s="43"/>
      <c r="DC472" s="43"/>
      <c r="DD472" s="43"/>
      <c r="DE472" s="43"/>
      <c r="DF472" s="43"/>
      <c r="DG472" s="43"/>
      <c r="DH472" s="43"/>
      <c r="DI472" s="43"/>
      <c r="DJ472" s="43"/>
      <c r="DK472" s="43"/>
      <c r="DL472" s="43"/>
      <c r="DM472" s="43"/>
      <c r="DN472" s="43"/>
      <c r="DO472" s="43"/>
      <c r="DP472" s="43"/>
      <c r="DQ472" s="43"/>
      <c r="DR472" s="43"/>
      <c r="DS472" s="43"/>
      <c r="DT472" s="43"/>
      <c r="DU472" s="43"/>
      <c r="DV472" s="43"/>
      <c r="DW472" s="43"/>
      <c r="DX472" s="43"/>
      <c r="DY472" s="43"/>
      <c r="DZ472" s="43"/>
      <c r="EA472" s="43"/>
      <c r="EB472" s="43"/>
      <c r="EC472" s="43"/>
      <c r="ED472" s="43"/>
      <c r="EE472" s="43"/>
      <c r="EF472" s="43"/>
      <c r="EG472" s="43"/>
      <c r="EH472" s="43"/>
      <c r="EI472" s="43"/>
      <c r="EJ472" s="43"/>
      <c r="EK472" s="43"/>
      <c r="EL472" s="43"/>
      <c r="EM472" s="43"/>
      <c r="EN472" s="43"/>
      <c r="EO472" s="43"/>
      <c r="EP472" s="43"/>
      <c r="EQ472" s="43"/>
      <c r="ER472" s="43"/>
      <c r="ES472" s="43"/>
      <c r="ET472" s="43"/>
      <c r="EU472" s="43"/>
      <c r="EV472" s="43"/>
      <c r="EW472" s="43"/>
      <c r="EX472" s="43"/>
      <c r="EY472" s="43"/>
      <c r="EZ472" s="43"/>
      <c r="FA472" s="43"/>
      <c r="FB472" s="43"/>
      <c r="FC472" s="43"/>
      <c r="FD472" s="43"/>
      <c r="FE472" s="43"/>
      <c r="FF472" s="43"/>
      <c r="FG472" s="43"/>
      <c r="FH472" s="50"/>
      <c r="FI472" s="50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  <c r="CS473" s="43"/>
      <c r="CT473" s="43"/>
      <c r="CU473" s="43"/>
      <c r="CV473" s="43"/>
      <c r="CW473" s="43"/>
      <c r="CX473" s="43"/>
      <c r="CY473" s="43"/>
      <c r="CZ473" s="43"/>
      <c r="DA473" s="43"/>
      <c r="DB473" s="43"/>
      <c r="DC473" s="43"/>
      <c r="DD473" s="43"/>
      <c r="DE473" s="43"/>
      <c r="DF473" s="43"/>
      <c r="DG473" s="43"/>
      <c r="DH473" s="43"/>
      <c r="DI473" s="43"/>
      <c r="DJ473" s="43"/>
      <c r="DK473" s="43"/>
      <c r="DL473" s="43"/>
      <c r="DM473" s="43"/>
      <c r="DN473" s="43"/>
      <c r="DO473" s="43"/>
      <c r="DP473" s="43"/>
      <c r="DQ473" s="43"/>
      <c r="DR473" s="43"/>
      <c r="DS473" s="43"/>
      <c r="DT473" s="43"/>
      <c r="DU473" s="43"/>
      <c r="DV473" s="43"/>
      <c r="DW473" s="43"/>
      <c r="DX473" s="43"/>
      <c r="DY473" s="43"/>
      <c r="DZ473" s="43"/>
      <c r="EA473" s="43"/>
      <c r="EB473" s="43"/>
      <c r="EC473" s="43"/>
      <c r="ED473" s="43"/>
      <c r="EE473" s="43"/>
      <c r="EF473" s="43"/>
      <c r="EG473" s="43"/>
      <c r="EH473" s="43"/>
      <c r="EI473" s="43"/>
      <c r="EJ473" s="43"/>
      <c r="EK473" s="43"/>
      <c r="EL473" s="43"/>
      <c r="EM473" s="43"/>
      <c r="EN473" s="43"/>
      <c r="EO473" s="43"/>
      <c r="EP473" s="43"/>
      <c r="EQ473" s="43"/>
      <c r="ER473" s="43"/>
      <c r="ES473" s="43"/>
      <c r="ET473" s="43"/>
      <c r="EU473" s="43"/>
      <c r="EV473" s="43"/>
      <c r="EW473" s="43"/>
      <c r="EX473" s="43"/>
      <c r="EY473" s="43"/>
      <c r="EZ473" s="43"/>
      <c r="FA473" s="43"/>
      <c r="FB473" s="43"/>
      <c r="FC473" s="43"/>
      <c r="FD473" s="43"/>
      <c r="FE473" s="43"/>
      <c r="FF473" s="43"/>
      <c r="FG473" s="43"/>
      <c r="FH473" s="50"/>
      <c r="FI473" s="50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43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43"/>
      <c r="CF474" s="43"/>
      <c r="CG474" s="43"/>
      <c r="CH474" s="43"/>
      <c r="CI474" s="43"/>
      <c r="CJ474" s="43"/>
      <c r="CK474" s="43"/>
      <c r="CL474" s="43"/>
      <c r="CM474" s="43"/>
      <c r="CN474" s="43"/>
      <c r="CO474" s="43"/>
      <c r="CP474" s="43"/>
      <c r="CQ474" s="43"/>
      <c r="CR474" s="43"/>
      <c r="CS474" s="43"/>
      <c r="CT474" s="43"/>
      <c r="CU474" s="43"/>
      <c r="CV474" s="43"/>
      <c r="CW474" s="43"/>
      <c r="CX474" s="43"/>
      <c r="CY474" s="43"/>
      <c r="CZ474" s="43"/>
      <c r="DA474" s="43"/>
      <c r="DB474" s="43"/>
      <c r="DC474" s="43"/>
      <c r="DD474" s="43"/>
      <c r="DE474" s="43"/>
      <c r="DF474" s="43"/>
      <c r="DG474" s="43"/>
      <c r="DH474" s="43"/>
      <c r="DI474" s="43"/>
      <c r="DJ474" s="43"/>
      <c r="DK474" s="43"/>
      <c r="DL474" s="43"/>
      <c r="DM474" s="43"/>
      <c r="DN474" s="43"/>
      <c r="DO474" s="43"/>
      <c r="DP474" s="43"/>
      <c r="DQ474" s="43"/>
      <c r="DR474" s="43"/>
      <c r="DS474" s="43"/>
      <c r="DT474" s="43"/>
      <c r="DU474" s="43"/>
      <c r="DV474" s="43"/>
      <c r="DW474" s="43"/>
      <c r="DX474" s="43"/>
      <c r="DY474" s="43"/>
      <c r="DZ474" s="43"/>
      <c r="EA474" s="43"/>
      <c r="EB474" s="43"/>
      <c r="EC474" s="43"/>
      <c r="ED474" s="43"/>
      <c r="EE474" s="43"/>
      <c r="EF474" s="43"/>
      <c r="EG474" s="43"/>
      <c r="EH474" s="43"/>
      <c r="EI474" s="43"/>
      <c r="EJ474" s="43"/>
      <c r="EK474" s="43"/>
      <c r="EL474" s="43"/>
      <c r="EM474" s="43"/>
      <c r="EN474" s="43"/>
      <c r="EO474" s="43"/>
      <c r="EP474" s="43"/>
      <c r="EQ474" s="43"/>
      <c r="ER474" s="43"/>
      <c r="ES474" s="43"/>
      <c r="ET474" s="43"/>
      <c r="EU474" s="43"/>
      <c r="EV474" s="43"/>
      <c r="EW474" s="43"/>
      <c r="EX474" s="43"/>
      <c r="EY474" s="43"/>
      <c r="EZ474" s="43"/>
      <c r="FA474" s="43"/>
      <c r="FB474" s="43"/>
      <c r="FC474" s="43"/>
      <c r="FD474" s="43"/>
      <c r="FE474" s="43"/>
      <c r="FF474" s="43"/>
      <c r="FG474" s="43"/>
      <c r="FH474" s="50"/>
      <c r="FI474" s="50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43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43"/>
      <c r="CF475" s="43"/>
      <c r="CG475" s="43"/>
      <c r="CH475" s="43"/>
      <c r="CI475" s="43"/>
      <c r="CJ475" s="43"/>
      <c r="CK475" s="43"/>
      <c r="CL475" s="43"/>
      <c r="CM475" s="43"/>
      <c r="CN475" s="43"/>
      <c r="CO475" s="43"/>
      <c r="CP475" s="43"/>
      <c r="CQ475" s="43"/>
      <c r="CR475" s="43"/>
      <c r="CS475" s="43"/>
      <c r="CT475" s="43"/>
      <c r="CU475" s="43"/>
      <c r="CV475" s="43"/>
      <c r="CW475" s="43"/>
      <c r="CX475" s="43"/>
      <c r="CY475" s="43"/>
      <c r="CZ475" s="43"/>
      <c r="DA475" s="43"/>
      <c r="DB475" s="43"/>
      <c r="DC475" s="43"/>
      <c r="DD475" s="43"/>
      <c r="DE475" s="43"/>
      <c r="DF475" s="43"/>
      <c r="DG475" s="43"/>
      <c r="DH475" s="43"/>
      <c r="DI475" s="43"/>
      <c r="DJ475" s="43"/>
      <c r="DK475" s="43"/>
      <c r="DL475" s="43"/>
      <c r="DM475" s="43"/>
      <c r="DN475" s="43"/>
      <c r="DO475" s="43"/>
      <c r="DP475" s="43"/>
      <c r="DQ475" s="43"/>
      <c r="DR475" s="43"/>
      <c r="DS475" s="43"/>
      <c r="DT475" s="43"/>
      <c r="DU475" s="43"/>
      <c r="DV475" s="43"/>
      <c r="DW475" s="43"/>
      <c r="DX475" s="43"/>
      <c r="DY475" s="43"/>
      <c r="DZ475" s="43"/>
      <c r="EA475" s="43"/>
      <c r="EB475" s="43"/>
      <c r="EC475" s="43"/>
      <c r="ED475" s="43"/>
      <c r="EE475" s="43"/>
      <c r="EF475" s="43"/>
      <c r="EG475" s="43"/>
      <c r="EH475" s="43"/>
      <c r="EI475" s="43"/>
      <c r="EJ475" s="43"/>
      <c r="EK475" s="43"/>
      <c r="EL475" s="43"/>
      <c r="EM475" s="43"/>
      <c r="EN475" s="43"/>
      <c r="EO475" s="43"/>
      <c r="EP475" s="43"/>
      <c r="EQ475" s="43"/>
      <c r="ER475" s="43"/>
      <c r="ES475" s="43"/>
      <c r="ET475" s="43"/>
      <c r="EU475" s="43"/>
      <c r="EV475" s="43"/>
      <c r="EW475" s="43"/>
      <c r="EX475" s="43"/>
      <c r="EY475" s="43"/>
      <c r="EZ475" s="43"/>
      <c r="FA475" s="43"/>
      <c r="FB475" s="43"/>
      <c r="FC475" s="43"/>
      <c r="FD475" s="43"/>
      <c r="FE475" s="43"/>
      <c r="FF475" s="43"/>
      <c r="FG475" s="43"/>
      <c r="FH475" s="50"/>
      <c r="FI475" s="50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43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  <c r="CS476" s="43"/>
      <c r="CT476" s="43"/>
      <c r="CU476" s="43"/>
      <c r="CV476" s="43"/>
      <c r="CW476" s="43"/>
      <c r="CX476" s="43"/>
      <c r="CY476" s="43"/>
      <c r="CZ476" s="43"/>
      <c r="DA476" s="43"/>
      <c r="DB476" s="43"/>
      <c r="DC476" s="43"/>
      <c r="DD476" s="43"/>
      <c r="DE476" s="43"/>
      <c r="DF476" s="43"/>
      <c r="DG476" s="43"/>
      <c r="DH476" s="43"/>
      <c r="DI476" s="43"/>
      <c r="DJ476" s="43"/>
      <c r="DK476" s="43"/>
      <c r="DL476" s="43"/>
      <c r="DM476" s="43"/>
      <c r="DN476" s="43"/>
      <c r="DO476" s="43"/>
      <c r="DP476" s="43"/>
      <c r="DQ476" s="43"/>
      <c r="DR476" s="43"/>
      <c r="DS476" s="43"/>
      <c r="DT476" s="43"/>
      <c r="DU476" s="43"/>
      <c r="DV476" s="43"/>
      <c r="DW476" s="43"/>
      <c r="DX476" s="43"/>
      <c r="DY476" s="43"/>
      <c r="DZ476" s="43"/>
      <c r="EA476" s="43"/>
      <c r="EB476" s="43"/>
      <c r="EC476" s="43"/>
      <c r="ED476" s="43"/>
      <c r="EE476" s="43"/>
      <c r="EF476" s="43"/>
      <c r="EG476" s="43"/>
      <c r="EH476" s="43"/>
      <c r="EI476" s="43"/>
      <c r="EJ476" s="43"/>
      <c r="EK476" s="43"/>
      <c r="EL476" s="43"/>
      <c r="EM476" s="43"/>
      <c r="EN476" s="43"/>
      <c r="EO476" s="43"/>
      <c r="EP476" s="43"/>
      <c r="EQ476" s="43"/>
      <c r="ER476" s="43"/>
      <c r="ES476" s="43"/>
      <c r="ET476" s="43"/>
      <c r="EU476" s="43"/>
      <c r="EV476" s="43"/>
      <c r="EW476" s="43"/>
      <c r="EX476" s="43"/>
      <c r="EY476" s="43"/>
      <c r="EZ476" s="43"/>
      <c r="FA476" s="43"/>
      <c r="FB476" s="43"/>
      <c r="FC476" s="43"/>
      <c r="FD476" s="43"/>
      <c r="FE476" s="43"/>
      <c r="FF476" s="43"/>
      <c r="FG476" s="43"/>
      <c r="FH476" s="50"/>
      <c r="FI476" s="50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43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43"/>
      <c r="CF477" s="43"/>
      <c r="CG477" s="43"/>
      <c r="CH477" s="43"/>
      <c r="CI477" s="43"/>
      <c r="CJ477" s="43"/>
      <c r="CK477" s="43"/>
      <c r="CL477" s="43"/>
      <c r="CM477" s="43"/>
      <c r="CN477" s="43"/>
      <c r="CO477" s="43"/>
      <c r="CP477" s="43"/>
      <c r="CQ477" s="43"/>
      <c r="CR477" s="43"/>
      <c r="CS477" s="43"/>
      <c r="CT477" s="43"/>
      <c r="CU477" s="43"/>
      <c r="CV477" s="43"/>
      <c r="CW477" s="43"/>
      <c r="CX477" s="43"/>
      <c r="CY477" s="43"/>
      <c r="CZ477" s="43"/>
      <c r="DA477" s="43"/>
      <c r="DB477" s="43"/>
      <c r="DC477" s="43"/>
      <c r="DD477" s="43"/>
      <c r="DE477" s="43"/>
      <c r="DF477" s="43"/>
      <c r="DG477" s="43"/>
      <c r="DH477" s="43"/>
      <c r="DI477" s="43"/>
      <c r="DJ477" s="43"/>
      <c r="DK477" s="43"/>
      <c r="DL477" s="43"/>
      <c r="DM477" s="43"/>
      <c r="DN477" s="43"/>
      <c r="DO477" s="43"/>
      <c r="DP477" s="43"/>
      <c r="DQ477" s="43"/>
      <c r="DR477" s="43"/>
      <c r="DS477" s="43"/>
      <c r="DT477" s="43"/>
      <c r="DU477" s="43"/>
      <c r="DV477" s="43"/>
      <c r="DW477" s="43"/>
      <c r="DX477" s="43"/>
      <c r="DY477" s="43"/>
      <c r="DZ477" s="43"/>
      <c r="EA477" s="43"/>
      <c r="EB477" s="43"/>
      <c r="EC477" s="43"/>
      <c r="ED477" s="43"/>
      <c r="EE477" s="43"/>
      <c r="EF477" s="43"/>
      <c r="EG477" s="43"/>
      <c r="EH477" s="43"/>
      <c r="EI477" s="43"/>
      <c r="EJ477" s="43"/>
      <c r="EK477" s="43"/>
      <c r="EL477" s="43"/>
      <c r="EM477" s="43"/>
      <c r="EN477" s="43"/>
      <c r="EO477" s="43"/>
      <c r="EP477" s="43"/>
      <c r="EQ477" s="43"/>
      <c r="ER477" s="43"/>
      <c r="ES477" s="43"/>
      <c r="ET477" s="43"/>
      <c r="EU477" s="43"/>
      <c r="EV477" s="43"/>
      <c r="EW477" s="43"/>
      <c r="EX477" s="43"/>
      <c r="EY477" s="43"/>
      <c r="EZ477" s="43"/>
      <c r="FA477" s="43"/>
      <c r="FB477" s="43"/>
      <c r="FC477" s="43"/>
      <c r="FD477" s="43"/>
      <c r="FE477" s="43"/>
      <c r="FF477" s="43"/>
      <c r="FG477" s="43"/>
      <c r="FH477" s="50"/>
      <c r="FI477" s="50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43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43"/>
      <c r="CF478" s="43"/>
      <c r="CG478" s="43"/>
      <c r="CH478" s="43"/>
      <c r="CI478" s="43"/>
      <c r="CJ478" s="43"/>
      <c r="CK478" s="43"/>
      <c r="CL478" s="43"/>
      <c r="CM478" s="43"/>
      <c r="CN478" s="43"/>
      <c r="CO478" s="43"/>
      <c r="CP478" s="43"/>
      <c r="CQ478" s="43"/>
      <c r="CR478" s="43"/>
      <c r="CS478" s="43"/>
      <c r="CT478" s="43"/>
      <c r="CU478" s="43"/>
      <c r="CV478" s="43"/>
      <c r="CW478" s="43"/>
      <c r="CX478" s="43"/>
      <c r="CY478" s="43"/>
      <c r="CZ478" s="43"/>
      <c r="DA478" s="43"/>
      <c r="DB478" s="43"/>
      <c r="DC478" s="43"/>
      <c r="DD478" s="43"/>
      <c r="DE478" s="43"/>
      <c r="DF478" s="43"/>
      <c r="DG478" s="43"/>
      <c r="DH478" s="43"/>
      <c r="DI478" s="43"/>
      <c r="DJ478" s="43"/>
      <c r="DK478" s="43"/>
      <c r="DL478" s="43"/>
      <c r="DM478" s="43"/>
      <c r="DN478" s="43"/>
      <c r="DO478" s="43"/>
      <c r="DP478" s="43"/>
      <c r="DQ478" s="43"/>
      <c r="DR478" s="43"/>
      <c r="DS478" s="43"/>
      <c r="DT478" s="43"/>
      <c r="DU478" s="43"/>
      <c r="DV478" s="43"/>
      <c r="DW478" s="43"/>
      <c r="DX478" s="43"/>
      <c r="DY478" s="43"/>
      <c r="DZ478" s="43"/>
      <c r="EA478" s="43"/>
      <c r="EB478" s="43"/>
      <c r="EC478" s="43"/>
      <c r="ED478" s="43"/>
      <c r="EE478" s="43"/>
      <c r="EF478" s="43"/>
      <c r="EG478" s="43"/>
      <c r="EH478" s="43"/>
      <c r="EI478" s="43"/>
      <c r="EJ478" s="43"/>
      <c r="EK478" s="43"/>
      <c r="EL478" s="43"/>
      <c r="EM478" s="43"/>
      <c r="EN478" s="43"/>
      <c r="EO478" s="43"/>
      <c r="EP478" s="43"/>
      <c r="EQ478" s="43"/>
      <c r="ER478" s="43"/>
      <c r="ES478" s="43"/>
      <c r="ET478" s="43"/>
      <c r="EU478" s="43"/>
      <c r="EV478" s="43"/>
      <c r="EW478" s="43"/>
      <c r="EX478" s="43"/>
      <c r="EY478" s="43"/>
      <c r="EZ478" s="43"/>
      <c r="FA478" s="43"/>
      <c r="FB478" s="43"/>
      <c r="FC478" s="43"/>
      <c r="FD478" s="43"/>
      <c r="FE478" s="43"/>
      <c r="FF478" s="43"/>
      <c r="FG478" s="43"/>
      <c r="FH478" s="50"/>
      <c r="FI478" s="50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43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  <c r="CS479" s="43"/>
      <c r="CT479" s="43"/>
      <c r="CU479" s="43"/>
      <c r="CV479" s="43"/>
      <c r="CW479" s="43"/>
      <c r="CX479" s="43"/>
      <c r="CY479" s="43"/>
      <c r="CZ479" s="43"/>
      <c r="DA479" s="43"/>
      <c r="DB479" s="43"/>
      <c r="DC479" s="43"/>
      <c r="DD479" s="43"/>
      <c r="DE479" s="43"/>
      <c r="DF479" s="43"/>
      <c r="DG479" s="43"/>
      <c r="DH479" s="43"/>
      <c r="DI479" s="43"/>
      <c r="DJ479" s="43"/>
      <c r="DK479" s="43"/>
      <c r="DL479" s="43"/>
      <c r="DM479" s="43"/>
      <c r="DN479" s="43"/>
      <c r="DO479" s="43"/>
      <c r="DP479" s="43"/>
      <c r="DQ479" s="43"/>
      <c r="DR479" s="43"/>
      <c r="DS479" s="43"/>
      <c r="DT479" s="43"/>
      <c r="DU479" s="43"/>
      <c r="DV479" s="43"/>
      <c r="DW479" s="43"/>
      <c r="DX479" s="43"/>
      <c r="DY479" s="43"/>
      <c r="DZ479" s="43"/>
      <c r="EA479" s="43"/>
      <c r="EB479" s="43"/>
      <c r="EC479" s="43"/>
      <c r="ED479" s="43"/>
      <c r="EE479" s="43"/>
      <c r="EF479" s="43"/>
      <c r="EG479" s="43"/>
      <c r="EH479" s="43"/>
      <c r="EI479" s="43"/>
      <c r="EJ479" s="43"/>
      <c r="EK479" s="43"/>
      <c r="EL479" s="43"/>
      <c r="EM479" s="43"/>
      <c r="EN479" s="43"/>
      <c r="EO479" s="43"/>
      <c r="EP479" s="43"/>
      <c r="EQ479" s="43"/>
      <c r="ER479" s="43"/>
      <c r="ES479" s="43"/>
      <c r="ET479" s="43"/>
      <c r="EU479" s="43"/>
      <c r="EV479" s="43"/>
      <c r="EW479" s="43"/>
      <c r="EX479" s="43"/>
      <c r="EY479" s="43"/>
      <c r="EZ479" s="43"/>
      <c r="FA479" s="43"/>
      <c r="FB479" s="43"/>
      <c r="FC479" s="43"/>
      <c r="FD479" s="43"/>
      <c r="FE479" s="43"/>
      <c r="FF479" s="43"/>
      <c r="FG479" s="43"/>
      <c r="FH479" s="50"/>
      <c r="FI479" s="50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43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43"/>
      <c r="CF480" s="43"/>
      <c r="CG480" s="43"/>
      <c r="CH480" s="43"/>
      <c r="CI480" s="43"/>
      <c r="CJ480" s="43"/>
      <c r="CK480" s="43"/>
      <c r="CL480" s="43"/>
      <c r="CM480" s="43"/>
      <c r="CN480" s="43"/>
      <c r="CO480" s="43"/>
      <c r="CP480" s="43"/>
      <c r="CQ480" s="43"/>
      <c r="CR480" s="43"/>
      <c r="CS480" s="43"/>
      <c r="CT480" s="43"/>
      <c r="CU480" s="43"/>
      <c r="CV480" s="43"/>
      <c r="CW480" s="43"/>
      <c r="CX480" s="43"/>
      <c r="CY480" s="43"/>
      <c r="CZ480" s="43"/>
      <c r="DA480" s="43"/>
      <c r="DB480" s="43"/>
      <c r="DC480" s="43"/>
      <c r="DD480" s="43"/>
      <c r="DE480" s="43"/>
      <c r="DF480" s="43"/>
      <c r="DG480" s="43"/>
      <c r="DH480" s="43"/>
      <c r="DI480" s="43"/>
      <c r="DJ480" s="43"/>
      <c r="DK480" s="43"/>
      <c r="DL480" s="43"/>
      <c r="DM480" s="43"/>
      <c r="DN480" s="43"/>
      <c r="DO480" s="43"/>
      <c r="DP480" s="43"/>
      <c r="DQ480" s="43"/>
      <c r="DR480" s="43"/>
      <c r="DS480" s="43"/>
      <c r="DT480" s="43"/>
      <c r="DU480" s="43"/>
      <c r="DV480" s="43"/>
      <c r="DW480" s="43"/>
      <c r="DX480" s="43"/>
      <c r="DY480" s="43"/>
      <c r="DZ480" s="43"/>
      <c r="EA480" s="43"/>
      <c r="EB480" s="43"/>
      <c r="EC480" s="43"/>
      <c r="ED480" s="43"/>
      <c r="EE480" s="43"/>
      <c r="EF480" s="43"/>
      <c r="EG480" s="43"/>
      <c r="EH480" s="43"/>
      <c r="EI480" s="43"/>
      <c r="EJ480" s="43"/>
      <c r="EK480" s="43"/>
      <c r="EL480" s="43"/>
      <c r="EM480" s="43"/>
      <c r="EN480" s="43"/>
      <c r="EO480" s="43"/>
      <c r="EP480" s="43"/>
      <c r="EQ480" s="43"/>
      <c r="ER480" s="43"/>
      <c r="ES480" s="43"/>
      <c r="ET480" s="43"/>
      <c r="EU480" s="43"/>
      <c r="EV480" s="43"/>
      <c r="EW480" s="43"/>
      <c r="EX480" s="43"/>
      <c r="EY480" s="43"/>
      <c r="EZ480" s="43"/>
      <c r="FA480" s="43"/>
      <c r="FB480" s="43"/>
      <c r="FC480" s="43"/>
      <c r="FD480" s="43"/>
      <c r="FE480" s="43"/>
      <c r="FF480" s="43"/>
      <c r="FG480" s="43"/>
      <c r="FH480" s="50"/>
      <c r="FI480" s="50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43"/>
      <c r="CF481" s="43"/>
      <c r="CG481" s="43"/>
      <c r="CH481" s="43"/>
      <c r="CI481" s="43"/>
      <c r="CJ481" s="43"/>
      <c r="CK481" s="43"/>
      <c r="CL481" s="43"/>
      <c r="CM481" s="43"/>
      <c r="CN481" s="43"/>
      <c r="CO481" s="43"/>
      <c r="CP481" s="43"/>
      <c r="CQ481" s="43"/>
      <c r="CR481" s="43"/>
      <c r="CS481" s="43"/>
      <c r="CT481" s="43"/>
      <c r="CU481" s="43"/>
      <c r="CV481" s="43"/>
      <c r="CW481" s="43"/>
      <c r="CX481" s="43"/>
      <c r="CY481" s="43"/>
      <c r="CZ481" s="43"/>
      <c r="DA481" s="43"/>
      <c r="DB481" s="43"/>
      <c r="DC481" s="43"/>
      <c r="DD481" s="43"/>
      <c r="DE481" s="43"/>
      <c r="DF481" s="43"/>
      <c r="DG481" s="43"/>
      <c r="DH481" s="43"/>
      <c r="DI481" s="43"/>
      <c r="DJ481" s="43"/>
      <c r="DK481" s="43"/>
      <c r="DL481" s="43"/>
      <c r="DM481" s="43"/>
      <c r="DN481" s="43"/>
      <c r="DO481" s="43"/>
      <c r="DP481" s="43"/>
      <c r="DQ481" s="43"/>
      <c r="DR481" s="43"/>
      <c r="DS481" s="43"/>
      <c r="DT481" s="43"/>
      <c r="DU481" s="43"/>
      <c r="DV481" s="43"/>
      <c r="DW481" s="43"/>
      <c r="DX481" s="43"/>
      <c r="DY481" s="43"/>
      <c r="DZ481" s="43"/>
      <c r="EA481" s="43"/>
      <c r="EB481" s="43"/>
      <c r="EC481" s="43"/>
      <c r="ED481" s="43"/>
      <c r="EE481" s="43"/>
      <c r="EF481" s="43"/>
      <c r="EG481" s="43"/>
      <c r="EH481" s="43"/>
      <c r="EI481" s="43"/>
      <c r="EJ481" s="43"/>
      <c r="EK481" s="43"/>
      <c r="EL481" s="43"/>
      <c r="EM481" s="43"/>
      <c r="EN481" s="43"/>
      <c r="EO481" s="43"/>
      <c r="EP481" s="43"/>
      <c r="EQ481" s="43"/>
      <c r="ER481" s="43"/>
      <c r="ES481" s="43"/>
      <c r="ET481" s="43"/>
      <c r="EU481" s="43"/>
      <c r="EV481" s="43"/>
      <c r="EW481" s="43"/>
      <c r="EX481" s="43"/>
      <c r="EY481" s="43"/>
      <c r="EZ481" s="43"/>
      <c r="FA481" s="43"/>
      <c r="FB481" s="43"/>
      <c r="FC481" s="43"/>
      <c r="FD481" s="43"/>
      <c r="FE481" s="43"/>
      <c r="FF481" s="43"/>
      <c r="FG481" s="43"/>
      <c r="FH481" s="50"/>
      <c r="FI481" s="50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  <c r="CS482" s="43"/>
      <c r="CT482" s="43"/>
      <c r="CU482" s="43"/>
      <c r="CV482" s="43"/>
      <c r="CW482" s="43"/>
      <c r="CX482" s="43"/>
      <c r="CY482" s="43"/>
      <c r="CZ482" s="43"/>
      <c r="DA482" s="43"/>
      <c r="DB482" s="43"/>
      <c r="DC482" s="43"/>
      <c r="DD482" s="43"/>
      <c r="DE482" s="43"/>
      <c r="DF482" s="43"/>
      <c r="DG482" s="43"/>
      <c r="DH482" s="43"/>
      <c r="DI482" s="43"/>
      <c r="DJ482" s="43"/>
      <c r="DK482" s="43"/>
      <c r="DL482" s="43"/>
      <c r="DM482" s="43"/>
      <c r="DN482" s="43"/>
      <c r="DO482" s="43"/>
      <c r="DP482" s="43"/>
      <c r="DQ482" s="43"/>
      <c r="DR482" s="43"/>
      <c r="DS482" s="43"/>
      <c r="DT482" s="43"/>
      <c r="DU482" s="43"/>
      <c r="DV482" s="43"/>
      <c r="DW482" s="43"/>
      <c r="DX482" s="43"/>
      <c r="DY482" s="43"/>
      <c r="DZ482" s="43"/>
      <c r="EA482" s="43"/>
      <c r="EB482" s="43"/>
      <c r="EC482" s="43"/>
      <c r="ED482" s="43"/>
      <c r="EE482" s="43"/>
      <c r="EF482" s="43"/>
      <c r="EG482" s="43"/>
      <c r="EH482" s="43"/>
      <c r="EI482" s="43"/>
      <c r="EJ482" s="43"/>
      <c r="EK482" s="43"/>
      <c r="EL482" s="43"/>
      <c r="EM482" s="43"/>
      <c r="EN482" s="43"/>
      <c r="EO482" s="43"/>
      <c r="EP482" s="43"/>
      <c r="EQ482" s="43"/>
      <c r="ER482" s="43"/>
      <c r="ES482" s="43"/>
      <c r="ET482" s="43"/>
      <c r="EU482" s="43"/>
      <c r="EV482" s="43"/>
      <c r="EW482" s="43"/>
      <c r="EX482" s="43"/>
      <c r="EY482" s="43"/>
      <c r="EZ482" s="43"/>
      <c r="FA482" s="43"/>
      <c r="FB482" s="43"/>
      <c r="FC482" s="43"/>
      <c r="FD482" s="43"/>
      <c r="FE482" s="43"/>
      <c r="FF482" s="43"/>
      <c r="FG482" s="43"/>
      <c r="FH482" s="50"/>
      <c r="FI482" s="50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43"/>
      <c r="CF483" s="43"/>
      <c r="CG483" s="43"/>
      <c r="CH483" s="43"/>
      <c r="CI483" s="43"/>
      <c r="CJ483" s="43"/>
      <c r="CK483" s="43"/>
      <c r="CL483" s="43"/>
      <c r="CM483" s="43"/>
      <c r="CN483" s="43"/>
      <c r="CO483" s="43"/>
      <c r="CP483" s="43"/>
      <c r="CQ483" s="43"/>
      <c r="CR483" s="43"/>
      <c r="CS483" s="43"/>
      <c r="CT483" s="43"/>
      <c r="CU483" s="43"/>
      <c r="CV483" s="43"/>
      <c r="CW483" s="43"/>
      <c r="CX483" s="43"/>
      <c r="CY483" s="43"/>
      <c r="CZ483" s="43"/>
      <c r="DA483" s="43"/>
      <c r="DB483" s="43"/>
      <c r="DC483" s="43"/>
      <c r="DD483" s="43"/>
      <c r="DE483" s="43"/>
      <c r="DF483" s="43"/>
      <c r="DG483" s="43"/>
      <c r="DH483" s="43"/>
      <c r="DI483" s="43"/>
      <c r="DJ483" s="43"/>
      <c r="DK483" s="43"/>
      <c r="DL483" s="43"/>
      <c r="DM483" s="43"/>
      <c r="DN483" s="43"/>
      <c r="DO483" s="43"/>
      <c r="DP483" s="43"/>
      <c r="DQ483" s="43"/>
      <c r="DR483" s="43"/>
      <c r="DS483" s="43"/>
      <c r="DT483" s="43"/>
      <c r="DU483" s="43"/>
      <c r="DV483" s="43"/>
      <c r="DW483" s="43"/>
      <c r="DX483" s="43"/>
      <c r="DY483" s="43"/>
      <c r="DZ483" s="43"/>
      <c r="EA483" s="43"/>
      <c r="EB483" s="43"/>
      <c r="EC483" s="43"/>
      <c r="ED483" s="43"/>
      <c r="EE483" s="43"/>
      <c r="EF483" s="43"/>
      <c r="EG483" s="43"/>
      <c r="EH483" s="43"/>
      <c r="EI483" s="43"/>
      <c r="EJ483" s="43"/>
      <c r="EK483" s="43"/>
      <c r="EL483" s="43"/>
      <c r="EM483" s="43"/>
      <c r="EN483" s="43"/>
      <c r="EO483" s="43"/>
      <c r="EP483" s="43"/>
      <c r="EQ483" s="43"/>
      <c r="ER483" s="43"/>
      <c r="ES483" s="43"/>
      <c r="ET483" s="43"/>
      <c r="EU483" s="43"/>
      <c r="EV483" s="43"/>
      <c r="EW483" s="43"/>
      <c r="EX483" s="43"/>
      <c r="EY483" s="43"/>
      <c r="EZ483" s="43"/>
      <c r="FA483" s="43"/>
      <c r="FB483" s="43"/>
      <c r="FC483" s="43"/>
      <c r="FD483" s="43"/>
      <c r="FE483" s="43"/>
      <c r="FF483" s="43"/>
      <c r="FG483" s="43"/>
      <c r="FH483" s="50"/>
      <c r="FI483" s="50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43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43"/>
      <c r="CF484" s="43"/>
      <c r="CG484" s="43"/>
      <c r="CH484" s="43"/>
      <c r="CI484" s="43"/>
      <c r="CJ484" s="43"/>
      <c r="CK484" s="43"/>
      <c r="CL484" s="43"/>
      <c r="CM484" s="43"/>
      <c r="CN484" s="43"/>
      <c r="CO484" s="43"/>
      <c r="CP484" s="43"/>
      <c r="CQ484" s="43"/>
      <c r="CR484" s="43"/>
      <c r="CS484" s="43"/>
      <c r="CT484" s="43"/>
      <c r="CU484" s="43"/>
      <c r="CV484" s="43"/>
      <c r="CW484" s="43"/>
      <c r="CX484" s="43"/>
      <c r="CY484" s="43"/>
      <c r="CZ484" s="43"/>
      <c r="DA484" s="43"/>
      <c r="DB484" s="43"/>
      <c r="DC484" s="43"/>
      <c r="DD484" s="43"/>
      <c r="DE484" s="43"/>
      <c r="DF484" s="43"/>
      <c r="DG484" s="43"/>
      <c r="DH484" s="43"/>
      <c r="DI484" s="43"/>
      <c r="DJ484" s="43"/>
      <c r="DK484" s="43"/>
      <c r="DL484" s="43"/>
      <c r="DM484" s="43"/>
      <c r="DN484" s="43"/>
      <c r="DO484" s="43"/>
      <c r="DP484" s="43"/>
      <c r="DQ484" s="43"/>
      <c r="DR484" s="43"/>
      <c r="DS484" s="43"/>
      <c r="DT484" s="43"/>
      <c r="DU484" s="43"/>
      <c r="DV484" s="43"/>
      <c r="DW484" s="43"/>
      <c r="DX484" s="43"/>
      <c r="DY484" s="43"/>
      <c r="DZ484" s="43"/>
      <c r="EA484" s="43"/>
      <c r="EB484" s="43"/>
      <c r="EC484" s="43"/>
      <c r="ED484" s="43"/>
      <c r="EE484" s="43"/>
      <c r="EF484" s="43"/>
      <c r="EG484" s="43"/>
      <c r="EH484" s="43"/>
      <c r="EI484" s="43"/>
      <c r="EJ484" s="43"/>
      <c r="EK484" s="43"/>
      <c r="EL484" s="43"/>
      <c r="EM484" s="43"/>
      <c r="EN484" s="43"/>
      <c r="EO484" s="43"/>
      <c r="EP484" s="43"/>
      <c r="EQ484" s="43"/>
      <c r="ER484" s="43"/>
      <c r="ES484" s="43"/>
      <c r="ET484" s="43"/>
      <c r="EU484" s="43"/>
      <c r="EV484" s="43"/>
      <c r="EW484" s="43"/>
      <c r="EX484" s="43"/>
      <c r="EY484" s="43"/>
      <c r="EZ484" s="43"/>
      <c r="FA484" s="43"/>
      <c r="FB484" s="43"/>
      <c r="FC484" s="43"/>
      <c r="FD484" s="43"/>
      <c r="FE484" s="43"/>
      <c r="FF484" s="43"/>
      <c r="FG484" s="43"/>
      <c r="FH484" s="50"/>
      <c r="FI484" s="50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  <c r="CS485" s="43"/>
      <c r="CT485" s="43"/>
      <c r="CU485" s="43"/>
      <c r="CV485" s="43"/>
      <c r="CW485" s="43"/>
      <c r="CX485" s="43"/>
      <c r="CY485" s="43"/>
      <c r="CZ485" s="43"/>
      <c r="DA485" s="43"/>
      <c r="DB485" s="43"/>
      <c r="DC485" s="43"/>
      <c r="DD485" s="43"/>
      <c r="DE485" s="43"/>
      <c r="DF485" s="43"/>
      <c r="DG485" s="43"/>
      <c r="DH485" s="43"/>
      <c r="DI485" s="43"/>
      <c r="DJ485" s="43"/>
      <c r="DK485" s="43"/>
      <c r="DL485" s="43"/>
      <c r="DM485" s="43"/>
      <c r="DN485" s="43"/>
      <c r="DO485" s="43"/>
      <c r="DP485" s="43"/>
      <c r="DQ485" s="43"/>
      <c r="DR485" s="43"/>
      <c r="DS485" s="43"/>
      <c r="DT485" s="43"/>
      <c r="DU485" s="43"/>
      <c r="DV485" s="43"/>
      <c r="DW485" s="43"/>
      <c r="DX485" s="43"/>
      <c r="DY485" s="43"/>
      <c r="DZ485" s="43"/>
      <c r="EA485" s="43"/>
      <c r="EB485" s="43"/>
      <c r="EC485" s="43"/>
      <c r="ED485" s="43"/>
      <c r="EE485" s="43"/>
      <c r="EF485" s="43"/>
      <c r="EG485" s="43"/>
      <c r="EH485" s="43"/>
      <c r="EI485" s="43"/>
      <c r="EJ485" s="43"/>
      <c r="EK485" s="43"/>
      <c r="EL485" s="43"/>
      <c r="EM485" s="43"/>
      <c r="EN485" s="43"/>
      <c r="EO485" s="43"/>
      <c r="EP485" s="43"/>
      <c r="EQ485" s="43"/>
      <c r="ER485" s="43"/>
      <c r="ES485" s="43"/>
      <c r="ET485" s="43"/>
      <c r="EU485" s="43"/>
      <c r="EV485" s="43"/>
      <c r="EW485" s="43"/>
      <c r="EX485" s="43"/>
      <c r="EY485" s="43"/>
      <c r="EZ485" s="43"/>
      <c r="FA485" s="43"/>
      <c r="FB485" s="43"/>
      <c r="FC485" s="43"/>
      <c r="FD485" s="43"/>
      <c r="FE485" s="43"/>
      <c r="FF485" s="43"/>
      <c r="FG485" s="43"/>
      <c r="FH485" s="50"/>
      <c r="FI485" s="50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  <c r="CS486" s="43"/>
      <c r="CT486" s="43"/>
      <c r="CU486" s="43"/>
      <c r="CV486" s="43"/>
      <c r="CW486" s="43"/>
      <c r="CX486" s="43"/>
      <c r="CY486" s="43"/>
      <c r="CZ486" s="43"/>
      <c r="DA486" s="43"/>
      <c r="DB486" s="43"/>
      <c r="DC486" s="43"/>
      <c r="DD486" s="43"/>
      <c r="DE486" s="43"/>
      <c r="DF486" s="43"/>
      <c r="DG486" s="43"/>
      <c r="DH486" s="43"/>
      <c r="DI486" s="43"/>
      <c r="DJ486" s="43"/>
      <c r="DK486" s="43"/>
      <c r="DL486" s="43"/>
      <c r="DM486" s="43"/>
      <c r="DN486" s="43"/>
      <c r="DO486" s="43"/>
      <c r="DP486" s="43"/>
      <c r="DQ486" s="43"/>
      <c r="DR486" s="43"/>
      <c r="DS486" s="43"/>
      <c r="DT486" s="43"/>
      <c r="DU486" s="43"/>
      <c r="DV486" s="43"/>
      <c r="DW486" s="43"/>
      <c r="DX486" s="43"/>
      <c r="DY486" s="43"/>
      <c r="DZ486" s="43"/>
      <c r="EA486" s="43"/>
      <c r="EB486" s="43"/>
      <c r="EC486" s="43"/>
      <c r="ED486" s="43"/>
      <c r="EE486" s="43"/>
      <c r="EF486" s="43"/>
      <c r="EG486" s="43"/>
      <c r="EH486" s="43"/>
      <c r="EI486" s="43"/>
      <c r="EJ486" s="43"/>
      <c r="EK486" s="43"/>
      <c r="EL486" s="43"/>
      <c r="EM486" s="43"/>
      <c r="EN486" s="43"/>
      <c r="EO486" s="43"/>
      <c r="EP486" s="43"/>
      <c r="EQ486" s="43"/>
      <c r="ER486" s="43"/>
      <c r="ES486" s="43"/>
      <c r="ET486" s="43"/>
      <c r="EU486" s="43"/>
      <c r="EV486" s="43"/>
      <c r="EW486" s="43"/>
      <c r="EX486" s="43"/>
      <c r="EY486" s="43"/>
      <c r="EZ486" s="43"/>
      <c r="FA486" s="43"/>
      <c r="FB486" s="43"/>
      <c r="FC486" s="43"/>
      <c r="FD486" s="43"/>
      <c r="FE486" s="43"/>
      <c r="FF486" s="43"/>
      <c r="FG486" s="43"/>
      <c r="FH486" s="50"/>
      <c r="FI486" s="50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43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43"/>
      <c r="CF487" s="43"/>
      <c r="CG487" s="43"/>
      <c r="CH487" s="43"/>
      <c r="CI487" s="43"/>
      <c r="CJ487" s="43"/>
      <c r="CK487" s="43"/>
      <c r="CL487" s="43"/>
      <c r="CM487" s="43"/>
      <c r="CN487" s="43"/>
      <c r="CO487" s="43"/>
      <c r="CP487" s="43"/>
      <c r="CQ487" s="43"/>
      <c r="CR487" s="43"/>
      <c r="CS487" s="43"/>
      <c r="CT487" s="43"/>
      <c r="CU487" s="43"/>
      <c r="CV487" s="43"/>
      <c r="CW487" s="43"/>
      <c r="CX487" s="43"/>
      <c r="CY487" s="43"/>
      <c r="CZ487" s="43"/>
      <c r="DA487" s="43"/>
      <c r="DB487" s="43"/>
      <c r="DC487" s="43"/>
      <c r="DD487" s="43"/>
      <c r="DE487" s="43"/>
      <c r="DF487" s="43"/>
      <c r="DG487" s="43"/>
      <c r="DH487" s="43"/>
      <c r="DI487" s="43"/>
      <c r="DJ487" s="43"/>
      <c r="DK487" s="43"/>
      <c r="DL487" s="43"/>
      <c r="DM487" s="43"/>
      <c r="DN487" s="43"/>
      <c r="DO487" s="43"/>
      <c r="DP487" s="43"/>
      <c r="DQ487" s="43"/>
      <c r="DR487" s="43"/>
      <c r="DS487" s="43"/>
      <c r="DT487" s="43"/>
      <c r="DU487" s="43"/>
      <c r="DV487" s="43"/>
      <c r="DW487" s="43"/>
      <c r="DX487" s="43"/>
      <c r="DY487" s="43"/>
      <c r="DZ487" s="43"/>
      <c r="EA487" s="43"/>
      <c r="EB487" s="43"/>
      <c r="EC487" s="43"/>
      <c r="ED487" s="43"/>
      <c r="EE487" s="43"/>
      <c r="EF487" s="43"/>
      <c r="EG487" s="43"/>
      <c r="EH487" s="43"/>
      <c r="EI487" s="43"/>
      <c r="EJ487" s="43"/>
      <c r="EK487" s="43"/>
      <c r="EL487" s="43"/>
      <c r="EM487" s="43"/>
      <c r="EN487" s="43"/>
      <c r="EO487" s="43"/>
      <c r="EP487" s="43"/>
      <c r="EQ487" s="43"/>
      <c r="ER487" s="43"/>
      <c r="ES487" s="43"/>
      <c r="ET487" s="43"/>
      <c r="EU487" s="43"/>
      <c r="EV487" s="43"/>
      <c r="EW487" s="43"/>
      <c r="EX487" s="43"/>
      <c r="EY487" s="43"/>
      <c r="EZ487" s="43"/>
      <c r="FA487" s="43"/>
      <c r="FB487" s="43"/>
      <c r="FC487" s="43"/>
      <c r="FD487" s="43"/>
      <c r="FE487" s="43"/>
      <c r="FF487" s="43"/>
      <c r="FG487" s="43"/>
      <c r="FH487" s="50"/>
      <c r="FI487" s="50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43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43"/>
      <c r="CF488" s="43"/>
      <c r="CG488" s="43"/>
      <c r="CH488" s="43"/>
      <c r="CI488" s="43"/>
      <c r="CJ488" s="43"/>
      <c r="CK488" s="43"/>
      <c r="CL488" s="43"/>
      <c r="CM488" s="43"/>
      <c r="CN488" s="43"/>
      <c r="CO488" s="43"/>
      <c r="CP488" s="43"/>
      <c r="CQ488" s="43"/>
      <c r="CR488" s="43"/>
      <c r="CS488" s="43"/>
      <c r="CT488" s="43"/>
      <c r="CU488" s="43"/>
      <c r="CV488" s="43"/>
      <c r="CW488" s="43"/>
      <c r="CX488" s="43"/>
      <c r="CY488" s="43"/>
      <c r="CZ488" s="43"/>
      <c r="DA488" s="43"/>
      <c r="DB488" s="43"/>
      <c r="DC488" s="43"/>
      <c r="DD488" s="43"/>
      <c r="DE488" s="43"/>
      <c r="DF488" s="43"/>
      <c r="DG488" s="43"/>
      <c r="DH488" s="43"/>
      <c r="DI488" s="43"/>
      <c r="DJ488" s="43"/>
      <c r="DK488" s="43"/>
      <c r="DL488" s="43"/>
      <c r="DM488" s="43"/>
      <c r="DN488" s="43"/>
      <c r="DO488" s="43"/>
      <c r="DP488" s="43"/>
      <c r="DQ488" s="43"/>
      <c r="DR488" s="43"/>
      <c r="DS488" s="43"/>
      <c r="DT488" s="43"/>
      <c r="DU488" s="43"/>
      <c r="DV488" s="43"/>
      <c r="DW488" s="43"/>
      <c r="DX488" s="43"/>
      <c r="DY488" s="43"/>
      <c r="DZ488" s="43"/>
      <c r="EA488" s="43"/>
      <c r="EB488" s="43"/>
      <c r="EC488" s="43"/>
      <c r="ED488" s="43"/>
      <c r="EE488" s="43"/>
      <c r="EF488" s="43"/>
      <c r="EG488" s="43"/>
      <c r="EH488" s="43"/>
      <c r="EI488" s="43"/>
      <c r="EJ488" s="43"/>
      <c r="EK488" s="43"/>
      <c r="EL488" s="43"/>
      <c r="EM488" s="43"/>
      <c r="EN488" s="43"/>
      <c r="EO488" s="43"/>
      <c r="EP488" s="43"/>
      <c r="EQ488" s="43"/>
      <c r="ER488" s="43"/>
      <c r="ES488" s="43"/>
      <c r="ET488" s="43"/>
      <c r="EU488" s="43"/>
      <c r="EV488" s="43"/>
      <c r="EW488" s="43"/>
      <c r="EX488" s="43"/>
      <c r="EY488" s="43"/>
      <c r="EZ488" s="43"/>
      <c r="FA488" s="43"/>
      <c r="FB488" s="43"/>
      <c r="FC488" s="43"/>
      <c r="FD488" s="43"/>
      <c r="FE488" s="43"/>
      <c r="FF488" s="43"/>
      <c r="FG488" s="43"/>
      <c r="FH488" s="50"/>
      <c r="FI488" s="50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43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43"/>
      <c r="CF489" s="43"/>
      <c r="CG489" s="43"/>
      <c r="CH489" s="43"/>
      <c r="CI489" s="43"/>
      <c r="CJ489" s="43"/>
      <c r="CK489" s="43"/>
      <c r="CL489" s="43"/>
      <c r="CM489" s="43"/>
      <c r="CN489" s="43"/>
      <c r="CO489" s="43"/>
      <c r="CP489" s="43"/>
      <c r="CQ489" s="43"/>
      <c r="CR489" s="43"/>
      <c r="CS489" s="43"/>
      <c r="CT489" s="43"/>
      <c r="CU489" s="43"/>
      <c r="CV489" s="43"/>
      <c r="CW489" s="43"/>
      <c r="CX489" s="43"/>
      <c r="CY489" s="43"/>
      <c r="CZ489" s="43"/>
      <c r="DA489" s="43"/>
      <c r="DB489" s="43"/>
      <c r="DC489" s="43"/>
      <c r="DD489" s="43"/>
      <c r="DE489" s="43"/>
      <c r="DF489" s="43"/>
      <c r="DG489" s="43"/>
      <c r="DH489" s="43"/>
      <c r="DI489" s="43"/>
      <c r="DJ489" s="43"/>
      <c r="DK489" s="43"/>
      <c r="DL489" s="43"/>
      <c r="DM489" s="43"/>
      <c r="DN489" s="43"/>
      <c r="DO489" s="43"/>
      <c r="DP489" s="43"/>
      <c r="DQ489" s="43"/>
      <c r="DR489" s="43"/>
      <c r="DS489" s="43"/>
      <c r="DT489" s="43"/>
      <c r="DU489" s="43"/>
      <c r="DV489" s="43"/>
      <c r="DW489" s="43"/>
      <c r="DX489" s="43"/>
      <c r="DY489" s="43"/>
      <c r="DZ489" s="43"/>
      <c r="EA489" s="43"/>
      <c r="EB489" s="43"/>
      <c r="EC489" s="43"/>
      <c r="ED489" s="43"/>
      <c r="EE489" s="43"/>
      <c r="EF489" s="43"/>
      <c r="EG489" s="43"/>
      <c r="EH489" s="43"/>
      <c r="EI489" s="43"/>
      <c r="EJ489" s="43"/>
      <c r="EK489" s="43"/>
      <c r="EL489" s="43"/>
      <c r="EM489" s="43"/>
      <c r="EN489" s="43"/>
      <c r="EO489" s="43"/>
      <c r="EP489" s="43"/>
      <c r="EQ489" s="43"/>
      <c r="ER489" s="43"/>
      <c r="ES489" s="43"/>
      <c r="ET489" s="43"/>
      <c r="EU489" s="43"/>
      <c r="EV489" s="43"/>
      <c r="EW489" s="43"/>
      <c r="EX489" s="43"/>
      <c r="EY489" s="43"/>
      <c r="EZ489" s="43"/>
      <c r="FA489" s="43"/>
      <c r="FB489" s="43"/>
      <c r="FC489" s="43"/>
      <c r="FD489" s="43"/>
      <c r="FE489" s="43"/>
      <c r="FF489" s="43"/>
      <c r="FG489" s="43"/>
      <c r="FH489" s="50"/>
      <c r="FI489" s="50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43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43"/>
      <c r="CF490" s="43"/>
      <c r="CG490" s="43"/>
      <c r="CH490" s="43"/>
      <c r="CI490" s="43"/>
      <c r="CJ490" s="43"/>
      <c r="CK490" s="43"/>
      <c r="CL490" s="43"/>
      <c r="CM490" s="43"/>
      <c r="CN490" s="43"/>
      <c r="CO490" s="43"/>
      <c r="CP490" s="43"/>
      <c r="CQ490" s="43"/>
      <c r="CR490" s="43"/>
      <c r="CS490" s="43"/>
      <c r="CT490" s="43"/>
      <c r="CU490" s="43"/>
      <c r="CV490" s="43"/>
      <c r="CW490" s="43"/>
      <c r="CX490" s="43"/>
      <c r="CY490" s="43"/>
      <c r="CZ490" s="43"/>
      <c r="DA490" s="43"/>
      <c r="DB490" s="43"/>
      <c r="DC490" s="43"/>
      <c r="DD490" s="43"/>
      <c r="DE490" s="43"/>
      <c r="DF490" s="43"/>
      <c r="DG490" s="43"/>
      <c r="DH490" s="43"/>
      <c r="DI490" s="43"/>
      <c r="DJ490" s="43"/>
      <c r="DK490" s="43"/>
      <c r="DL490" s="43"/>
      <c r="DM490" s="43"/>
      <c r="DN490" s="43"/>
      <c r="DO490" s="43"/>
      <c r="DP490" s="43"/>
      <c r="DQ490" s="43"/>
      <c r="DR490" s="43"/>
      <c r="DS490" s="43"/>
      <c r="DT490" s="43"/>
      <c r="DU490" s="43"/>
      <c r="DV490" s="43"/>
      <c r="DW490" s="43"/>
      <c r="DX490" s="43"/>
      <c r="DY490" s="43"/>
      <c r="DZ490" s="43"/>
      <c r="EA490" s="43"/>
      <c r="EB490" s="43"/>
      <c r="EC490" s="43"/>
      <c r="ED490" s="43"/>
      <c r="EE490" s="43"/>
      <c r="EF490" s="43"/>
      <c r="EG490" s="43"/>
      <c r="EH490" s="43"/>
      <c r="EI490" s="43"/>
      <c r="EJ490" s="43"/>
      <c r="EK490" s="43"/>
      <c r="EL490" s="43"/>
      <c r="EM490" s="43"/>
      <c r="EN490" s="43"/>
      <c r="EO490" s="43"/>
      <c r="EP490" s="43"/>
      <c r="EQ490" s="43"/>
      <c r="ER490" s="43"/>
      <c r="ES490" s="43"/>
      <c r="ET490" s="43"/>
      <c r="EU490" s="43"/>
      <c r="EV490" s="43"/>
      <c r="EW490" s="43"/>
      <c r="EX490" s="43"/>
      <c r="EY490" s="43"/>
      <c r="EZ490" s="43"/>
      <c r="FA490" s="43"/>
      <c r="FB490" s="43"/>
      <c r="FC490" s="43"/>
      <c r="FD490" s="43"/>
      <c r="FE490" s="43"/>
      <c r="FF490" s="43"/>
      <c r="FG490" s="43"/>
      <c r="FH490" s="50"/>
      <c r="FI490" s="50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43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43"/>
      <c r="CF491" s="43"/>
      <c r="CG491" s="43"/>
      <c r="CH491" s="43"/>
      <c r="CI491" s="43"/>
      <c r="CJ491" s="43"/>
      <c r="CK491" s="43"/>
      <c r="CL491" s="43"/>
      <c r="CM491" s="43"/>
      <c r="CN491" s="43"/>
      <c r="CO491" s="43"/>
      <c r="CP491" s="43"/>
      <c r="CQ491" s="43"/>
      <c r="CR491" s="43"/>
      <c r="CS491" s="43"/>
      <c r="CT491" s="43"/>
      <c r="CU491" s="43"/>
      <c r="CV491" s="43"/>
      <c r="CW491" s="43"/>
      <c r="CX491" s="43"/>
      <c r="CY491" s="43"/>
      <c r="CZ491" s="43"/>
      <c r="DA491" s="43"/>
      <c r="DB491" s="43"/>
      <c r="DC491" s="43"/>
      <c r="DD491" s="43"/>
      <c r="DE491" s="43"/>
      <c r="DF491" s="43"/>
      <c r="DG491" s="43"/>
      <c r="DH491" s="43"/>
      <c r="DI491" s="43"/>
      <c r="DJ491" s="43"/>
      <c r="DK491" s="43"/>
      <c r="DL491" s="43"/>
      <c r="DM491" s="43"/>
      <c r="DN491" s="43"/>
      <c r="DO491" s="43"/>
      <c r="DP491" s="43"/>
      <c r="DQ491" s="43"/>
      <c r="DR491" s="43"/>
      <c r="DS491" s="43"/>
      <c r="DT491" s="43"/>
      <c r="DU491" s="43"/>
      <c r="DV491" s="43"/>
      <c r="DW491" s="43"/>
      <c r="DX491" s="43"/>
      <c r="DY491" s="43"/>
      <c r="DZ491" s="43"/>
      <c r="EA491" s="43"/>
      <c r="EB491" s="43"/>
      <c r="EC491" s="43"/>
      <c r="ED491" s="43"/>
      <c r="EE491" s="43"/>
      <c r="EF491" s="43"/>
      <c r="EG491" s="43"/>
      <c r="EH491" s="43"/>
      <c r="EI491" s="43"/>
      <c r="EJ491" s="43"/>
      <c r="EK491" s="43"/>
      <c r="EL491" s="43"/>
      <c r="EM491" s="43"/>
      <c r="EN491" s="43"/>
      <c r="EO491" s="43"/>
      <c r="EP491" s="43"/>
      <c r="EQ491" s="43"/>
      <c r="ER491" s="43"/>
      <c r="ES491" s="43"/>
      <c r="ET491" s="43"/>
      <c r="EU491" s="43"/>
      <c r="EV491" s="43"/>
      <c r="EW491" s="43"/>
      <c r="EX491" s="43"/>
      <c r="EY491" s="43"/>
      <c r="EZ491" s="43"/>
      <c r="FA491" s="43"/>
      <c r="FB491" s="43"/>
      <c r="FC491" s="43"/>
      <c r="FD491" s="43"/>
      <c r="FE491" s="43"/>
      <c r="FF491" s="43"/>
      <c r="FG491" s="43"/>
      <c r="FH491" s="50"/>
      <c r="FI491" s="50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43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43"/>
      <c r="CF492" s="43"/>
      <c r="CG492" s="43"/>
      <c r="CH492" s="43"/>
      <c r="CI492" s="43"/>
      <c r="CJ492" s="43"/>
      <c r="CK492" s="43"/>
      <c r="CL492" s="43"/>
      <c r="CM492" s="43"/>
      <c r="CN492" s="43"/>
      <c r="CO492" s="43"/>
      <c r="CP492" s="43"/>
      <c r="CQ492" s="43"/>
      <c r="CR492" s="43"/>
      <c r="CS492" s="43"/>
      <c r="CT492" s="43"/>
      <c r="CU492" s="43"/>
      <c r="CV492" s="43"/>
      <c r="CW492" s="43"/>
      <c r="CX492" s="43"/>
      <c r="CY492" s="43"/>
      <c r="CZ492" s="43"/>
      <c r="DA492" s="43"/>
      <c r="DB492" s="43"/>
      <c r="DC492" s="43"/>
      <c r="DD492" s="43"/>
      <c r="DE492" s="43"/>
      <c r="DF492" s="43"/>
      <c r="DG492" s="43"/>
      <c r="DH492" s="43"/>
      <c r="DI492" s="43"/>
      <c r="DJ492" s="43"/>
      <c r="DK492" s="43"/>
      <c r="DL492" s="43"/>
      <c r="DM492" s="43"/>
      <c r="DN492" s="43"/>
      <c r="DO492" s="43"/>
      <c r="DP492" s="43"/>
      <c r="DQ492" s="43"/>
      <c r="DR492" s="43"/>
      <c r="DS492" s="43"/>
      <c r="DT492" s="43"/>
      <c r="DU492" s="43"/>
      <c r="DV492" s="43"/>
      <c r="DW492" s="43"/>
      <c r="DX492" s="43"/>
      <c r="DY492" s="43"/>
      <c r="DZ492" s="43"/>
      <c r="EA492" s="43"/>
      <c r="EB492" s="43"/>
      <c r="EC492" s="43"/>
      <c r="ED492" s="43"/>
      <c r="EE492" s="43"/>
      <c r="EF492" s="43"/>
      <c r="EG492" s="43"/>
      <c r="EH492" s="43"/>
      <c r="EI492" s="43"/>
      <c r="EJ492" s="43"/>
      <c r="EK492" s="43"/>
      <c r="EL492" s="43"/>
      <c r="EM492" s="43"/>
      <c r="EN492" s="43"/>
      <c r="EO492" s="43"/>
      <c r="EP492" s="43"/>
      <c r="EQ492" s="43"/>
      <c r="ER492" s="43"/>
      <c r="ES492" s="43"/>
      <c r="ET492" s="43"/>
      <c r="EU492" s="43"/>
      <c r="EV492" s="43"/>
      <c r="EW492" s="43"/>
      <c r="EX492" s="43"/>
      <c r="EY492" s="43"/>
      <c r="EZ492" s="43"/>
      <c r="FA492" s="43"/>
      <c r="FB492" s="43"/>
      <c r="FC492" s="43"/>
      <c r="FD492" s="43"/>
      <c r="FE492" s="43"/>
      <c r="FF492" s="43"/>
      <c r="FG492" s="43"/>
      <c r="FH492" s="50"/>
      <c r="FI492" s="50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43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43"/>
      <c r="CF493" s="43"/>
      <c r="CG493" s="43"/>
      <c r="CH493" s="43"/>
      <c r="CI493" s="43"/>
      <c r="CJ493" s="43"/>
      <c r="CK493" s="43"/>
      <c r="CL493" s="43"/>
      <c r="CM493" s="43"/>
      <c r="CN493" s="43"/>
      <c r="CO493" s="43"/>
      <c r="CP493" s="43"/>
      <c r="CQ493" s="43"/>
      <c r="CR493" s="43"/>
      <c r="CS493" s="43"/>
      <c r="CT493" s="43"/>
      <c r="CU493" s="43"/>
      <c r="CV493" s="43"/>
      <c r="CW493" s="43"/>
      <c r="CX493" s="43"/>
      <c r="CY493" s="43"/>
      <c r="CZ493" s="43"/>
      <c r="DA493" s="43"/>
      <c r="DB493" s="43"/>
      <c r="DC493" s="43"/>
      <c r="DD493" s="43"/>
      <c r="DE493" s="43"/>
      <c r="DF493" s="43"/>
      <c r="DG493" s="43"/>
      <c r="DH493" s="43"/>
      <c r="DI493" s="43"/>
      <c r="DJ493" s="43"/>
      <c r="DK493" s="43"/>
      <c r="DL493" s="43"/>
      <c r="DM493" s="43"/>
      <c r="DN493" s="43"/>
      <c r="DO493" s="43"/>
      <c r="DP493" s="43"/>
      <c r="DQ493" s="43"/>
      <c r="DR493" s="43"/>
      <c r="DS493" s="43"/>
      <c r="DT493" s="43"/>
      <c r="DU493" s="43"/>
      <c r="DV493" s="43"/>
      <c r="DW493" s="43"/>
      <c r="DX493" s="43"/>
      <c r="DY493" s="43"/>
      <c r="DZ493" s="43"/>
      <c r="EA493" s="43"/>
      <c r="EB493" s="43"/>
      <c r="EC493" s="43"/>
      <c r="ED493" s="43"/>
      <c r="EE493" s="43"/>
      <c r="EF493" s="43"/>
      <c r="EG493" s="43"/>
      <c r="EH493" s="43"/>
      <c r="EI493" s="43"/>
      <c r="EJ493" s="43"/>
      <c r="EK493" s="43"/>
      <c r="EL493" s="43"/>
      <c r="EM493" s="43"/>
      <c r="EN493" s="43"/>
      <c r="EO493" s="43"/>
      <c r="EP493" s="43"/>
      <c r="EQ493" s="43"/>
      <c r="ER493" s="43"/>
      <c r="ES493" s="43"/>
      <c r="ET493" s="43"/>
      <c r="EU493" s="43"/>
      <c r="EV493" s="43"/>
      <c r="EW493" s="43"/>
      <c r="EX493" s="43"/>
      <c r="EY493" s="43"/>
      <c r="EZ493" s="43"/>
      <c r="FA493" s="43"/>
      <c r="FB493" s="43"/>
      <c r="FC493" s="43"/>
      <c r="FD493" s="43"/>
      <c r="FE493" s="43"/>
      <c r="FF493" s="43"/>
      <c r="FG493" s="43"/>
      <c r="FH493" s="50"/>
      <c r="FI493" s="50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  <c r="CS494" s="43"/>
      <c r="CT494" s="43"/>
      <c r="CU494" s="43"/>
      <c r="CV494" s="43"/>
      <c r="CW494" s="43"/>
      <c r="CX494" s="43"/>
      <c r="CY494" s="43"/>
      <c r="CZ494" s="43"/>
      <c r="DA494" s="43"/>
      <c r="DB494" s="43"/>
      <c r="DC494" s="43"/>
      <c r="DD494" s="43"/>
      <c r="DE494" s="43"/>
      <c r="DF494" s="43"/>
      <c r="DG494" s="43"/>
      <c r="DH494" s="43"/>
      <c r="DI494" s="43"/>
      <c r="DJ494" s="43"/>
      <c r="DK494" s="43"/>
      <c r="DL494" s="43"/>
      <c r="DM494" s="43"/>
      <c r="DN494" s="43"/>
      <c r="DO494" s="43"/>
      <c r="DP494" s="43"/>
      <c r="DQ494" s="43"/>
      <c r="DR494" s="43"/>
      <c r="DS494" s="43"/>
      <c r="DT494" s="43"/>
      <c r="DU494" s="43"/>
      <c r="DV494" s="43"/>
      <c r="DW494" s="43"/>
      <c r="DX494" s="43"/>
      <c r="DY494" s="43"/>
      <c r="DZ494" s="43"/>
      <c r="EA494" s="43"/>
      <c r="EB494" s="43"/>
      <c r="EC494" s="43"/>
      <c r="ED494" s="43"/>
      <c r="EE494" s="43"/>
      <c r="EF494" s="43"/>
      <c r="EG494" s="43"/>
      <c r="EH494" s="43"/>
      <c r="EI494" s="43"/>
      <c r="EJ494" s="43"/>
      <c r="EK494" s="43"/>
      <c r="EL494" s="43"/>
      <c r="EM494" s="43"/>
      <c r="EN494" s="43"/>
      <c r="EO494" s="43"/>
      <c r="EP494" s="43"/>
      <c r="EQ494" s="43"/>
      <c r="ER494" s="43"/>
      <c r="ES494" s="43"/>
      <c r="ET494" s="43"/>
      <c r="EU494" s="43"/>
      <c r="EV494" s="43"/>
      <c r="EW494" s="43"/>
      <c r="EX494" s="43"/>
      <c r="EY494" s="43"/>
      <c r="EZ494" s="43"/>
      <c r="FA494" s="43"/>
      <c r="FB494" s="43"/>
      <c r="FC494" s="43"/>
      <c r="FD494" s="43"/>
      <c r="FE494" s="43"/>
      <c r="FF494" s="43"/>
      <c r="FG494" s="43"/>
      <c r="FH494" s="50"/>
      <c r="FI494" s="50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43"/>
      <c r="CF495" s="43"/>
      <c r="CG495" s="43"/>
      <c r="CH495" s="43"/>
      <c r="CI495" s="43"/>
      <c r="CJ495" s="43"/>
      <c r="CK495" s="43"/>
      <c r="CL495" s="43"/>
      <c r="CM495" s="43"/>
      <c r="CN495" s="43"/>
      <c r="CO495" s="43"/>
      <c r="CP495" s="43"/>
      <c r="CQ495" s="43"/>
      <c r="CR495" s="43"/>
      <c r="CS495" s="43"/>
      <c r="CT495" s="43"/>
      <c r="CU495" s="43"/>
      <c r="CV495" s="43"/>
      <c r="CW495" s="43"/>
      <c r="CX495" s="43"/>
      <c r="CY495" s="43"/>
      <c r="CZ495" s="43"/>
      <c r="DA495" s="43"/>
      <c r="DB495" s="43"/>
      <c r="DC495" s="43"/>
      <c r="DD495" s="43"/>
      <c r="DE495" s="43"/>
      <c r="DF495" s="43"/>
      <c r="DG495" s="43"/>
      <c r="DH495" s="43"/>
      <c r="DI495" s="43"/>
      <c r="DJ495" s="43"/>
      <c r="DK495" s="43"/>
      <c r="DL495" s="43"/>
      <c r="DM495" s="43"/>
      <c r="DN495" s="43"/>
      <c r="DO495" s="43"/>
      <c r="DP495" s="43"/>
      <c r="DQ495" s="43"/>
      <c r="DR495" s="43"/>
      <c r="DS495" s="43"/>
      <c r="DT495" s="43"/>
      <c r="DU495" s="43"/>
      <c r="DV495" s="43"/>
      <c r="DW495" s="43"/>
      <c r="DX495" s="43"/>
      <c r="DY495" s="43"/>
      <c r="DZ495" s="43"/>
      <c r="EA495" s="43"/>
      <c r="EB495" s="43"/>
      <c r="EC495" s="43"/>
      <c r="ED495" s="43"/>
      <c r="EE495" s="43"/>
      <c r="EF495" s="43"/>
      <c r="EG495" s="43"/>
      <c r="EH495" s="43"/>
      <c r="EI495" s="43"/>
      <c r="EJ495" s="43"/>
      <c r="EK495" s="43"/>
      <c r="EL495" s="43"/>
      <c r="EM495" s="43"/>
      <c r="EN495" s="43"/>
      <c r="EO495" s="43"/>
      <c r="EP495" s="43"/>
      <c r="EQ495" s="43"/>
      <c r="ER495" s="43"/>
      <c r="ES495" s="43"/>
      <c r="ET495" s="43"/>
      <c r="EU495" s="43"/>
      <c r="EV495" s="43"/>
      <c r="EW495" s="43"/>
      <c r="EX495" s="43"/>
      <c r="EY495" s="43"/>
      <c r="EZ495" s="43"/>
      <c r="FA495" s="43"/>
      <c r="FB495" s="43"/>
      <c r="FC495" s="43"/>
      <c r="FD495" s="43"/>
      <c r="FE495" s="43"/>
      <c r="FF495" s="43"/>
      <c r="FG495" s="43"/>
      <c r="FH495" s="50"/>
      <c r="FI495" s="50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43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43"/>
      <c r="CF496" s="43"/>
      <c r="CG496" s="43"/>
      <c r="CH496" s="43"/>
      <c r="CI496" s="43"/>
      <c r="CJ496" s="43"/>
      <c r="CK496" s="43"/>
      <c r="CL496" s="43"/>
      <c r="CM496" s="43"/>
      <c r="CN496" s="43"/>
      <c r="CO496" s="43"/>
      <c r="CP496" s="43"/>
      <c r="CQ496" s="43"/>
      <c r="CR496" s="43"/>
      <c r="CS496" s="43"/>
      <c r="CT496" s="43"/>
      <c r="CU496" s="43"/>
      <c r="CV496" s="43"/>
      <c r="CW496" s="43"/>
      <c r="CX496" s="43"/>
      <c r="CY496" s="43"/>
      <c r="CZ496" s="43"/>
      <c r="DA496" s="43"/>
      <c r="DB496" s="43"/>
      <c r="DC496" s="43"/>
      <c r="DD496" s="43"/>
      <c r="DE496" s="43"/>
      <c r="DF496" s="43"/>
      <c r="DG496" s="43"/>
      <c r="DH496" s="43"/>
      <c r="DI496" s="43"/>
      <c r="DJ496" s="43"/>
      <c r="DK496" s="43"/>
      <c r="DL496" s="43"/>
      <c r="DM496" s="43"/>
      <c r="DN496" s="43"/>
      <c r="DO496" s="43"/>
      <c r="DP496" s="43"/>
      <c r="DQ496" s="43"/>
      <c r="DR496" s="43"/>
      <c r="DS496" s="43"/>
      <c r="DT496" s="43"/>
      <c r="DU496" s="43"/>
      <c r="DV496" s="43"/>
      <c r="DW496" s="43"/>
      <c r="DX496" s="43"/>
      <c r="DY496" s="43"/>
      <c r="DZ496" s="43"/>
      <c r="EA496" s="43"/>
      <c r="EB496" s="43"/>
      <c r="EC496" s="43"/>
      <c r="ED496" s="43"/>
      <c r="EE496" s="43"/>
      <c r="EF496" s="43"/>
      <c r="EG496" s="43"/>
      <c r="EH496" s="43"/>
      <c r="EI496" s="43"/>
      <c r="EJ496" s="43"/>
      <c r="EK496" s="43"/>
      <c r="EL496" s="43"/>
      <c r="EM496" s="43"/>
      <c r="EN496" s="43"/>
      <c r="EO496" s="43"/>
      <c r="EP496" s="43"/>
      <c r="EQ496" s="43"/>
      <c r="ER496" s="43"/>
      <c r="ES496" s="43"/>
      <c r="ET496" s="43"/>
      <c r="EU496" s="43"/>
      <c r="EV496" s="43"/>
      <c r="EW496" s="43"/>
      <c r="EX496" s="43"/>
      <c r="EY496" s="43"/>
      <c r="EZ496" s="43"/>
      <c r="FA496" s="43"/>
      <c r="FB496" s="43"/>
      <c r="FC496" s="43"/>
      <c r="FD496" s="43"/>
      <c r="FE496" s="43"/>
      <c r="FF496" s="43"/>
      <c r="FG496" s="43"/>
      <c r="FH496" s="50"/>
      <c r="FI496" s="50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43"/>
      <c r="CF497" s="43"/>
      <c r="CG497" s="43"/>
      <c r="CH497" s="43"/>
      <c r="CI497" s="43"/>
      <c r="CJ497" s="43"/>
      <c r="CK497" s="43"/>
      <c r="CL497" s="43"/>
      <c r="CM497" s="43"/>
      <c r="CN497" s="43"/>
      <c r="CO497" s="43"/>
      <c r="CP497" s="43"/>
      <c r="CQ497" s="43"/>
      <c r="CR497" s="43"/>
      <c r="CS497" s="43"/>
      <c r="CT497" s="43"/>
      <c r="CU497" s="43"/>
      <c r="CV497" s="43"/>
      <c r="CW497" s="43"/>
      <c r="CX497" s="43"/>
      <c r="CY497" s="43"/>
      <c r="CZ497" s="43"/>
      <c r="DA497" s="43"/>
      <c r="DB497" s="43"/>
      <c r="DC497" s="43"/>
      <c r="DD497" s="43"/>
      <c r="DE497" s="43"/>
      <c r="DF497" s="43"/>
      <c r="DG497" s="43"/>
      <c r="DH497" s="43"/>
      <c r="DI497" s="43"/>
      <c r="DJ497" s="43"/>
      <c r="DK497" s="43"/>
      <c r="DL497" s="43"/>
      <c r="DM497" s="43"/>
      <c r="DN497" s="43"/>
      <c r="DO497" s="43"/>
      <c r="DP497" s="43"/>
      <c r="DQ497" s="43"/>
      <c r="DR497" s="43"/>
      <c r="DS497" s="43"/>
      <c r="DT497" s="43"/>
      <c r="DU497" s="43"/>
      <c r="DV497" s="43"/>
      <c r="DW497" s="43"/>
      <c r="DX497" s="43"/>
      <c r="DY497" s="43"/>
      <c r="DZ497" s="43"/>
      <c r="EA497" s="43"/>
      <c r="EB497" s="43"/>
      <c r="EC497" s="43"/>
      <c r="ED497" s="43"/>
      <c r="EE497" s="43"/>
      <c r="EF497" s="43"/>
      <c r="EG497" s="43"/>
      <c r="EH497" s="43"/>
      <c r="EI497" s="43"/>
      <c r="EJ497" s="43"/>
      <c r="EK497" s="43"/>
      <c r="EL497" s="43"/>
      <c r="EM497" s="43"/>
      <c r="EN497" s="43"/>
      <c r="EO497" s="43"/>
      <c r="EP497" s="43"/>
      <c r="EQ497" s="43"/>
      <c r="ER497" s="43"/>
      <c r="ES497" s="43"/>
      <c r="ET497" s="43"/>
      <c r="EU497" s="43"/>
      <c r="EV497" s="43"/>
      <c r="EW497" s="43"/>
      <c r="EX497" s="43"/>
      <c r="EY497" s="43"/>
      <c r="EZ497" s="43"/>
      <c r="FA497" s="43"/>
      <c r="FB497" s="43"/>
      <c r="FC497" s="43"/>
      <c r="FD497" s="43"/>
      <c r="FE497" s="43"/>
      <c r="FF497" s="43"/>
      <c r="FG497" s="43"/>
      <c r="FH497" s="50"/>
      <c r="FI497" s="50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43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43"/>
      <c r="CF498" s="43"/>
      <c r="CG498" s="43"/>
      <c r="CH498" s="43"/>
      <c r="CI498" s="43"/>
      <c r="CJ498" s="43"/>
      <c r="CK498" s="43"/>
      <c r="CL498" s="43"/>
      <c r="CM498" s="43"/>
      <c r="CN498" s="43"/>
      <c r="CO498" s="43"/>
      <c r="CP498" s="43"/>
      <c r="CQ498" s="43"/>
      <c r="CR498" s="43"/>
      <c r="CS498" s="43"/>
      <c r="CT498" s="43"/>
      <c r="CU498" s="43"/>
      <c r="CV498" s="43"/>
      <c r="CW498" s="43"/>
      <c r="CX498" s="43"/>
      <c r="CY498" s="43"/>
      <c r="CZ498" s="43"/>
      <c r="DA498" s="43"/>
      <c r="DB498" s="43"/>
      <c r="DC498" s="43"/>
      <c r="DD498" s="43"/>
      <c r="DE498" s="43"/>
      <c r="DF498" s="43"/>
      <c r="DG498" s="43"/>
      <c r="DH498" s="43"/>
      <c r="DI498" s="43"/>
      <c r="DJ498" s="43"/>
      <c r="DK498" s="43"/>
      <c r="DL498" s="43"/>
      <c r="DM498" s="43"/>
      <c r="DN498" s="43"/>
      <c r="DO498" s="43"/>
      <c r="DP498" s="43"/>
      <c r="DQ498" s="43"/>
      <c r="DR498" s="43"/>
      <c r="DS498" s="43"/>
      <c r="DT498" s="43"/>
      <c r="DU498" s="43"/>
      <c r="DV498" s="43"/>
      <c r="DW498" s="43"/>
      <c r="DX498" s="43"/>
      <c r="DY498" s="43"/>
      <c r="DZ498" s="43"/>
      <c r="EA498" s="43"/>
      <c r="EB498" s="43"/>
      <c r="EC498" s="43"/>
      <c r="ED498" s="43"/>
      <c r="EE498" s="43"/>
      <c r="EF498" s="43"/>
      <c r="EG498" s="43"/>
      <c r="EH498" s="43"/>
      <c r="EI498" s="43"/>
      <c r="EJ498" s="43"/>
      <c r="EK498" s="43"/>
      <c r="EL498" s="43"/>
      <c r="EM498" s="43"/>
      <c r="EN498" s="43"/>
      <c r="EO498" s="43"/>
      <c r="EP498" s="43"/>
      <c r="EQ498" s="43"/>
      <c r="ER498" s="43"/>
      <c r="ES498" s="43"/>
      <c r="ET498" s="43"/>
      <c r="EU498" s="43"/>
      <c r="EV498" s="43"/>
      <c r="EW498" s="43"/>
      <c r="EX498" s="43"/>
      <c r="EY498" s="43"/>
      <c r="EZ498" s="43"/>
      <c r="FA498" s="43"/>
      <c r="FB498" s="43"/>
      <c r="FC498" s="43"/>
      <c r="FD498" s="43"/>
      <c r="FE498" s="43"/>
      <c r="FF498" s="43"/>
      <c r="FG498" s="43"/>
      <c r="FH498" s="50"/>
      <c r="FI498" s="50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43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43"/>
      <c r="CF499" s="43"/>
      <c r="CG499" s="43"/>
      <c r="CH499" s="43"/>
      <c r="CI499" s="43"/>
      <c r="CJ499" s="43"/>
      <c r="CK499" s="43"/>
      <c r="CL499" s="43"/>
      <c r="CM499" s="43"/>
      <c r="CN499" s="43"/>
      <c r="CO499" s="43"/>
      <c r="CP499" s="43"/>
      <c r="CQ499" s="43"/>
      <c r="CR499" s="43"/>
      <c r="CS499" s="43"/>
      <c r="CT499" s="43"/>
      <c r="CU499" s="43"/>
      <c r="CV499" s="43"/>
      <c r="CW499" s="43"/>
      <c r="CX499" s="43"/>
      <c r="CY499" s="43"/>
      <c r="CZ499" s="43"/>
      <c r="DA499" s="43"/>
      <c r="DB499" s="43"/>
      <c r="DC499" s="43"/>
      <c r="DD499" s="43"/>
      <c r="DE499" s="43"/>
      <c r="DF499" s="43"/>
      <c r="DG499" s="43"/>
      <c r="DH499" s="43"/>
      <c r="DI499" s="43"/>
      <c r="DJ499" s="43"/>
      <c r="DK499" s="43"/>
      <c r="DL499" s="43"/>
      <c r="DM499" s="43"/>
      <c r="DN499" s="43"/>
      <c r="DO499" s="43"/>
      <c r="DP499" s="43"/>
      <c r="DQ499" s="43"/>
      <c r="DR499" s="43"/>
      <c r="DS499" s="43"/>
      <c r="DT499" s="43"/>
      <c r="DU499" s="43"/>
      <c r="DV499" s="43"/>
      <c r="DW499" s="43"/>
      <c r="DX499" s="43"/>
      <c r="DY499" s="43"/>
      <c r="DZ499" s="43"/>
      <c r="EA499" s="43"/>
      <c r="EB499" s="43"/>
      <c r="EC499" s="43"/>
      <c r="ED499" s="43"/>
      <c r="EE499" s="43"/>
      <c r="EF499" s="43"/>
      <c r="EG499" s="43"/>
      <c r="EH499" s="43"/>
      <c r="EI499" s="43"/>
      <c r="EJ499" s="43"/>
      <c r="EK499" s="43"/>
      <c r="EL499" s="43"/>
      <c r="EM499" s="43"/>
      <c r="EN499" s="43"/>
      <c r="EO499" s="43"/>
      <c r="EP499" s="43"/>
      <c r="EQ499" s="43"/>
      <c r="ER499" s="43"/>
      <c r="ES499" s="43"/>
      <c r="ET499" s="43"/>
      <c r="EU499" s="43"/>
      <c r="EV499" s="43"/>
      <c r="EW499" s="43"/>
      <c r="EX499" s="43"/>
      <c r="EY499" s="43"/>
      <c r="EZ499" s="43"/>
      <c r="FA499" s="43"/>
      <c r="FB499" s="43"/>
      <c r="FC499" s="43"/>
      <c r="FD499" s="43"/>
      <c r="FE499" s="43"/>
      <c r="FF499" s="43"/>
      <c r="FG499" s="43"/>
      <c r="FH499" s="50"/>
      <c r="FI499" s="50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  <c r="CS500" s="43"/>
      <c r="CT500" s="43"/>
      <c r="CU500" s="43"/>
      <c r="CV500" s="43"/>
      <c r="CW500" s="43"/>
      <c r="CX500" s="43"/>
      <c r="CY500" s="43"/>
      <c r="CZ500" s="43"/>
      <c r="DA500" s="43"/>
      <c r="DB500" s="43"/>
      <c r="DC500" s="43"/>
      <c r="DD500" s="43"/>
      <c r="DE500" s="43"/>
      <c r="DF500" s="43"/>
      <c r="DG500" s="43"/>
      <c r="DH500" s="43"/>
      <c r="DI500" s="43"/>
      <c r="DJ500" s="43"/>
      <c r="DK500" s="43"/>
      <c r="DL500" s="43"/>
      <c r="DM500" s="43"/>
      <c r="DN500" s="43"/>
      <c r="DO500" s="43"/>
      <c r="DP500" s="43"/>
      <c r="DQ500" s="43"/>
      <c r="DR500" s="43"/>
      <c r="DS500" s="43"/>
      <c r="DT500" s="43"/>
      <c r="DU500" s="43"/>
      <c r="DV500" s="43"/>
      <c r="DW500" s="43"/>
      <c r="DX500" s="43"/>
      <c r="DY500" s="43"/>
      <c r="DZ500" s="43"/>
      <c r="EA500" s="43"/>
      <c r="EB500" s="43"/>
      <c r="EC500" s="43"/>
      <c r="ED500" s="43"/>
      <c r="EE500" s="43"/>
      <c r="EF500" s="43"/>
      <c r="EG500" s="43"/>
      <c r="EH500" s="43"/>
      <c r="EI500" s="43"/>
      <c r="EJ500" s="43"/>
      <c r="EK500" s="43"/>
      <c r="EL500" s="43"/>
      <c r="EM500" s="43"/>
      <c r="EN500" s="43"/>
      <c r="EO500" s="43"/>
      <c r="EP500" s="43"/>
      <c r="EQ500" s="43"/>
      <c r="ER500" s="43"/>
      <c r="ES500" s="43"/>
      <c r="ET500" s="43"/>
      <c r="EU500" s="43"/>
      <c r="EV500" s="43"/>
      <c r="EW500" s="43"/>
      <c r="EX500" s="43"/>
      <c r="EY500" s="43"/>
      <c r="EZ500" s="43"/>
      <c r="FA500" s="43"/>
      <c r="FB500" s="43"/>
      <c r="FC500" s="43"/>
      <c r="FD500" s="43"/>
      <c r="FE500" s="43"/>
      <c r="FF500" s="43"/>
      <c r="FG500" s="43"/>
      <c r="FH500" s="50"/>
      <c r="FI500" s="50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/>
      <c r="CP501" s="43"/>
      <c r="CQ501" s="43"/>
      <c r="CR501" s="43"/>
      <c r="CS501" s="43"/>
      <c r="CT501" s="43"/>
      <c r="CU501" s="43"/>
      <c r="CV501" s="43"/>
      <c r="CW501" s="43"/>
      <c r="CX501" s="43"/>
      <c r="CY501" s="43"/>
      <c r="CZ501" s="43"/>
      <c r="DA501" s="43"/>
      <c r="DB501" s="43"/>
      <c r="DC501" s="43"/>
      <c r="DD501" s="43"/>
      <c r="DE501" s="43"/>
      <c r="DF501" s="43"/>
      <c r="DG501" s="43"/>
      <c r="DH501" s="43"/>
      <c r="DI501" s="43"/>
      <c r="DJ501" s="43"/>
      <c r="DK501" s="43"/>
      <c r="DL501" s="43"/>
      <c r="DM501" s="43"/>
      <c r="DN501" s="43"/>
      <c r="DO501" s="43"/>
      <c r="DP501" s="43"/>
      <c r="DQ501" s="43"/>
      <c r="DR501" s="43"/>
      <c r="DS501" s="43"/>
      <c r="DT501" s="43"/>
      <c r="DU501" s="43"/>
      <c r="DV501" s="43"/>
      <c r="DW501" s="43"/>
      <c r="DX501" s="43"/>
      <c r="DY501" s="43"/>
      <c r="DZ501" s="43"/>
      <c r="EA501" s="43"/>
      <c r="EB501" s="43"/>
      <c r="EC501" s="43"/>
      <c r="ED501" s="43"/>
      <c r="EE501" s="43"/>
      <c r="EF501" s="43"/>
      <c r="EG501" s="43"/>
      <c r="EH501" s="43"/>
      <c r="EI501" s="43"/>
      <c r="EJ501" s="43"/>
      <c r="EK501" s="43"/>
      <c r="EL501" s="43"/>
      <c r="EM501" s="43"/>
      <c r="EN501" s="43"/>
      <c r="EO501" s="43"/>
      <c r="EP501" s="43"/>
      <c r="EQ501" s="43"/>
      <c r="ER501" s="43"/>
      <c r="ES501" s="43"/>
      <c r="ET501" s="43"/>
      <c r="EU501" s="43"/>
      <c r="EV501" s="43"/>
      <c r="EW501" s="43"/>
      <c r="EX501" s="43"/>
      <c r="EY501" s="43"/>
      <c r="EZ501" s="43"/>
      <c r="FA501" s="43"/>
      <c r="FB501" s="43"/>
      <c r="FC501" s="43"/>
      <c r="FD501" s="43"/>
      <c r="FE501" s="43"/>
      <c r="FF501" s="43"/>
      <c r="FG501" s="43"/>
      <c r="FH501" s="50"/>
      <c r="FI501" s="50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43"/>
      <c r="CF502" s="43"/>
      <c r="CG502" s="43"/>
      <c r="CH502" s="43"/>
      <c r="CI502" s="43"/>
      <c r="CJ502" s="43"/>
      <c r="CK502" s="43"/>
      <c r="CL502" s="43"/>
      <c r="CM502" s="43"/>
      <c r="CN502" s="43"/>
      <c r="CO502" s="43"/>
      <c r="CP502" s="43"/>
      <c r="CQ502" s="43"/>
      <c r="CR502" s="43"/>
      <c r="CS502" s="43"/>
      <c r="CT502" s="43"/>
      <c r="CU502" s="43"/>
      <c r="CV502" s="43"/>
      <c r="CW502" s="43"/>
      <c r="CX502" s="43"/>
      <c r="CY502" s="43"/>
      <c r="CZ502" s="43"/>
      <c r="DA502" s="43"/>
      <c r="DB502" s="43"/>
      <c r="DC502" s="43"/>
      <c r="DD502" s="43"/>
      <c r="DE502" s="43"/>
      <c r="DF502" s="43"/>
      <c r="DG502" s="43"/>
      <c r="DH502" s="43"/>
      <c r="DI502" s="43"/>
      <c r="DJ502" s="43"/>
      <c r="DK502" s="43"/>
      <c r="DL502" s="43"/>
      <c r="DM502" s="43"/>
      <c r="DN502" s="43"/>
      <c r="DO502" s="43"/>
      <c r="DP502" s="43"/>
      <c r="DQ502" s="43"/>
      <c r="DR502" s="43"/>
      <c r="DS502" s="43"/>
      <c r="DT502" s="43"/>
      <c r="DU502" s="43"/>
      <c r="DV502" s="43"/>
      <c r="DW502" s="43"/>
      <c r="DX502" s="43"/>
      <c r="DY502" s="43"/>
      <c r="DZ502" s="43"/>
      <c r="EA502" s="43"/>
      <c r="EB502" s="43"/>
      <c r="EC502" s="43"/>
      <c r="ED502" s="43"/>
      <c r="EE502" s="43"/>
      <c r="EF502" s="43"/>
      <c r="EG502" s="43"/>
      <c r="EH502" s="43"/>
      <c r="EI502" s="43"/>
      <c r="EJ502" s="43"/>
      <c r="EK502" s="43"/>
      <c r="EL502" s="43"/>
      <c r="EM502" s="43"/>
      <c r="EN502" s="43"/>
      <c r="EO502" s="43"/>
      <c r="EP502" s="43"/>
      <c r="EQ502" s="43"/>
      <c r="ER502" s="43"/>
      <c r="ES502" s="43"/>
      <c r="ET502" s="43"/>
      <c r="EU502" s="43"/>
      <c r="EV502" s="43"/>
      <c r="EW502" s="43"/>
      <c r="EX502" s="43"/>
      <c r="EY502" s="43"/>
      <c r="EZ502" s="43"/>
      <c r="FA502" s="43"/>
      <c r="FB502" s="43"/>
      <c r="FC502" s="43"/>
      <c r="FD502" s="43"/>
      <c r="FE502" s="43"/>
      <c r="FF502" s="43"/>
      <c r="FG502" s="43"/>
      <c r="FH502" s="50"/>
      <c r="FI502" s="50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/>
      <c r="CF503" s="43"/>
      <c r="CG503" s="43"/>
      <c r="CH503" s="43"/>
      <c r="CI503" s="43"/>
      <c r="CJ503" s="43"/>
      <c r="CK503" s="43"/>
      <c r="CL503" s="43"/>
      <c r="CM503" s="43"/>
      <c r="CN503" s="43"/>
      <c r="CO503" s="43"/>
      <c r="CP503" s="43"/>
      <c r="CQ503" s="43"/>
      <c r="CR503" s="43"/>
      <c r="CS503" s="43"/>
      <c r="CT503" s="43"/>
      <c r="CU503" s="43"/>
      <c r="CV503" s="43"/>
      <c r="CW503" s="43"/>
      <c r="CX503" s="43"/>
      <c r="CY503" s="43"/>
      <c r="CZ503" s="43"/>
      <c r="DA503" s="43"/>
      <c r="DB503" s="43"/>
      <c r="DC503" s="43"/>
      <c r="DD503" s="43"/>
      <c r="DE503" s="43"/>
      <c r="DF503" s="43"/>
      <c r="DG503" s="43"/>
      <c r="DH503" s="43"/>
      <c r="DI503" s="43"/>
      <c r="DJ503" s="43"/>
      <c r="DK503" s="43"/>
      <c r="DL503" s="43"/>
      <c r="DM503" s="43"/>
      <c r="DN503" s="43"/>
      <c r="DO503" s="43"/>
      <c r="DP503" s="43"/>
      <c r="DQ503" s="43"/>
      <c r="DR503" s="43"/>
      <c r="DS503" s="43"/>
      <c r="DT503" s="43"/>
      <c r="DU503" s="43"/>
      <c r="DV503" s="43"/>
      <c r="DW503" s="43"/>
      <c r="DX503" s="43"/>
      <c r="DY503" s="43"/>
      <c r="DZ503" s="43"/>
      <c r="EA503" s="43"/>
      <c r="EB503" s="43"/>
      <c r="EC503" s="43"/>
      <c r="ED503" s="43"/>
      <c r="EE503" s="43"/>
      <c r="EF503" s="43"/>
      <c r="EG503" s="43"/>
      <c r="EH503" s="43"/>
      <c r="EI503" s="43"/>
      <c r="EJ503" s="43"/>
      <c r="EK503" s="43"/>
      <c r="EL503" s="43"/>
      <c r="EM503" s="43"/>
      <c r="EN503" s="43"/>
      <c r="EO503" s="43"/>
      <c r="EP503" s="43"/>
      <c r="EQ503" s="43"/>
      <c r="ER503" s="43"/>
      <c r="ES503" s="43"/>
      <c r="ET503" s="43"/>
      <c r="EU503" s="43"/>
      <c r="EV503" s="43"/>
      <c r="EW503" s="43"/>
      <c r="EX503" s="43"/>
      <c r="EY503" s="43"/>
      <c r="EZ503" s="43"/>
      <c r="FA503" s="43"/>
      <c r="FB503" s="43"/>
      <c r="FC503" s="43"/>
      <c r="FD503" s="43"/>
      <c r="FE503" s="43"/>
      <c r="FF503" s="43"/>
      <c r="FG503" s="43"/>
      <c r="FH503" s="50"/>
      <c r="FI503" s="50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/>
      <c r="CI504" s="43"/>
      <c r="CJ504" s="43"/>
      <c r="CK504" s="43"/>
      <c r="CL504" s="43"/>
      <c r="CM504" s="43"/>
      <c r="CN504" s="43"/>
      <c r="CO504" s="43"/>
      <c r="CP504" s="43"/>
      <c r="CQ504" s="43"/>
      <c r="CR504" s="43"/>
      <c r="CS504" s="43"/>
      <c r="CT504" s="43"/>
      <c r="CU504" s="43"/>
      <c r="CV504" s="43"/>
      <c r="CW504" s="43"/>
      <c r="CX504" s="43"/>
      <c r="CY504" s="43"/>
      <c r="CZ504" s="43"/>
      <c r="DA504" s="43"/>
      <c r="DB504" s="43"/>
      <c r="DC504" s="43"/>
      <c r="DD504" s="43"/>
      <c r="DE504" s="43"/>
      <c r="DF504" s="43"/>
      <c r="DG504" s="43"/>
      <c r="DH504" s="43"/>
      <c r="DI504" s="43"/>
      <c r="DJ504" s="43"/>
      <c r="DK504" s="43"/>
      <c r="DL504" s="43"/>
      <c r="DM504" s="43"/>
      <c r="DN504" s="43"/>
      <c r="DO504" s="43"/>
      <c r="DP504" s="43"/>
      <c r="DQ504" s="43"/>
      <c r="DR504" s="43"/>
      <c r="DS504" s="43"/>
      <c r="DT504" s="43"/>
      <c r="DU504" s="43"/>
      <c r="DV504" s="43"/>
      <c r="DW504" s="43"/>
      <c r="DX504" s="43"/>
      <c r="DY504" s="43"/>
      <c r="DZ504" s="43"/>
      <c r="EA504" s="43"/>
      <c r="EB504" s="43"/>
      <c r="EC504" s="43"/>
      <c r="ED504" s="43"/>
      <c r="EE504" s="43"/>
      <c r="EF504" s="43"/>
      <c r="EG504" s="43"/>
      <c r="EH504" s="43"/>
      <c r="EI504" s="43"/>
      <c r="EJ504" s="43"/>
      <c r="EK504" s="43"/>
      <c r="EL504" s="43"/>
      <c r="EM504" s="43"/>
      <c r="EN504" s="43"/>
      <c r="EO504" s="43"/>
      <c r="EP504" s="43"/>
      <c r="EQ504" s="43"/>
      <c r="ER504" s="43"/>
      <c r="ES504" s="43"/>
      <c r="ET504" s="43"/>
      <c r="EU504" s="43"/>
      <c r="EV504" s="43"/>
      <c r="EW504" s="43"/>
      <c r="EX504" s="43"/>
      <c r="EY504" s="43"/>
      <c r="EZ504" s="43"/>
      <c r="FA504" s="43"/>
      <c r="FB504" s="43"/>
      <c r="FC504" s="43"/>
      <c r="FD504" s="43"/>
      <c r="FE504" s="43"/>
      <c r="FF504" s="43"/>
      <c r="FG504" s="43"/>
      <c r="FH504" s="50"/>
      <c r="FI504" s="50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43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43"/>
      <c r="CF505" s="43"/>
      <c r="CG505" s="43"/>
      <c r="CH505" s="43"/>
      <c r="CI505" s="43"/>
      <c r="CJ505" s="43"/>
      <c r="CK505" s="43"/>
      <c r="CL505" s="43"/>
      <c r="CM505" s="43"/>
      <c r="CN505" s="43"/>
      <c r="CO505" s="43"/>
      <c r="CP505" s="43"/>
      <c r="CQ505" s="43"/>
      <c r="CR505" s="43"/>
      <c r="CS505" s="43"/>
      <c r="CT505" s="43"/>
      <c r="CU505" s="43"/>
      <c r="CV505" s="43"/>
      <c r="CW505" s="43"/>
      <c r="CX505" s="43"/>
      <c r="CY505" s="43"/>
      <c r="CZ505" s="43"/>
      <c r="DA505" s="43"/>
      <c r="DB505" s="43"/>
      <c r="DC505" s="43"/>
      <c r="DD505" s="43"/>
      <c r="DE505" s="43"/>
      <c r="DF505" s="43"/>
      <c r="DG505" s="43"/>
      <c r="DH505" s="43"/>
      <c r="DI505" s="43"/>
      <c r="DJ505" s="43"/>
      <c r="DK505" s="43"/>
      <c r="DL505" s="43"/>
      <c r="DM505" s="43"/>
      <c r="DN505" s="43"/>
      <c r="DO505" s="43"/>
      <c r="DP505" s="43"/>
      <c r="DQ505" s="43"/>
      <c r="DR505" s="43"/>
      <c r="DS505" s="43"/>
      <c r="DT505" s="43"/>
      <c r="DU505" s="43"/>
      <c r="DV505" s="43"/>
      <c r="DW505" s="43"/>
      <c r="DX505" s="43"/>
      <c r="DY505" s="43"/>
      <c r="DZ505" s="43"/>
      <c r="EA505" s="43"/>
      <c r="EB505" s="43"/>
      <c r="EC505" s="43"/>
      <c r="ED505" s="43"/>
      <c r="EE505" s="43"/>
      <c r="EF505" s="43"/>
      <c r="EG505" s="43"/>
      <c r="EH505" s="43"/>
      <c r="EI505" s="43"/>
      <c r="EJ505" s="43"/>
      <c r="EK505" s="43"/>
      <c r="EL505" s="43"/>
      <c r="EM505" s="43"/>
      <c r="EN505" s="43"/>
      <c r="EO505" s="43"/>
      <c r="EP505" s="43"/>
      <c r="EQ505" s="43"/>
      <c r="ER505" s="43"/>
      <c r="ES505" s="43"/>
      <c r="ET505" s="43"/>
      <c r="EU505" s="43"/>
      <c r="EV505" s="43"/>
      <c r="EW505" s="43"/>
      <c r="EX505" s="43"/>
      <c r="EY505" s="43"/>
      <c r="EZ505" s="43"/>
      <c r="FA505" s="43"/>
      <c r="FB505" s="43"/>
      <c r="FC505" s="43"/>
      <c r="FD505" s="43"/>
      <c r="FE505" s="43"/>
      <c r="FF505" s="43"/>
      <c r="FG505" s="43"/>
      <c r="FH505" s="50"/>
      <c r="FI505" s="50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43"/>
      <c r="CF506" s="43"/>
      <c r="CG506" s="43"/>
      <c r="CH506" s="43"/>
      <c r="CI506" s="43"/>
      <c r="CJ506" s="43"/>
      <c r="CK506" s="43"/>
      <c r="CL506" s="43"/>
      <c r="CM506" s="43"/>
      <c r="CN506" s="43"/>
      <c r="CO506" s="43"/>
      <c r="CP506" s="43"/>
      <c r="CQ506" s="43"/>
      <c r="CR506" s="43"/>
      <c r="CS506" s="43"/>
      <c r="CT506" s="43"/>
      <c r="CU506" s="43"/>
      <c r="CV506" s="43"/>
      <c r="CW506" s="43"/>
      <c r="CX506" s="43"/>
      <c r="CY506" s="43"/>
      <c r="CZ506" s="43"/>
      <c r="DA506" s="43"/>
      <c r="DB506" s="43"/>
      <c r="DC506" s="43"/>
      <c r="DD506" s="43"/>
      <c r="DE506" s="43"/>
      <c r="DF506" s="43"/>
      <c r="DG506" s="43"/>
      <c r="DH506" s="43"/>
      <c r="DI506" s="43"/>
      <c r="DJ506" s="43"/>
      <c r="DK506" s="43"/>
      <c r="DL506" s="43"/>
      <c r="DM506" s="43"/>
      <c r="DN506" s="43"/>
      <c r="DO506" s="43"/>
      <c r="DP506" s="43"/>
      <c r="DQ506" s="43"/>
      <c r="DR506" s="43"/>
      <c r="DS506" s="43"/>
      <c r="DT506" s="43"/>
      <c r="DU506" s="43"/>
      <c r="DV506" s="43"/>
      <c r="DW506" s="43"/>
      <c r="DX506" s="43"/>
      <c r="DY506" s="43"/>
      <c r="DZ506" s="43"/>
      <c r="EA506" s="43"/>
      <c r="EB506" s="43"/>
      <c r="EC506" s="43"/>
      <c r="ED506" s="43"/>
      <c r="EE506" s="43"/>
      <c r="EF506" s="43"/>
      <c r="EG506" s="43"/>
      <c r="EH506" s="43"/>
      <c r="EI506" s="43"/>
      <c r="EJ506" s="43"/>
      <c r="EK506" s="43"/>
      <c r="EL506" s="43"/>
      <c r="EM506" s="43"/>
      <c r="EN506" s="43"/>
      <c r="EO506" s="43"/>
      <c r="EP506" s="43"/>
      <c r="EQ506" s="43"/>
      <c r="ER506" s="43"/>
      <c r="ES506" s="43"/>
      <c r="ET506" s="43"/>
      <c r="EU506" s="43"/>
      <c r="EV506" s="43"/>
      <c r="EW506" s="43"/>
      <c r="EX506" s="43"/>
      <c r="EY506" s="43"/>
      <c r="EZ506" s="43"/>
      <c r="FA506" s="43"/>
      <c r="FB506" s="43"/>
      <c r="FC506" s="43"/>
      <c r="FD506" s="43"/>
      <c r="FE506" s="43"/>
      <c r="FF506" s="43"/>
      <c r="FG506" s="43"/>
      <c r="FH506" s="50"/>
      <c r="FI506" s="50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43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43"/>
      <c r="CF507" s="43"/>
      <c r="CG507" s="43"/>
      <c r="CH507" s="43"/>
      <c r="CI507" s="43"/>
      <c r="CJ507" s="43"/>
      <c r="CK507" s="43"/>
      <c r="CL507" s="43"/>
      <c r="CM507" s="43"/>
      <c r="CN507" s="43"/>
      <c r="CO507" s="43"/>
      <c r="CP507" s="43"/>
      <c r="CQ507" s="43"/>
      <c r="CR507" s="43"/>
      <c r="CS507" s="43"/>
      <c r="CT507" s="43"/>
      <c r="CU507" s="43"/>
      <c r="CV507" s="43"/>
      <c r="CW507" s="43"/>
      <c r="CX507" s="43"/>
      <c r="CY507" s="43"/>
      <c r="CZ507" s="43"/>
      <c r="DA507" s="43"/>
      <c r="DB507" s="43"/>
      <c r="DC507" s="43"/>
      <c r="DD507" s="43"/>
      <c r="DE507" s="43"/>
      <c r="DF507" s="43"/>
      <c r="DG507" s="43"/>
      <c r="DH507" s="43"/>
      <c r="DI507" s="43"/>
      <c r="DJ507" s="43"/>
      <c r="DK507" s="43"/>
      <c r="DL507" s="43"/>
      <c r="DM507" s="43"/>
      <c r="DN507" s="43"/>
      <c r="DO507" s="43"/>
      <c r="DP507" s="43"/>
      <c r="DQ507" s="43"/>
      <c r="DR507" s="43"/>
      <c r="DS507" s="43"/>
      <c r="DT507" s="43"/>
      <c r="DU507" s="43"/>
      <c r="DV507" s="43"/>
      <c r="DW507" s="43"/>
      <c r="DX507" s="43"/>
      <c r="DY507" s="43"/>
      <c r="DZ507" s="43"/>
      <c r="EA507" s="43"/>
      <c r="EB507" s="43"/>
      <c r="EC507" s="43"/>
      <c r="ED507" s="43"/>
      <c r="EE507" s="43"/>
      <c r="EF507" s="43"/>
      <c r="EG507" s="43"/>
      <c r="EH507" s="43"/>
      <c r="EI507" s="43"/>
      <c r="EJ507" s="43"/>
      <c r="EK507" s="43"/>
      <c r="EL507" s="43"/>
      <c r="EM507" s="43"/>
      <c r="EN507" s="43"/>
      <c r="EO507" s="43"/>
      <c r="EP507" s="43"/>
      <c r="EQ507" s="43"/>
      <c r="ER507" s="43"/>
      <c r="ES507" s="43"/>
      <c r="ET507" s="43"/>
      <c r="EU507" s="43"/>
      <c r="EV507" s="43"/>
      <c r="EW507" s="43"/>
      <c r="EX507" s="43"/>
      <c r="EY507" s="43"/>
      <c r="EZ507" s="43"/>
      <c r="FA507" s="43"/>
      <c r="FB507" s="43"/>
      <c r="FC507" s="43"/>
      <c r="FD507" s="43"/>
      <c r="FE507" s="43"/>
      <c r="FF507" s="43"/>
      <c r="FG507" s="43"/>
      <c r="FH507" s="50"/>
      <c r="FI507" s="50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43"/>
      <c r="CF508" s="43"/>
      <c r="CG508" s="43"/>
      <c r="CH508" s="43"/>
      <c r="CI508" s="43"/>
      <c r="CJ508" s="43"/>
      <c r="CK508" s="43"/>
      <c r="CL508" s="43"/>
      <c r="CM508" s="43"/>
      <c r="CN508" s="43"/>
      <c r="CO508" s="43"/>
      <c r="CP508" s="43"/>
      <c r="CQ508" s="43"/>
      <c r="CR508" s="43"/>
      <c r="CS508" s="43"/>
      <c r="CT508" s="43"/>
      <c r="CU508" s="43"/>
      <c r="CV508" s="43"/>
      <c r="CW508" s="43"/>
      <c r="CX508" s="43"/>
      <c r="CY508" s="43"/>
      <c r="CZ508" s="43"/>
      <c r="DA508" s="43"/>
      <c r="DB508" s="43"/>
      <c r="DC508" s="43"/>
      <c r="DD508" s="43"/>
      <c r="DE508" s="43"/>
      <c r="DF508" s="43"/>
      <c r="DG508" s="43"/>
      <c r="DH508" s="43"/>
      <c r="DI508" s="43"/>
      <c r="DJ508" s="43"/>
      <c r="DK508" s="43"/>
      <c r="DL508" s="43"/>
      <c r="DM508" s="43"/>
      <c r="DN508" s="43"/>
      <c r="DO508" s="43"/>
      <c r="DP508" s="43"/>
      <c r="DQ508" s="43"/>
      <c r="DR508" s="43"/>
      <c r="DS508" s="43"/>
      <c r="DT508" s="43"/>
      <c r="DU508" s="43"/>
      <c r="DV508" s="43"/>
      <c r="DW508" s="43"/>
      <c r="DX508" s="43"/>
      <c r="DY508" s="43"/>
      <c r="DZ508" s="43"/>
      <c r="EA508" s="43"/>
      <c r="EB508" s="43"/>
      <c r="EC508" s="43"/>
      <c r="ED508" s="43"/>
      <c r="EE508" s="43"/>
      <c r="EF508" s="43"/>
      <c r="EG508" s="43"/>
      <c r="EH508" s="43"/>
      <c r="EI508" s="43"/>
      <c r="EJ508" s="43"/>
      <c r="EK508" s="43"/>
      <c r="EL508" s="43"/>
      <c r="EM508" s="43"/>
      <c r="EN508" s="43"/>
      <c r="EO508" s="43"/>
      <c r="EP508" s="43"/>
      <c r="EQ508" s="43"/>
      <c r="ER508" s="43"/>
      <c r="ES508" s="43"/>
      <c r="ET508" s="43"/>
      <c r="EU508" s="43"/>
      <c r="EV508" s="43"/>
      <c r="EW508" s="43"/>
      <c r="EX508" s="43"/>
      <c r="EY508" s="43"/>
      <c r="EZ508" s="43"/>
      <c r="FA508" s="43"/>
      <c r="FB508" s="43"/>
      <c r="FC508" s="43"/>
      <c r="FD508" s="43"/>
      <c r="FE508" s="43"/>
      <c r="FF508" s="43"/>
      <c r="FG508" s="43"/>
      <c r="FH508" s="50"/>
      <c r="FI508" s="50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  <c r="CS509" s="43"/>
      <c r="CT509" s="43"/>
      <c r="CU509" s="43"/>
      <c r="CV509" s="43"/>
      <c r="CW509" s="43"/>
      <c r="CX509" s="43"/>
      <c r="CY509" s="43"/>
      <c r="CZ509" s="43"/>
      <c r="DA509" s="43"/>
      <c r="DB509" s="43"/>
      <c r="DC509" s="43"/>
      <c r="DD509" s="43"/>
      <c r="DE509" s="43"/>
      <c r="DF509" s="43"/>
      <c r="DG509" s="43"/>
      <c r="DH509" s="43"/>
      <c r="DI509" s="43"/>
      <c r="DJ509" s="43"/>
      <c r="DK509" s="43"/>
      <c r="DL509" s="43"/>
      <c r="DM509" s="43"/>
      <c r="DN509" s="43"/>
      <c r="DO509" s="43"/>
      <c r="DP509" s="43"/>
      <c r="DQ509" s="43"/>
      <c r="DR509" s="43"/>
      <c r="DS509" s="43"/>
      <c r="DT509" s="43"/>
      <c r="DU509" s="43"/>
      <c r="DV509" s="43"/>
      <c r="DW509" s="43"/>
      <c r="DX509" s="43"/>
      <c r="DY509" s="43"/>
      <c r="DZ509" s="43"/>
      <c r="EA509" s="43"/>
      <c r="EB509" s="43"/>
      <c r="EC509" s="43"/>
      <c r="ED509" s="43"/>
      <c r="EE509" s="43"/>
      <c r="EF509" s="43"/>
      <c r="EG509" s="43"/>
      <c r="EH509" s="43"/>
      <c r="EI509" s="43"/>
      <c r="EJ509" s="43"/>
      <c r="EK509" s="43"/>
      <c r="EL509" s="43"/>
      <c r="EM509" s="43"/>
      <c r="EN509" s="43"/>
      <c r="EO509" s="43"/>
      <c r="EP509" s="43"/>
      <c r="EQ509" s="43"/>
      <c r="ER509" s="43"/>
      <c r="ES509" s="43"/>
      <c r="ET509" s="43"/>
      <c r="EU509" s="43"/>
      <c r="EV509" s="43"/>
      <c r="EW509" s="43"/>
      <c r="EX509" s="43"/>
      <c r="EY509" s="43"/>
      <c r="EZ509" s="43"/>
      <c r="FA509" s="43"/>
      <c r="FB509" s="43"/>
      <c r="FC509" s="43"/>
      <c r="FD509" s="43"/>
      <c r="FE509" s="43"/>
      <c r="FF509" s="43"/>
      <c r="FG509" s="43"/>
      <c r="FH509" s="50"/>
      <c r="FI509" s="50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43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43"/>
      <c r="CF510" s="43"/>
      <c r="CG510" s="43"/>
      <c r="CH510" s="43"/>
      <c r="CI510" s="43"/>
      <c r="CJ510" s="43"/>
      <c r="CK510" s="43"/>
      <c r="CL510" s="43"/>
      <c r="CM510" s="43"/>
      <c r="CN510" s="43"/>
      <c r="CO510" s="43"/>
      <c r="CP510" s="43"/>
      <c r="CQ510" s="43"/>
      <c r="CR510" s="43"/>
      <c r="CS510" s="43"/>
      <c r="CT510" s="43"/>
      <c r="CU510" s="43"/>
      <c r="CV510" s="43"/>
      <c r="CW510" s="43"/>
      <c r="CX510" s="43"/>
      <c r="CY510" s="43"/>
      <c r="CZ510" s="43"/>
      <c r="DA510" s="43"/>
      <c r="DB510" s="43"/>
      <c r="DC510" s="43"/>
      <c r="DD510" s="43"/>
      <c r="DE510" s="43"/>
      <c r="DF510" s="43"/>
      <c r="DG510" s="43"/>
      <c r="DH510" s="43"/>
      <c r="DI510" s="43"/>
      <c r="DJ510" s="43"/>
      <c r="DK510" s="43"/>
      <c r="DL510" s="43"/>
      <c r="DM510" s="43"/>
      <c r="DN510" s="43"/>
      <c r="DO510" s="43"/>
      <c r="DP510" s="43"/>
      <c r="DQ510" s="43"/>
      <c r="DR510" s="43"/>
      <c r="DS510" s="43"/>
      <c r="DT510" s="43"/>
      <c r="DU510" s="43"/>
      <c r="DV510" s="43"/>
      <c r="DW510" s="43"/>
      <c r="DX510" s="43"/>
      <c r="DY510" s="43"/>
      <c r="DZ510" s="43"/>
      <c r="EA510" s="43"/>
      <c r="EB510" s="43"/>
      <c r="EC510" s="43"/>
      <c r="ED510" s="43"/>
      <c r="EE510" s="43"/>
      <c r="EF510" s="43"/>
      <c r="EG510" s="43"/>
      <c r="EH510" s="43"/>
      <c r="EI510" s="43"/>
      <c r="EJ510" s="43"/>
      <c r="EK510" s="43"/>
      <c r="EL510" s="43"/>
      <c r="EM510" s="43"/>
      <c r="EN510" s="43"/>
      <c r="EO510" s="43"/>
      <c r="EP510" s="43"/>
      <c r="EQ510" s="43"/>
      <c r="ER510" s="43"/>
      <c r="ES510" s="43"/>
      <c r="ET510" s="43"/>
      <c r="EU510" s="43"/>
      <c r="EV510" s="43"/>
      <c r="EW510" s="43"/>
      <c r="EX510" s="43"/>
      <c r="EY510" s="43"/>
      <c r="EZ510" s="43"/>
      <c r="FA510" s="43"/>
      <c r="FB510" s="43"/>
      <c r="FC510" s="43"/>
      <c r="FD510" s="43"/>
      <c r="FE510" s="43"/>
      <c r="FF510" s="43"/>
      <c r="FG510" s="43"/>
      <c r="FH510" s="50"/>
      <c r="FI510" s="50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43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43"/>
      <c r="CF511" s="43"/>
      <c r="CG511" s="43"/>
      <c r="CH511" s="43"/>
      <c r="CI511" s="43"/>
      <c r="CJ511" s="43"/>
      <c r="CK511" s="43"/>
      <c r="CL511" s="43"/>
      <c r="CM511" s="43"/>
      <c r="CN511" s="43"/>
      <c r="CO511" s="43"/>
      <c r="CP511" s="43"/>
      <c r="CQ511" s="43"/>
      <c r="CR511" s="43"/>
      <c r="CS511" s="43"/>
      <c r="CT511" s="43"/>
      <c r="CU511" s="43"/>
      <c r="CV511" s="43"/>
      <c r="CW511" s="43"/>
      <c r="CX511" s="43"/>
      <c r="CY511" s="43"/>
      <c r="CZ511" s="43"/>
      <c r="DA511" s="43"/>
      <c r="DB511" s="43"/>
      <c r="DC511" s="43"/>
      <c r="DD511" s="43"/>
      <c r="DE511" s="43"/>
      <c r="DF511" s="43"/>
      <c r="DG511" s="43"/>
      <c r="DH511" s="43"/>
      <c r="DI511" s="43"/>
      <c r="DJ511" s="43"/>
      <c r="DK511" s="43"/>
      <c r="DL511" s="43"/>
      <c r="DM511" s="43"/>
      <c r="DN511" s="43"/>
      <c r="DO511" s="43"/>
      <c r="DP511" s="43"/>
      <c r="DQ511" s="43"/>
      <c r="DR511" s="43"/>
      <c r="DS511" s="43"/>
      <c r="DT511" s="43"/>
      <c r="DU511" s="43"/>
      <c r="DV511" s="43"/>
      <c r="DW511" s="43"/>
      <c r="DX511" s="43"/>
      <c r="DY511" s="43"/>
      <c r="DZ511" s="43"/>
      <c r="EA511" s="43"/>
      <c r="EB511" s="43"/>
      <c r="EC511" s="43"/>
      <c r="ED511" s="43"/>
      <c r="EE511" s="43"/>
      <c r="EF511" s="43"/>
      <c r="EG511" s="43"/>
      <c r="EH511" s="43"/>
      <c r="EI511" s="43"/>
      <c r="EJ511" s="43"/>
      <c r="EK511" s="43"/>
      <c r="EL511" s="43"/>
      <c r="EM511" s="43"/>
      <c r="EN511" s="43"/>
      <c r="EO511" s="43"/>
      <c r="EP511" s="43"/>
      <c r="EQ511" s="43"/>
      <c r="ER511" s="43"/>
      <c r="ES511" s="43"/>
      <c r="ET511" s="43"/>
      <c r="EU511" s="43"/>
      <c r="EV511" s="43"/>
      <c r="EW511" s="43"/>
      <c r="EX511" s="43"/>
      <c r="EY511" s="43"/>
      <c r="EZ511" s="43"/>
      <c r="FA511" s="43"/>
      <c r="FB511" s="43"/>
      <c r="FC511" s="43"/>
      <c r="FD511" s="43"/>
      <c r="FE511" s="43"/>
      <c r="FF511" s="43"/>
      <c r="FG511" s="43"/>
      <c r="FH511" s="50"/>
      <c r="FI511" s="50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  <c r="CS512" s="43"/>
      <c r="CT512" s="43"/>
      <c r="CU512" s="43"/>
      <c r="CV512" s="43"/>
      <c r="CW512" s="43"/>
      <c r="CX512" s="43"/>
      <c r="CY512" s="43"/>
      <c r="CZ512" s="43"/>
      <c r="DA512" s="43"/>
      <c r="DB512" s="43"/>
      <c r="DC512" s="43"/>
      <c r="DD512" s="43"/>
      <c r="DE512" s="43"/>
      <c r="DF512" s="43"/>
      <c r="DG512" s="43"/>
      <c r="DH512" s="43"/>
      <c r="DI512" s="43"/>
      <c r="DJ512" s="43"/>
      <c r="DK512" s="43"/>
      <c r="DL512" s="43"/>
      <c r="DM512" s="43"/>
      <c r="DN512" s="43"/>
      <c r="DO512" s="43"/>
      <c r="DP512" s="43"/>
      <c r="DQ512" s="43"/>
      <c r="DR512" s="43"/>
      <c r="DS512" s="43"/>
      <c r="DT512" s="43"/>
      <c r="DU512" s="43"/>
      <c r="DV512" s="43"/>
      <c r="DW512" s="43"/>
      <c r="DX512" s="43"/>
      <c r="DY512" s="43"/>
      <c r="DZ512" s="43"/>
      <c r="EA512" s="43"/>
      <c r="EB512" s="43"/>
      <c r="EC512" s="43"/>
      <c r="ED512" s="43"/>
      <c r="EE512" s="43"/>
      <c r="EF512" s="43"/>
      <c r="EG512" s="43"/>
      <c r="EH512" s="43"/>
      <c r="EI512" s="43"/>
      <c r="EJ512" s="43"/>
      <c r="EK512" s="43"/>
      <c r="EL512" s="43"/>
      <c r="EM512" s="43"/>
      <c r="EN512" s="43"/>
      <c r="EO512" s="43"/>
      <c r="EP512" s="43"/>
      <c r="EQ512" s="43"/>
      <c r="ER512" s="43"/>
      <c r="ES512" s="43"/>
      <c r="ET512" s="43"/>
      <c r="EU512" s="43"/>
      <c r="EV512" s="43"/>
      <c r="EW512" s="43"/>
      <c r="EX512" s="43"/>
      <c r="EY512" s="43"/>
      <c r="EZ512" s="43"/>
      <c r="FA512" s="43"/>
      <c r="FB512" s="43"/>
      <c r="FC512" s="43"/>
      <c r="FD512" s="43"/>
      <c r="FE512" s="43"/>
      <c r="FF512" s="43"/>
      <c r="FG512" s="43"/>
      <c r="FH512" s="50"/>
      <c r="FI512" s="50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43"/>
      <c r="CF513" s="43"/>
      <c r="CG513" s="43"/>
      <c r="CH513" s="43"/>
      <c r="CI513" s="43"/>
      <c r="CJ513" s="43"/>
      <c r="CK513" s="43"/>
      <c r="CL513" s="43"/>
      <c r="CM513" s="43"/>
      <c r="CN513" s="43"/>
      <c r="CO513" s="43"/>
      <c r="CP513" s="43"/>
      <c r="CQ513" s="43"/>
      <c r="CR513" s="43"/>
      <c r="CS513" s="43"/>
      <c r="CT513" s="43"/>
      <c r="CU513" s="43"/>
      <c r="CV513" s="43"/>
      <c r="CW513" s="43"/>
      <c r="CX513" s="43"/>
      <c r="CY513" s="43"/>
      <c r="CZ513" s="43"/>
      <c r="DA513" s="43"/>
      <c r="DB513" s="43"/>
      <c r="DC513" s="43"/>
      <c r="DD513" s="43"/>
      <c r="DE513" s="43"/>
      <c r="DF513" s="43"/>
      <c r="DG513" s="43"/>
      <c r="DH513" s="43"/>
      <c r="DI513" s="43"/>
      <c r="DJ513" s="43"/>
      <c r="DK513" s="43"/>
      <c r="DL513" s="43"/>
      <c r="DM513" s="43"/>
      <c r="DN513" s="43"/>
      <c r="DO513" s="43"/>
      <c r="DP513" s="43"/>
      <c r="DQ513" s="43"/>
      <c r="DR513" s="43"/>
      <c r="DS513" s="43"/>
      <c r="DT513" s="43"/>
      <c r="DU513" s="43"/>
      <c r="DV513" s="43"/>
      <c r="DW513" s="43"/>
      <c r="DX513" s="43"/>
      <c r="DY513" s="43"/>
      <c r="DZ513" s="43"/>
      <c r="EA513" s="43"/>
      <c r="EB513" s="43"/>
      <c r="EC513" s="43"/>
      <c r="ED513" s="43"/>
      <c r="EE513" s="43"/>
      <c r="EF513" s="43"/>
      <c r="EG513" s="43"/>
      <c r="EH513" s="43"/>
      <c r="EI513" s="43"/>
      <c r="EJ513" s="43"/>
      <c r="EK513" s="43"/>
      <c r="EL513" s="43"/>
      <c r="EM513" s="43"/>
      <c r="EN513" s="43"/>
      <c r="EO513" s="43"/>
      <c r="EP513" s="43"/>
      <c r="EQ513" s="43"/>
      <c r="ER513" s="43"/>
      <c r="ES513" s="43"/>
      <c r="ET513" s="43"/>
      <c r="EU513" s="43"/>
      <c r="EV513" s="43"/>
      <c r="EW513" s="43"/>
      <c r="EX513" s="43"/>
      <c r="EY513" s="43"/>
      <c r="EZ513" s="43"/>
      <c r="FA513" s="43"/>
      <c r="FB513" s="43"/>
      <c r="FC513" s="43"/>
      <c r="FD513" s="43"/>
      <c r="FE513" s="43"/>
      <c r="FF513" s="43"/>
      <c r="FG513" s="43"/>
      <c r="FH513" s="50"/>
      <c r="FI513" s="50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  <c r="CS514" s="43"/>
      <c r="CT514" s="43"/>
      <c r="CU514" s="43"/>
      <c r="CV514" s="43"/>
      <c r="CW514" s="43"/>
      <c r="CX514" s="43"/>
      <c r="CY514" s="43"/>
      <c r="CZ514" s="43"/>
      <c r="DA514" s="43"/>
      <c r="DB514" s="43"/>
      <c r="DC514" s="43"/>
      <c r="DD514" s="43"/>
      <c r="DE514" s="43"/>
      <c r="DF514" s="43"/>
      <c r="DG514" s="43"/>
      <c r="DH514" s="43"/>
      <c r="DI514" s="43"/>
      <c r="DJ514" s="43"/>
      <c r="DK514" s="43"/>
      <c r="DL514" s="43"/>
      <c r="DM514" s="43"/>
      <c r="DN514" s="43"/>
      <c r="DO514" s="43"/>
      <c r="DP514" s="43"/>
      <c r="DQ514" s="43"/>
      <c r="DR514" s="43"/>
      <c r="DS514" s="43"/>
      <c r="DT514" s="43"/>
      <c r="DU514" s="43"/>
      <c r="DV514" s="43"/>
      <c r="DW514" s="43"/>
      <c r="DX514" s="43"/>
      <c r="DY514" s="43"/>
      <c r="DZ514" s="43"/>
      <c r="EA514" s="43"/>
      <c r="EB514" s="43"/>
      <c r="EC514" s="43"/>
      <c r="ED514" s="43"/>
      <c r="EE514" s="43"/>
      <c r="EF514" s="43"/>
      <c r="EG514" s="43"/>
      <c r="EH514" s="43"/>
      <c r="EI514" s="43"/>
      <c r="EJ514" s="43"/>
      <c r="EK514" s="43"/>
      <c r="EL514" s="43"/>
      <c r="EM514" s="43"/>
      <c r="EN514" s="43"/>
      <c r="EO514" s="43"/>
      <c r="EP514" s="43"/>
      <c r="EQ514" s="43"/>
      <c r="ER514" s="43"/>
      <c r="ES514" s="43"/>
      <c r="ET514" s="43"/>
      <c r="EU514" s="43"/>
      <c r="EV514" s="43"/>
      <c r="EW514" s="43"/>
      <c r="EX514" s="43"/>
      <c r="EY514" s="43"/>
      <c r="EZ514" s="43"/>
      <c r="FA514" s="43"/>
      <c r="FB514" s="43"/>
      <c r="FC514" s="43"/>
      <c r="FD514" s="43"/>
      <c r="FE514" s="43"/>
      <c r="FF514" s="43"/>
      <c r="FG514" s="43"/>
      <c r="FH514" s="50"/>
      <c r="FI514" s="50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  <c r="CS515" s="43"/>
      <c r="CT515" s="43"/>
      <c r="CU515" s="43"/>
      <c r="CV515" s="43"/>
      <c r="CW515" s="43"/>
      <c r="CX515" s="43"/>
      <c r="CY515" s="43"/>
      <c r="CZ515" s="43"/>
      <c r="DA515" s="43"/>
      <c r="DB515" s="43"/>
      <c r="DC515" s="43"/>
      <c r="DD515" s="43"/>
      <c r="DE515" s="43"/>
      <c r="DF515" s="43"/>
      <c r="DG515" s="43"/>
      <c r="DH515" s="43"/>
      <c r="DI515" s="43"/>
      <c r="DJ515" s="43"/>
      <c r="DK515" s="43"/>
      <c r="DL515" s="43"/>
      <c r="DM515" s="43"/>
      <c r="DN515" s="43"/>
      <c r="DO515" s="43"/>
      <c r="DP515" s="43"/>
      <c r="DQ515" s="43"/>
      <c r="DR515" s="43"/>
      <c r="DS515" s="43"/>
      <c r="DT515" s="43"/>
      <c r="DU515" s="43"/>
      <c r="DV515" s="43"/>
      <c r="DW515" s="43"/>
      <c r="DX515" s="43"/>
      <c r="DY515" s="43"/>
      <c r="DZ515" s="43"/>
      <c r="EA515" s="43"/>
      <c r="EB515" s="43"/>
      <c r="EC515" s="43"/>
      <c r="ED515" s="43"/>
      <c r="EE515" s="43"/>
      <c r="EF515" s="43"/>
      <c r="EG515" s="43"/>
      <c r="EH515" s="43"/>
      <c r="EI515" s="43"/>
      <c r="EJ515" s="43"/>
      <c r="EK515" s="43"/>
      <c r="EL515" s="43"/>
      <c r="EM515" s="43"/>
      <c r="EN515" s="43"/>
      <c r="EO515" s="43"/>
      <c r="EP515" s="43"/>
      <c r="EQ515" s="43"/>
      <c r="ER515" s="43"/>
      <c r="ES515" s="43"/>
      <c r="ET515" s="43"/>
      <c r="EU515" s="43"/>
      <c r="EV515" s="43"/>
      <c r="EW515" s="43"/>
      <c r="EX515" s="43"/>
      <c r="EY515" s="43"/>
      <c r="EZ515" s="43"/>
      <c r="FA515" s="43"/>
      <c r="FB515" s="43"/>
      <c r="FC515" s="43"/>
      <c r="FD515" s="43"/>
      <c r="FE515" s="43"/>
      <c r="FF515" s="43"/>
      <c r="FG515" s="43"/>
      <c r="FH515" s="50"/>
      <c r="FI515" s="50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43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43"/>
      <c r="CF516" s="43"/>
      <c r="CG516" s="43"/>
      <c r="CH516" s="43"/>
      <c r="CI516" s="43"/>
      <c r="CJ516" s="43"/>
      <c r="CK516" s="43"/>
      <c r="CL516" s="43"/>
      <c r="CM516" s="43"/>
      <c r="CN516" s="43"/>
      <c r="CO516" s="43"/>
      <c r="CP516" s="43"/>
      <c r="CQ516" s="43"/>
      <c r="CR516" s="43"/>
      <c r="CS516" s="43"/>
      <c r="CT516" s="43"/>
      <c r="CU516" s="43"/>
      <c r="CV516" s="43"/>
      <c r="CW516" s="43"/>
      <c r="CX516" s="43"/>
      <c r="CY516" s="43"/>
      <c r="CZ516" s="43"/>
      <c r="DA516" s="43"/>
      <c r="DB516" s="43"/>
      <c r="DC516" s="43"/>
      <c r="DD516" s="43"/>
      <c r="DE516" s="43"/>
      <c r="DF516" s="43"/>
      <c r="DG516" s="43"/>
      <c r="DH516" s="43"/>
      <c r="DI516" s="43"/>
      <c r="DJ516" s="43"/>
      <c r="DK516" s="43"/>
      <c r="DL516" s="43"/>
      <c r="DM516" s="43"/>
      <c r="DN516" s="43"/>
      <c r="DO516" s="43"/>
      <c r="DP516" s="43"/>
      <c r="DQ516" s="43"/>
      <c r="DR516" s="43"/>
      <c r="DS516" s="43"/>
      <c r="DT516" s="43"/>
      <c r="DU516" s="43"/>
      <c r="DV516" s="43"/>
      <c r="DW516" s="43"/>
      <c r="DX516" s="43"/>
      <c r="DY516" s="43"/>
      <c r="DZ516" s="43"/>
      <c r="EA516" s="43"/>
      <c r="EB516" s="43"/>
      <c r="EC516" s="43"/>
      <c r="ED516" s="43"/>
      <c r="EE516" s="43"/>
      <c r="EF516" s="43"/>
      <c r="EG516" s="43"/>
      <c r="EH516" s="43"/>
      <c r="EI516" s="43"/>
      <c r="EJ516" s="43"/>
      <c r="EK516" s="43"/>
      <c r="EL516" s="43"/>
      <c r="EM516" s="43"/>
      <c r="EN516" s="43"/>
      <c r="EO516" s="43"/>
      <c r="EP516" s="43"/>
      <c r="EQ516" s="43"/>
      <c r="ER516" s="43"/>
      <c r="ES516" s="43"/>
      <c r="ET516" s="43"/>
      <c r="EU516" s="43"/>
      <c r="EV516" s="43"/>
      <c r="EW516" s="43"/>
      <c r="EX516" s="43"/>
      <c r="EY516" s="43"/>
      <c r="EZ516" s="43"/>
      <c r="FA516" s="43"/>
      <c r="FB516" s="43"/>
      <c r="FC516" s="43"/>
      <c r="FD516" s="43"/>
      <c r="FE516" s="43"/>
      <c r="FF516" s="43"/>
      <c r="FG516" s="43"/>
      <c r="FH516" s="50"/>
      <c r="FI516" s="50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43"/>
      <c r="CF517" s="43"/>
      <c r="CG517" s="43"/>
      <c r="CH517" s="43"/>
      <c r="CI517" s="43"/>
      <c r="CJ517" s="43"/>
      <c r="CK517" s="43"/>
      <c r="CL517" s="43"/>
      <c r="CM517" s="43"/>
      <c r="CN517" s="43"/>
      <c r="CO517" s="43"/>
      <c r="CP517" s="43"/>
      <c r="CQ517" s="43"/>
      <c r="CR517" s="43"/>
      <c r="CS517" s="43"/>
      <c r="CT517" s="43"/>
      <c r="CU517" s="43"/>
      <c r="CV517" s="43"/>
      <c r="CW517" s="43"/>
      <c r="CX517" s="43"/>
      <c r="CY517" s="43"/>
      <c r="CZ517" s="43"/>
      <c r="DA517" s="43"/>
      <c r="DB517" s="43"/>
      <c r="DC517" s="43"/>
      <c r="DD517" s="43"/>
      <c r="DE517" s="43"/>
      <c r="DF517" s="43"/>
      <c r="DG517" s="43"/>
      <c r="DH517" s="43"/>
      <c r="DI517" s="43"/>
      <c r="DJ517" s="43"/>
      <c r="DK517" s="43"/>
      <c r="DL517" s="43"/>
      <c r="DM517" s="43"/>
      <c r="DN517" s="43"/>
      <c r="DO517" s="43"/>
      <c r="DP517" s="43"/>
      <c r="DQ517" s="43"/>
      <c r="DR517" s="43"/>
      <c r="DS517" s="43"/>
      <c r="DT517" s="43"/>
      <c r="DU517" s="43"/>
      <c r="DV517" s="43"/>
      <c r="DW517" s="43"/>
      <c r="DX517" s="43"/>
      <c r="DY517" s="43"/>
      <c r="DZ517" s="43"/>
      <c r="EA517" s="43"/>
      <c r="EB517" s="43"/>
      <c r="EC517" s="43"/>
      <c r="ED517" s="43"/>
      <c r="EE517" s="43"/>
      <c r="EF517" s="43"/>
      <c r="EG517" s="43"/>
      <c r="EH517" s="43"/>
      <c r="EI517" s="43"/>
      <c r="EJ517" s="43"/>
      <c r="EK517" s="43"/>
      <c r="EL517" s="43"/>
      <c r="EM517" s="43"/>
      <c r="EN517" s="43"/>
      <c r="EO517" s="43"/>
      <c r="EP517" s="43"/>
      <c r="EQ517" s="43"/>
      <c r="ER517" s="43"/>
      <c r="ES517" s="43"/>
      <c r="ET517" s="43"/>
      <c r="EU517" s="43"/>
      <c r="EV517" s="43"/>
      <c r="EW517" s="43"/>
      <c r="EX517" s="43"/>
      <c r="EY517" s="43"/>
      <c r="EZ517" s="43"/>
      <c r="FA517" s="43"/>
      <c r="FB517" s="43"/>
      <c r="FC517" s="43"/>
      <c r="FD517" s="43"/>
      <c r="FE517" s="43"/>
      <c r="FF517" s="43"/>
      <c r="FG517" s="43"/>
      <c r="FH517" s="50"/>
      <c r="FI517" s="50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  <c r="CS518" s="43"/>
      <c r="CT518" s="43"/>
      <c r="CU518" s="43"/>
      <c r="CV518" s="43"/>
      <c r="CW518" s="43"/>
      <c r="CX518" s="43"/>
      <c r="CY518" s="43"/>
      <c r="CZ518" s="43"/>
      <c r="DA518" s="43"/>
      <c r="DB518" s="43"/>
      <c r="DC518" s="43"/>
      <c r="DD518" s="43"/>
      <c r="DE518" s="43"/>
      <c r="DF518" s="43"/>
      <c r="DG518" s="43"/>
      <c r="DH518" s="43"/>
      <c r="DI518" s="43"/>
      <c r="DJ518" s="43"/>
      <c r="DK518" s="43"/>
      <c r="DL518" s="43"/>
      <c r="DM518" s="43"/>
      <c r="DN518" s="43"/>
      <c r="DO518" s="43"/>
      <c r="DP518" s="43"/>
      <c r="DQ518" s="43"/>
      <c r="DR518" s="43"/>
      <c r="DS518" s="43"/>
      <c r="DT518" s="43"/>
      <c r="DU518" s="43"/>
      <c r="DV518" s="43"/>
      <c r="DW518" s="43"/>
      <c r="DX518" s="43"/>
      <c r="DY518" s="43"/>
      <c r="DZ518" s="43"/>
      <c r="EA518" s="43"/>
      <c r="EB518" s="43"/>
      <c r="EC518" s="43"/>
      <c r="ED518" s="43"/>
      <c r="EE518" s="43"/>
      <c r="EF518" s="43"/>
      <c r="EG518" s="43"/>
      <c r="EH518" s="43"/>
      <c r="EI518" s="43"/>
      <c r="EJ518" s="43"/>
      <c r="EK518" s="43"/>
      <c r="EL518" s="43"/>
      <c r="EM518" s="43"/>
      <c r="EN518" s="43"/>
      <c r="EO518" s="43"/>
      <c r="EP518" s="43"/>
      <c r="EQ518" s="43"/>
      <c r="ER518" s="43"/>
      <c r="ES518" s="43"/>
      <c r="ET518" s="43"/>
      <c r="EU518" s="43"/>
      <c r="EV518" s="43"/>
      <c r="EW518" s="43"/>
      <c r="EX518" s="43"/>
      <c r="EY518" s="43"/>
      <c r="EZ518" s="43"/>
      <c r="FA518" s="43"/>
      <c r="FB518" s="43"/>
      <c r="FC518" s="43"/>
      <c r="FD518" s="43"/>
      <c r="FE518" s="43"/>
      <c r="FF518" s="43"/>
      <c r="FG518" s="43"/>
      <c r="FH518" s="50"/>
      <c r="FI518" s="50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43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43"/>
      <c r="CF519" s="43"/>
      <c r="CG519" s="43"/>
      <c r="CH519" s="43"/>
      <c r="CI519" s="43"/>
      <c r="CJ519" s="43"/>
      <c r="CK519" s="43"/>
      <c r="CL519" s="43"/>
      <c r="CM519" s="43"/>
      <c r="CN519" s="43"/>
      <c r="CO519" s="43"/>
      <c r="CP519" s="43"/>
      <c r="CQ519" s="43"/>
      <c r="CR519" s="43"/>
      <c r="CS519" s="43"/>
      <c r="CT519" s="43"/>
      <c r="CU519" s="43"/>
      <c r="CV519" s="43"/>
      <c r="CW519" s="43"/>
      <c r="CX519" s="43"/>
      <c r="CY519" s="43"/>
      <c r="CZ519" s="43"/>
      <c r="DA519" s="43"/>
      <c r="DB519" s="43"/>
      <c r="DC519" s="43"/>
      <c r="DD519" s="43"/>
      <c r="DE519" s="43"/>
      <c r="DF519" s="43"/>
      <c r="DG519" s="43"/>
      <c r="DH519" s="43"/>
      <c r="DI519" s="43"/>
      <c r="DJ519" s="43"/>
      <c r="DK519" s="43"/>
      <c r="DL519" s="43"/>
      <c r="DM519" s="43"/>
      <c r="DN519" s="43"/>
      <c r="DO519" s="43"/>
      <c r="DP519" s="43"/>
      <c r="DQ519" s="43"/>
      <c r="DR519" s="43"/>
      <c r="DS519" s="43"/>
      <c r="DT519" s="43"/>
      <c r="DU519" s="43"/>
      <c r="DV519" s="43"/>
      <c r="DW519" s="43"/>
      <c r="DX519" s="43"/>
      <c r="DY519" s="43"/>
      <c r="DZ519" s="43"/>
      <c r="EA519" s="43"/>
      <c r="EB519" s="43"/>
      <c r="EC519" s="43"/>
      <c r="ED519" s="43"/>
      <c r="EE519" s="43"/>
      <c r="EF519" s="43"/>
      <c r="EG519" s="43"/>
      <c r="EH519" s="43"/>
      <c r="EI519" s="43"/>
      <c r="EJ519" s="43"/>
      <c r="EK519" s="43"/>
      <c r="EL519" s="43"/>
      <c r="EM519" s="43"/>
      <c r="EN519" s="43"/>
      <c r="EO519" s="43"/>
      <c r="EP519" s="43"/>
      <c r="EQ519" s="43"/>
      <c r="ER519" s="43"/>
      <c r="ES519" s="43"/>
      <c r="ET519" s="43"/>
      <c r="EU519" s="43"/>
      <c r="EV519" s="43"/>
      <c r="EW519" s="43"/>
      <c r="EX519" s="43"/>
      <c r="EY519" s="43"/>
      <c r="EZ519" s="43"/>
      <c r="FA519" s="43"/>
      <c r="FB519" s="43"/>
      <c r="FC519" s="43"/>
      <c r="FD519" s="43"/>
      <c r="FE519" s="43"/>
      <c r="FF519" s="43"/>
      <c r="FG519" s="43"/>
      <c r="FH519" s="50"/>
      <c r="FI519" s="50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43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43"/>
      <c r="CF520" s="43"/>
      <c r="CG520" s="43"/>
      <c r="CH520" s="43"/>
      <c r="CI520" s="43"/>
      <c r="CJ520" s="43"/>
      <c r="CK520" s="43"/>
      <c r="CL520" s="43"/>
      <c r="CM520" s="43"/>
      <c r="CN520" s="43"/>
      <c r="CO520" s="43"/>
      <c r="CP520" s="43"/>
      <c r="CQ520" s="43"/>
      <c r="CR520" s="43"/>
      <c r="CS520" s="43"/>
      <c r="CT520" s="43"/>
      <c r="CU520" s="43"/>
      <c r="CV520" s="43"/>
      <c r="CW520" s="43"/>
      <c r="CX520" s="43"/>
      <c r="CY520" s="43"/>
      <c r="CZ520" s="43"/>
      <c r="DA520" s="43"/>
      <c r="DB520" s="43"/>
      <c r="DC520" s="43"/>
      <c r="DD520" s="43"/>
      <c r="DE520" s="43"/>
      <c r="DF520" s="43"/>
      <c r="DG520" s="43"/>
      <c r="DH520" s="43"/>
      <c r="DI520" s="43"/>
      <c r="DJ520" s="43"/>
      <c r="DK520" s="43"/>
      <c r="DL520" s="43"/>
      <c r="DM520" s="43"/>
      <c r="DN520" s="43"/>
      <c r="DO520" s="43"/>
      <c r="DP520" s="43"/>
      <c r="DQ520" s="43"/>
      <c r="DR520" s="43"/>
      <c r="DS520" s="43"/>
      <c r="DT520" s="43"/>
      <c r="DU520" s="43"/>
      <c r="DV520" s="43"/>
      <c r="DW520" s="43"/>
      <c r="DX520" s="43"/>
      <c r="DY520" s="43"/>
      <c r="DZ520" s="43"/>
      <c r="EA520" s="43"/>
      <c r="EB520" s="43"/>
      <c r="EC520" s="43"/>
      <c r="ED520" s="43"/>
      <c r="EE520" s="43"/>
      <c r="EF520" s="43"/>
      <c r="EG520" s="43"/>
      <c r="EH520" s="43"/>
      <c r="EI520" s="43"/>
      <c r="EJ520" s="43"/>
      <c r="EK520" s="43"/>
      <c r="EL520" s="43"/>
      <c r="EM520" s="43"/>
      <c r="EN520" s="43"/>
      <c r="EO520" s="43"/>
      <c r="EP520" s="43"/>
      <c r="EQ520" s="43"/>
      <c r="ER520" s="43"/>
      <c r="ES520" s="43"/>
      <c r="ET520" s="43"/>
      <c r="EU520" s="43"/>
      <c r="EV520" s="43"/>
      <c r="EW520" s="43"/>
      <c r="EX520" s="43"/>
      <c r="EY520" s="43"/>
      <c r="EZ520" s="43"/>
      <c r="FA520" s="43"/>
      <c r="FB520" s="43"/>
      <c r="FC520" s="43"/>
      <c r="FD520" s="43"/>
      <c r="FE520" s="43"/>
      <c r="FF520" s="43"/>
      <c r="FG520" s="43"/>
      <c r="FH520" s="50"/>
      <c r="FI520" s="50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43"/>
      <c r="BO521" s="43"/>
      <c r="BP521" s="43"/>
      <c r="BQ521" s="43"/>
      <c r="BR521" s="43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43"/>
      <c r="CF521" s="43"/>
      <c r="CG521" s="43"/>
      <c r="CH521" s="43"/>
      <c r="CI521" s="43"/>
      <c r="CJ521" s="43"/>
      <c r="CK521" s="43"/>
      <c r="CL521" s="43"/>
      <c r="CM521" s="43"/>
      <c r="CN521" s="43"/>
      <c r="CO521" s="43"/>
      <c r="CP521" s="43"/>
      <c r="CQ521" s="43"/>
      <c r="CR521" s="43"/>
      <c r="CS521" s="43"/>
      <c r="CT521" s="43"/>
      <c r="CU521" s="43"/>
      <c r="CV521" s="43"/>
      <c r="CW521" s="43"/>
      <c r="CX521" s="43"/>
      <c r="CY521" s="43"/>
      <c r="CZ521" s="43"/>
      <c r="DA521" s="43"/>
      <c r="DB521" s="43"/>
      <c r="DC521" s="43"/>
      <c r="DD521" s="43"/>
      <c r="DE521" s="43"/>
      <c r="DF521" s="43"/>
      <c r="DG521" s="43"/>
      <c r="DH521" s="43"/>
      <c r="DI521" s="43"/>
      <c r="DJ521" s="43"/>
      <c r="DK521" s="43"/>
      <c r="DL521" s="43"/>
      <c r="DM521" s="43"/>
      <c r="DN521" s="43"/>
      <c r="DO521" s="43"/>
      <c r="DP521" s="43"/>
      <c r="DQ521" s="43"/>
      <c r="DR521" s="43"/>
      <c r="DS521" s="43"/>
      <c r="DT521" s="43"/>
      <c r="DU521" s="43"/>
      <c r="DV521" s="43"/>
      <c r="DW521" s="43"/>
      <c r="DX521" s="43"/>
      <c r="DY521" s="43"/>
      <c r="DZ521" s="43"/>
      <c r="EA521" s="43"/>
      <c r="EB521" s="43"/>
      <c r="EC521" s="43"/>
      <c r="ED521" s="43"/>
      <c r="EE521" s="43"/>
      <c r="EF521" s="43"/>
      <c r="EG521" s="43"/>
      <c r="EH521" s="43"/>
      <c r="EI521" s="43"/>
      <c r="EJ521" s="43"/>
      <c r="EK521" s="43"/>
      <c r="EL521" s="43"/>
      <c r="EM521" s="43"/>
      <c r="EN521" s="43"/>
      <c r="EO521" s="43"/>
      <c r="EP521" s="43"/>
      <c r="EQ521" s="43"/>
      <c r="ER521" s="43"/>
      <c r="ES521" s="43"/>
      <c r="ET521" s="43"/>
      <c r="EU521" s="43"/>
      <c r="EV521" s="43"/>
      <c r="EW521" s="43"/>
      <c r="EX521" s="43"/>
      <c r="EY521" s="43"/>
      <c r="EZ521" s="43"/>
      <c r="FA521" s="43"/>
      <c r="FB521" s="43"/>
      <c r="FC521" s="43"/>
      <c r="FD521" s="43"/>
      <c r="FE521" s="43"/>
      <c r="FF521" s="43"/>
      <c r="FG521" s="43"/>
      <c r="FH521" s="50"/>
      <c r="FI521" s="50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43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43"/>
      <c r="CF522" s="43"/>
      <c r="CG522" s="43"/>
      <c r="CH522" s="43"/>
      <c r="CI522" s="43"/>
      <c r="CJ522" s="43"/>
      <c r="CK522" s="43"/>
      <c r="CL522" s="43"/>
      <c r="CM522" s="43"/>
      <c r="CN522" s="43"/>
      <c r="CO522" s="43"/>
      <c r="CP522" s="43"/>
      <c r="CQ522" s="43"/>
      <c r="CR522" s="43"/>
      <c r="CS522" s="43"/>
      <c r="CT522" s="43"/>
      <c r="CU522" s="43"/>
      <c r="CV522" s="43"/>
      <c r="CW522" s="43"/>
      <c r="CX522" s="43"/>
      <c r="CY522" s="43"/>
      <c r="CZ522" s="43"/>
      <c r="DA522" s="43"/>
      <c r="DB522" s="43"/>
      <c r="DC522" s="43"/>
      <c r="DD522" s="43"/>
      <c r="DE522" s="43"/>
      <c r="DF522" s="43"/>
      <c r="DG522" s="43"/>
      <c r="DH522" s="43"/>
      <c r="DI522" s="43"/>
      <c r="DJ522" s="43"/>
      <c r="DK522" s="43"/>
      <c r="DL522" s="43"/>
      <c r="DM522" s="43"/>
      <c r="DN522" s="43"/>
      <c r="DO522" s="43"/>
      <c r="DP522" s="43"/>
      <c r="DQ522" s="43"/>
      <c r="DR522" s="43"/>
      <c r="DS522" s="43"/>
      <c r="DT522" s="43"/>
      <c r="DU522" s="43"/>
      <c r="DV522" s="43"/>
      <c r="DW522" s="43"/>
      <c r="DX522" s="43"/>
      <c r="DY522" s="43"/>
      <c r="DZ522" s="43"/>
      <c r="EA522" s="43"/>
      <c r="EB522" s="43"/>
      <c r="EC522" s="43"/>
      <c r="ED522" s="43"/>
      <c r="EE522" s="43"/>
      <c r="EF522" s="43"/>
      <c r="EG522" s="43"/>
      <c r="EH522" s="43"/>
      <c r="EI522" s="43"/>
      <c r="EJ522" s="43"/>
      <c r="EK522" s="43"/>
      <c r="EL522" s="43"/>
      <c r="EM522" s="43"/>
      <c r="EN522" s="43"/>
      <c r="EO522" s="43"/>
      <c r="EP522" s="43"/>
      <c r="EQ522" s="43"/>
      <c r="ER522" s="43"/>
      <c r="ES522" s="43"/>
      <c r="ET522" s="43"/>
      <c r="EU522" s="43"/>
      <c r="EV522" s="43"/>
      <c r="EW522" s="43"/>
      <c r="EX522" s="43"/>
      <c r="EY522" s="43"/>
      <c r="EZ522" s="43"/>
      <c r="FA522" s="43"/>
      <c r="FB522" s="43"/>
      <c r="FC522" s="43"/>
      <c r="FD522" s="43"/>
      <c r="FE522" s="43"/>
      <c r="FF522" s="43"/>
      <c r="FG522" s="43"/>
      <c r="FH522" s="50"/>
      <c r="FI522" s="50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43"/>
      <c r="BO523" s="43"/>
      <c r="BP523" s="43"/>
      <c r="BQ523" s="43"/>
      <c r="BR523" s="43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43"/>
      <c r="CF523" s="43"/>
      <c r="CG523" s="43"/>
      <c r="CH523" s="43"/>
      <c r="CI523" s="43"/>
      <c r="CJ523" s="43"/>
      <c r="CK523" s="43"/>
      <c r="CL523" s="43"/>
      <c r="CM523" s="43"/>
      <c r="CN523" s="43"/>
      <c r="CO523" s="43"/>
      <c r="CP523" s="43"/>
      <c r="CQ523" s="43"/>
      <c r="CR523" s="43"/>
      <c r="CS523" s="43"/>
      <c r="CT523" s="43"/>
      <c r="CU523" s="43"/>
      <c r="CV523" s="43"/>
      <c r="CW523" s="43"/>
      <c r="CX523" s="43"/>
      <c r="CY523" s="43"/>
      <c r="CZ523" s="43"/>
      <c r="DA523" s="43"/>
      <c r="DB523" s="43"/>
      <c r="DC523" s="43"/>
      <c r="DD523" s="43"/>
      <c r="DE523" s="43"/>
      <c r="DF523" s="43"/>
      <c r="DG523" s="43"/>
      <c r="DH523" s="43"/>
      <c r="DI523" s="43"/>
      <c r="DJ523" s="43"/>
      <c r="DK523" s="43"/>
      <c r="DL523" s="43"/>
      <c r="DM523" s="43"/>
      <c r="DN523" s="43"/>
      <c r="DO523" s="43"/>
      <c r="DP523" s="43"/>
      <c r="DQ523" s="43"/>
      <c r="DR523" s="43"/>
      <c r="DS523" s="43"/>
      <c r="DT523" s="43"/>
      <c r="DU523" s="43"/>
      <c r="DV523" s="43"/>
      <c r="DW523" s="43"/>
      <c r="DX523" s="43"/>
      <c r="DY523" s="43"/>
      <c r="DZ523" s="43"/>
      <c r="EA523" s="43"/>
      <c r="EB523" s="43"/>
      <c r="EC523" s="43"/>
      <c r="ED523" s="43"/>
      <c r="EE523" s="43"/>
      <c r="EF523" s="43"/>
      <c r="EG523" s="43"/>
      <c r="EH523" s="43"/>
      <c r="EI523" s="43"/>
      <c r="EJ523" s="43"/>
      <c r="EK523" s="43"/>
      <c r="EL523" s="43"/>
      <c r="EM523" s="43"/>
      <c r="EN523" s="43"/>
      <c r="EO523" s="43"/>
      <c r="EP523" s="43"/>
      <c r="EQ523" s="43"/>
      <c r="ER523" s="43"/>
      <c r="ES523" s="43"/>
      <c r="ET523" s="43"/>
      <c r="EU523" s="43"/>
      <c r="EV523" s="43"/>
      <c r="EW523" s="43"/>
      <c r="EX523" s="43"/>
      <c r="EY523" s="43"/>
      <c r="EZ523" s="43"/>
      <c r="FA523" s="43"/>
      <c r="FB523" s="43"/>
      <c r="FC523" s="43"/>
      <c r="FD523" s="43"/>
      <c r="FE523" s="43"/>
      <c r="FF523" s="43"/>
      <c r="FG523" s="43"/>
      <c r="FH523" s="50"/>
      <c r="FI523" s="50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43"/>
      <c r="BO524" s="43"/>
      <c r="BP524" s="43"/>
      <c r="BQ524" s="43"/>
      <c r="BR524" s="43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43"/>
      <c r="CF524" s="43"/>
      <c r="CG524" s="43"/>
      <c r="CH524" s="43"/>
      <c r="CI524" s="43"/>
      <c r="CJ524" s="43"/>
      <c r="CK524" s="43"/>
      <c r="CL524" s="43"/>
      <c r="CM524" s="43"/>
      <c r="CN524" s="43"/>
      <c r="CO524" s="43"/>
      <c r="CP524" s="43"/>
      <c r="CQ524" s="43"/>
      <c r="CR524" s="43"/>
      <c r="CS524" s="43"/>
      <c r="CT524" s="43"/>
      <c r="CU524" s="43"/>
      <c r="CV524" s="43"/>
      <c r="CW524" s="43"/>
      <c r="CX524" s="43"/>
      <c r="CY524" s="43"/>
      <c r="CZ524" s="43"/>
      <c r="DA524" s="43"/>
      <c r="DB524" s="43"/>
      <c r="DC524" s="43"/>
      <c r="DD524" s="43"/>
      <c r="DE524" s="43"/>
      <c r="DF524" s="43"/>
      <c r="DG524" s="43"/>
      <c r="DH524" s="43"/>
      <c r="DI524" s="43"/>
      <c r="DJ524" s="43"/>
      <c r="DK524" s="43"/>
      <c r="DL524" s="43"/>
      <c r="DM524" s="43"/>
      <c r="DN524" s="43"/>
      <c r="DO524" s="43"/>
      <c r="DP524" s="43"/>
      <c r="DQ524" s="43"/>
      <c r="DR524" s="43"/>
      <c r="DS524" s="43"/>
      <c r="DT524" s="43"/>
      <c r="DU524" s="43"/>
      <c r="DV524" s="43"/>
      <c r="DW524" s="43"/>
      <c r="DX524" s="43"/>
      <c r="DY524" s="43"/>
      <c r="DZ524" s="43"/>
      <c r="EA524" s="43"/>
      <c r="EB524" s="43"/>
      <c r="EC524" s="43"/>
      <c r="ED524" s="43"/>
      <c r="EE524" s="43"/>
      <c r="EF524" s="43"/>
      <c r="EG524" s="43"/>
      <c r="EH524" s="43"/>
      <c r="EI524" s="43"/>
      <c r="EJ524" s="43"/>
      <c r="EK524" s="43"/>
      <c r="EL524" s="43"/>
      <c r="EM524" s="43"/>
      <c r="EN524" s="43"/>
      <c r="EO524" s="43"/>
      <c r="EP524" s="43"/>
      <c r="EQ524" s="43"/>
      <c r="ER524" s="43"/>
      <c r="ES524" s="43"/>
      <c r="ET524" s="43"/>
      <c r="EU524" s="43"/>
      <c r="EV524" s="43"/>
      <c r="EW524" s="43"/>
      <c r="EX524" s="43"/>
      <c r="EY524" s="43"/>
      <c r="EZ524" s="43"/>
      <c r="FA524" s="43"/>
      <c r="FB524" s="43"/>
      <c r="FC524" s="43"/>
      <c r="FD524" s="43"/>
      <c r="FE524" s="43"/>
      <c r="FF524" s="43"/>
      <c r="FG524" s="43"/>
      <c r="FH524" s="50"/>
      <c r="FI524" s="50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R525" s="43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43"/>
      <c r="CF525" s="43"/>
      <c r="CG525" s="43"/>
      <c r="CH525" s="43"/>
      <c r="CI525" s="43"/>
      <c r="CJ525" s="43"/>
      <c r="CK525" s="43"/>
      <c r="CL525" s="43"/>
      <c r="CM525" s="43"/>
      <c r="CN525" s="43"/>
      <c r="CO525" s="43"/>
      <c r="CP525" s="43"/>
      <c r="CQ525" s="43"/>
      <c r="CR525" s="43"/>
      <c r="CS525" s="43"/>
      <c r="CT525" s="43"/>
      <c r="CU525" s="43"/>
      <c r="CV525" s="43"/>
      <c r="CW525" s="43"/>
      <c r="CX525" s="43"/>
      <c r="CY525" s="43"/>
      <c r="CZ525" s="43"/>
      <c r="DA525" s="43"/>
      <c r="DB525" s="43"/>
      <c r="DC525" s="43"/>
      <c r="DD525" s="43"/>
      <c r="DE525" s="43"/>
      <c r="DF525" s="43"/>
      <c r="DG525" s="43"/>
      <c r="DH525" s="43"/>
      <c r="DI525" s="43"/>
      <c r="DJ525" s="43"/>
      <c r="DK525" s="43"/>
      <c r="DL525" s="43"/>
      <c r="DM525" s="43"/>
      <c r="DN525" s="43"/>
      <c r="DO525" s="43"/>
      <c r="DP525" s="43"/>
      <c r="DQ525" s="43"/>
      <c r="DR525" s="43"/>
      <c r="DS525" s="43"/>
      <c r="DT525" s="43"/>
      <c r="DU525" s="43"/>
      <c r="DV525" s="43"/>
      <c r="DW525" s="43"/>
      <c r="DX525" s="43"/>
      <c r="DY525" s="43"/>
      <c r="DZ525" s="43"/>
      <c r="EA525" s="43"/>
      <c r="EB525" s="43"/>
      <c r="EC525" s="43"/>
      <c r="ED525" s="43"/>
      <c r="EE525" s="43"/>
      <c r="EF525" s="43"/>
      <c r="EG525" s="43"/>
      <c r="EH525" s="43"/>
      <c r="EI525" s="43"/>
      <c r="EJ525" s="43"/>
      <c r="EK525" s="43"/>
      <c r="EL525" s="43"/>
      <c r="EM525" s="43"/>
      <c r="EN525" s="43"/>
      <c r="EO525" s="43"/>
      <c r="EP525" s="43"/>
      <c r="EQ525" s="43"/>
      <c r="ER525" s="43"/>
      <c r="ES525" s="43"/>
      <c r="ET525" s="43"/>
      <c r="EU525" s="43"/>
      <c r="EV525" s="43"/>
      <c r="EW525" s="43"/>
      <c r="EX525" s="43"/>
      <c r="EY525" s="43"/>
      <c r="EZ525" s="43"/>
      <c r="FA525" s="43"/>
      <c r="FB525" s="43"/>
      <c r="FC525" s="43"/>
      <c r="FD525" s="43"/>
      <c r="FE525" s="43"/>
      <c r="FF525" s="43"/>
      <c r="FG525" s="43"/>
      <c r="FH525" s="50"/>
      <c r="FI525" s="50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  <c r="BL526" s="43"/>
      <c r="BM526" s="43"/>
      <c r="BN526" s="43"/>
      <c r="BO526" s="43"/>
      <c r="BP526" s="43"/>
      <c r="BQ526" s="43"/>
      <c r="BR526" s="43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43"/>
      <c r="CF526" s="43"/>
      <c r="CG526" s="43"/>
      <c r="CH526" s="43"/>
      <c r="CI526" s="43"/>
      <c r="CJ526" s="43"/>
      <c r="CK526" s="43"/>
      <c r="CL526" s="43"/>
      <c r="CM526" s="43"/>
      <c r="CN526" s="43"/>
      <c r="CO526" s="43"/>
      <c r="CP526" s="43"/>
      <c r="CQ526" s="43"/>
      <c r="CR526" s="43"/>
      <c r="CS526" s="43"/>
      <c r="CT526" s="43"/>
      <c r="CU526" s="43"/>
      <c r="CV526" s="43"/>
      <c r="CW526" s="43"/>
      <c r="CX526" s="43"/>
      <c r="CY526" s="43"/>
      <c r="CZ526" s="43"/>
      <c r="DA526" s="43"/>
      <c r="DB526" s="43"/>
      <c r="DC526" s="43"/>
      <c r="DD526" s="43"/>
      <c r="DE526" s="43"/>
      <c r="DF526" s="43"/>
      <c r="DG526" s="43"/>
      <c r="DH526" s="43"/>
      <c r="DI526" s="43"/>
      <c r="DJ526" s="43"/>
      <c r="DK526" s="43"/>
      <c r="DL526" s="43"/>
      <c r="DM526" s="43"/>
      <c r="DN526" s="43"/>
      <c r="DO526" s="43"/>
      <c r="DP526" s="43"/>
      <c r="DQ526" s="43"/>
      <c r="DR526" s="43"/>
      <c r="DS526" s="43"/>
      <c r="DT526" s="43"/>
      <c r="DU526" s="43"/>
      <c r="DV526" s="43"/>
      <c r="DW526" s="43"/>
      <c r="DX526" s="43"/>
      <c r="DY526" s="43"/>
      <c r="DZ526" s="43"/>
      <c r="EA526" s="43"/>
      <c r="EB526" s="43"/>
      <c r="EC526" s="43"/>
      <c r="ED526" s="43"/>
      <c r="EE526" s="43"/>
      <c r="EF526" s="43"/>
      <c r="EG526" s="43"/>
      <c r="EH526" s="43"/>
      <c r="EI526" s="43"/>
      <c r="EJ526" s="43"/>
      <c r="EK526" s="43"/>
      <c r="EL526" s="43"/>
      <c r="EM526" s="43"/>
      <c r="EN526" s="43"/>
      <c r="EO526" s="43"/>
      <c r="EP526" s="43"/>
      <c r="EQ526" s="43"/>
      <c r="ER526" s="43"/>
      <c r="ES526" s="43"/>
      <c r="ET526" s="43"/>
      <c r="EU526" s="43"/>
      <c r="EV526" s="43"/>
      <c r="EW526" s="43"/>
      <c r="EX526" s="43"/>
      <c r="EY526" s="43"/>
      <c r="EZ526" s="43"/>
      <c r="FA526" s="43"/>
      <c r="FB526" s="43"/>
      <c r="FC526" s="43"/>
      <c r="FD526" s="43"/>
      <c r="FE526" s="43"/>
      <c r="FF526" s="43"/>
      <c r="FG526" s="43"/>
      <c r="FH526" s="50"/>
      <c r="FI526" s="50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43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43"/>
      <c r="CF527" s="43"/>
      <c r="CG527" s="43"/>
      <c r="CH527" s="43"/>
      <c r="CI527" s="43"/>
      <c r="CJ527" s="43"/>
      <c r="CK527" s="43"/>
      <c r="CL527" s="43"/>
      <c r="CM527" s="43"/>
      <c r="CN527" s="43"/>
      <c r="CO527" s="43"/>
      <c r="CP527" s="43"/>
      <c r="CQ527" s="43"/>
      <c r="CR527" s="43"/>
      <c r="CS527" s="43"/>
      <c r="CT527" s="43"/>
      <c r="CU527" s="43"/>
      <c r="CV527" s="43"/>
      <c r="CW527" s="43"/>
      <c r="CX527" s="43"/>
      <c r="CY527" s="43"/>
      <c r="CZ527" s="43"/>
      <c r="DA527" s="43"/>
      <c r="DB527" s="43"/>
      <c r="DC527" s="43"/>
      <c r="DD527" s="43"/>
      <c r="DE527" s="43"/>
      <c r="DF527" s="43"/>
      <c r="DG527" s="43"/>
      <c r="DH527" s="43"/>
      <c r="DI527" s="43"/>
      <c r="DJ527" s="43"/>
      <c r="DK527" s="43"/>
      <c r="DL527" s="43"/>
      <c r="DM527" s="43"/>
      <c r="DN527" s="43"/>
      <c r="DO527" s="43"/>
      <c r="DP527" s="43"/>
      <c r="DQ527" s="43"/>
      <c r="DR527" s="43"/>
      <c r="DS527" s="43"/>
      <c r="DT527" s="43"/>
      <c r="DU527" s="43"/>
      <c r="DV527" s="43"/>
      <c r="DW527" s="43"/>
      <c r="DX527" s="43"/>
      <c r="DY527" s="43"/>
      <c r="DZ527" s="43"/>
      <c r="EA527" s="43"/>
      <c r="EB527" s="43"/>
      <c r="EC527" s="43"/>
      <c r="ED527" s="43"/>
      <c r="EE527" s="43"/>
      <c r="EF527" s="43"/>
      <c r="EG527" s="43"/>
      <c r="EH527" s="43"/>
      <c r="EI527" s="43"/>
      <c r="EJ527" s="43"/>
      <c r="EK527" s="43"/>
      <c r="EL527" s="43"/>
      <c r="EM527" s="43"/>
      <c r="EN527" s="43"/>
      <c r="EO527" s="43"/>
      <c r="EP527" s="43"/>
      <c r="EQ527" s="43"/>
      <c r="ER527" s="43"/>
      <c r="ES527" s="43"/>
      <c r="ET527" s="43"/>
      <c r="EU527" s="43"/>
      <c r="EV527" s="43"/>
      <c r="EW527" s="43"/>
      <c r="EX527" s="43"/>
      <c r="EY527" s="43"/>
      <c r="EZ527" s="43"/>
      <c r="FA527" s="43"/>
      <c r="FB527" s="43"/>
      <c r="FC527" s="43"/>
      <c r="FD527" s="43"/>
      <c r="FE527" s="43"/>
      <c r="FF527" s="43"/>
      <c r="FG527" s="43"/>
      <c r="FH527" s="50"/>
      <c r="FI527" s="50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R528" s="43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43"/>
      <c r="CF528" s="43"/>
      <c r="CG528" s="43"/>
      <c r="CH528" s="43"/>
      <c r="CI528" s="43"/>
      <c r="CJ528" s="43"/>
      <c r="CK528" s="43"/>
      <c r="CL528" s="43"/>
      <c r="CM528" s="43"/>
      <c r="CN528" s="43"/>
      <c r="CO528" s="43"/>
      <c r="CP528" s="43"/>
      <c r="CQ528" s="43"/>
      <c r="CR528" s="43"/>
      <c r="CS528" s="43"/>
      <c r="CT528" s="43"/>
      <c r="CU528" s="43"/>
      <c r="CV528" s="43"/>
      <c r="CW528" s="43"/>
      <c r="CX528" s="43"/>
      <c r="CY528" s="43"/>
      <c r="CZ528" s="43"/>
      <c r="DA528" s="43"/>
      <c r="DB528" s="43"/>
      <c r="DC528" s="43"/>
      <c r="DD528" s="43"/>
      <c r="DE528" s="43"/>
      <c r="DF528" s="43"/>
      <c r="DG528" s="43"/>
      <c r="DH528" s="43"/>
      <c r="DI528" s="43"/>
      <c r="DJ528" s="43"/>
      <c r="DK528" s="43"/>
      <c r="DL528" s="43"/>
      <c r="DM528" s="43"/>
      <c r="DN528" s="43"/>
      <c r="DO528" s="43"/>
      <c r="DP528" s="43"/>
      <c r="DQ528" s="43"/>
      <c r="DR528" s="43"/>
      <c r="DS528" s="43"/>
      <c r="DT528" s="43"/>
      <c r="DU528" s="43"/>
      <c r="DV528" s="43"/>
      <c r="DW528" s="43"/>
      <c r="DX528" s="43"/>
      <c r="DY528" s="43"/>
      <c r="DZ528" s="43"/>
      <c r="EA528" s="43"/>
      <c r="EB528" s="43"/>
      <c r="EC528" s="43"/>
      <c r="ED528" s="43"/>
      <c r="EE528" s="43"/>
      <c r="EF528" s="43"/>
      <c r="EG528" s="43"/>
      <c r="EH528" s="43"/>
      <c r="EI528" s="43"/>
      <c r="EJ528" s="43"/>
      <c r="EK528" s="43"/>
      <c r="EL528" s="43"/>
      <c r="EM528" s="43"/>
      <c r="EN528" s="43"/>
      <c r="EO528" s="43"/>
      <c r="EP528" s="43"/>
      <c r="EQ528" s="43"/>
      <c r="ER528" s="43"/>
      <c r="ES528" s="43"/>
      <c r="ET528" s="43"/>
      <c r="EU528" s="43"/>
      <c r="EV528" s="43"/>
      <c r="EW528" s="43"/>
      <c r="EX528" s="43"/>
      <c r="EY528" s="43"/>
      <c r="EZ528" s="43"/>
      <c r="FA528" s="43"/>
      <c r="FB528" s="43"/>
      <c r="FC528" s="43"/>
      <c r="FD528" s="43"/>
      <c r="FE528" s="43"/>
      <c r="FF528" s="43"/>
      <c r="FG528" s="43"/>
      <c r="FH528" s="50"/>
      <c r="FI528" s="50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  <c r="BL529" s="43"/>
      <c r="BM529" s="43"/>
      <c r="BN529" s="43"/>
      <c r="BO529" s="43"/>
      <c r="BP529" s="43"/>
      <c r="BQ529" s="43"/>
      <c r="BR529" s="43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43"/>
      <c r="CF529" s="43"/>
      <c r="CG529" s="43"/>
      <c r="CH529" s="43"/>
      <c r="CI529" s="43"/>
      <c r="CJ529" s="43"/>
      <c r="CK529" s="43"/>
      <c r="CL529" s="43"/>
      <c r="CM529" s="43"/>
      <c r="CN529" s="43"/>
      <c r="CO529" s="43"/>
      <c r="CP529" s="43"/>
      <c r="CQ529" s="43"/>
      <c r="CR529" s="43"/>
      <c r="CS529" s="43"/>
      <c r="CT529" s="43"/>
      <c r="CU529" s="43"/>
      <c r="CV529" s="43"/>
      <c r="CW529" s="43"/>
      <c r="CX529" s="43"/>
      <c r="CY529" s="43"/>
      <c r="CZ529" s="43"/>
      <c r="DA529" s="43"/>
      <c r="DB529" s="43"/>
      <c r="DC529" s="43"/>
      <c r="DD529" s="43"/>
      <c r="DE529" s="43"/>
      <c r="DF529" s="43"/>
      <c r="DG529" s="43"/>
      <c r="DH529" s="43"/>
      <c r="DI529" s="43"/>
      <c r="DJ529" s="43"/>
      <c r="DK529" s="43"/>
      <c r="DL529" s="43"/>
      <c r="DM529" s="43"/>
      <c r="DN529" s="43"/>
      <c r="DO529" s="43"/>
      <c r="DP529" s="43"/>
      <c r="DQ529" s="43"/>
      <c r="DR529" s="43"/>
      <c r="DS529" s="43"/>
      <c r="DT529" s="43"/>
      <c r="DU529" s="43"/>
      <c r="DV529" s="43"/>
      <c r="DW529" s="43"/>
      <c r="DX529" s="43"/>
      <c r="DY529" s="43"/>
      <c r="DZ529" s="43"/>
      <c r="EA529" s="43"/>
      <c r="EB529" s="43"/>
      <c r="EC529" s="43"/>
      <c r="ED529" s="43"/>
      <c r="EE529" s="43"/>
      <c r="EF529" s="43"/>
      <c r="EG529" s="43"/>
      <c r="EH529" s="43"/>
      <c r="EI529" s="43"/>
      <c r="EJ529" s="43"/>
      <c r="EK529" s="43"/>
      <c r="EL529" s="43"/>
      <c r="EM529" s="43"/>
      <c r="EN529" s="43"/>
      <c r="EO529" s="43"/>
      <c r="EP529" s="43"/>
      <c r="EQ529" s="43"/>
      <c r="ER529" s="43"/>
      <c r="ES529" s="43"/>
      <c r="ET529" s="43"/>
      <c r="EU529" s="43"/>
      <c r="EV529" s="43"/>
      <c r="EW529" s="43"/>
      <c r="EX529" s="43"/>
      <c r="EY529" s="43"/>
      <c r="EZ529" s="43"/>
      <c r="FA529" s="43"/>
      <c r="FB529" s="43"/>
      <c r="FC529" s="43"/>
      <c r="FD529" s="43"/>
      <c r="FE529" s="43"/>
      <c r="FF529" s="43"/>
      <c r="FG529" s="43"/>
      <c r="FH529" s="50"/>
      <c r="FI529" s="50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43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43"/>
      <c r="CF530" s="43"/>
      <c r="CG530" s="43"/>
      <c r="CH530" s="43"/>
      <c r="CI530" s="43"/>
      <c r="CJ530" s="43"/>
      <c r="CK530" s="43"/>
      <c r="CL530" s="43"/>
      <c r="CM530" s="43"/>
      <c r="CN530" s="43"/>
      <c r="CO530" s="43"/>
      <c r="CP530" s="43"/>
      <c r="CQ530" s="43"/>
      <c r="CR530" s="43"/>
      <c r="CS530" s="43"/>
      <c r="CT530" s="43"/>
      <c r="CU530" s="43"/>
      <c r="CV530" s="43"/>
      <c r="CW530" s="43"/>
      <c r="CX530" s="43"/>
      <c r="CY530" s="43"/>
      <c r="CZ530" s="43"/>
      <c r="DA530" s="43"/>
      <c r="DB530" s="43"/>
      <c r="DC530" s="43"/>
      <c r="DD530" s="43"/>
      <c r="DE530" s="43"/>
      <c r="DF530" s="43"/>
      <c r="DG530" s="43"/>
      <c r="DH530" s="43"/>
      <c r="DI530" s="43"/>
      <c r="DJ530" s="43"/>
      <c r="DK530" s="43"/>
      <c r="DL530" s="43"/>
      <c r="DM530" s="43"/>
      <c r="DN530" s="43"/>
      <c r="DO530" s="43"/>
      <c r="DP530" s="43"/>
      <c r="DQ530" s="43"/>
      <c r="DR530" s="43"/>
      <c r="DS530" s="43"/>
      <c r="DT530" s="43"/>
      <c r="DU530" s="43"/>
      <c r="DV530" s="43"/>
      <c r="DW530" s="43"/>
      <c r="DX530" s="43"/>
      <c r="DY530" s="43"/>
      <c r="DZ530" s="43"/>
      <c r="EA530" s="43"/>
      <c r="EB530" s="43"/>
      <c r="EC530" s="43"/>
      <c r="ED530" s="43"/>
      <c r="EE530" s="43"/>
      <c r="EF530" s="43"/>
      <c r="EG530" s="43"/>
      <c r="EH530" s="43"/>
      <c r="EI530" s="43"/>
      <c r="EJ530" s="43"/>
      <c r="EK530" s="43"/>
      <c r="EL530" s="43"/>
      <c r="EM530" s="43"/>
      <c r="EN530" s="43"/>
      <c r="EO530" s="43"/>
      <c r="EP530" s="43"/>
      <c r="EQ530" s="43"/>
      <c r="ER530" s="43"/>
      <c r="ES530" s="43"/>
      <c r="ET530" s="43"/>
      <c r="EU530" s="43"/>
      <c r="EV530" s="43"/>
      <c r="EW530" s="43"/>
      <c r="EX530" s="43"/>
      <c r="EY530" s="43"/>
      <c r="EZ530" s="43"/>
      <c r="FA530" s="43"/>
      <c r="FB530" s="43"/>
      <c r="FC530" s="43"/>
      <c r="FD530" s="43"/>
      <c r="FE530" s="43"/>
      <c r="FF530" s="43"/>
      <c r="FG530" s="43"/>
      <c r="FH530" s="50"/>
      <c r="FI530" s="50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R531" s="43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43"/>
      <c r="CF531" s="43"/>
      <c r="CG531" s="43"/>
      <c r="CH531" s="43"/>
      <c r="CI531" s="43"/>
      <c r="CJ531" s="43"/>
      <c r="CK531" s="43"/>
      <c r="CL531" s="43"/>
      <c r="CM531" s="43"/>
      <c r="CN531" s="43"/>
      <c r="CO531" s="43"/>
      <c r="CP531" s="43"/>
      <c r="CQ531" s="43"/>
      <c r="CR531" s="43"/>
      <c r="CS531" s="43"/>
      <c r="CT531" s="43"/>
      <c r="CU531" s="43"/>
      <c r="CV531" s="43"/>
      <c r="CW531" s="43"/>
      <c r="CX531" s="43"/>
      <c r="CY531" s="43"/>
      <c r="CZ531" s="43"/>
      <c r="DA531" s="43"/>
      <c r="DB531" s="43"/>
      <c r="DC531" s="43"/>
      <c r="DD531" s="43"/>
      <c r="DE531" s="43"/>
      <c r="DF531" s="43"/>
      <c r="DG531" s="43"/>
      <c r="DH531" s="43"/>
      <c r="DI531" s="43"/>
      <c r="DJ531" s="43"/>
      <c r="DK531" s="43"/>
      <c r="DL531" s="43"/>
      <c r="DM531" s="43"/>
      <c r="DN531" s="43"/>
      <c r="DO531" s="43"/>
      <c r="DP531" s="43"/>
      <c r="DQ531" s="43"/>
      <c r="DR531" s="43"/>
      <c r="DS531" s="43"/>
      <c r="DT531" s="43"/>
      <c r="DU531" s="43"/>
      <c r="DV531" s="43"/>
      <c r="DW531" s="43"/>
      <c r="DX531" s="43"/>
      <c r="DY531" s="43"/>
      <c r="DZ531" s="43"/>
      <c r="EA531" s="43"/>
      <c r="EB531" s="43"/>
      <c r="EC531" s="43"/>
      <c r="ED531" s="43"/>
      <c r="EE531" s="43"/>
      <c r="EF531" s="43"/>
      <c r="EG531" s="43"/>
      <c r="EH531" s="43"/>
      <c r="EI531" s="43"/>
      <c r="EJ531" s="43"/>
      <c r="EK531" s="43"/>
      <c r="EL531" s="43"/>
      <c r="EM531" s="43"/>
      <c r="EN531" s="43"/>
      <c r="EO531" s="43"/>
      <c r="EP531" s="43"/>
      <c r="EQ531" s="43"/>
      <c r="ER531" s="43"/>
      <c r="ES531" s="43"/>
      <c r="ET531" s="43"/>
      <c r="EU531" s="43"/>
      <c r="EV531" s="43"/>
      <c r="EW531" s="43"/>
      <c r="EX531" s="43"/>
      <c r="EY531" s="43"/>
      <c r="EZ531" s="43"/>
      <c r="FA531" s="43"/>
      <c r="FB531" s="43"/>
      <c r="FC531" s="43"/>
      <c r="FD531" s="43"/>
      <c r="FE531" s="43"/>
      <c r="FF531" s="43"/>
      <c r="FG531" s="43"/>
      <c r="FH531" s="50"/>
      <c r="FI531" s="50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  <c r="BL532" s="43"/>
      <c r="BM532" s="43"/>
      <c r="BN532" s="43"/>
      <c r="BO532" s="43"/>
      <c r="BP532" s="43"/>
      <c r="BQ532" s="43"/>
      <c r="BR532" s="43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43"/>
      <c r="CF532" s="43"/>
      <c r="CG532" s="43"/>
      <c r="CH532" s="43"/>
      <c r="CI532" s="43"/>
      <c r="CJ532" s="43"/>
      <c r="CK532" s="43"/>
      <c r="CL532" s="43"/>
      <c r="CM532" s="43"/>
      <c r="CN532" s="43"/>
      <c r="CO532" s="43"/>
      <c r="CP532" s="43"/>
      <c r="CQ532" s="43"/>
      <c r="CR532" s="43"/>
      <c r="CS532" s="43"/>
      <c r="CT532" s="43"/>
      <c r="CU532" s="43"/>
      <c r="CV532" s="43"/>
      <c r="CW532" s="43"/>
      <c r="CX532" s="43"/>
      <c r="CY532" s="43"/>
      <c r="CZ532" s="43"/>
      <c r="DA532" s="43"/>
      <c r="DB532" s="43"/>
      <c r="DC532" s="43"/>
      <c r="DD532" s="43"/>
      <c r="DE532" s="43"/>
      <c r="DF532" s="43"/>
      <c r="DG532" s="43"/>
      <c r="DH532" s="43"/>
      <c r="DI532" s="43"/>
      <c r="DJ532" s="43"/>
      <c r="DK532" s="43"/>
      <c r="DL532" s="43"/>
      <c r="DM532" s="43"/>
      <c r="DN532" s="43"/>
      <c r="DO532" s="43"/>
      <c r="DP532" s="43"/>
      <c r="DQ532" s="43"/>
      <c r="DR532" s="43"/>
      <c r="DS532" s="43"/>
      <c r="DT532" s="43"/>
      <c r="DU532" s="43"/>
      <c r="DV532" s="43"/>
      <c r="DW532" s="43"/>
      <c r="DX532" s="43"/>
      <c r="DY532" s="43"/>
      <c r="DZ532" s="43"/>
      <c r="EA532" s="43"/>
      <c r="EB532" s="43"/>
      <c r="EC532" s="43"/>
      <c r="ED532" s="43"/>
      <c r="EE532" s="43"/>
      <c r="EF532" s="43"/>
      <c r="EG532" s="43"/>
      <c r="EH532" s="43"/>
      <c r="EI532" s="43"/>
      <c r="EJ532" s="43"/>
      <c r="EK532" s="43"/>
      <c r="EL532" s="43"/>
      <c r="EM532" s="43"/>
      <c r="EN532" s="43"/>
      <c r="EO532" s="43"/>
      <c r="EP532" s="43"/>
      <c r="EQ532" s="43"/>
      <c r="ER532" s="43"/>
      <c r="ES532" s="43"/>
      <c r="ET532" s="43"/>
      <c r="EU532" s="43"/>
      <c r="EV532" s="43"/>
      <c r="EW532" s="43"/>
      <c r="EX532" s="43"/>
      <c r="EY532" s="43"/>
      <c r="EZ532" s="43"/>
      <c r="FA532" s="43"/>
      <c r="FB532" s="43"/>
      <c r="FC532" s="43"/>
      <c r="FD532" s="43"/>
      <c r="FE532" s="43"/>
      <c r="FF532" s="43"/>
      <c r="FG532" s="43"/>
      <c r="FH532" s="50"/>
      <c r="FI532" s="50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  <c r="BL533" s="43"/>
      <c r="BM533" s="43"/>
      <c r="BN533" s="43"/>
      <c r="BO533" s="43"/>
      <c r="BP533" s="43"/>
      <c r="BQ533" s="43"/>
      <c r="BR533" s="43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43"/>
      <c r="CF533" s="43"/>
      <c r="CG533" s="43"/>
      <c r="CH533" s="43"/>
      <c r="CI533" s="43"/>
      <c r="CJ533" s="43"/>
      <c r="CK533" s="43"/>
      <c r="CL533" s="43"/>
      <c r="CM533" s="43"/>
      <c r="CN533" s="43"/>
      <c r="CO533" s="43"/>
      <c r="CP533" s="43"/>
      <c r="CQ533" s="43"/>
      <c r="CR533" s="43"/>
      <c r="CS533" s="43"/>
      <c r="CT533" s="43"/>
      <c r="CU533" s="43"/>
      <c r="CV533" s="43"/>
      <c r="CW533" s="43"/>
      <c r="CX533" s="43"/>
      <c r="CY533" s="43"/>
      <c r="CZ533" s="43"/>
      <c r="DA533" s="43"/>
      <c r="DB533" s="43"/>
      <c r="DC533" s="43"/>
      <c r="DD533" s="43"/>
      <c r="DE533" s="43"/>
      <c r="DF533" s="43"/>
      <c r="DG533" s="43"/>
      <c r="DH533" s="43"/>
      <c r="DI533" s="43"/>
      <c r="DJ533" s="43"/>
      <c r="DK533" s="43"/>
      <c r="DL533" s="43"/>
      <c r="DM533" s="43"/>
      <c r="DN533" s="43"/>
      <c r="DO533" s="43"/>
      <c r="DP533" s="43"/>
      <c r="DQ533" s="43"/>
      <c r="DR533" s="43"/>
      <c r="DS533" s="43"/>
      <c r="DT533" s="43"/>
      <c r="DU533" s="43"/>
      <c r="DV533" s="43"/>
      <c r="DW533" s="43"/>
      <c r="DX533" s="43"/>
      <c r="DY533" s="43"/>
      <c r="DZ533" s="43"/>
      <c r="EA533" s="43"/>
      <c r="EB533" s="43"/>
      <c r="EC533" s="43"/>
      <c r="ED533" s="43"/>
      <c r="EE533" s="43"/>
      <c r="EF533" s="43"/>
      <c r="EG533" s="43"/>
      <c r="EH533" s="43"/>
      <c r="EI533" s="43"/>
      <c r="EJ533" s="43"/>
      <c r="EK533" s="43"/>
      <c r="EL533" s="43"/>
      <c r="EM533" s="43"/>
      <c r="EN533" s="43"/>
      <c r="EO533" s="43"/>
      <c r="EP533" s="43"/>
      <c r="EQ533" s="43"/>
      <c r="ER533" s="43"/>
      <c r="ES533" s="43"/>
      <c r="ET533" s="43"/>
      <c r="EU533" s="43"/>
      <c r="EV533" s="43"/>
      <c r="EW533" s="43"/>
      <c r="EX533" s="43"/>
      <c r="EY533" s="43"/>
      <c r="EZ533" s="43"/>
      <c r="FA533" s="43"/>
      <c r="FB533" s="43"/>
      <c r="FC533" s="43"/>
      <c r="FD533" s="43"/>
      <c r="FE533" s="43"/>
      <c r="FF533" s="43"/>
      <c r="FG533" s="43"/>
      <c r="FH533" s="50"/>
      <c r="FI533" s="50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R534" s="43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43"/>
      <c r="CF534" s="43"/>
      <c r="CG534" s="43"/>
      <c r="CH534" s="43"/>
      <c r="CI534" s="43"/>
      <c r="CJ534" s="43"/>
      <c r="CK534" s="43"/>
      <c r="CL534" s="43"/>
      <c r="CM534" s="43"/>
      <c r="CN534" s="43"/>
      <c r="CO534" s="43"/>
      <c r="CP534" s="43"/>
      <c r="CQ534" s="43"/>
      <c r="CR534" s="43"/>
      <c r="CS534" s="43"/>
      <c r="CT534" s="43"/>
      <c r="CU534" s="43"/>
      <c r="CV534" s="43"/>
      <c r="CW534" s="43"/>
      <c r="CX534" s="43"/>
      <c r="CY534" s="43"/>
      <c r="CZ534" s="43"/>
      <c r="DA534" s="43"/>
      <c r="DB534" s="43"/>
      <c r="DC534" s="43"/>
      <c r="DD534" s="43"/>
      <c r="DE534" s="43"/>
      <c r="DF534" s="43"/>
      <c r="DG534" s="43"/>
      <c r="DH534" s="43"/>
      <c r="DI534" s="43"/>
      <c r="DJ534" s="43"/>
      <c r="DK534" s="43"/>
      <c r="DL534" s="43"/>
      <c r="DM534" s="43"/>
      <c r="DN534" s="43"/>
      <c r="DO534" s="43"/>
      <c r="DP534" s="43"/>
      <c r="DQ534" s="43"/>
      <c r="DR534" s="43"/>
      <c r="DS534" s="43"/>
      <c r="DT534" s="43"/>
      <c r="DU534" s="43"/>
      <c r="DV534" s="43"/>
      <c r="DW534" s="43"/>
      <c r="DX534" s="43"/>
      <c r="DY534" s="43"/>
      <c r="DZ534" s="43"/>
      <c r="EA534" s="43"/>
      <c r="EB534" s="43"/>
      <c r="EC534" s="43"/>
      <c r="ED534" s="43"/>
      <c r="EE534" s="43"/>
      <c r="EF534" s="43"/>
      <c r="EG534" s="43"/>
      <c r="EH534" s="43"/>
      <c r="EI534" s="43"/>
      <c r="EJ534" s="43"/>
      <c r="EK534" s="43"/>
      <c r="EL534" s="43"/>
      <c r="EM534" s="43"/>
      <c r="EN534" s="43"/>
      <c r="EO534" s="43"/>
      <c r="EP534" s="43"/>
      <c r="EQ534" s="43"/>
      <c r="ER534" s="43"/>
      <c r="ES534" s="43"/>
      <c r="ET534" s="43"/>
      <c r="EU534" s="43"/>
      <c r="EV534" s="43"/>
      <c r="EW534" s="43"/>
      <c r="EX534" s="43"/>
      <c r="EY534" s="43"/>
      <c r="EZ534" s="43"/>
      <c r="FA534" s="43"/>
      <c r="FB534" s="43"/>
      <c r="FC534" s="43"/>
      <c r="FD534" s="43"/>
      <c r="FE534" s="43"/>
      <c r="FF534" s="43"/>
      <c r="FG534" s="43"/>
      <c r="FH534" s="50"/>
      <c r="FI534" s="50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43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43"/>
      <c r="CF535" s="43"/>
      <c r="CG535" s="43"/>
      <c r="CH535" s="43"/>
      <c r="CI535" s="43"/>
      <c r="CJ535" s="43"/>
      <c r="CK535" s="43"/>
      <c r="CL535" s="43"/>
      <c r="CM535" s="43"/>
      <c r="CN535" s="43"/>
      <c r="CO535" s="43"/>
      <c r="CP535" s="43"/>
      <c r="CQ535" s="43"/>
      <c r="CR535" s="43"/>
      <c r="CS535" s="43"/>
      <c r="CT535" s="43"/>
      <c r="CU535" s="43"/>
      <c r="CV535" s="43"/>
      <c r="CW535" s="43"/>
      <c r="CX535" s="43"/>
      <c r="CY535" s="43"/>
      <c r="CZ535" s="43"/>
      <c r="DA535" s="43"/>
      <c r="DB535" s="43"/>
      <c r="DC535" s="43"/>
      <c r="DD535" s="43"/>
      <c r="DE535" s="43"/>
      <c r="DF535" s="43"/>
      <c r="DG535" s="43"/>
      <c r="DH535" s="43"/>
      <c r="DI535" s="43"/>
      <c r="DJ535" s="43"/>
      <c r="DK535" s="43"/>
      <c r="DL535" s="43"/>
      <c r="DM535" s="43"/>
      <c r="DN535" s="43"/>
      <c r="DO535" s="43"/>
      <c r="DP535" s="43"/>
      <c r="DQ535" s="43"/>
      <c r="DR535" s="43"/>
      <c r="DS535" s="43"/>
      <c r="DT535" s="43"/>
      <c r="DU535" s="43"/>
      <c r="DV535" s="43"/>
      <c r="DW535" s="43"/>
      <c r="DX535" s="43"/>
      <c r="DY535" s="43"/>
      <c r="DZ535" s="43"/>
      <c r="EA535" s="43"/>
      <c r="EB535" s="43"/>
      <c r="EC535" s="43"/>
      <c r="ED535" s="43"/>
      <c r="EE535" s="43"/>
      <c r="EF535" s="43"/>
      <c r="EG535" s="43"/>
      <c r="EH535" s="43"/>
      <c r="EI535" s="43"/>
      <c r="EJ535" s="43"/>
      <c r="EK535" s="43"/>
      <c r="EL535" s="43"/>
      <c r="EM535" s="43"/>
      <c r="EN535" s="43"/>
      <c r="EO535" s="43"/>
      <c r="EP535" s="43"/>
      <c r="EQ535" s="43"/>
      <c r="ER535" s="43"/>
      <c r="ES535" s="43"/>
      <c r="ET535" s="43"/>
      <c r="EU535" s="43"/>
      <c r="EV535" s="43"/>
      <c r="EW535" s="43"/>
      <c r="EX535" s="43"/>
      <c r="EY535" s="43"/>
      <c r="EZ535" s="43"/>
      <c r="FA535" s="43"/>
      <c r="FB535" s="43"/>
      <c r="FC535" s="43"/>
      <c r="FD535" s="43"/>
      <c r="FE535" s="43"/>
      <c r="FF535" s="43"/>
      <c r="FG535" s="43"/>
      <c r="FH535" s="50"/>
      <c r="FI535" s="50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43"/>
      <c r="BO536" s="43"/>
      <c r="BP536" s="43"/>
      <c r="BQ536" s="43"/>
      <c r="BR536" s="43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43"/>
      <c r="CF536" s="43"/>
      <c r="CG536" s="43"/>
      <c r="CH536" s="43"/>
      <c r="CI536" s="43"/>
      <c r="CJ536" s="43"/>
      <c r="CK536" s="43"/>
      <c r="CL536" s="43"/>
      <c r="CM536" s="43"/>
      <c r="CN536" s="43"/>
      <c r="CO536" s="43"/>
      <c r="CP536" s="43"/>
      <c r="CQ536" s="43"/>
      <c r="CR536" s="43"/>
      <c r="CS536" s="43"/>
      <c r="CT536" s="43"/>
      <c r="CU536" s="43"/>
      <c r="CV536" s="43"/>
      <c r="CW536" s="43"/>
      <c r="CX536" s="43"/>
      <c r="CY536" s="43"/>
      <c r="CZ536" s="43"/>
      <c r="DA536" s="43"/>
      <c r="DB536" s="43"/>
      <c r="DC536" s="43"/>
      <c r="DD536" s="43"/>
      <c r="DE536" s="43"/>
      <c r="DF536" s="43"/>
      <c r="DG536" s="43"/>
      <c r="DH536" s="43"/>
      <c r="DI536" s="43"/>
      <c r="DJ536" s="43"/>
      <c r="DK536" s="43"/>
      <c r="DL536" s="43"/>
      <c r="DM536" s="43"/>
      <c r="DN536" s="43"/>
      <c r="DO536" s="43"/>
      <c r="DP536" s="43"/>
      <c r="DQ536" s="43"/>
      <c r="DR536" s="43"/>
      <c r="DS536" s="43"/>
      <c r="DT536" s="43"/>
      <c r="DU536" s="43"/>
      <c r="DV536" s="43"/>
      <c r="DW536" s="43"/>
      <c r="DX536" s="43"/>
      <c r="DY536" s="43"/>
      <c r="DZ536" s="43"/>
      <c r="EA536" s="43"/>
      <c r="EB536" s="43"/>
      <c r="EC536" s="43"/>
      <c r="ED536" s="43"/>
      <c r="EE536" s="43"/>
      <c r="EF536" s="43"/>
      <c r="EG536" s="43"/>
      <c r="EH536" s="43"/>
      <c r="EI536" s="43"/>
      <c r="EJ536" s="43"/>
      <c r="EK536" s="43"/>
      <c r="EL536" s="43"/>
      <c r="EM536" s="43"/>
      <c r="EN536" s="43"/>
      <c r="EO536" s="43"/>
      <c r="EP536" s="43"/>
      <c r="EQ536" s="43"/>
      <c r="ER536" s="43"/>
      <c r="ES536" s="43"/>
      <c r="ET536" s="43"/>
      <c r="EU536" s="43"/>
      <c r="EV536" s="43"/>
      <c r="EW536" s="43"/>
      <c r="EX536" s="43"/>
      <c r="EY536" s="43"/>
      <c r="EZ536" s="43"/>
      <c r="FA536" s="43"/>
      <c r="FB536" s="43"/>
      <c r="FC536" s="43"/>
      <c r="FD536" s="43"/>
      <c r="FE536" s="43"/>
      <c r="FF536" s="43"/>
      <c r="FG536" s="43"/>
      <c r="FH536" s="50"/>
      <c r="FI536" s="50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R537" s="43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43"/>
      <c r="CF537" s="43"/>
      <c r="CG537" s="43"/>
      <c r="CH537" s="43"/>
      <c r="CI537" s="43"/>
      <c r="CJ537" s="43"/>
      <c r="CK537" s="43"/>
      <c r="CL537" s="43"/>
      <c r="CM537" s="43"/>
      <c r="CN537" s="43"/>
      <c r="CO537" s="43"/>
      <c r="CP537" s="43"/>
      <c r="CQ537" s="43"/>
      <c r="CR537" s="43"/>
      <c r="CS537" s="43"/>
      <c r="CT537" s="43"/>
      <c r="CU537" s="43"/>
      <c r="CV537" s="43"/>
      <c r="CW537" s="43"/>
      <c r="CX537" s="43"/>
      <c r="CY537" s="43"/>
      <c r="CZ537" s="43"/>
      <c r="DA537" s="43"/>
      <c r="DB537" s="43"/>
      <c r="DC537" s="43"/>
      <c r="DD537" s="43"/>
      <c r="DE537" s="43"/>
      <c r="DF537" s="43"/>
      <c r="DG537" s="43"/>
      <c r="DH537" s="43"/>
      <c r="DI537" s="43"/>
      <c r="DJ537" s="43"/>
      <c r="DK537" s="43"/>
      <c r="DL537" s="43"/>
      <c r="DM537" s="43"/>
      <c r="DN537" s="43"/>
      <c r="DO537" s="43"/>
      <c r="DP537" s="43"/>
      <c r="DQ537" s="43"/>
      <c r="DR537" s="43"/>
      <c r="DS537" s="43"/>
      <c r="DT537" s="43"/>
      <c r="DU537" s="43"/>
      <c r="DV537" s="43"/>
      <c r="DW537" s="43"/>
      <c r="DX537" s="43"/>
      <c r="DY537" s="43"/>
      <c r="DZ537" s="43"/>
      <c r="EA537" s="43"/>
      <c r="EB537" s="43"/>
      <c r="EC537" s="43"/>
      <c r="ED537" s="43"/>
      <c r="EE537" s="43"/>
      <c r="EF537" s="43"/>
      <c r="EG537" s="43"/>
      <c r="EH537" s="43"/>
      <c r="EI537" s="43"/>
      <c r="EJ537" s="43"/>
      <c r="EK537" s="43"/>
      <c r="EL537" s="43"/>
      <c r="EM537" s="43"/>
      <c r="EN537" s="43"/>
      <c r="EO537" s="43"/>
      <c r="EP537" s="43"/>
      <c r="EQ537" s="43"/>
      <c r="ER537" s="43"/>
      <c r="ES537" s="43"/>
      <c r="ET537" s="43"/>
      <c r="EU537" s="43"/>
      <c r="EV537" s="43"/>
      <c r="EW537" s="43"/>
      <c r="EX537" s="43"/>
      <c r="EY537" s="43"/>
      <c r="EZ537" s="43"/>
      <c r="FA537" s="43"/>
      <c r="FB537" s="43"/>
      <c r="FC537" s="43"/>
      <c r="FD537" s="43"/>
      <c r="FE537" s="43"/>
      <c r="FF537" s="43"/>
      <c r="FG537" s="43"/>
      <c r="FH537" s="50"/>
      <c r="FI537" s="50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43"/>
      <c r="BO538" s="43"/>
      <c r="BP538" s="43"/>
      <c r="BQ538" s="43"/>
      <c r="BR538" s="43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43"/>
      <c r="CF538" s="43"/>
      <c r="CG538" s="43"/>
      <c r="CH538" s="43"/>
      <c r="CI538" s="43"/>
      <c r="CJ538" s="43"/>
      <c r="CK538" s="43"/>
      <c r="CL538" s="43"/>
      <c r="CM538" s="43"/>
      <c r="CN538" s="43"/>
      <c r="CO538" s="43"/>
      <c r="CP538" s="43"/>
      <c r="CQ538" s="43"/>
      <c r="CR538" s="43"/>
      <c r="CS538" s="43"/>
      <c r="CT538" s="43"/>
      <c r="CU538" s="43"/>
      <c r="CV538" s="43"/>
      <c r="CW538" s="43"/>
      <c r="CX538" s="43"/>
      <c r="CY538" s="43"/>
      <c r="CZ538" s="43"/>
      <c r="DA538" s="43"/>
      <c r="DB538" s="43"/>
      <c r="DC538" s="43"/>
      <c r="DD538" s="43"/>
      <c r="DE538" s="43"/>
      <c r="DF538" s="43"/>
      <c r="DG538" s="43"/>
      <c r="DH538" s="43"/>
      <c r="DI538" s="43"/>
      <c r="DJ538" s="43"/>
      <c r="DK538" s="43"/>
      <c r="DL538" s="43"/>
      <c r="DM538" s="43"/>
      <c r="DN538" s="43"/>
      <c r="DO538" s="43"/>
      <c r="DP538" s="43"/>
      <c r="DQ538" s="43"/>
      <c r="DR538" s="43"/>
      <c r="DS538" s="43"/>
      <c r="DT538" s="43"/>
      <c r="DU538" s="43"/>
      <c r="DV538" s="43"/>
      <c r="DW538" s="43"/>
      <c r="DX538" s="43"/>
      <c r="DY538" s="43"/>
      <c r="DZ538" s="43"/>
      <c r="EA538" s="43"/>
      <c r="EB538" s="43"/>
      <c r="EC538" s="43"/>
      <c r="ED538" s="43"/>
      <c r="EE538" s="43"/>
      <c r="EF538" s="43"/>
      <c r="EG538" s="43"/>
      <c r="EH538" s="43"/>
      <c r="EI538" s="43"/>
      <c r="EJ538" s="43"/>
      <c r="EK538" s="43"/>
      <c r="EL538" s="43"/>
      <c r="EM538" s="43"/>
      <c r="EN538" s="43"/>
      <c r="EO538" s="43"/>
      <c r="EP538" s="43"/>
      <c r="EQ538" s="43"/>
      <c r="ER538" s="43"/>
      <c r="ES538" s="43"/>
      <c r="ET538" s="43"/>
      <c r="EU538" s="43"/>
      <c r="EV538" s="43"/>
      <c r="EW538" s="43"/>
      <c r="EX538" s="43"/>
      <c r="EY538" s="43"/>
      <c r="EZ538" s="43"/>
      <c r="FA538" s="43"/>
      <c r="FB538" s="43"/>
      <c r="FC538" s="43"/>
      <c r="FD538" s="43"/>
      <c r="FE538" s="43"/>
      <c r="FF538" s="43"/>
      <c r="FG538" s="43"/>
      <c r="FH538" s="50"/>
      <c r="FI538" s="50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43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43"/>
      <c r="CF539" s="43"/>
      <c r="CG539" s="43"/>
      <c r="CH539" s="43"/>
      <c r="CI539" s="43"/>
      <c r="CJ539" s="43"/>
      <c r="CK539" s="43"/>
      <c r="CL539" s="43"/>
      <c r="CM539" s="43"/>
      <c r="CN539" s="43"/>
      <c r="CO539" s="43"/>
      <c r="CP539" s="43"/>
      <c r="CQ539" s="43"/>
      <c r="CR539" s="43"/>
      <c r="CS539" s="43"/>
      <c r="CT539" s="43"/>
      <c r="CU539" s="43"/>
      <c r="CV539" s="43"/>
      <c r="CW539" s="43"/>
      <c r="CX539" s="43"/>
      <c r="CY539" s="43"/>
      <c r="CZ539" s="43"/>
      <c r="DA539" s="43"/>
      <c r="DB539" s="43"/>
      <c r="DC539" s="43"/>
      <c r="DD539" s="43"/>
      <c r="DE539" s="43"/>
      <c r="DF539" s="43"/>
      <c r="DG539" s="43"/>
      <c r="DH539" s="43"/>
      <c r="DI539" s="43"/>
      <c r="DJ539" s="43"/>
      <c r="DK539" s="43"/>
      <c r="DL539" s="43"/>
      <c r="DM539" s="43"/>
      <c r="DN539" s="43"/>
      <c r="DO539" s="43"/>
      <c r="DP539" s="43"/>
      <c r="DQ539" s="43"/>
      <c r="DR539" s="43"/>
      <c r="DS539" s="43"/>
      <c r="DT539" s="43"/>
      <c r="DU539" s="43"/>
      <c r="DV539" s="43"/>
      <c r="DW539" s="43"/>
      <c r="DX539" s="43"/>
      <c r="DY539" s="43"/>
      <c r="DZ539" s="43"/>
      <c r="EA539" s="43"/>
      <c r="EB539" s="43"/>
      <c r="EC539" s="43"/>
      <c r="ED539" s="43"/>
      <c r="EE539" s="43"/>
      <c r="EF539" s="43"/>
      <c r="EG539" s="43"/>
      <c r="EH539" s="43"/>
      <c r="EI539" s="43"/>
      <c r="EJ539" s="43"/>
      <c r="EK539" s="43"/>
      <c r="EL539" s="43"/>
      <c r="EM539" s="43"/>
      <c r="EN539" s="43"/>
      <c r="EO539" s="43"/>
      <c r="EP539" s="43"/>
      <c r="EQ539" s="43"/>
      <c r="ER539" s="43"/>
      <c r="ES539" s="43"/>
      <c r="ET539" s="43"/>
      <c r="EU539" s="43"/>
      <c r="EV539" s="43"/>
      <c r="EW539" s="43"/>
      <c r="EX539" s="43"/>
      <c r="EY539" s="43"/>
      <c r="EZ539" s="43"/>
      <c r="FA539" s="43"/>
      <c r="FB539" s="43"/>
      <c r="FC539" s="43"/>
      <c r="FD539" s="43"/>
      <c r="FE539" s="43"/>
      <c r="FF539" s="43"/>
      <c r="FG539" s="43"/>
      <c r="FH539" s="50"/>
      <c r="FI539" s="50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43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43"/>
      <c r="CF540" s="43"/>
      <c r="CG540" s="43"/>
      <c r="CH540" s="43"/>
      <c r="CI540" s="43"/>
      <c r="CJ540" s="43"/>
      <c r="CK540" s="43"/>
      <c r="CL540" s="43"/>
      <c r="CM540" s="43"/>
      <c r="CN540" s="43"/>
      <c r="CO540" s="43"/>
      <c r="CP540" s="43"/>
      <c r="CQ540" s="43"/>
      <c r="CR540" s="43"/>
      <c r="CS540" s="43"/>
      <c r="CT540" s="43"/>
      <c r="CU540" s="43"/>
      <c r="CV540" s="43"/>
      <c r="CW540" s="43"/>
      <c r="CX540" s="43"/>
      <c r="CY540" s="43"/>
      <c r="CZ540" s="43"/>
      <c r="DA540" s="43"/>
      <c r="DB540" s="43"/>
      <c r="DC540" s="43"/>
      <c r="DD540" s="43"/>
      <c r="DE540" s="43"/>
      <c r="DF540" s="43"/>
      <c r="DG540" s="43"/>
      <c r="DH540" s="43"/>
      <c r="DI540" s="43"/>
      <c r="DJ540" s="43"/>
      <c r="DK540" s="43"/>
      <c r="DL540" s="43"/>
      <c r="DM540" s="43"/>
      <c r="DN540" s="43"/>
      <c r="DO540" s="43"/>
      <c r="DP540" s="43"/>
      <c r="DQ540" s="43"/>
      <c r="DR540" s="43"/>
      <c r="DS540" s="43"/>
      <c r="DT540" s="43"/>
      <c r="DU540" s="43"/>
      <c r="DV540" s="43"/>
      <c r="DW540" s="43"/>
      <c r="DX540" s="43"/>
      <c r="DY540" s="43"/>
      <c r="DZ540" s="43"/>
      <c r="EA540" s="43"/>
      <c r="EB540" s="43"/>
      <c r="EC540" s="43"/>
      <c r="ED540" s="43"/>
      <c r="EE540" s="43"/>
      <c r="EF540" s="43"/>
      <c r="EG540" s="43"/>
      <c r="EH540" s="43"/>
      <c r="EI540" s="43"/>
      <c r="EJ540" s="43"/>
      <c r="EK540" s="43"/>
      <c r="EL540" s="43"/>
      <c r="EM540" s="43"/>
      <c r="EN540" s="43"/>
      <c r="EO540" s="43"/>
      <c r="EP540" s="43"/>
      <c r="EQ540" s="43"/>
      <c r="ER540" s="43"/>
      <c r="ES540" s="43"/>
      <c r="ET540" s="43"/>
      <c r="EU540" s="43"/>
      <c r="EV540" s="43"/>
      <c r="EW540" s="43"/>
      <c r="EX540" s="43"/>
      <c r="EY540" s="43"/>
      <c r="EZ540" s="43"/>
      <c r="FA540" s="43"/>
      <c r="FB540" s="43"/>
      <c r="FC540" s="43"/>
      <c r="FD540" s="43"/>
      <c r="FE540" s="43"/>
      <c r="FF540" s="43"/>
      <c r="FG540" s="43"/>
      <c r="FH540" s="50"/>
      <c r="FI540" s="50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  <c r="BL541" s="43"/>
      <c r="BM541" s="43"/>
      <c r="BN541" s="43"/>
      <c r="BO541" s="43"/>
      <c r="BP541" s="43"/>
      <c r="BQ541" s="43"/>
      <c r="BR541" s="43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43"/>
      <c r="CF541" s="43"/>
      <c r="CG541" s="43"/>
      <c r="CH541" s="43"/>
      <c r="CI541" s="43"/>
      <c r="CJ541" s="43"/>
      <c r="CK541" s="43"/>
      <c r="CL541" s="43"/>
      <c r="CM541" s="43"/>
      <c r="CN541" s="43"/>
      <c r="CO541" s="43"/>
      <c r="CP541" s="43"/>
      <c r="CQ541" s="43"/>
      <c r="CR541" s="43"/>
      <c r="CS541" s="43"/>
      <c r="CT541" s="43"/>
      <c r="CU541" s="43"/>
      <c r="CV541" s="43"/>
      <c r="CW541" s="43"/>
      <c r="CX541" s="43"/>
      <c r="CY541" s="43"/>
      <c r="CZ541" s="43"/>
      <c r="DA541" s="43"/>
      <c r="DB541" s="43"/>
      <c r="DC541" s="43"/>
      <c r="DD541" s="43"/>
      <c r="DE541" s="43"/>
      <c r="DF541" s="43"/>
      <c r="DG541" s="43"/>
      <c r="DH541" s="43"/>
      <c r="DI541" s="43"/>
      <c r="DJ541" s="43"/>
      <c r="DK541" s="43"/>
      <c r="DL541" s="43"/>
      <c r="DM541" s="43"/>
      <c r="DN541" s="43"/>
      <c r="DO541" s="43"/>
      <c r="DP541" s="43"/>
      <c r="DQ541" s="43"/>
      <c r="DR541" s="43"/>
      <c r="DS541" s="43"/>
      <c r="DT541" s="43"/>
      <c r="DU541" s="43"/>
      <c r="DV541" s="43"/>
      <c r="DW541" s="43"/>
      <c r="DX541" s="43"/>
      <c r="DY541" s="43"/>
      <c r="DZ541" s="43"/>
      <c r="EA541" s="43"/>
      <c r="EB541" s="43"/>
      <c r="EC541" s="43"/>
      <c r="ED541" s="43"/>
      <c r="EE541" s="43"/>
      <c r="EF541" s="43"/>
      <c r="EG541" s="43"/>
      <c r="EH541" s="43"/>
      <c r="EI541" s="43"/>
      <c r="EJ541" s="43"/>
      <c r="EK541" s="43"/>
      <c r="EL541" s="43"/>
      <c r="EM541" s="43"/>
      <c r="EN541" s="43"/>
      <c r="EO541" s="43"/>
      <c r="EP541" s="43"/>
      <c r="EQ541" s="43"/>
      <c r="ER541" s="43"/>
      <c r="ES541" s="43"/>
      <c r="ET541" s="43"/>
      <c r="EU541" s="43"/>
      <c r="EV541" s="43"/>
      <c r="EW541" s="43"/>
      <c r="EX541" s="43"/>
      <c r="EY541" s="43"/>
      <c r="EZ541" s="43"/>
      <c r="FA541" s="43"/>
      <c r="FB541" s="43"/>
      <c r="FC541" s="43"/>
      <c r="FD541" s="43"/>
      <c r="FE541" s="43"/>
      <c r="FF541" s="43"/>
      <c r="FG541" s="43"/>
      <c r="FH541" s="50"/>
      <c r="FI541" s="50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43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43"/>
      <c r="CF542" s="43"/>
      <c r="CG542" s="43"/>
      <c r="CH542" s="43"/>
      <c r="CI542" s="43"/>
      <c r="CJ542" s="43"/>
      <c r="CK542" s="43"/>
      <c r="CL542" s="43"/>
      <c r="CM542" s="43"/>
      <c r="CN542" s="43"/>
      <c r="CO542" s="43"/>
      <c r="CP542" s="43"/>
      <c r="CQ542" s="43"/>
      <c r="CR542" s="43"/>
      <c r="CS542" s="43"/>
      <c r="CT542" s="43"/>
      <c r="CU542" s="43"/>
      <c r="CV542" s="43"/>
      <c r="CW542" s="43"/>
      <c r="CX542" s="43"/>
      <c r="CY542" s="43"/>
      <c r="CZ542" s="43"/>
      <c r="DA542" s="43"/>
      <c r="DB542" s="43"/>
      <c r="DC542" s="43"/>
      <c r="DD542" s="43"/>
      <c r="DE542" s="43"/>
      <c r="DF542" s="43"/>
      <c r="DG542" s="43"/>
      <c r="DH542" s="43"/>
      <c r="DI542" s="43"/>
      <c r="DJ542" s="43"/>
      <c r="DK542" s="43"/>
      <c r="DL542" s="43"/>
      <c r="DM542" s="43"/>
      <c r="DN542" s="43"/>
      <c r="DO542" s="43"/>
      <c r="DP542" s="43"/>
      <c r="DQ542" s="43"/>
      <c r="DR542" s="43"/>
      <c r="DS542" s="43"/>
      <c r="DT542" s="43"/>
      <c r="DU542" s="43"/>
      <c r="DV542" s="43"/>
      <c r="DW542" s="43"/>
      <c r="DX542" s="43"/>
      <c r="DY542" s="43"/>
      <c r="DZ542" s="43"/>
      <c r="EA542" s="43"/>
      <c r="EB542" s="43"/>
      <c r="EC542" s="43"/>
      <c r="ED542" s="43"/>
      <c r="EE542" s="43"/>
      <c r="EF542" s="43"/>
      <c r="EG542" s="43"/>
      <c r="EH542" s="43"/>
      <c r="EI542" s="43"/>
      <c r="EJ542" s="43"/>
      <c r="EK542" s="43"/>
      <c r="EL542" s="43"/>
      <c r="EM542" s="43"/>
      <c r="EN542" s="43"/>
      <c r="EO542" s="43"/>
      <c r="EP542" s="43"/>
      <c r="EQ542" s="43"/>
      <c r="ER542" s="43"/>
      <c r="ES542" s="43"/>
      <c r="ET542" s="43"/>
      <c r="EU542" s="43"/>
      <c r="EV542" s="43"/>
      <c r="EW542" s="43"/>
      <c r="EX542" s="43"/>
      <c r="EY542" s="43"/>
      <c r="EZ542" s="43"/>
      <c r="FA542" s="43"/>
      <c r="FB542" s="43"/>
      <c r="FC542" s="43"/>
      <c r="FD542" s="43"/>
      <c r="FE542" s="43"/>
      <c r="FF542" s="43"/>
      <c r="FG542" s="43"/>
      <c r="FH542" s="50"/>
      <c r="FI542" s="50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43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43"/>
      <c r="CF543" s="43"/>
      <c r="CG543" s="43"/>
      <c r="CH543" s="43"/>
      <c r="CI543" s="43"/>
      <c r="CJ543" s="43"/>
      <c r="CK543" s="43"/>
      <c r="CL543" s="43"/>
      <c r="CM543" s="43"/>
      <c r="CN543" s="43"/>
      <c r="CO543" s="43"/>
      <c r="CP543" s="43"/>
      <c r="CQ543" s="43"/>
      <c r="CR543" s="43"/>
      <c r="CS543" s="43"/>
      <c r="CT543" s="43"/>
      <c r="CU543" s="43"/>
      <c r="CV543" s="43"/>
      <c r="CW543" s="43"/>
      <c r="CX543" s="43"/>
      <c r="CY543" s="43"/>
      <c r="CZ543" s="43"/>
      <c r="DA543" s="43"/>
      <c r="DB543" s="43"/>
      <c r="DC543" s="43"/>
      <c r="DD543" s="43"/>
      <c r="DE543" s="43"/>
      <c r="DF543" s="43"/>
      <c r="DG543" s="43"/>
      <c r="DH543" s="43"/>
      <c r="DI543" s="43"/>
      <c r="DJ543" s="43"/>
      <c r="DK543" s="43"/>
      <c r="DL543" s="43"/>
      <c r="DM543" s="43"/>
      <c r="DN543" s="43"/>
      <c r="DO543" s="43"/>
      <c r="DP543" s="43"/>
      <c r="DQ543" s="43"/>
      <c r="DR543" s="43"/>
      <c r="DS543" s="43"/>
      <c r="DT543" s="43"/>
      <c r="DU543" s="43"/>
      <c r="DV543" s="43"/>
      <c r="DW543" s="43"/>
      <c r="DX543" s="43"/>
      <c r="DY543" s="43"/>
      <c r="DZ543" s="43"/>
      <c r="EA543" s="43"/>
      <c r="EB543" s="43"/>
      <c r="EC543" s="43"/>
      <c r="ED543" s="43"/>
      <c r="EE543" s="43"/>
      <c r="EF543" s="43"/>
      <c r="EG543" s="43"/>
      <c r="EH543" s="43"/>
      <c r="EI543" s="43"/>
      <c r="EJ543" s="43"/>
      <c r="EK543" s="43"/>
      <c r="EL543" s="43"/>
      <c r="EM543" s="43"/>
      <c r="EN543" s="43"/>
      <c r="EO543" s="43"/>
      <c r="EP543" s="43"/>
      <c r="EQ543" s="43"/>
      <c r="ER543" s="43"/>
      <c r="ES543" s="43"/>
      <c r="ET543" s="43"/>
      <c r="EU543" s="43"/>
      <c r="EV543" s="43"/>
      <c r="EW543" s="43"/>
      <c r="EX543" s="43"/>
      <c r="EY543" s="43"/>
      <c r="EZ543" s="43"/>
      <c r="FA543" s="43"/>
      <c r="FB543" s="43"/>
      <c r="FC543" s="43"/>
      <c r="FD543" s="43"/>
      <c r="FE543" s="43"/>
      <c r="FF543" s="43"/>
      <c r="FG543" s="43"/>
      <c r="FH543" s="50"/>
      <c r="FI543" s="50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43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43"/>
      <c r="CF544" s="43"/>
      <c r="CG544" s="43"/>
      <c r="CH544" s="43"/>
      <c r="CI544" s="43"/>
      <c r="CJ544" s="43"/>
      <c r="CK544" s="43"/>
      <c r="CL544" s="43"/>
      <c r="CM544" s="43"/>
      <c r="CN544" s="43"/>
      <c r="CO544" s="43"/>
      <c r="CP544" s="43"/>
      <c r="CQ544" s="43"/>
      <c r="CR544" s="43"/>
      <c r="CS544" s="43"/>
      <c r="CT544" s="43"/>
      <c r="CU544" s="43"/>
      <c r="CV544" s="43"/>
      <c r="CW544" s="43"/>
      <c r="CX544" s="43"/>
      <c r="CY544" s="43"/>
      <c r="CZ544" s="43"/>
      <c r="DA544" s="43"/>
      <c r="DB544" s="43"/>
      <c r="DC544" s="43"/>
      <c r="DD544" s="43"/>
      <c r="DE544" s="43"/>
      <c r="DF544" s="43"/>
      <c r="DG544" s="43"/>
      <c r="DH544" s="43"/>
      <c r="DI544" s="43"/>
      <c r="DJ544" s="43"/>
      <c r="DK544" s="43"/>
      <c r="DL544" s="43"/>
      <c r="DM544" s="43"/>
      <c r="DN544" s="43"/>
      <c r="DO544" s="43"/>
      <c r="DP544" s="43"/>
      <c r="DQ544" s="43"/>
      <c r="DR544" s="43"/>
      <c r="DS544" s="43"/>
      <c r="DT544" s="43"/>
      <c r="DU544" s="43"/>
      <c r="DV544" s="43"/>
      <c r="DW544" s="43"/>
      <c r="DX544" s="43"/>
      <c r="DY544" s="43"/>
      <c r="DZ544" s="43"/>
      <c r="EA544" s="43"/>
      <c r="EB544" s="43"/>
      <c r="EC544" s="43"/>
      <c r="ED544" s="43"/>
      <c r="EE544" s="43"/>
      <c r="EF544" s="43"/>
      <c r="EG544" s="43"/>
      <c r="EH544" s="43"/>
      <c r="EI544" s="43"/>
      <c r="EJ544" s="43"/>
      <c r="EK544" s="43"/>
      <c r="EL544" s="43"/>
      <c r="EM544" s="43"/>
      <c r="EN544" s="43"/>
      <c r="EO544" s="43"/>
      <c r="EP544" s="43"/>
      <c r="EQ544" s="43"/>
      <c r="ER544" s="43"/>
      <c r="ES544" s="43"/>
      <c r="ET544" s="43"/>
      <c r="EU544" s="43"/>
      <c r="EV544" s="43"/>
      <c r="EW544" s="43"/>
      <c r="EX544" s="43"/>
      <c r="EY544" s="43"/>
      <c r="EZ544" s="43"/>
      <c r="FA544" s="43"/>
      <c r="FB544" s="43"/>
      <c r="FC544" s="43"/>
      <c r="FD544" s="43"/>
      <c r="FE544" s="43"/>
      <c r="FF544" s="43"/>
      <c r="FG544" s="43"/>
      <c r="FH544" s="50"/>
      <c r="FI544" s="50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43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43"/>
      <c r="CF545" s="43"/>
      <c r="CG545" s="43"/>
      <c r="CH545" s="43"/>
      <c r="CI545" s="43"/>
      <c r="CJ545" s="43"/>
      <c r="CK545" s="43"/>
      <c r="CL545" s="43"/>
      <c r="CM545" s="43"/>
      <c r="CN545" s="43"/>
      <c r="CO545" s="43"/>
      <c r="CP545" s="43"/>
      <c r="CQ545" s="43"/>
      <c r="CR545" s="43"/>
      <c r="CS545" s="43"/>
      <c r="CT545" s="43"/>
      <c r="CU545" s="43"/>
      <c r="CV545" s="43"/>
      <c r="CW545" s="43"/>
      <c r="CX545" s="43"/>
      <c r="CY545" s="43"/>
      <c r="CZ545" s="43"/>
      <c r="DA545" s="43"/>
      <c r="DB545" s="43"/>
      <c r="DC545" s="43"/>
      <c r="DD545" s="43"/>
      <c r="DE545" s="43"/>
      <c r="DF545" s="43"/>
      <c r="DG545" s="43"/>
      <c r="DH545" s="43"/>
      <c r="DI545" s="43"/>
      <c r="DJ545" s="43"/>
      <c r="DK545" s="43"/>
      <c r="DL545" s="43"/>
      <c r="DM545" s="43"/>
      <c r="DN545" s="43"/>
      <c r="DO545" s="43"/>
      <c r="DP545" s="43"/>
      <c r="DQ545" s="43"/>
      <c r="DR545" s="43"/>
      <c r="DS545" s="43"/>
      <c r="DT545" s="43"/>
      <c r="DU545" s="43"/>
      <c r="DV545" s="43"/>
      <c r="DW545" s="43"/>
      <c r="DX545" s="43"/>
      <c r="DY545" s="43"/>
      <c r="DZ545" s="43"/>
      <c r="EA545" s="43"/>
      <c r="EB545" s="43"/>
      <c r="EC545" s="43"/>
      <c r="ED545" s="43"/>
      <c r="EE545" s="43"/>
      <c r="EF545" s="43"/>
      <c r="EG545" s="43"/>
      <c r="EH545" s="43"/>
      <c r="EI545" s="43"/>
      <c r="EJ545" s="43"/>
      <c r="EK545" s="43"/>
      <c r="EL545" s="43"/>
      <c r="EM545" s="43"/>
      <c r="EN545" s="43"/>
      <c r="EO545" s="43"/>
      <c r="EP545" s="43"/>
      <c r="EQ545" s="43"/>
      <c r="ER545" s="43"/>
      <c r="ES545" s="43"/>
      <c r="ET545" s="43"/>
      <c r="EU545" s="43"/>
      <c r="EV545" s="43"/>
      <c r="EW545" s="43"/>
      <c r="EX545" s="43"/>
      <c r="EY545" s="43"/>
      <c r="EZ545" s="43"/>
      <c r="FA545" s="43"/>
      <c r="FB545" s="43"/>
      <c r="FC545" s="43"/>
      <c r="FD545" s="43"/>
      <c r="FE545" s="43"/>
      <c r="FF545" s="43"/>
      <c r="FG545" s="43"/>
      <c r="FH545" s="50"/>
      <c r="FI545" s="50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43"/>
      <c r="CF546" s="43"/>
      <c r="CG546" s="43"/>
      <c r="CH546" s="43"/>
      <c r="CI546" s="43"/>
      <c r="CJ546" s="43"/>
      <c r="CK546" s="43"/>
      <c r="CL546" s="43"/>
      <c r="CM546" s="43"/>
      <c r="CN546" s="43"/>
      <c r="CO546" s="43"/>
      <c r="CP546" s="43"/>
      <c r="CQ546" s="43"/>
      <c r="CR546" s="43"/>
      <c r="CS546" s="43"/>
      <c r="CT546" s="43"/>
      <c r="CU546" s="43"/>
      <c r="CV546" s="43"/>
      <c r="CW546" s="43"/>
      <c r="CX546" s="43"/>
      <c r="CY546" s="43"/>
      <c r="CZ546" s="43"/>
      <c r="DA546" s="43"/>
      <c r="DB546" s="43"/>
      <c r="DC546" s="43"/>
      <c r="DD546" s="43"/>
      <c r="DE546" s="43"/>
      <c r="DF546" s="43"/>
      <c r="DG546" s="43"/>
      <c r="DH546" s="43"/>
      <c r="DI546" s="43"/>
      <c r="DJ546" s="43"/>
      <c r="DK546" s="43"/>
      <c r="DL546" s="43"/>
      <c r="DM546" s="43"/>
      <c r="DN546" s="43"/>
      <c r="DO546" s="43"/>
      <c r="DP546" s="43"/>
      <c r="DQ546" s="43"/>
      <c r="DR546" s="43"/>
      <c r="DS546" s="43"/>
      <c r="DT546" s="43"/>
      <c r="DU546" s="43"/>
      <c r="DV546" s="43"/>
      <c r="DW546" s="43"/>
      <c r="DX546" s="43"/>
      <c r="DY546" s="43"/>
      <c r="DZ546" s="43"/>
      <c r="EA546" s="43"/>
      <c r="EB546" s="43"/>
      <c r="EC546" s="43"/>
      <c r="ED546" s="43"/>
      <c r="EE546" s="43"/>
      <c r="EF546" s="43"/>
      <c r="EG546" s="43"/>
      <c r="EH546" s="43"/>
      <c r="EI546" s="43"/>
      <c r="EJ546" s="43"/>
      <c r="EK546" s="43"/>
      <c r="EL546" s="43"/>
      <c r="EM546" s="43"/>
      <c r="EN546" s="43"/>
      <c r="EO546" s="43"/>
      <c r="EP546" s="43"/>
      <c r="EQ546" s="43"/>
      <c r="ER546" s="43"/>
      <c r="ES546" s="43"/>
      <c r="ET546" s="43"/>
      <c r="EU546" s="43"/>
      <c r="EV546" s="43"/>
      <c r="EW546" s="43"/>
      <c r="EX546" s="43"/>
      <c r="EY546" s="43"/>
      <c r="EZ546" s="43"/>
      <c r="FA546" s="43"/>
      <c r="FB546" s="43"/>
      <c r="FC546" s="43"/>
      <c r="FD546" s="43"/>
      <c r="FE546" s="43"/>
      <c r="FF546" s="43"/>
      <c r="FG546" s="43"/>
      <c r="FH546" s="50"/>
      <c r="FI546" s="50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43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43"/>
      <c r="CF547" s="43"/>
      <c r="CG547" s="43"/>
      <c r="CH547" s="43"/>
      <c r="CI547" s="43"/>
      <c r="CJ547" s="43"/>
      <c r="CK547" s="43"/>
      <c r="CL547" s="43"/>
      <c r="CM547" s="43"/>
      <c r="CN547" s="43"/>
      <c r="CO547" s="43"/>
      <c r="CP547" s="43"/>
      <c r="CQ547" s="43"/>
      <c r="CR547" s="43"/>
      <c r="CS547" s="43"/>
      <c r="CT547" s="43"/>
      <c r="CU547" s="43"/>
      <c r="CV547" s="43"/>
      <c r="CW547" s="43"/>
      <c r="CX547" s="43"/>
      <c r="CY547" s="43"/>
      <c r="CZ547" s="43"/>
      <c r="DA547" s="43"/>
      <c r="DB547" s="43"/>
      <c r="DC547" s="43"/>
      <c r="DD547" s="43"/>
      <c r="DE547" s="43"/>
      <c r="DF547" s="43"/>
      <c r="DG547" s="43"/>
      <c r="DH547" s="43"/>
      <c r="DI547" s="43"/>
      <c r="DJ547" s="43"/>
      <c r="DK547" s="43"/>
      <c r="DL547" s="43"/>
      <c r="DM547" s="43"/>
      <c r="DN547" s="43"/>
      <c r="DO547" s="43"/>
      <c r="DP547" s="43"/>
      <c r="DQ547" s="43"/>
      <c r="DR547" s="43"/>
      <c r="DS547" s="43"/>
      <c r="DT547" s="43"/>
      <c r="DU547" s="43"/>
      <c r="DV547" s="43"/>
      <c r="DW547" s="43"/>
      <c r="DX547" s="43"/>
      <c r="DY547" s="43"/>
      <c r="DZ547" s="43"/>
      <c r="EA547" s="43"/>
      <c r="EB547" s="43"/>
      <c r="EC547" s="43"/>
      <c r="ED547" s="43"/>
      <c r="EE547" s="43"/>
      <c r="EF547" s="43"/>
      <c r="EG547" s="43"/>
      <c r="EH547" s="43"/>
      <c r="EI547" s="43"/>
      <c r="EJ547" s="43"/>
      <c r="EK547" s="43"/>
      <c r="EL547" s="43"/>
      <c r="EM547" s="43"/>
      <c r="EN547" s="43"/>
      <c r="EO547" s="43"/>
      <c r="EP547" s="43"/>
      <c r="EQ547" s="43"/>
      <c r="ER547" s="43"/>
      <c r="ES547" s="43"/>
      <c r="ET547" s="43"/>
      <c r="EU547" s="43"/>
      <c r="EV547" s="43"/>
      <c r="EW547" s="43"/>
      <c r="EX547" s="43"/>
      <c r="EY547" s="43"/>
      <c r="EZ547" s="43"/>
      <c r="FA547" s="43"/>
      <c r="FB547" s="43"/>
      <c r="FC547" s="43"/>
      <c r="FD547" s="43"/>
      <c r="FE547" s="43"/>
      <c r="FF547" s="43"/>
      <c r="FG547" s="43"/>
      <c r="FH547" s="50"/>
      <c r="FI547" s="50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43"/>
      <c r="CF548" s="43"/>
      <c r="CG548" s="43"/>
      <c r="CH548" s="43"/>
      <c r="CI548" s="43"/>
      <c r="CJ548" s="43"/>
      <c r="CK548" s="43"/>
      <c r="CL548" s="43"/>
      <c r="CM548" s="43"/>
      <c r="CN548" s="43"/>
      <c r="CO548" s="43"/>
      <c r="CP548" s="43"/>
      <c r="CQ548" s="43"/>
      <c r="CR548" s="43"/>
      <c r="CS548" s="43"/>
      <c r="CT548" s="43"/>
      <c r="CU548" s="43"/>
      <c r="CV548" s="43"/>
      <c r="CW548" s="43"/>
      <c r="CX548" s="43"/>
      <c r="CY548" s="43"/>
      <c r="CZ548" s="43"/>
      <c r="DA548" s="43"/>
      <c r="DB548" s="43"/>
      <c r="DC548" s="43"/>
      <c r="DD548" s="43"/>
      <c r="DE548" s="43"/>
      <c r="DF548" s="43"/>
      <c r="DG548" s="43"/>
      <c r="DH548" s="43"/>
      <c r="DI548" s="43"/>
      <c r="DJ548" s="43"/>
      <c r="DK548" s="43"/>
      <c r="DL548" s="43"/>
      <c r="DM548" s="43"/>
      <c r="DN548" s="43"/>
      <c r="DO548" s="43"/>
      <c r="DP548" s="43"/>
      <c r="DQ548" s="43"/>
      <c r="DR548" s="43"/>
      <c r="DS548" s="43"/>
      <c r="DT548" s="43"/>
      <c r="DU548" s="43"/>
      <c r="DV548" s="43"/>
      <c r="DW548" s="43"/>
      <c r="DX548" s="43"/>
      <c r="DY548" s="43"/>
      <c r="DZ548" s="43"/>
      <c r="EA548" s="43"/>
      <c r="EB548" s="43"/>
      <c r="EC548" s="43"/>
      <c r="ED548" s="43"/>
      <c r="EE548" s="43"/>
      <c r="EF548" s="43"/>
      <c r="EG548" s="43"/>
      <c r="EH548" s="43"/>
      <c r="EI548" s="43"/>
      <c r="EJ548" s="43"/>
      <c r="EK548" s="43"/>
      <c r="EL548" s="43"/>
      <c r="EM548" s="43"/>
      <c r="EN548" s="43"/>
      <c r="EO548" s="43"/>
      <c r="EP548" s="43"/>
      <c r="EQ548" s="43"/>
      <c r="ER548" s="43"/>
      <c r="ES548" s="43"/>
      <c r="ET548" s="43"/>
      <c r="EU548" s="43"/>
      <c r="EV548" s="43"/>
      <c r="EW548" s="43"/>
      <c r="EX548" s="43"/>
      <c r="EY548" s="43"/>
      <c r="EZ548" s="43"/>
      <c r="FA548" s="43"/>
      <c r="FB548" s="43"/>
      <c r="FC548" s="43"/>
      <c r="FD548" s="43"/>
      <c r="FE548" s="43"/>
      <c r="FF548" s="43"/>
      <c r="FG548" s="43"/>
      <c r="FH548" s="50"/>
      <c r="FI548" s="50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43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43"/>
      <c r="CF549" s="43"/>
      <c r="CG549" s="43"/>
      <c r="CH549" s="43"/>
      <c r="CI549" s="43"/>
      <c r="CJ549" s="43"/>
      <c r="CK549" s="43"/>
      <c r="CL549" s="43"/>
      <c r="CM549" s="43"/>
      <c r="CN549" s="43"/>
      <c r="CO549" s="43"/>
      <c r="CP549" s="43"/>
      <c r="CQ549" s="43"/>
      <c r="CR549" s="43"/>
      <c r="CS549" s="43"/>
      <c r="CT549" s="43"/>
      <c r="CU549" s="43"/>
      <c r="CV549" s="43"/>
      <c r="CW549" s="43"/>
      <c r="CX549" s="43"/>
      <c r="CY549" s="43"/>
      <c r="CZ549" s="43"/>
      <c r="DA549" s="43"/>
      <c r="DB549" s="43"/>
      <c r="DC549" s="43"/>
      <c r="DD549" s="43"/>
      <c r="DE549" s="43"/>
      <c r="DF549" s="43"/>
      <c r="DG549" s="43"/>
      <c r="DH549" s="43"/>
      <c r="DI549" s="43"/>
      <c r="DJ549" s="43"/>
      <c r="DK549" s="43"/>
      <c r="DL549" s="43"/>
      <c r="DM549" s="43"/>
      <c r="DN549" s="43"/>
      <c r="DO549" s="43"/>
      <c r="DP549" s="43"/>
      <c r="DQ549" s="43"/>
      <c r="DR549" s="43"/>
      <c r="DS549" s="43"/>
      <c r="DT549" s="43"/>
      <c r="DU549" s="43"/>
      <c r="DV549" s="43"/>
      <c r="DW549" s="43"/>
      <c r="DX549" s="43"/>
      <c r="DY549" s="43"/>
      <c r="DZ549" s="43"/>
      <c r="EA549" s="43"/>
      <c r="EB549" s="43"/>
      <c r="EC549" s="43"/>
      <c r="ED549" s="43"/>
      <c r="EE549" s="43"/>
      <c r="EF549" s="43"/>
      <c r="EG549" s="43"/>
      <c r="EH549" s="43"/>
      <c r="EI549" s="43"/>
      <c r="EJ549" s="43"/>
      <c r="EK549" s="43"/>
      <c r="EL549" s="43"/>
      <c r="EM549" s="43"/>
      <c r="EN549" s="43"/>
      <c r="EO549" s="43"/>
      <c r="EP549" s="43"/>
      <c r="EQ549" s="43"/>
      <c r="ER549" s="43"/>
      <c r="ES549" s="43"/>
      <c r="ET549" s="43"/>
      <c r="EU549" s="43"/>
      <c r="EV549" s="43"/>
      <c r="EW549" s="43"/>
      <c r="EX549" s="43"/>
      <c r="EY549" s="43"/>
      <c r="EZ549" s="43"/>
      <c r="FA549" s="43"/>
      <c r="FB549" s="43"/>
      <c r="FC549" s="43"/>
      <c r="FD549" s="43"/>
      <c r="FE549" s="43"/>
      <c r="FF549" s="43"/>
      <c r="FG549" s="43"/>
      <c r="FH549" s="50"/>
      <c r="FI549" s="50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43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43"/>
      <c r="CF550" s="43"/>
      <c r="CG550" s="43"/>
      <c r="CH550" s="43"/>
      <c r="CI550" s="43"/>
      <c r="CJ550" s="43"/>
      <c r="CK550" s="43"/>
      <c r="CL550" s="43"/>
      <c r="CM550" s="43"/>
      <c r="CN550" s="43"/>
      <c r="CO550" s="43"/>
      <c r="CP550" s="43"/>
      <c r="CQ550" s="43"/>
      <c r="CR550" s="43"/>
      <c r="CS550" s="43"/>
      <c r="CT550" s="43"/>
      <c r="CU550" s="43"/>
      <c r="CV550" s="43"/>
      <c r="CW550" s="43"/>
      <c r="CX550" s="43"/>
      <c r="CY550" s="43"/>
      <c r="CZ550" s="43"/>
      <c r="DA550" s="43"/>
      <c r="DB550" s="43"/>
      <c r="DC550" s="43"/>
      <c r="DD550" s="43"/>
      <c r="DE550" s="43"/>
      <c r="DF550" s="43"/>
      <c r="DG550" s="43"/>
      <c r="DH550" s="43"/>
      <c r="DI550" s="43"/>
      <c r="DJ550" s="43"/>
      <c r="DK550" s="43"/>
      <c r="DL550" s="43"/>
      <c r="DM550" s="43"/>
      <c r="DN550" s="43"/>
      <c r="DO550" s="43"/>
      <c r="DP550" s="43"/>
      <c r="DQ550" s="43"/>
      <c r="DR550" s="43"/>
      <c r="DS550" s="43"/>
      <c r="DT550" s="43"/>
      <c r="DU550" s="43"/>
      <c r="DV550" s="43"/>
      <c r="DW550" s="43"/>
      <c r="DX550" s="43"/>
      <c r="DY550" s="43"/>
      <c r="DZ550" s="43"/>
      <c r="EA550" s="43"/>
      <c r="EB550" s="43"/>
      <c r="EC550" s="43"/>
      <c r="ED550" s="43"/>
      <c r="EE550" s="43"/>
      <c r="EF550" s="43"/>
      <c r="EG550" s="43"/>
      <c r="EH550" s="43"/>
      <c r="EI550" s="43"/>
      <c r="EJ550" s="43"/>
      <c r="EK550" s="43"/>
      <c r="EL550" s="43"/>
      <c r="EM550" s="43"/>
      <c r="EN550" s="43"/>
      <c r="EO550" s="43"/>
      <c r="EP550" s="43"/>
      <c r="EQ550" s="43"/>
      <c r="ER550" s="43"/>
      <c r="ES550" s="43"/>
      <c r="ET550" s="43"/>
      <c r="EU550" s="43"/>
      <c r="EV550" s="43"/>
      <c r="EW550" s="43"/>
      <c r="EX550" s="43"/>
      <c r="EY550" s="43"/>
      <c r="EZ550" s="43"/>
      <c r="FA550" s="43"/>
      <c r="FB550" s="43"/>
      <c r="FC550" s="43"/>
      <c r="FD550" s="43"/>
      <c r="FE550" s="43"/>
      <c r="FF550" s="43"/>
      <c r="FG550" s="43"/>
      <c r="FH550" s="50"/>
      <c r="FI550" s="50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43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43"/>
      <c r="CF551" s="43"/>
      <c r="CG551" s="43"/>
      <c r="CH551" s="43"/>
      <c r="CI551" s="43"/>
      <c r="CJ551" s="43"/>
      <c r="CK551" s="43"/>
      <c r="CL551" s="43"/>
      <c r="CM551" s="43"/>
      <c r="CN551" s="43"/>
      <c r="CO551" s="43"/>
      <c r="CP551" s="43"/>
      <c r="CQ551" s="43"/>
      <c r="CR551" s="43"/>
      <c r="CS551" s="43"/>
      <c r="CT551" s="43"/>
      <c r="CU551" s="43"/>
      <c r="CV551" s="43"/>
      <c r="CW551" s="43"/>
      <c r="CX551" s="43"/>
      <c r="CY551" s="43"/>
      <c r="CZ551" s="43"/>
      <c r="DA551" s="43"/>
      <c r="DB551" s="43"/>
      <c r="DC551" s="43"/>
      <c r="DD551" s="43"/>
      <c r="DE551" s="43"/>
      <c r="DF551" s="43"/>
      <c r="DG551" s="43"/>
      <c r="DH551" s="43"/>
      <c r="DI551" s="43"/>
      <c r="DJ551" s="43"/>
      <c r="DK551" s="43"/>
      <c r="DL551" s="43"/>
      <c r="DM551" s="43"/>
      <c r="DN551" s="43"/>
      <c r="DO551" s="43"/>
      <c r="DP551" s="43"/>
      <c r="DQ551" s="43"/>
      <c r="DR551" s="43"/>
      <c r="DS551" s="43"/>
      <c r="DT551" s="43"/>
      <c r="DU551" s="43"/>
      <c r="DV551" s="43"/>
      <c r="DW551" s="43"/>
      <c r="DX551" s="43"/>
      <c r="DY551" s="43"/>
      <c r="DZ551" s="43"/>
      <c r="EA551" s="43"/>
      <c r="EB551" s="43"/>
      <c r="EC551" s="43"/>
      <c r="ED551" s="43"/>
      <c r="EE551" s="43"/>
      <c r="EF551" s="43"/>
      <c r="EG551" s="43"/>
      <c r="EH551" s="43"/>
      <c r="EI551" s="43"/>
      <c r="EJ551" s="43"/>
      <c r="EK551" s="43"/>
      <c r="EL551" s="43"/>
      <c r="EM551" s="43"/>
      <c r="EN551" s="43"/>
      <c r="EO551" s="43"/>
      <c r="EP551" s="43"/>
      <c r="EQ551" s="43"/>
      <c r="ER551" s="43"/>
      <c r="ES551" s="43"/>
      <c r="ET551" s="43"/>
      <c r="EU551" s="43"/>
      <c r="EV551" s="43"/>
      <c r="EW551" s="43"/>
      <c r="EX551" s="43"/>
      <c r="EY551" s="43"/>
      <c r="EZ551" s="43"/>
      <c r="FA551" s="43"/>
      <c r="FB551" s="43"/>
      <c r="FC551" s="43"/>
      <c r="FD551" s="43"/>
      <c r="FE551" s="43"/>
      <c r="FF551" s="43"/>
      <c r="FG551" s="43"/>
      <c r="FH551" s="50"/>
      <c r="FI551" s="50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43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43"/>
      <c r="CF552" s="43"/>
      <c r="CG552" s="43"/>
      <c r="CH552" s="43"/>
      <c r="CI552" s="43"/>
      <c r="CJ552" s="43"/>
      <c r="CK552" s="43"/>
      <c r="CL552" s="43"/>
      <c r="CM552" s="43"/>
      <c r="CN552" s="43"/>
      <c r="CO552" s="43"/>
      <c r="CP552" s="43"/>
      <c r="CQ552" s="43"/>
      <c r="CR552" s="43"/>
      <c r="CS552" s="43"/>
      <c r="CT552" s="43"/>
      <c r="CU552" s="43"/>
      <c r="CV552" s="43"/>
      <c r="CW552" s="43"/>
      <c r="CX552" s="43"/>
      <c r="CY552" s="43"/>
      <c r="CZ552" s="43"/>
      <c r="DA552" s="43"/>
      <c r="DB552" s="43"/>
      <c r="DC552" s="43"/>
      <c r="DD552" s="43"/>
      <c r="DE552" s="43"/>
      <c r="DF552" s="43"/>
      <c r="DG552" s="43"/>
      <c r="DH552" s="43"/>
      <c r="DI552" s="43"/>
      <c r="DJ552" s="43"/>
      <c r="DK552" s="43"/>
      <c r="DL552" s="43"/>
      <c r="DM552" s="43"/>
      <c r="DN552" s="43"/>
      <c r="DO552" s="43"/>
      <c r="DP552" s="43"/>
      <c r="DQ552" s="43"/>
      <c r="DR552" s="43"/>
      <c r="DS552" s="43"/>
      <c r="DT552" s="43"/>
      <c r="DU552" s="43"/>
      <c r="DV552" s="43"/>
      <c r="DW552" s="43"/>
      <c r="DX552" s="43"/>
      <c r="DY552" s="43"/>
      <c r="DZ552" s="43"/>
      <c r="EA552" s="43"/>
      <c r="EB552" s="43"/>
      <c r="EC552" s="43"/>
      <c r="ED552" s="43"/>
      <c r="EE552" s="43"/>
      <c r="EF552" s="43"/>
      <c r="EG552" s="43"/>
      <c r="EH552" s="43"/>
      <c r="EI552" s="43"/>
      <c r="EJ552" s="43"/>
      <c r="EK552" s="43"/>
      <c r="EL552" s="43"/>
      <c r="EM552" s="43"/>
      <c r="EN552" s="43"/>
      <c r="EO552" s="43"/>
      <c r="EP552" s="43"/>
      <c r="EQ552" s="43"/>
      <c r="ER552" s="43"/>
      <c r="ES552" s="43"/>
      <c r="ET552" s="43"/>
      <c r="EU552" s="43"/>
      <c r="EV552" s="43"/>
      <c r="EW552" s="43"/>
      <c r="EX552" s="43"/>
      <c r="EY552" s="43"/>
      <c r="EZ552" s="43"/>
      <c r="FA552" s="43"/>
      <c r="FB552" s="43"/>
      <c r="FC552" s="43"/>
      <c r="FD552" s="43"/>
      <c r="FE552" s="43"/>
      <c r="FF552" s="43"/>
      <c r="FG552" s="43"/>
      <c r="FH552" s="50"/>
      <c r="FI552" s="50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43"/>
      <c r="CF553" s="43"/>
      <c r="CG553" s="43"/>
      <c r="CH553" s="43"/>
      <c r="CI553" s="43"/>
      <c r="CJ553" s="43"/>
      <c r="CK553" s="43"/>
      <c r="CL553" s="43"/>
      <c r="CM553" s="43"/>
      <c r="CN553" s="43"/>
      <c r="CO553" s="43"/>
      <c r="CP553" s="43"/>
      <c r="CQ553" s="43"/>
      <c r="CR553" s="43"/>
      <c r="CS553" s="43"/>
      <c r="CT553" s="43"/>
      <c r="CU553" s="43"/>
      <c r="CV553" s="43"/>
      <c r="CW553" s="43"/>
      <c r="CX553" s="43"/>
      <c r="CY553" s="43"/>
      <c r="CZ553" s="43"/>
      <c r="DA553" s="43"/>
      <c r="DB553" s="43"/>
      <c r="DC553" s="43"/>
      <c r="DD553" s="43"/>
      <c r="DE553" s="43"/>
      <c r="DF553" s="43"/>
      <c r="DG553" s="43"/>
      <c r="DH553" s="43"/>
      <c r="DI553" s="43"/>
      <c r="DJ553" s="43"/>
      <c r="DK553" s="43"/>
      <c r="DL553" s="43"/>
      <c r="DM553" s="43"/>
      <c r="DN553" s="43"/>
      <c r="DO553" s="43"/>
      <c r="DP553" s="43"/>
      <c r="DQ553" s="43"/>
      <c r="DR553" s="43"/>
      <c r="DS553" s="43"/>
      <c r="DT553" s="43"/>
      <c r="DU553" s="43"/>
      <c r="DV553" s="43"/>
      <c r="DW553" s="43"/>
      <c r="DX553" s="43"/>
      <c r="DY553" s="43"/>
      <c r="DZ553" s="43"/>
      <c r="EA553" s="43"/>
      <c r="EB553" s="43"/>
      <c r="EC553" s="43"/>
      <c r="ED553" s="43"/>
      <c r="EE553" s="43"/>
      <c r="EF553" s="43"/>
      <c r="EG553" s="43"/>
      <c r="EH553" s="43"/>
      <c r="EI553" s="43"/>
      <c r="EJ553" s="43"/>
      <c r="EK553" s="43"/>
      <c r="EL553" s="43"/>
      <c r="EM553" s="43"/>
      <c r="EN553" s="43"/>
      <c r="EO553" s="43"/>
      <c r="EP553" s="43"/>
      <c r="EQ553" s="43"/>
      <c r="ER553" s="43"/>
      <c r="ES553" s="43"/>
      <c r="ET553" s="43"/>
      <c r="EU553" s="43"/>
      <c r="EV553" s="43"/>
      <c r="EW553" s="43"/>
      <c r="EX553" s="43"/>
      <c r="EY553" s="43"/>
      <c r="EZ553" s="43"/>
      <c r="FA553" s="43"/>
      <c r="FB553" s="43"/>
      <c r="FC553" s="43"/>
      <c r="FD553" s="43"/>
      <c r="FE553" s="43"/>
      <c r="FF553" s="43"/>
      <c r="FG553" s="43"/>
      <c r="FH553" s="50"/>
      <c r="FI553" s="50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43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43"/>
      <c r="CF554" s="43"/>
      <c r="CG554" s="43"/>
      <c r="CH554" s="43"/>
      <c r="CI554" s="43"/>
      <c r="CJ554" s="43"/>
      <c r="CK554" s="43"/>
      <c r="CL554" s="43"/>
      <c r="CM554" s="43"/>
      <c r="CN554" s="43"/>
      <c r="CO554" s="43"/>
      <c r="CP554" s="43"/>
      <c r="CQ554" s="43"/>
      <c r="CR554" s="43"/>
      <c r="CS554" s="43"/>
      <c r="CT554" s="43"/>
      <c r="CU554" s="43"/>
      <c r="CV554" s="43"/>
      <c r="CW554" s="43"/>
      <c r="CX554" s="43"/>
      <c r="CY554" s="43"/>
      <c r="CZ554" s="43"/>
      <c r="DA554" s="43"/>
      <c r="DB554" s="43"/>
      <c r="DC554" s="43"/>
      <c r="DD554" s="43"/>
      <c r="DE554" s="43"/>
      <c r="DF554" s="43"/>
      <c r="DG554" s="43"/>
      <c r="DH554" s="43"/>
      <c r="DI554" s="43"/>
      <c r="DJ554" s="43"/>
      <c r="DK554" s="43"/>
      <c r="DL554" s="43"/>
      <c r="DM554" s="43"/>
      <c r="DN554" s="43"/>
      <c r="DO554" s="43"/>
      <c r="DP554" s="43"/>
      <c r="DQ554" s="43"/>
      <c r="DR554" s="43"/>
      <c r="DS554" s="43"/>
      <c r="DT554" s="43"/>
      <c r="DU554" s="43"/>
      <c r="DV554" s="43"/>
      <c r="DW554" s="43"/>
      <c r="DX554" s="43"/>
      <c r="DY554" s="43"/>
      <c r="DZ554" s="43"/>
      <c r="EA554" s="43"/>
      <c r="EB554" s="43"/>
      <c r="EC554" s="43"/>
      <c r="ED554" s="43"/>
      <c r="EE554" s="43"/>
      <c r="EF554" s="43"/>
      <c r="EG554" s="43"/>
      <c r="EH554" s="43"/>
      <c r="EI554" s="43"/>
      <c r="EJ554" s="43"/>
      <c r="EK554" s="43"/>
      <c r="EL554" s="43"/>
      <c r="EM554" s="43"/>
      <c r="EN554" s="43"/>
      <c r="EO554" s="43"/>
      <c r="EP554" s="43"/>
      <c r="EQ554" s="43"/>
      <c r="ER554" s="43"/>
      <c r="ES554" s="43"/>
      <c r="ET554" s="43"/>
      <c r="EU554" s="43"/>
      <c r="EV554" s="43"/>
      <c r="EW554" s="43"/>
      <c r="EX554" s="43"/>
      <c r="EY554" s="43"/>
      <c r="EZ554" s="43"/>
      <c r="FA554" s="43"/>
      <c r="FB554" s="43"/>
      <c r="FC554" s="43"/>
      <c r="FD554" s="43"/>
      <c r="FE554" s="43"/>
      <c r="FF554" s="43"/>
      <c r="FG554" s="43"/>
      <c r="FH554" s="50"/>
      <c r="FI554" s="50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43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43"/>
      <c r="CF555" s="43"/>
      <c r="CG555" s="43"/>
      <c r="CH555" s="43"/>
      <c r="CI555" s="43"/>
      <c r="CJ555" s="43"/>
      <c r="CK555" s="43"/>
      <c r="CL555" s="43"/>
      <c r="CM555" s="43"/>
      <c r="CN555" s="43"/>
      <c r="CO555" s="43"/>
      <c r="CP555" s="43"/>
      <c r="CQ555" s="43"/>
      <c r="CR555" s="43"/>
      <c r="CS555" s="43"/>
      <c r="CT555" s="43"/>
      <c r="CU555" s="43"/>
      <c r="CV555" s="43"/>
      <c r="CW555" s="43"/>
      <c r="CX555" s="43"/>
      <c r="CY555" s="43"/>
      <c r="CZ555" s="43"/>
      <c r="DA555" s="43"/>
      <c r="DB555" s="43"/>
      <c r="DC555" s="43"/>
      <c r="DD555" s="43"/>
      <c r="DE555" s="43"/>
      <c r="DF555" s="43"/>
      <c r="DG555" s="43"/>
      <c r="DH555" s="43"/>
      <c r="DI555" s="43"/>
      <c r="DJ555" s="43"/>
      <c r="DK555" s="43"/>
      <c r="DL555" s="43"/>
      <c r="DM555" s="43"/>
      <c r="DN555" s="43"/>
      <c r="DO555" s="43"/>
      <c r="DP555" s="43"/>
      <c r="DQ555" s="43"/>
      <c r="DR555" s="43"/>
      <c r="DS555" s="43"/>
      <c r="DT555" s="43"/>
      <c r="DU555" s="43"/>
      <c r="DV555" s="43"/>
      <c r="DW555" s="43"/>
      <c r="DX555" s="43"/>
      <c r="DY555" s="43"/>
      <c r="DZ555" s="43"/>
      <c r="EA555" s="43"/>
      <c r="EB555" s="43"/>
      <c r="EC555" s="43"/>
      <c r="ED555" s="43"/>
      <c r="EE555" s="43"/>
      <c r="EF555" s="43"/>
      <c r="EG555" s="43"/>
      <c r="EH555" s="43"/>
      <c r="EI555" s="43"/>
      <c r="EJ555" s="43"/>
      <c r="EK555" s="43"/>
      <c r="EL555" s="43"/>
      <c r="EM555" s="43"/>
      <c r="EN555" s="43"/>
      <c r="EO555" s="43"/>
      <c r="EP555" s="43"/>
      <c r="EQ555" s="43"/>
      <c r="ER555" s="43"/>
      <c r="ES555" s="43"/>
      <c r="ET555" s="43"/>
      <c r="EU555" s="43"/>
      <c r="EV555" s="43"/>
      <c r="EW555" s="43"/>
      <c r="EX555" s="43"/>
      <c r="EY555" s="43"/>
      <c r="EZ555" s="43"/>
      <c r="FA555" s="43"/>
      <c r="FB555" s="43"/>
      <c r="FC555" s="43"/>
      <c r="FD555" s="43"/>
      <c r="FE555" s="43"/>
      <c r="FF555" s="43"/>
      <c r="FG555" s="43"/>
      <c r="FH555" s="50"/>
      <c r="FI555" s="50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43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43"/>
      <c r="CF556" s="43"/>
      <c r="CG556" s="43"/>
      <c r="CH556" s="43"/>
      <c r="CI556" s="43"/>
      <c r="CJ556" s="43"/>
      <c r="CK556" s="43"/>
      <c r="CL556" s="43"/>
      <c r="CM556" s="43"/>
      <c r="CN556" s="43"/>
      <c r="CO556" s="43"/>
      <c r="CP556" s="43"/>
      <c r="CQ556" s="43"/>
      <c r="CR556" s="43"/>
      <c r="CS556" s="43"/>
      <c r="CT556" s="43"/>
      <c r="CU556" s="43"/>
      <c r="CV556" s="43"/>
      <c r="CW556" s="43"/>
      <c r="CX556" s="43"/>
      <c r="CY556" s="43"/>
      <c r="CZ556" s="43"/>
      <c r="DA556" s="43"/>
      <c r="DB556" s="43"/>
      <c r="DC556" s="43"/>
      <c r="DD556" s="43"/>
      <c r="DE556" s="43"/>
      <c r="DF556" s="43"/>
      <c r="DG556" s="43"/>
      <c r="DH556" s="43"/>
      <c r="DI556" s="43"/>
      <c r="DJ556" s="43"/>
      <c r="DK556" s="43"/>
      <c r="DL556" s="43"/>
      <c r="DM556" s="43"/>
      <c r="DN556" s="43"/>
      <c r="DO556" s="43"/>
      <c r="DP556" s="43"/>
      <c r="DQ556" s="43"/>
      <c r="DR556" s="43"/>
      <c r="DS556" s="43"/>
      <c r="DT556" s="43"/>
      <c r="DU556" s="43"/>
      <c r="DV556" s="43"/>
      <c r="DW556" s="43"/>
      <c r="DX556" s="43"/>
      <c r="DY556" s="43"/>
      <c r="DZ556" s="43"/>
      <c r="EA556" s="43"/>
      <c r="EB556" s="43"/>
      <c r="EC556" s="43"/>
      <c r="ED556" s="43"/>
      <c r="EE556" s="43"/>
      <c r="EF556" s="43"/>
      <c r="EG556" s="43"/>
      <c r="EH556" s="43"/>
      <c r="EI556" s="43"/>
      <c r="EJ556" s="43"/>
      <c r="EK556" s="43"/>
      <c r="EL556" s="43"/>
      <c r="EM556" s="43"/>
      <c r="EN556" s="43"/>
      <c r="EO556" s="43"/>
      <c r="EP556" s="43"/>
      <c r="EQ556" s="43"/>
      <c r="ER556" s="43"/>
      <c r="ES556" s="43"/>
      <c r="ET556" s="43"/>
      <c r="EU556" s="43"/>
      <c r="EV556" s="43"/>
      <c r="EW556" s="43"/>
      <c r="EX556" s="43"/>
      <c r="EY556" s="43"/>
      <c r="EZ556" s="43"/>
      <c r="FA556" s="43"/>
      <c r="FB556" s="43"/>
      <c r="FC556" s="43"/>
      <c r="FD556" s="43"/>
      <c r="FE556" s="43"/>
      <c r="FF556" s="43"/>
      <c r="FG556" s="43"/>
      <c r="FH556" s="50"/>
      <c r="FI556" s="50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43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43"/>
      <c r="CF557" s="43"/>
      <c r="CG557" s="43"/>
      <c r="CH557" s="43"/>
      <c r="CI557" s="43"/>
      <c r="CJ557" s="43"/>
      <c r="CK557" s="43"/>
      <c r="CL557" s="43"/>
      <c r="CM557" s="43"/>
      <c r="CN557" s="43"/>
      <c r="CO557" s="43"/>
      <c r="CP557" s="43"/>
      <c r="CQ557" s="43"/>
      <c r="CR557" s="43"/>
      <c r="CS557" s="43"/>
      <c r="CT557" s="43"/>
      <c r="CU557" s="43"/>
      <c r="CV557" s="43"/>
      <c r="CW557" s="43"/>
      <c r="CX557" s="43"/>
      <c r="CY557" s="43"/>
      <c r="CZ557" s="43"/>
      <c r="DA557" s="43"/>
      <c r="DB557" s="43"/>
      <c r="DC557" s="43"/>
      <c r="DD557" s="43"/>
      <c r="DE557" s="43"/>
      <c r="DF557" s="43"/>
      <c r="DG557" s="43"/>
      <c r="DH557" s="43"/>
      <c r="DI557" s="43"/>
      <c r="DJ557" s="43"/>
      <c r="DK557" s="43"/>
      <c r="DL557" s="43"/>
      <c r="DM557" s="43"/>
      <c r="DN557" s="43"/>
      <c r="DO557" s="43"/>
      <c r="DP557" s="43"/>
      <c r="DQ557" s="43"/>
      <c r="DR557" s="43"/>
      <c r="DS557" s="43"/>
      <c r="DT557" s="43"/>
      <c r="DU557" s="43"/>
      <c r="DV557" s="43"/>
      <c r="DW557" s="43"/>
      <c r="DX557" s="43"/>
      <c r="DY557" s="43"/>
      <c r="DZ557" s="43"/>
      <c r="EA557" s="43"/>
      <c r="EB557" s="43"/>
      <c r="EC557" s="43"/>
      <c r="ED557" s="43"/>
      <c r="EE557" s="43"/>
      <c r="EF557" s="43"/>
      <c r="EG557" s="43"/>
      <c r="EH557" s="43"/>
      <c r="EI557" s="43"/>
      <c r="EJ557" s="43"/>
      <c r="EK557" s="43"/>
      <c r="EL557" s="43"/>
      <c r="EM557" s="43"/>
      <c r="EN557" s="43"/>
      <c r="EO557" s="43"/>
      <c r="EP557" s="43"/>
      <c r="EQ557" s="43"/>
      <c r="ER557" s="43"/>
      <c r="ES557" s="43"/>
      <c r="ET557" s="43"/>
      <c r="EU557" s="43"/>
      <c r="EV557" s="43"/>
      <c r="EW557" s="43"/>
      <c r="EX557" s="43"/>
      <c r="EY557" s="43"/>
      <c r="EZ557" s="43"/>
      <c r="FA557" s="43"/>
      <c r="FB557" s="43"/>
      <c r="FC557" s="43"/>
      <c r="FD557" s="43"/>
      <c r="FE557" s="43"/>
      <c r="FF557" s="43"/>
      <c r="FG557" s="43"/>
      <c r="FH557" s="50"/>
      <c r="FI557" s="50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43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43"/>
      <c r="CF558" s="43"/>
      <c r="CG558" s="43"/>
      <c r="CH558" s="43"/>
      <c r="CI558" s="43"/>
      <c r="CJ558" s="43"/>
      <c r="CK558" s="43"/>
      <c r="CL558" s="43"/>
      <c r="CM558" s="43"/>
      <c r="CN558" s="43"/>
      <c r="CO558" s="43"/>
      <c r="CP558" s="43"/>
      <c r="CQ558" s="43"/>
      <c r="CR558" s="43"/>
      <c r="CS558" s="43"/>
      <c r="CT558" s="43"/>
      <c r="CU558" s="43"/>
      <c r="CV558" s="43"/>
      <c r="CW558" s="43"/>
      <c r="CX558" s="43"/>
      <c r="CY558" s="43"/>
      <c r="CZ558" s="43"/>
      <c r="DA558" s="43"/>
      <c r="DB558" s="43"/>
      <c r="DC558" s="43"/>
      <c r="DD558" s="43"/>
      <c r="DE558" s="43"/>
      <c r="DF558" s="43"/>
      <c r="DG558" s="43"/>
      <c r="DH558" s="43"/>
      <c r="DI558" s="43"/>
      <c r="DJ558" s="43"/>
      <c r="DK558" s="43"/>
      <c r="DL558" s="43"/>
      <c r="DM558" s="43"/>
      <c r="DN558" s="43"/>
      <c r="DO558" s="43"/>
      <c r="DP558" s="43"/>
      <c r="DQ558" s="43"/>
      <c r="DR558" s="43"/>
      <c r="DS558" s="43"/>
      <c r="DT558" s="43"/>
      <c r="DU558" s="43"/>
      <c r="DV558" s="43"/>
      <c r="DW558" s="43"/>
      <c r="DX558" s="43"/>
      <c r="DY558" s="43"/>
      <c r="DZ558" s="43"/>
      <c r="EA558" s="43"/>
      <c r="EB558" s="43"/>
      <c r="EC558" s="43"/>
      <c r="ED558" s="43"/>
      <c r="EE558" s="43"/>
      <c r="EF558" s="43"/>
      <c r="EG558" s="43"/>
      <c r="EH558" s="43"/>
      <c r="EI558" s="43"/>
      <c r="EJ558" s="43"/>
      <c r="EK558" s="43"/>
      <c r="EL558" s="43"/>
      <c r="EM558" s="43"/>
      <c r="EN558" s="43"/>
      <c r="EO558" s="43"/>
      <c r="EP558" s="43"/>
      <c r="EQ558" s="43"/>
      <c r="ER558" s="43"/>
      <c r="ES558" s="43"/>
      <c r="ET558" s="43"/>
      <c r="EU558" s="43"/>
      <c r="EV558" s="43"/>
      <c r="EW558" s="43"/>
      <c r="EX558" s="43"/>
      <c r="EY558" s="43"/>
      <c r="EZ558" s="43"/>
      <c r="FA558" s="43"/>
      <c r="FB558" s="43"/>
      <c r="FC558" s="43"/>
      <c r="FD558" s="43"/>
      <c r="FE558" s="43"/>
      <c r="FF558" s="43"/>
      <c r="FG558" s="43"/>
      <c r="FH558" s="50"/>
      <c r="FI558" s="50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43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43"/>
      <c r="CF559" s="43"/>
      <c r="CG559" s="43"/>
      <c r="CH559" s="43"/>
      <c r="CI559" s="43"/>
      <c r="CJ559" s="43"/>
      <c r="CK559" s="43"/>
      <c r="CL559" s="43"/>
      <c r="CM559" s="43"/>
      <c r="CN559" s="43"/>
      <c r="CO559" s="43"/>
      <c r="CP559" s="43"/>
      <c r="CQ559" s="43"/>
      <c r="CR559" s="43"/>
      <c r="CS559" s="43"/>
      <c r="CT559" s="43"/>
      <c r="CU559" s="43"/>
      <c r="CV559" s="43"/>
      <c r="CW559" s="43"/>
      <c r="CX559" s="43"/>
      <c r="CY559" s="43"/>
      <c r="CZ559" s="43"/>
      <c r="DA559" s="43"/>
      <c r="DB559" s="43"/>
      <c r="DC559" s="43"/>
      <c r="DD559" s="43"/>
      <c r="DE559" s="43"/>
      <c r="DF559" s="43"/>
      <c r="DG559" s="43"/>
      <c r="DH559" s="43"/>
      <c r="DI559" s="43"/>
      <c r="DJ559" s="43"/>
      <c r="DK559" s="43"/>
      <c r="DL559" s="43"/>
      <c r="DM559" s="43"/>
      <c r="DN559" s="43"/>
      <c r="DO559" s="43"/>
      <c r="DP559" s="43"/>
      <c r="DQ559" s="43"/>
      <c r="DR559" s="43"/>
      <c r="DS559" s="43"/>
      <c r="DT559" s="43"/>
      <c r="DU559" s="43"/>
      <c r="DV559" s="43"/>
      <c r="DW559" s="43"/>
      <c r="DX559" s="43"/>
      <c r="DY559" s="43"/>
      <c r="DZ559" s="43"/>
      <c r="EA559" s="43"/>
      <c r="EB559" s="43"/>
      <c r="EC559" s="43"/>
      <c r="ED559" s="43"/>
      <c r="EE559" s="43"/>
      <c r="EF559" s="43"/>
      <c r="EG559" s="43"/>
      <c r="EH559" s="43"/>
      <c r="EI559" s="43"/>
      <c r="EJ559" s="43"/>
      <c r="EK559" s="43"/>
      <c r="EL559" s="43"/>
      <c r="EM559" s="43"/>
      <c r="EN559" s="43"/>
      <c r="EO559" s="43"/>
      <c r="EP559" s="43"/>
      <c r="EQ559" s="43"/>
      <c r="ER559" s="43"/>
      <c r="ES559" s="43"/>
      <c r="ET559" s="43"/>
      <c r="EU559" s="43"/>
      <c r="EV559" s="43"/>
      <c r="EW559" s="43"/>
      <c r="EX559" s="43"/>
      <c r="EY559" s="43"/>
      <c r="EZ559" s="43"/>
      <c r="FA559" s="43"/>
      <c r="FB559" s="43"/>
      <c r="FC559" s="43"/>
      <c r="FD559" s="43"/>
      <c r="FE559" s="43"/>
      <c r="FF559" s="43"/>
      <c r="FG559" s="43"/>
      <c r="FH559" s="50"/>
      <c r="FI559" s="50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43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43"/>
      <c r="CF560" s="43"/>
      <c r="CG560" s="43"/>
      <c r="CH560" s="43"/>
      <c r="CI560" s="43"/>
      <c r="CJ560" s="43"/>
      <c r="CK560" s="43"/>
      <c r="CL560" s="43"/>
      <c r="CM560" s="43"/>
      <c r="CN560" s="43"/>
      <c r="CO560" s="43"/>
      <c r="CP560" s="43"/>
      <c r="CQ560" s="43"/>
      <c r="CR560" s="43"/>
      <c r="CS560" s="43"/>
      <c r="CT560" s="43"/>
      <c r="CU560" s="43"/>
      <c r="CV560" s="43"/>
      <c r="CW560" s="43"/>
      <c r="CX560" s="43"/>
      <c r="CY560" s="43"/>
      <c r="CZ560" s="43"/>
      <c r="DA560" s="43"/>
      <c r="DB560" s="43"/>
      <c r="DC560" s="43"/>
      <c r="DD560" s="43"/>
      <c r="DE560" s="43"/>
      <c r="DF560" s="43"/>
      <c r="DG560" s="43"/>
      <c r="DH560" s="43"/>
      <c r="DI560" s="43"/>
      <c r="DJ560" s="43"/>
      <c r="DK560" s="43"/>
      <c r="DL560" s="43"/>
      <c r="DM560" s="43"/>
      <c r="DN560" s="43"/>
      <c r="DO560" s="43"/>
      <c r="DP560" s="43"/>
      <c r="DQ560" s="43"/>
      <c r="DR560" s="43"/>
      <c r="DS560" s="43"/>
      <c r="DT560" s="43"/>
      <c r="DU560" s="43"/>
      <c r="DV560" s="43"/>
      <c r="DW560" s="43"/>
      <c r="DX560" s="43"/>
      <c r="DY560" s="43"/>
      <c r="DZ560" s="43"/>
      <c r="EA560" s="43"/>
      <c r="EB560" s="43"/>
      <c r="EC560" s="43"/>
      <c r="ED560" s="43"/>
      <c r="EE560" s="43"/>
      <c r="EF560" s="43"/>
      <c r="EG560" s="43"/>
      <c r="EH560" s="43"/>
      <c r="EI560" s="43"/>
      <c r="EJ560" s="43"/>
      <c r="EK560" s="43"/>
      <c r="EL560" s="43"/>
      <c r="EM560" s="43"/>
      <c r="EN560" s="43"/>
      <c r="EO560" s="43"/>
      <c r="EP560" s="43"/>
      <c r="EQ560" s="43"/>
      <c r="ER560" s="43"/>
      <c r="ES560" s="43"/>
      <c r="ET560" s="43"/>
      <c r="EU560" s="43"/>
      <c r="EV560" s="43"/>
      <c r="EW560" s="43"/>
      <c r="EX560" s="43"/>
      <c r="EY560" s="43"/>
      <c r="EZ560" s="43"/>
      <c r="FA560" s="43"/>
      <c r="FB560" s="43"/>
      <c r="FC560" s="43"/>
      <c r="FD560" s="43"/>
      <c r="FE560" s="43"/>
      <c r="FF560" s="43"/>
      <c r="FG560" s="43"/>
      <c r="FH560" s="50"/>
      <c r="FI560" s="50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  <c r="CS561" s="43"/>
      <c r="CT561" s="43"/>
      <c r="CU561" s="43"/>
      <c r="CV561" s="43"/>
      <c r="CW561" s="43"/>
      <c r="CX561" s="43"/>
      <c r="CY561" s="43"/>
      <c r="CZ561" s="43"/>
      <c r="DA561" s="43"/>
      <c r="DB561" s="43"/>
      <c r="DC561" s="43"/>
      <c r="DD561" s="43"/>
      <c r="DE561" s="43"/>
      <c r="DF561" s="43"/>
      <c r="DG561" s="43"/>
      <c r="DH561" s="43"/>
      <c r="DI561" s="43"/>
      <c r="DJ561" s="43"/>
      <c r="DK561" s="43"/>
      <c r="DL561" s="43"/>
      <c r="DM561" s="43"/>
      <c r="DN561" s="43"/>
      <c r="DO561" s="43"/>
      <c r="DP561" s="43"/>
      <c r="DQ561" s="43"/>
      <c r="DR561" s="43"/>
      <c r="DS561" s="43"/>
      <c r="DT561" s="43"/>
      <c r="DU561" s="43"/>
      <c r="DV561" s="43"/>
      <c r="DW561" s="43"/>
      <c r="DX561" s="43"/>
      <c r="DY561" s="43"/>
      <c r="DZ561" s="43"/>
      <c r="EA561" s="43"/>
      <c r="EB561" s="43"/>
      <c r="EC561" s="43"/>
      <c r="ED561" s="43"/>
      <c r="EE561" s="43"/>
      <c r="EF561" s="43"/>
      <c r="EG561" s="43"/>
      <c r="EH561" s="43"/>
      <c r="EI561" s="43"/>
      <c r="EJ561" s="43"/>
      <c r="EK561" s="43"/>
      <c r="EL561" s="43"/>
      <c r="EM561" s="43"/>
      <c r="EN561" s="43"/>
      <c r="EO561" s="43"/>
      <c r="EP561" s="43"/>
      <c r="EQ561" s="43"/>
      <c r="ER561" s="43"/>
      <c r="ES561" s="43"/>
      <c r="ET561" s="43"/>
      <c r="EU561" s="43"/>
      <c r="EV561" s="43"/>
      <c r="EW561" s="43"/>
      <c r="EX561" s="43"/>
      <c r="EY561" s="43"/>
      <c r="EZ561" s="43"/>
      <c r="FA561" s="43"/>
      <c r="FB561" s="43"/>
      <c r="FC561" s="43"/>
      <c r="FD561" s="43"/>
      <c r="FE561" s="43"/>
      <c r="FF561" s="43"/>
      <c r="FG561" s="43"/>
      <c r="FH561" s="50"/>
      <c r="FI561" s="50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43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43"/>
      <c r="CF562" s="43"/>
      <c r="CG562" s="43"/>
      <c r="CH562" s="43"/>
      <c r="CI562" s="43"/>
      <c r="CJ562" s="43"/>
      <c r="CK562" s="43"/>
      <c r="CL562" s="43"/>
      <c r="CM562" s="43"/>
      <c r="CN562" s="43"/>
      <c r="CO562" s="43"/>
      <c r="CP562" s="43"/>
      <c r="CQ562" s="43"/>
      <c r="CR562" s="43"/>
      <c r="CS562" s="43"/>
      <c r="CT562" s="43"/>
      <c r="CU562" s="43"/>
      <c r="CV562" s="43"/>
      <c r="CW562" s="43"/>
      <c r="CX562" s="43"/>
      <c r="CY562" s="43"/>
      <c r="CZ562" s="43"/>
      <c r="DA562" s="43"/>
      <c r="DB562" s="43"/>
      <c r="DC562" s="43"/>
      <c r="DD562" s="43"/>
      <c r="DE562" s="43"/>
      <c r="DF562" s="43"/>
      <c r="DG562" s="43"/>
      <c r="DH562" s="43"/>
      <c r="DI562" s="43"/>
      <c r="DJ562" s="43"/>
      <c r="DK562" s="43"/>
      <c r="DL562" s="43"/>
      <c r="DM562" s="43"/>
      <c r="DN562" s="43"/>
      <c r="DO562" s="43"/>
      <c r="DP562" s="43"/>
      <c r="DQ562" s="43"/>
      <c r="DR562" s="43"/>
      <c r="DS562" s="43"/>
      <c r="DT562" s="43"/>
      <c r="DU562" s="43"/>
      <c r="DV562" s="43"/>
      <c r="DW562" s="43"/>
      <c r="DX562" s="43"/>
      <c r="DY562" s="43"/>
      <c r="DZ562" s="43"/>
      <c r="EA562" s="43"/>
      <c r="EB562" s="43"/>
      <c r="EC562" s="43"/>
      <c r="ED562" s="43"/>
      <c r="EE562" s="43"/>
      <c r="EF562" s="43"/>
      <c r="EG562" s="43"/>
      <c r="EH562" s="43"/>
      <c r="EI562" s="43"/>
      <c r="EJ562" s="43"/>
      <c r="EK562" s="43"/>
      <c r="EL562" s="43"/>
      <c r="EM562" s="43"/>
      <c r="EN562" s="43"/>
      <c r="EO562" s="43"/>
      <c r="EP562" s="43"/>
      <c r="EQ562" s="43"/>
      <c r="ER562" s="43"/>
      <c r="ES562" s="43"/>
      <c r="ET562" s="43"/>
      <c r="EU562" s="43"/>
      <c r="EV562" s="43"/>
      <c r="EW562" s="43"/>
      <c r="EX562" s="43"/>
      <c r="EY562" s="43"/>
      <c r="EZ562" s="43"/>
      <c r="FA562" s="43"/>
      <c r="FB562" s="43"/>
      <c r="FC562" s="43"/>
      <c r="FD562" s="43"/>
      <c r="FE562" s="43"/>
      <c r="FF562" s="43"/>
      <c r="FG562" s="43"/>
      <c r="FH562" s="50"/>
      <c r="FI562" s="50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43"/>
      <c r="CF563" s="43"/>
      <c r="CG563" s="43"/>
      <c r="CH563" s="43"/>
      <c r="CI563" s="43"/>
      <c r="CJ563" s="43"/>
      <c r="CK563" s="43"/>
      <c r="CL563" s="43"/>
      <c r="CM563" s="43"/>
      <c r="CN563" s="43"/>
      <c r="CO563" s="43"/>
      <c r="CP563" s="43"/>
      <c r="CQ563" s="43"/>
      <c r="CR563" s="43"/>
      <c r="CS563" s="43"/>
      <c r="CT563" s="43"/>
      <c r="CU563" s="43"/>
      <c r="CV563" s="43"/>
      <c r="CW563" s="43"/>
      <c r="CX563" s="43"/>
      <c r="CY563" s="43"/>
      <c r="CZ563" s="43"/>
      <c r="DA563" s="43"/>
      <c r="DB563" s="43"/>
      <c r="DC563" s="43"/>
      <c r="DD563" s="43"/>
      <c r="DE563" s="43"/>
      <c r="DF563" s="43"/>
      <c r="DG563" s="43"/>
      <c r="DH563" s="43"/>
      <c r="DI563" s="43"/>
      <c r="DJ563" s="43"/>
      <c r="DK563" s="43"/>
      <c r="DL563" s="43"/>
      <c r="DM563" s="43"/>
      <c r="DN563" s="43"/>
      <c r="DO563" s="43"/>
      <c r="DP563" s="43"/>
      <c r="DQ563" s="43"/>
      <c r="DR563" s="43"/>
      <c r="DS563" s="43"/>
      <c r="DT563" s="43"/>
      <c r="DU563" s="43"/>
      <c r="DV563" s="43"/>
      <c r="DW563" s="43"/>
      <c r="DX563" s="43"/>
      <c r="DY563" s="43"/>
      <c r="DZ563" s="43"/>
      <c r="EA563" s="43"/>
      <c r="EB563" s="43"/>
      <c r="EC563" s="43"/>
      <c r="ED563" s="43"/>
      <c r="EE563" s="43"/>
      <c r="EF563" s="43"/>
      <c r="EG563" s="43"/>
      <c r="EH563" s="43"/>
      <c r="EI563" s="43"/>
      <c r="EJ563" s="43"/>
      <c r="EK563" s="43"/>
      <c r="EL563" s="43"/>
      <c r="EM563" s="43"/>
      <c r="EN563" s="43"/>
      <c r="EO563" s="43"/>
      <c r="EP563" s="43"/>
      <c r="EQ563" s="43"/>
      <c r="ER563" s="43"/>
      <c r="ES563" s="43"/>
      <c r="ET563" s="43"/>
      <c r="EU563" s="43"/>
      <c r="EV563" s="43"/>
      <c r="EW563" s="43"/>
      <c r="EX563" s="43"/>
      <c r="EY563" s="43"/>
      <c r="EZ563" s="43"/>
      <c r="FA563" s="43"/>
      <c r="FB563" s="43"/>
      <c r="FC563" s="43"/>
      <c r="FD563" s="43"/>
      <c r="FE563" s="43"/>
      <c r="FF563" s="43"/>
      <c r="FG563" s="43"/>
      <c r="FH563" s="50"/>
      <c r="FI563" s="50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43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43"/>
      <c r="CF564" s="43"/>
      <c r="CG564" s="43"/>
      <c r="CH564" s="43"/>
      <c r="CI564" s="43"/>
      <c r="CJ564" s="43"/>
      <c r="CK564" s="43"/>
      <c r="CL564" s="43"/>
      <c r="CM564" s="43"/>
      <c r="CN564" s="43"/>
      <c r="CO564" s="43"/>
      <c r="CP564" s="43"/>
      <c r="CQ564" s="43"/>
      <c r="CR564" s="43"/>
      <c r="CS564" s="43"/>
      <c r="CT564" s="43"/>
      <c r="CU564" s="43"/>
      <c r="CV564" s="43"/>
      <c r="CW564" s="43"/>
      <c r="CX564" s="43"/>
      <c r="CY564" s="43"/>
      <c r="CZ564" s="43"/>
      <c r="DA564" s="43"/>
      <c r="DB564" s="43"/>
      <c r="DC564" s="43"/>
      <c r="DD564" s="43"/>
      <c r="DE564" s="43"/>
      <c r="DF564" s="43"/>
      <c r="DG564" s="43"/>
      <c r="DH564" s="43"/>
      <c r="DI564" s="43"/>
      <c r="DJ564" s="43"/>
      <c r="DK564" s="43"/>
      <c r="DL564" s="43"/>
      <c r="DM564" s="43"/>
      <c r="DN564" s="43"/>
      <c r="DO564" s="43"/>
      <c r="DP564" s="43"/>
      <c r="DQ564" s="43"/>
      <c r="DR564" s="43"/>
      <c r="DS564" s="43"/>
      <c r="DT564" s="43"/>
      <c r="DU564" s="43"/>
      <c r="DV564" s="43"/>
      <c r="DW564" s="43"/>
      <c r="DX564" s="43"/>
      <c r="DY564" s="43"/>
      <c r="DZ564" s="43"/>
      <c r="EA564" s="43"/>
      <c r="EB564" s="43"/>
      <c r="EC564" s="43"/>
      <c r="ED564" s="43"/>
      <c r="EE564" s="43"/>
      <c r="EF564" s="43"/>
      <c r="EG564" s="43"/>
      <c r="EH564" s="43"/>
      <c r="EI564" s="43"/>
      <c r="EJ564" s="43"/>
      <c r="EK564" s="43"/>
      <c r="EL564" s="43"/>
      <c r="EM564" s="43"/>
      <c r="EN564" s="43"/>
      <c r="EO564" s="43"/>
      <c r="EP564" s="43"/>
      <c r="EQ564" s="43"/>
      <c r="ER564" s="43"/>
      <c r="ES564" s="43"/>
      <c r="ET564" s="43"/>
      <c r="EU564" s="43"/>
      <c r="EV564" s="43"/>
      <c r="EW564" s="43"/>
      <c r="EX564" s="43"/>
      <c r="EY564" s="43"/>
      <c r="EZ564" s="43"/>
      <c r="FA564" s="43"/>
      <c r="FB564" s="43"/>
      <c r="FC564" s="43"/>
      <c r="FD564" s="43"/>
      <c r="FE564" s="43"/>
      <c r="FF564" s="43"/>
      <c r="FG564" s="43"/>
      <c r="FH564" s="50"/>
      <c r="FI564" s="50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43"/>
      <c r="CF565" s="43"/>
      <c r="CG565" s="43"/>
      <c r="CH565" s="43"/>
      <c r="CI565" s="43"/>
      <c r="CJ565" s="43"/>
      <c r="CK565" s="43"/>
      <c r="CL565" s="43"/>
      <c r="CM565" s="43"/>
      <c r="CN565" s="43"/>
      <c r="CO565" s="43"/>
      <c r="CP565" s="43"/>
      <c r="CQ565" s="43"/>
      <c r="CR565" s="43"/>
      <c r="CS565" s="43"/>
      <c r="CT565" s="43"/>
      <c r="CU565" s="43"/>
      <c r="CV565" s="43"/>
      <c r="CW565" s="43"/>
      <c r="CX565" s="43"/>
      <c r="CY565" s="43"/>
      <c r="CZ565" s="43"/>
      <c r="DA565" s="43"/>
      <c r="DB565" s="43"/>
      <c r="DC565" s="43"/>
      <c r="DD565" s="43"/>
      <c r="DE565" s="43"/>
      <c r="DF565" s="43"/>
      <c r="DG565" s="43"/>
      <c r="DH565" s="43"/>
      <c r="DI565" s="43"/>
      <c r="DJ565" s="43"/>
      <c r="DK565" s="43"/>
      <c r="DL565" s="43"/>
      <c r="DM565" s="43"/>
      <c r="DN565" s="43"/>
      <c r="DO565" s="43"/>
      <c r="DP565" s="43"/>
      <c r="DQ565" s="43"/>
      <c r="DR565" s="43"/>
      <c r="DS565" s="43"/>
      <c r="DT565" s="43"/>
      <c r="DU565" s="43"/>
      <c r="DV565" s="43"/>
      <c r="DW565" s="43"/>
      <c r="DX565" s="43"/>
      <c r="DY565" s="43"/>
      <c r="DZ565" s="43"/>
      <c r="EA565" s="43"/>
      <c r="EB565" s="43"/>
      <c r="EC565" s="43"/>
      <c r="ED565" s="43"/>
      <c r="EE565" s="43"/>
      <c r="EF565" s="43"/>
      <c r="EG565" s="43"/>
      <c r="EH565" s="43"/>
      <c r="EI565" s="43"/>
      <c r="EJ565" s="43"/>
      <c r="EK565" s="43"/>
      <c r="EL565" s="43"/>
      <c r="EM565" s="43"/>
      <c r="EN565" s="43"/>
      <c r="EO565" s="43"/>
      <c r="EP565" s="43"/>
      <c r="EQ565" s="43"/>
      <c r="ER565" s="43"/>
      <c r="ES565" s="43"/>
      <c r="ET565" s="43"/>
      <c r="EU565" s="43"/>
      <c r="EV565" s="43"/>
      <c r="EW565" s="43"/>
      <c r="EX565" s="43"/>
      <c r="EY565" s="43"/>
      <c r="EZ565" s="43"/>
      <c r="FA565" s="43"/>
      <c r="FB565" s="43"/>
      <c r="FC565" s="43"/>
      <c r="FD565" s="43"/>
      <c r="FE565" s="43"/>
      <c r="FF565" s="43"/>
      <c r="FG565" s="43"/>
      <c r="FH565" s="50"/>
      <c r="FI565" s="50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43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43"/>
      <c r="CF566" s="43"/>
      <c r="CG566" s="43"/>
      <c r="CH566" s="43"/>
      <c r="CI566" s="43"/>
      <c r="CJ566" s="43"/>
      <c r="CK566" s="43"/>
      <c r="CL566" s="43"/>
      <c r="CM566" s="43"/>
      <c r="CN566" s="43"/>
      <c r="CO566" s="43"/>
      <c r="CP566" s="43"/>
      <c r="CQ566" s="43"/>
      <c r="CR566" s="43"/>
      <c r="CS566" s="43"/>
      <c r="CT566" s="43"/>
      <c r="CU566" s="43"/>
      <c r="CV566" s="43"/>
      <c r="CW566" s="43"/>
      <c r="CX566" s="43"/>
      <c r="CY566" s="43"/>
      <c r="CZ566" s="43"/>
      <c r="DA566" s="43"/>
      <c r="DB566" s="43"/>
      <c r="DC566" s="43"/>
      <c r="DD566" s="43"/>
      <c r="DE566" s="43"/>
      <c r="DF566" s="43"/>
      <c r="DG566" s="43"/>
      <c r="DH566" s="43"/>
      <c r="DI566" s="43"/>
      <c r="DJ566" s="43"/>
      <c r="DK566" s="43"/>
      <c r="DL566" s="43"/>
      <c r="DM566" s="43"/>
      <c r="DN566" s="43"/>
      <c r="DO566" s="43"/>
      <c r="DP566" s="43"/>
      <c r="DQ566" s="43"/>
      <c r="DR566" s="43"/>
      <c r="DS566" s="43"/>
      <c r="DT566" s="43"/>
      <c r="DU566" s="43"/>
      <c r="DV566" s="43"/>
      <c r="DW566" s="43"/>
      <c r="DX566" s="43"/>
      <c r="DY566" s="43"/>
      <c r="DZ566" s="43"/>
      <c r="EA566" s="43"/>
      <c r="EB566" s="43"/>
      <c r="EC566" s="43"/>
      <c r="ED566" s="43"/>
      <c r="EE566" s="43"/>
      <c r="EF566" s="43"/>
      <c r="EG566" s="43"/>
      <c r="EH566" s="43"/>
      <c r="EI566" s="43"/>
      <c r="EJ566" s="43"/>
      <c r="EK566" s="43"/>
      <c r="EL566" s="43"/>
      <c r="EM566" s="43"/>
      <c r="EN566" s="43"/>
      <c r="EO566" s="43"/>
      <c r="EP566" s="43"/>
      <c r="EQ566" s="43"/>
      <c r="ER566" s="43"/>
      <c r="ES566" s="43"/>
      <c r="ET566" s="43"/>
      <c r="EU566" s="43"/>
      <c r="EV566" s="43"/>
      <c r="EW566" s="43"/>
      <c r="EX566" s="43"/>
      <c r="EY566" s="43"/>
      <c r="EZ566" s="43"/>
      <c r="FA566" s="43"/>
      <c r="FB566" s="43"/>
      <c r="FC566" s="43"/>
      <c r="FD566" s="43"/>
      <c r="FE566" s="43"/>
      <c r="FF566" s="43"/>
      <c r="FG566" s="43"/>
      <c r="FH566" s="50"/>
      <c r="FI566" s="50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43"/>
      <c r="CF567" s="43"/>
      <c r="CG567" s="43"/>
      <c r="CH567" s="43"/>
      <c r="CI567" s="43"/>
      <c r="CJ567" s="43"/>
      <c r="CK567" s="43"/>
      <c r="CL567" s="43"/>
      <c r="CM567" s="43"/>
      <c r="CN567" s="43"/>
      <c r="CO567" s="43"/>
      <c r="CP567" s="43"/>
      <c r="CQ567" s="43"/>
      <c r="CR567" s="43"/>
      <c r="CS567" s="43"/>
      <c r="CT567" s="43"/>
      <c r="CU567" s="43"/>
      <c r="CV567" s="43"/>
      <c r="CW567" s="43"/>
      <c r="CX567" s="43"/>
      <c r="CY567" s="43"/>
      <c r="CZ567" s="43"/>
      <c r="DA567" s="43"/>
      <c r="DB567" s="43"/>
      <c r="DC567" s="43"/>
      <c r="DD567" s="43"/>
      <c r="DE567" s="43"/>
      <c r="DF567" s="43"/>
      <c r="DG567" s="43"/>
      <c r="DH567" s="43"/>
      <c r="DI567" s="43"/>
      <c r="DJ567" s="43"/>
      <c r="DK567" s="43"/>
      <c r="DL567" s="43"/>
      <c r="DM567" s="43"/>
      <c r="DN567" s="43"/>
      <c r="DO567" s="43"/>
      <c r="DP567" s="43"/>
      <c r="DQ567" s="43"/>
      <c r="DR567" s="43"/>
      <c r="DS567" s="43"/>
      <c r="DT567" s="43"/>
      <c r="DU567" s="43"/>
      <c r="DV567" s="43"/>
      <c r="DW567" s="43"/>
      <c r="DX567" s="43"/>
      <c r="DY567" s="43"/>
      <c r="DZ567" s="43"/>
      <c r="EA567" s="43"/>
      <c r="EB567" s="43"/>
      <c r="EC567" s="43"/>
      <c r="ED567" s="43"/>
      <c r="EE567" s="43"/>
      <c r="EF567" s="43"/>
      <c r="EG567" s="43"/>
      <c r="EH567" s="43"/>
      <c r="EI567" s="43"/>
      <c r="EJ567" s="43"/>
      <c r="EK567" s="43"/>
      <c r="EL567" s="43"/>
      <c r="EM567" s="43"/>
      <c r="EN567" s="43"/>
      <c r="EO567" s="43"/>
      <c r="EP567" s="43"/>
      <c r="EQ567" s="43"/>
      <c r="ER567" s="43"/>
      <c r="ES567" s="43"/>
      <c r="ET567" s="43"/>
      <c r="EU567" s="43"/>
      <c r="EV567" s="43"/>
      <c r="EW567" s="43"/>
      <c r="EX567" s="43"/>
      <c r="EY567" s="43"/>
      <c r="EZ567" s="43"/>
      <c r="FA567" s="43"/>
      <c r="FB567" s="43"/>
      <c r="FC567" s="43"/>
      <c r="FD567" s="43"/>
      <c r="FE567" s="43"/>
      <c r="FF567" s="43"/>
      <c r="FG567" s="43"/>
      <c r="FH567" s="50"/>
      <c r="FI567" s="50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43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43"/>
      <c r="CF568" s="43"/>
      <c r="CG568" s="43"/>
      <c r="CH568" s="43"/>
      <c r="CI568" s="43"/>
      <c r="CJ568" s="43"/>
      <c r="CK568" s="43"/>
      <c r="CL568" s="43"/>
      <c r="CM568" s="43"/>
      <c r="CN568" s="43"/>
      <c r="CO568" s="43"/>
      <c r="CP568" s="43"/>
      <c r="CQ568" s="43"/>
      <c r="CR568" s="43"/>
      <c r="CS568" s="43"/>
      <c r="CT568" s="43"/>
      <c r="CU568" s="43"/>
      <c r="CV568" s="43"/>
      <c r="CW568" s="43"/>
      <c r="CX568" s="43"/>
      <c r="CY568" s="43"/>
      <c r="CZ568" s="43"/>
      <c r="DA568" s="43"/>
      <c r="DB568" s="43"/>
      <c r="DC568" s="43"/>
      <c r="DD568" s="43"/>
      <c r="DE568" s="43"/>
      <c r="DF568" s="43"/>
      <c r="DG568" s="43"/>
      <c r="DH568" s="43"/>
      <c r="DI568" s="43"/>
      <c r="DJ568" s="43"/>
      <c r="DK568" s="43"/>
      <c r="DL568" s="43"/>
      <c r="DM568" s="43"/>
      <c r="DN568" s="43"/>
      <c r="DO568" s="43"/>
      <c r="DP568" s="43"/>
      <c r="DQ568" s="43"/>
      <c r="DR568" s="43"/>
      <c r="DS568" s="43"/>
      <c r="DT568" s="43"/>
      <c r="DU568" s="43"/>
      <c r="DV568" s="43"/>
      <c r="DW568" s="43"/>
      <c r="DX568" s="43"/>
      <c r="DY568" s="43"/>
      <c r="DZ568" s="43"/>
      <c r="EA568" s="43"/>
      <c r="EB568" s="43"/>
      <c r="EC568" s="43"/>
      <c r="ED568" s="43"/>
      <c r="EE568" s="43"/>
      <c r="EF568" s="43"/>
      <c r="EG568" s="43"/>
      <c r="EH568" s="43"/>
      <c r="EI568" s="43"/>
      <c r="EJ568" s="43"/>
      <c r="EK568" s="43"/>
      <c r="EL568" s="43"/>
      <c r="EM568" s="43"/>
      <c r="EN568" s="43"/>
      <c r="EO568" s="43"/>
      <c r="EP568" s="43"/>
      <c r="EQ568" s="43"/>
      <c r="ER568" s="43"/>
      <c r="ES568" s="43"/>
      <c r="ET568" s="43"/>
      <c r="EU568" s="43"/>
      <c r="EV568" s="43"/>
      <c r="EW568" s="43"/>
      <c r="EX568" s="43"/>
      <c r="EY568" s="43"/>
      <c r="EZ568" s="43"/>
      <c r="FA568" s="43"/>
      <c r="FB568" s="43"/>
      <c r="FC568" s="43"/>
      <c r="FD568" s="43"/>
      <c r="FE568" s="43"/>
      <c r="FF568" s="43"/>
      <c r="FG568" s="43"/>
      <c r="FH568" s="50"/>
      <c r="FI568" s="50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43"/>
      <c r="CF569" s="43"/>
      <c r="CG569" s="43"/>
      <c r="CH569" s="43"/>
      <c r="CI569" s="43"/>
      <c r="CJ569" s="43"/>
      <c r="CK569" s="43"/>
      <c r="CL569" s="43"/>
      <c r="CM569" s="43"/>
      <c r="CN569" s="43"/>
      <c r="CO569" s="43"/>
      <c r="CP569" s="43"/>
      <c r="CQ569" s="43"/>
      <c r="CR569" s="43"/>
      <c r="CS569" s="43"/>
      <c r="CT569" s="43"/>
      <c r="CU569" s="43"/>
      <c r="CV569" s="43"/>
      <c r="CW569" s="43"/>
      <c r="CX569" s="43"/>
      <c r="CY569" s="43"/>
      <c r="CZ569" s="43"/>
      <c r="DA569" s="43"/>
      <c r="DB569" s="43"/>
      <c r="DC569" s="43"/>
      <c r="DD569" s="43"/>
      <c r="DE569" s="43"/>
      <c r="DF569" s="43"/>
      <c r="DG569" s="43"/>
      <c r="DH569" s="43"/>
      <c r="DI569" s="43"/>
      <c r="DJ569" s="43"/>
      <c r="DK569" s="43"/>
      <c r="DL569" s="43"/>
      <c r="DM569" s="43"/>
      <c r="DN569" s="43"/>
      <c r="DO569" s="43"/>
      <c r="DP569" s="43"/>
      <c r="DQ569" s="43"/>
      <c r="DR569" s="43"/>
      <c r="DS569" s="43"/>
      <c r="DT569" s="43"/>
      <c r="DU569" s="43"/>
      <c r="DV569" s="43"/>
      <c r="DW569" s="43"/>
      <c r="DX569" s="43"/>
      <c r="DY569" s="43"/>
      <c r="DZ569" s="43"/>
      <c r="EA569" s="43"/>
      <c r="EB569" s="43"/>
      <c r="EC569" s="43"/>
      <c r="ED569" s="43"/>
      <c r="EE569" s="43"/>
      <c r="EF569" s="43"/>
      <c r="EG569" s="43"/>
      <c r="EH569" s="43"/>
      <c r="EI569" s="43"/>
      <c r="EJ569" s="43"/>
      <c r="EK569" s="43"/>
      <c r="EL569" s="43"/>
      <c r="EM569" s="43"/>
      <c r="EN569" s="43"/>
      <c r="EO569" s="43"/>
      <c r="EP569" s="43"/>
      <c r="EQ569" s="43"/>
      <c r="ER569" s="43"/>
      <c r="ES569" s="43"/>
      <c r="ET569" s="43"/>
      <c r="EU569" s="43"/>
      <c r="EV569" s="43"/>
      <c r="EW569" s="43"/>
      <c r="EX569" s="43"/>
      <c r="EY569" s="43"/>
      <c r="EZ569" s="43"/>
      <c r="FA569" s="43"/>
      <c r="FB569" s="43"/>
      <c r="FC569" s="43"/>
      <c r="FD569" s="43"/>
      <c r="FE569" s="43"/>
      <c r="FF569" s="43"/>
      <c r="FG569" s="43"/>
      <c r="FH569" s="50"/>
      <c r="FI569" s="50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43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43"/>
      <c r="CF570" s="43"/>
      <c r="CG570" s="43"/>
      <c r="CH570" s="43"/>
      <c r="CI570" s="43"/>
      <c r="CJ570" s="43"/>
      <c r="CK570" s="43"/>
      <c r="CL570" s="43"/>
      <c r="CM570" s="43"/>
      <c r="CN570" s="43"/>
      <c r="CO570" s="43"/>
      <c r="CP570" s="43"/>
      <c r="CQ570" s="43"/>
      <c r="CR570" s="43"/>
      <c r="CS570" s="43"/>
      <c r="CT570" s="43"/>
      <c r="CU570" s="43"/>
      <c r="CV570" s="43"/>
      <c r="CW570" s="43"/>
      <c r="CX570" s="43"/>
      <c r="CY570" s="43"/>
      <c r="CZ570" s="43"/>
      <c r="DA570" s="43"/>
      <c r="DB570" s="43"/>
      <c r="DC570" s="43"/>
      <c r="DD570" s="43"/>
      <c r="DE570" s="43"/>
      <c r="DF570" s="43"/>
      <c r="DG570" s="43"/>
      <c r="DH570" s="43"/>
      <c r="DI570" s="43"/>
      <c r="DJ570" s="43"/>
      <c r="DK570" s="43"/>
      <c r="DL570" s="43"/>
      <c r="DM570" s="43"/>
      <c r="DN570" s="43"/>
      <c r="DO570" s="43"/>
      <c r="DP570" s="43"/>
      <c r="DQ570" s="43"/>
      <c r="DR570" s="43"/>
      <c r="DS570" s="43"/>
      <c r="DT570" s="43"/>
      <c r="DU570" s="43"/>
      <c r="DV570" s="43"/>
      <c r="DW570" s="43"/>
      <c r="DX570" s="43"/>
      <c r="DY570" s="43"/>
      <c r="DZ570" s="43"/>
      <c r="EA570" s="43"/>
      <c r="EB570" s="43"/>
      <c r="EC570" s="43"/>
      <c r="ED570" s="43"/>
      <c r="EE570" s="43"/>
      <c r="EF570" s="43"/>
      <c r="EG570" s="43"/>
      <c r="EH570" s="43"/>
      <c r="EI570" s="43"/>
      <c r="EJ570" s="43"/>
      <c r="EK570" s="43"/>
      <c r="EL570" s="43"/>
      <c r="EM570" s="43"/>
      <c r="EN570" s="43"/>
      <c r="EO570" s="43"/>
      <c r="EP570" s="43"/>
      <c r="EQ570" s="43"/>
      <c r="ER570" s="43"/>
      <c r="ES570" s="43"/>
      <c r="ET570" s="43"/>
      <c r="EU570" s="43"/>
      <c r="EV570" s="43"/>
      <c r="EW570" s="43"/>
      <c r="EX570" s="43"/>
      <c r="EY570" s="43"/>
      <c r="EZ570" s="43"/>
      <c r="FA570" s="43"/>
      <c r="FB570" s="43"/>
      <c r="FC570" s="43"/>
      <c r="FD570" s="43"/>
      <c r="FE570" s="43"/>
      <c r="FF570" s="43"/>
      <c r="FG570" s="43"/>
      <c r="FH570" s="50"/>
      <c r="FI570" s="50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43"/>
      <c r="CF571" s="43"/>
      <c r="CG571" s="43"/>
      <c r="CH571" s="43"/>
      <c r="CI571" s="43"/>
      <c r="CJ571" s="43"/>
      <c r="CK571" s="43"/>
      <c r="CL571" s="43"/>
      <c r="CM571" s="43"/>
      <c r="CN571" s="43"/>
      <c r="CO571" s="43"/>
      <c r="CP571" s="43"/>
      <c r="CQ571" s="43"/>
      <c r="CR571" s="43"/>
      <c r="CS571" s="43"/>
      <c r="CT571" s="43"/>
      <c r="CU571" s="43"/>
      <c r="CV571" s="43"/>
      <c r="CW571" s="43"/>
      <c r="CX571" s="43"/>
      <c r="CY571" s="43"/>
      <c r="CZ571" s="43"/>
      <c r="DA571" s="43"/>
      <c r="DB571" s="43"/>
      <c r="DC571" s="43"/>
      <c r="DD571" s="43"/>
      <c r="DE571" s="43"/>
      <c r="DF571" s="43"/>
      <c r="DG571" s="43"/>
      <c r="DH571" s="43"/>
      <c r="DI571" s="43"/>
      <c r="DJ571" s="43"/>
      <c r="DK571" s="43"/>
      <c r="DL571" s="43"/>
      <c r="DM571" s="43"/>
      <c r="DN571" s="43"/>
      <c r="DO571" s="43"/>
      <c r="DP571" s="43"/>
      <c r="DQ571" s="43"/>
      <c r="DR571" s="43"/>
      <c r="DS571" s="43"/>
      <c r="DT571" s="43"/>
      <c r="DU571" s="43"/>
      <c r="DV571" s="43"/>
      <c r="DW571" s="43"/>
      <c r="DX571" s="43"/>
      <c r="DY571" s="43"/>
      <c r="DZ571" s="43"/>
      <c r="EA571" s="43"/>
      <c r="EB571" s="43"/>
      <c r="EC571" s="43"/>
      <c r="ED571" s="43"/>
      <c r="EE571" s="43"/>
      <c r="EF571" s="43"/>
      <c r="EG571" s="43"/>
      <c r="EH571" s="43"/>
      <c r="EI571" s="43"/>
      <c r="EJ571" s="43"/>
      <c r="EK571" s="43"/>
      <c r="EL571" s="43"/>
      <c r="EM571" s="43"/>
      <c r="EN571" s="43"/>
      <c r="EO571" s="43"/>
      <c r="EP571" s="43"/>
      <c r="EQ571" s="43"/>
      <c r="ER571" s="43"/>
      <c r="ES571" s="43"/>
      <c r="ET571" s="43"/>
      <c r="EU571" s="43"/>
      <c r="EV571" s="43"/>
      <c r="EW571" s="43"/>
      <c r="EX571" s="43"/>
      <c r="EY571" s="43"/>
      <c r="EZ571" s="43"/>
      <c r="FA571" s="43"/>
      <c r="FB571" s="43"/>
      <c r="FC571" s="43"/>
      <c r="FD571" s="43"/>
      <c r="FE571" s="43"/>
      <c r="FF571" s="43"/>
      <c r="FG571" s="43"/>
      <c r="FH571" s="50"/>
      <c r="FI571" s="50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43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43"/>
      <c r="CF572" s="43"/>
      <c r="CG572" s="43"/>
      <c r="CH572" s="43"/>
      <c r="CI572" s="43"/>
      <c r="CJ572" s="43"/>
      <c r="CK572" s="43"/>
      <c r="CL572" s="43"/>
      <c r="CM572" s="43"/>
      <c r="CN572" s="43"/>
      <c r="CO572" s="43"/>
      <c r="CP572" s="43"/>
      <c r="CQ572" s="43"/>
      <c r="CR572" s="43"/>
      <c r="CS572" s="43"/>
      <c r="CT572" s="43"/>
      <c r="CU572" s="43"/>
      <c r="CV572" s="43"/>
      <c r="CW572" s="43"/>
      <c r="CX572" s="43"/>
      <c r="CY572" s="43"/>
      <c r="CZ572" s="43"/>
      <c r="DA572" s="43"/>
      <c r="DB572" s="43"/>
      <c r="DC572" s="43"/>
      <c r="DD572" s="43"/>
      <c r="DE572" s="43"/>
      <c r="DF572" s="43"/>
      <c r="DG572" s="43"/>
      <c r="DH572" s="43"/>
      <c r="DI572" s="43"/>
      <c r="DJ572" s="43"/>
      <c r="DK572" s="43"/>
      <c r="DL572" s="43"/>
      <c r="DM572" s="43"/>
      <c r="DN572" s="43"/>
      <c r="DO572" s="43"/>
      <c r="DP572" s="43"/>
      <c r="DQ572" s="43"/>
      <c r="DR572" s="43"/>
      <c r="DS572" s="43"/>
      <c r="DT572" s="43"/>
      <c r="DU572" s="43"/>
      <c r="DV572" s="43"/>
      <c r="DW572" s="43"/>
      <c r="DX572" s="43"/>
      <c r="DY572" s="43"/>
      <c r="DZ572" s="43"/>
      <c r="EA572" s="43"/>
      <c r="EB572" s="43"/>
      <c r="EC572" s="43"/>
      <c r="ED572" s="43"/>
      <c r="EE572" s="43"/>
      <c r="EF572" s="43"/>
      <c r="EG572" s="43"/>
      <c r="EH572" s="43"/>
      <c r="EI572" s="43"/>
      <c r="EJ572" s="43"/>
      <c r="EK572" s="43"/>
      <c r="EL572" s="43"/>
      <c r="EM572" s="43"/>
      <c r="EN572" s="43"/>
      <c r="EO572" s="43"/>
      <c r="EP572" s="43"/>
      <c r="EQ572" s="43"/>
      <c r="ER572" s="43"/>
      <c r="ES572" s="43"/>
      <c r="ET572" s="43"/>
      <c r="EU572" s="43"/>
      <c r="EV572" s="43"/>
      <c r="EW572" s="43"/>
      <c r="EX572" s="43"/>
      <c r="EY572" s="43"/>
      <c r="EZ572" s="43"/>
      <c r="FA572" s="43"/>
      <c r="FB572" s="43"/>
      <c r="FC572" s="43"/>
      <c r="FD572" s="43"/>
      <c r="FE572" s="43"/>
      <c r="FF572" s="43"/>
      <c r="FG572" s="43"/>
      <c r="FH572" s="50"/>
      <c r="FI572" s="50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43"/>
      <c r="CF573" s="43"/>
      <c r="CG573" s="43"/>
      <c r="CH573" s="43"/>
      <c r="CI573" s="43"/>
      <c r="CJ573" s="43"/>
      <c r="CK573" s="43"/>
      <c r="CL573" s="43"/>
      <c r="CM573" s="43"/>
      <c r="CN573" s="43"/>
      <c r="CO573" s="43"/>
      <c r="CP573" s="43"/>
      <c r="CQ573" s="43"/>
      <c r="CR573" s="43"/>
      <c r="CS573" s="43"/>
      <c r="CT573" s="43"/>
      <c r="CU573" s="43"/>
      <c r="CV573" s="43"/>
      <c r="CW573" s="43"/>
      <c r="CX573" s="43"/>
      <c r="CY573" s="43"/>
      <c r="CZ573" s="43"/>
      <c r="DA573" s="43"/>
      <c r="DB573" s="43"/>
      <c r="DC573" s="43"/>
      <c r="DD573" s="43"/>
      <c r="DE573" s="43"/>
      <c r="DF573" s="43"/>
      <c r="DG573" s="43"/>
      <c r="DH573" s="43"/>
      <c r="DI573" s="43"/>
      <c r="DJ573" s="43"/>
      <c r="DK573" s="43"/>
      <c r="DL573" s="43"/>
      <c r="DM573" s="43"/>
      <c r="DN573" s="43"/>
      <c r="DO573" s="43"/>
      <c r="DP573" s="43"/>
      <c r="DQ573" s="43"/>
      <c r="DR573" s="43"/>
      <c r="DS573" s="43"/>
      <c r="DT573" s="43"/>
      <c r="DU573" s="43"/>
      <c r="DV573" s="43"/>
      <c r="DW573" s="43"/>
      <c r="DX573" s="43"/>
      <c r="DY573" s="43"/>
      <c r="DZ573" s="43"/>
      <c r="EA573" s="43"/>
      <c r="EB573" s="43"/>
      <c r="EC573" s="43"/>
      <c r="ED573" s="43"/>
      <c r="EE573" s="43"/>
      <c r="EF573" s="43"/>
      <c r="EG573" s="43"/>
      <c r="EH573" s="43"/>
      <c r="EI573" s="43"/>
      <c r="EJ573" s="43"/>
      <c r="EK573" s="43"/>
      <c r="EL573" s="43"/>
      <c r="EM573" s="43"/>
      <c r="EN573" s="43"/>
      <c r="EO573" s="43"/>
      <c r="EP573" s="43"/>
      <c r="EQ573" s="43"/>
      <c r="ER573" s="43"/>
      <c r="ES573" s="43"/>
      <c r="ET573" s="43"/>
      <c r="EU573" s="43"/>
      <c r="EV573" s="43"/>
      <c r="EW573" s="43"/>
      <c r="EX573" s="43"/>
      <c r="EY573" s="43"/>
      <c r="EZ573" s="43"/>
      <c r="FA573" s="43"/>
      <c r="FB573" s="43"/>
      <c r="FC573" s="43"/>
      <c r="FD573" s="43"/>
      <c r="FE573" s="43"/>
      <c r="FF573" s="43"/>
      <c r="FG573" s="43"/>
      <c r="FH573" s="50"/>
      <c r="FI573" s="50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43"/>
      <c r="CH574" s="43"/>
      <c r="CI574" s="43"/>
      <c r="CJ574" s="43"/>
      <c r="CK574" s="43"/>
      <c r="CL574" s="43"/>
      <c r="CM574" s="43"/>
      <c r="CN574" s="43"/>
      <c r="CO574" s="43"/>
      <c r="CP574" s="43"/>
      <c r="CQ574" s="43"/>
      <c r="CR574" s="43"/>
      <c r="CS574" s="43"/>
      <c r="CT574" s="43"/>
      <c r="CU574" s="43"/>
      <c r="CV574" s="43"/>
      <c r="CW574" s="43"/>
      <c r="CX574" s="43"/>
      <c r="CY574" s="43"/>
      <c r="CZ574" s="43"/>
      <c r="DA574" s="43"/>
      <c r="DB574" s="43"/>
      <c r="DC574" s="43"/>
      <c r="DD574" s="43"/>
      <c r="DE574" s="43"/>
      <c r="DF574" s="43"/>
      <c r="DG574" s="43"/>
      <c r="DH574" s="43"/>
      <c r="DI574" s="43"/>
      <c r="DJ574" s="43"/>
      <c r="DK574" s="43"/>
      <c r="DL574" s="43"/>
      <c r="DM574" s="43"/>
      <c r="DN574" s="43"/>
      <c r="DO574" s="43"/>
      <c r="DP574" s="43"/>
      <c r="DQ574" s="43"/>
      <c r="DR574" s="43"/>
      <c r="DS574" s="43"/>
      <c r="DT574" s="43"/>
      <c r="DU574" s="43"/>
      <c r="DV574" s="43"/>
      <c r="DW574" s="43"/>
      <c r="DX574" s="43"/>
      <c r="DY574" s="43"/>
      <c r="DZ574" s="43"/>
      <c r="EA574" s="43"/>
      <c r="EB574" s="43"/>
      <c r="EC574" s="43"/>
      <c r="ED574" s="43"/>
      <c r="EE574" s="43"/>
      <c r="EF574" s="43"/>
      <c r="EG574" s="43"/>
      <c r="EH574" s="43"/>
      <c r="EI574" s="43"/>
      <c r="EJ574" s="43"/>
      <c r="EK574" s="43"/>
      <c r="EL574" s="43"/>
      <c r="EM574" s="43"/>
      <c r="EN574" s="43"/>
      <c r="EO574" s="43"/>
      <c r="EP574" s="43"/>
      <c r="EQ574" s="43"/>
      <c r="ER574" s="43"/>
      <c r="ES574" s="43"/>
      <c r="ET574" s="43"/>
      <c r="EU574" s="43"/>
      <c r="EV574" s="43"/>
      <c r="EW574" s="43"/>
      <c r="EX574" s="43"/>
      <c r="EY574" s="43"/>
      <c r="EZ574" s="43"/>
      <c r="FA574" s="43"/>
      <c r="FB574" s="43"/>
      <c r="FC574" s="43"/>
      <c r="FD574" s="43"/>
      <c r="FE574" s="43"/>
      <c r="FF574" s="43"/>
      <c r="FG574" s="43"/>
      <c r="FH574" s="50"/>
      <c r="FI574" s="50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  <c r="CS575" s="43"/>
      <c r="CT575" s="43"/>
      <c r="CU575" s="43"/>
      <c r="CV575" s="43"/>
      <c r="CW575" s="43"/>
      <c r="CX575" s="43"/>
      <c r="CY575" s="43"/>
      <c r="CZ575" s="43"/>
      <c r="DA575" s="43"/>
      <c r="DB575" s="43"/>
      <c r="DC575" s="43"/>
      <c r="DD575" s="43"/>
      <c r="DE575" s="43"/>
      <c r="DF575" s="43"/>
      <c r="DG575" s="43"/>
      <c r="DH575" s="43"/>
      <c r="DI575" s="43"/>
      <c r="DJ575" s="43"/>
      <c r="DK575" s="43"/>
      <c r="DL575" s="43"/>
      <c r="DM575" s="43"/>
      <c r="DN575" s="43"/>
      <c r="DO575" s="43"/>
      <c r="DP575" s="43"/>
      <c r="DQ575" s="43"/>
      <c r="DR575" s="43"/>
      <c r="DS575" s="43"/>
      <c r="DT575" s="43"/>
      <c r="DU575" s="43"/>
      <c r="DV575" s="43"/>
      <c r="DW575" s="43"/>
      <c r="DX575" s="43"/>
      <c r="DY575" s="43"/>
      <c r="DZ575" s="43"/>
      <c r="EA575" s="43"/>
      <c r="EB575" s="43"/>
      <c r="EC575" s="43"/>
      <c r="ED575" s="43"/>
      <c r="EE575" s="43"/>
      <c r="EF575" s="43"/>
      <c r="EG575" s="43"/>
      <c r="EH575" s="43"/>
      <c r="EI575" s="43"/>
      <c r="EJ575" s="43"/>
      <c r="EK575" s="43"/>
      <c r="EL575" s="43"/>
      <c r="EM575" s="43"/>
      <c r="EN575" s="43"/>
      <c r="EO575" s="43"/>
      <c r="EP575" s="43"/>
      <c r="EQ575" s="43"/>
      <c r="ER575" s="43"/>
      <c r="ES575" s="43"/>
      <c r="ET575" s="43"/>
      <c r="EU575" s="43"/>
      <c r="EV575" s="43"/>
      <c r="EW575" s="43"/>
      <c r="EX575" s="43"/>
      <c r="EY575" s="43"/>
      <c r="EZ575" s="43"/>
      <c r="FA575" s="43"/>
      <c r="FB575" s="43"/>
      <c r="FC575" s="43"/>
      <c r="FD575" s="43"/>
      <c r="FE575" s="43"/>
      <c r="FF575" s="43"/>
      <c r="FG575" s="43"/>
      <c r="FH575" s="50"/>
      <c r="FI575" s="50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43"/>
      <c r="CH576" s="43"/>
      <c r="CI576" s="43"/>
      <c r="CJ576" s="43"/>
      <c r="CK576" s="43"/>
      <c r="CL576" s="43"/>
      <c r="CM576" s="43"/>
      <c r="CN576" s="43"/>
      <c r="CO576" s="43"/>
      <c r="CP576" s="43"/>
      <c r="CQ576" s="43"/>
      <c r="CR576" s="43"/>
      <c r="CS576" s="43"/>
      <c r="CT576" s="43"/>
      <c r="CU576" s="43"/>
      <c r="CV576" s="43"/>
      <c r="CW576" s="43"/>
      <c r="CX576" s="43"/>
      <c r="CY576" s="43"/>
      <c r="CZ576" s="43"/>
      <c r="DA576" s="43"/>
      <c r="DB576" s="43"/>
      <c r="DC576" s="43"/>
      <c r="DD576" s="43"/>
      <c r="DE576" s="43"/>
      <c r="DF576" s="43"/>
      <c r="DG576" s="43"/>
      <c r="DH576" s="43"/>
      <c r="DI576" s="43"/>
      <c r="DJ576" s="43"/>
      <c r="DK576" s="43"/>
      <c r="DL576" s="43"/>
      <c r="DM576" s="43"/>
      <c r="DN576" s="43"/>
      <c r="DO576" s="43"/>
      <c r="DP576" s="43"/>
      <c r="DQ576" s="43"/>
      <c r="DR576" s="43"/>
      <c r="DS576" s="43"/>
      <c r="DT576" s="43"/>
      <c r="DU576" s="43"/>
      <c r="DV576" s="43"/>
      <c r="DW576" s="43"/>
      <c r="DX576" s="43"/>
      <c r="DY576" s="43"/>
      <c r="DZ576" s="43"/>
      <c r="EA576" s="43"/>
      <c r="EB576" s="43"/>
      <c r="EC576" s="43"/>
      <c r="ED576" s="43"/>
      <c r="EE576" s="43"/>
      <c r="EF576" s="43"/>
      <c r="EG576" s="43"/>
      <c r="EH576" s="43"/>
      <c r="EI576" s="43"/>
      <c r="EJ576" s="43"/>
      <c r="EK576" s="43"/>
      <c r="EL576" s="43"/>
      <c r="EM576" s="43"/>
      <c r="EN576" s="43"/>
      <c r="EO576" s="43"/>
      <c r="EP576" s="43"/>
      <c r="EQ576" s="43"/>
      <c r="ER576" s="43"/>
      <c r="ES576" s="43"/>
      <c r="ET576" s="43"/>
      <c r="EU576" s="43"/>
      <c r="EV576" s="43"/>
      <c r="EW576" s="43"/>
      <c r="EX576" s="43"/>
      <c r="EY576" s="43"/>
      <c r="EZ576" s="43"/>
      <c r="FA576" s="43"/>
      <c r="FB576" s="43"/>
      <c r="FC576" s="43"/>
      <c r="FD576" s="43"/>
      <c r="FE576" s="43"/>
      <c r="FF576" s="43"/>
      <c r="FG576" s="43"/>
      <c r="FH576" s="50"/>
      <c r="FI576" s="50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43"/>
      <c r="CF577" s="43"/>
      <c r="CG577" s="43"/>
      <c r="CH577" s="43"/>
      <c r="CI577" s="43"/>
      <c r="CJ577" s="43"/>
      <c r="CK577" s="43"/>
      <c r="CL577" s="43"/>
      <c r="CM577" s="43"/>
      <c r="CN577" s="43"/>
      <c r="CO577" s="43"/>
      <c r="CP577" s="43"/>
      <c r="CQ577" s="43"/>
      <c r="CR577" s="43"/>
      <c r="CS577" s="43"/>
      <c r="CT577" s="43"/>
      <c r="CU577" s="43"/>
      <c r="CV577" s="43"/>
      <c r="CW577" s="43"/>
      <c r="CX577" s="43"/>
      <c r="CY577" s="43"/>
      <c r="CZ577" s="43"/>
      <c r="DA577" s="43"/>
      <c r="DB577" s="43"/>
      <c r="DC577" s="43"/>
      <c r="DD577" s="43"/>
      <c r="DE577" s="43"/>
      <c r="DF577" s="43"/>
      <c r="DG577" s="43"/>
      <c r="DH577" s="43"/>
      <c r="DI577" s="43"/>
      <c r="DJ577" s="43"/>
      <c r="DK577" s="43"/>
      <c r="DL577" s="43"/>
      <c r="DM577" s="43"/>
      <c r="DN577" s="43"/>
      <c r="DO577" s="43"/>
      <c r="DP577" s="43"/>
      <c r="DQ577" s="43"/>
      <c r="DR577" s="43"/>
      <c r="DS577" s="43"/>
      <c r="DT577" s="43"/>
      <c r="DU577" s="43"/>
      <c r="DV577" s="43"/>
      <c r="DW577" s="43"/>
      <c r="DX577" s="43"/>
      <c r="DY577" s="43"/>
      <c r="DZ577" s="43"/>
      <c r="EA577" s="43"/>
      <c r="EB577" s="43"/>
      <c r="EC577" s="43"/>
      <c r="ED577" s="43"/>
      <c r="EE577" s="43"/>
      <c r="EF577" s="43"/>
      <c r="EG577" s="43"/>
      <c r="EH577" s="43"/>
      <c r="EI577" s="43"/>
      <c r="EJ577" s="43"/>
      <c r="EK577" s="43"/>
      <c r="EL577" s="43"/>
      <c r="EM577" s="43"/>
      <c r="EN577" s="43"/>
      <c r="EO577" s="43"/>
      <c r="EP577" s="43"/>
      <c r="EQ577" s="43"/>
      <c r="ER577" s="43"/>
      <c r="ES577" s="43"/>
      <c r="ET577" s="43"/>
      <c r="EU577" s="43"/>
      <c r="EV577" s="43"/>
      <c r="EW577" s="43"/>
      <c r="EX577" s="43"/>
      <c r="EY577" s="43"/>
      <c r="EZ577" s="43"/>
      <c r="FA577" s="43"/>
      <c r="FB577" s="43"/>
      <c r="FC577" s="43"/>
      <c r="FD577" s="43"/>
      <c r="FE577" s="43"/>
      <c r="FF577" s="43"/>
      <c r="FG577" s="43"/>
      <c r="FH577" s="50"/>
      <c r="FI577" s="50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  <c r="CS578" s="43"/>
      <c r="CT578" s="43"/>
      <c r="CU578" s="43"/>
      <c r="CV578" s="43"/>
      <c r="CW578" s="43"/>
      <c r="CX578" s="43"/>
      <c r="CY578" s="43"/>
      <c r="CZ578" s="43"/>
      <c r="DA578" s="43"/>
      <c r="DB578" s="43"/>
      <c r="DC578" s="43"/>
      <c r="DD578" s="43"/>
      <c r="DE578" s="43"/>
      <c r="DF578" s="43"/>
      <c r="DG578" s="43"/>
      <c r="DH578" s="43"/>
      <c r="DI578" s="43"/>
      <c r="DJ578" s="43"/>
      <c r="DK578" s="43"/>
      <c r="DL578" s="43"/>
      <c r="DM578" s="43"/>
      <c r="DN578" s="43"/>
      <c r="DO578" s="43"/>
      <c r="DP578" s="43"/>
      <c r="DQ578" s="43"/>
      <c r="DR578" s="43"/>
      <c r="DS578" s="43"/>
      <c r="DT578" s="43"/>
      <c r="DU578" s="43"/>
      <c r="DV578" s="43"/>
      <c r="DW578" s="43"/>
      <c r="DX578" s="43"/>
      <c r="DY578" s="43"/>
      <c r="DZ578" s="43"/>
      <c r="EA578" s="43"/>
      <c r="EB578" s="43"/>
      <c r="EC578" s="43"/>
      <c r="ED578" s="43"/>
      <c r="EE578" s="43"/>
      <c r="EF578" s="43"/>
      <c r="EG578" s="43"/>
      <c r="EH578" s="43"/>
      <c r="EI578" s="43"/>
      <c r="EJ578" s="43"/>
      <c r="EK578" s="43"/>
      <c r="EL578" s="43"/>
      <c r="EM578" s="43"/>
      <c r="EN578" s="43"/>
      <c r="EO578" s="43"/>
      <c r="EP578" s="43"/>
      <c r="EQ578" s="43"/>
      <c r="ER578" s="43"/>
      <c r="ES578" s="43"/>
      <c r="ET578" s="43"/>
      <c r="EU578" s="43"/>
      <c r="EV578" s="43"/>
      <c r="EW578" s="43"/>
      <c r="EX578" s="43"/>
      <c r="EY578" s="43"/>
      <c r="EZ578" s="43"/>
      <c r="FA578" s="43"/>
      <c r="FB578" s="43"/>
      <c r="FC578" s="43"/>
      <c r="FD578" s="43"/>
      <c r="FE578" s="43"/>
      <c r="FF578" s="43"/>
      <c r="FG578" s="43"/>
      <c r="FH578" s="50"/>
      <c r="FI578" s="50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43"/>
      <c r="CH579" s="43"/>
      <c r="CI579" s="43"/>
      <c r="CJ579" s="43"/>
      <c r="CK579" s="43"/>
      <c r="CL579" s="43"/>
      <c r="CM579" s="43"/>
      <c r="CN579" s="43"/>
      <c r="CO579" s="43"/>
      <c r="CP579" s="43"/>
      <c r="CQ579" s="43"/>
      <c r="CR579" s="43"/>
      <c r="CS579" s="43"/>
      <c r="CT579" s="43"/>
      <c r="CU579" s="43"/>
      <c r="CV579" s="43"/>
      <c r="CW579" s="43"/>
      <c r="CX579" s="43"/>
      <c r="CY579" s="43"/>
      <c r="CZ579" s="43"/>
      <c r="DA579" s="43"/>
      <c r="DB579" s="43"/>
      <c r="DC579" s="43"/>
      <c r="DD579" s="43"/>
      <c r="DE579" s="43"/>
      <c r="DF579" s="43"/>
      <c r="DG579" s="43"/>
      <c r="DH579" s="43"/>
      <c r="DI579" s="43"/>
      <c r="DJ579" s="43"/>
      <c r="DK579" s="43"/>
      <c r="DL579" s="43"/>
      <c r="DM579" s="43"/>
      <c r="DN579" s="43"/>
      <c r="DO579" s="43"/>
      <c r="DP579" s="43"/>
      <c r="DQ579" s="43"/>
      <c r="DR579" s="43"/>
      <c r="DS579" s="43"/>
      <c r="DT579" s="43"/>
      <c r="DU579" s="43"/>
      <c r="DV579" s="43"/>
      <c r="DW579" s="43"/>
      <c r="DX579" s="43"/>
      <c r="DY579" s="43"/>
      <c r="DZ579" s="43"/>
      <c r="EA579" s="43"/>
      <c r="EB579" s="43"/>
      <c r="EC579" s="43"/>
      <c r="ED579" s="43"/>
      <c r="EE579" s="43"/>
      <c r="EF579" s="43"/>
      <c r="EG579" s="43"/>
      <c r="EH579" s="43"/>
      <c r="EI579" s="43"/>
      <c r="EJ579" s="43"/>
      <c r="EK579" s="43"/>
      <c r="EL579" s="43"/>
      <c r="EM579" s="43"/>
      <c r="EN579" s="43"/>
      <c r="EO579" s="43"/>
      <c r="EP579" s="43"/>
      <c r="EQ579" s="43"/>
      <c r="ER579" s="43"/>
      <c r="ES579" s="43"/>
      <c r="ET579" s="43"/>
      <c r="EU579" s="43"/>
      <c r="EV579" s="43"/>
      <c r="EW579" s="43"/>
      <c r="EX579" s="43"/>
      <c r="EY579" s="43"/>
      <c r="EZ579" s="43"/>
      <c r="FA579" s="43"/>
      <c r="FB579" s="43"/>
      <c r="FC579" s="43"/>
      <c r="FD579" s="43"/>
      <c r="FE579" s="43"/>
      <c r="FF579" s="43"/>
      <c r="FG579" s="43"/>
      <c r="FH579" s="50"/>
      <c r="FI579" s="50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43"/>
      <c r="CH580" s="43"/>
      <c r="CI580" s="43"/>
      <c r="CJ580" s="43"/>
      <c r="CK580" s="43"/>
      <c r="CL580" s="43"/>
      <c r="CM580" s="43"/>
      <c r="CN580" s="43"/>
      <c r="CO580" s="43"/>
      <c r="CP580" s="43"/>
      <c r="CQ580" s="43"/>
      <c r="CR580" s="43"/>
      <c r="CS580" s="43"/>
      <c r="CT580" s="43"/>
      <c r="CU580" s="43"/>
      <c r="CV580" s="43"/>
      <c r="CW580" s="43"/>
      <c r="CX580" s="43"/>
      <c r="CY580" s="43"/>
      <c r="CZ580" s="43"/>
      <c r="DA580" s="43"/>
      <c r="DB580" s="43"/>
      <c r="DC580" s="43"/>
      <c r="DD580" s="43"/>
      <c r="DE580" s="43"/>
      <c r="DF580" s="43"/>
      <c r="DG580" s="43"/>
      <c r="DH580" s="43"/>
      <c r="DI580" s="43"/>
      <c r="DJ580" s="43"/>
      <c r="DK580" s="43"/>
      <c r="DL580" s="43"/>
      <c r="DM580" s="43"/>
      <c r="DN580" s="43"/>
      <c r="DO580" s="43"/>
      <c r="DP580" s="43"/>
      <c r="DQ580" s="43"/>
      <c r="DR580" s="43"/>
      <c r="DS580" s="43"/>
      <c r="DT580" s="43"/>
      <c r="DU580" s="43"/>
      <c r="DV580" s="43"/>
      <c r="DW580" s="43"/>
      <c r="DX580" s="43"/>
      <c r="DY580" s="43"/>
      <c r="DZ580" s="43"/>
      <c r="EA580" s="43"/>
      <c r="EB580" s="43"/>
      <c r="EC580" s="43"/>
      <c r="ED580" s="43"/>
      <c r="EE580" s="43"/>
      <c r="EF580" s="43"/>
      <c r="EG580" s="43"/>
      <c r="EH580" s="43"/>
      <c r="EI580" s="43"/>
      <c r="EJ580" s="43"/>
      <c r="EK580" s="43"/>
      <c r="EL580" s="43"/>
      <c r="EM580" s="43"/>
      <c r="EN580" s="43"/>
      <c r="EO580" s="43"/>
      <c r="EP580" s="43"/>
      <c r="EQ580" s="43"/>
      <c r="ER580" s="43"/>
      <c r="ES580" s="43"/>
      <c r="ET580" s="43"/>
      <c r="EU580" s="43"/>
      <c r="EV580" s="43"/>
      <c r="EW580" s="43"/>
      <c r="EX580" s="43"/>
      <c r="EY580" s="43"/>
      <c r="EZ580" s="43"/>
      <c r="FA580" s="43"/>
      <c r="FB580" s="43"/>
      <c r="FC580" s="43"/>
      <c r="FD580" s="43"/>
      <c r="FE580" s="43"/>
      <c r="FF580" s="43"/>
      <c r="FG580" s="43"/>
      <c r="FH580" s="50"/>
      <c r="FI580" s="50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43"/>
      <c r="CH581" s="43"/>
      <c r="CI581" s="43"/>
      <c r="CJ581" s="43"/>
      <c r="CK581" s="43"/>
      <c r="CL581" s="43"/>
      <c r="CM581" s="43"/>
      <c r="CN581" s="43"/>
      <c r="CO581" s="43"/>
      <c r="CP581" s="43"/>
      <c r="CQ581" s="43"/>
      <c r="CR581" s="43"/>
      <c r="CS581" s="43"/>
      <c r="CT581" s="43"/>
      <c r="CU581" s="43"/>
      <c r="CV581" s="43"/>
      <c r="CW581" s="43"/>
      <c r="CX581" s="43"/>
      <c r="CY581" s="43"/>
      <c r="CZ581" s="43"/>
      <c r="DA581" s="43"/>
      <c r="DB581" s="43"/>
      <c r="DC581" s="43"/>
      <c r="DD581" s="43"/>
      <c r="DE581" s="43"/>
      <c r="DF581" s="43"/>
      <c r="DG581" s="43"/>
      <c r="DH581" s="43"/>
      <c r="DI581" s="43"/>
      <c r="DJ581" s="43"/>
      <c r="DK581" s="43"/>
      <c r="DL581" s="43"/>
      <c r="DM581" s="43"/>
      <c r="DN581" s="43"/>
      <c r="DO581" s="43"/>
      <c r="DP581" s="43"/>
      <c r="DQ581" s="43"/>
      <c r="DR581" s="43"/>
      <c r="DS581" s="43"/>
      <c r="DT581" s="43"/>
      <c r="DU581" s="43"/>
      <c r="DV581" s="43"/>
      <c r="DW581" s="43"/>
      <c r="DX581" s="43"/>
      <c r="DY581" s="43"/>
      <c r="DZ581" s="43"/>
      <c r="EA581" s="43"/>
      <c r="EB581" s="43"/>
      <c r="EC581" s="43"/>
      <c r="ED581" s="43"/>
      <c r="EE581" s="43"/>
      <c r="EF581" s="43"/>
      <c r="EG581" s="43"/>
      <c r="EH581" s="43"/>
      <c r="EI581" s="43"/>
      <c r="EJ581" s="43"/>
      <c r="EK581" s="43"/>
      <c r="EL581" s="43"/>
      <c r="EM581" s="43"/>
      <c r="EN581" s="43"/>
      <c r="EO581" s="43"/>
      <c r="EP581" s="43"/>
      <c r="EQ581" s="43"/>
      <c r="ER581" s="43"/>
      <c r="ES581" s="43"/>
      <c r="ET581" s="43"/>
      <c r="EU581" s="43"/>
      <c r="EV581" s="43"/>
      <c r="EW581" s="43"/>
      <c r="EX581" s="43"/>
      <c r="EY581" s="43"/>
      <c r="EZ581" s="43"/>
      <c r="FA581" s="43"/>
      <c r="FB581" s="43"/>
      <c r="FC581" s="43"/>
      <c r="FD581" s="43"/>
      <c r="FE581" s="43"/>
      <c r="FF581" s="43"/>
      <c r="FG581" s="43"/>
      <c r="FH581" s="50"/>
      <c r="FI581" s="50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  <c r="CS582" s="43"/>
      <c r="CT582" s="43"/>
      <c r="CU582" s="43"/>
      <c r="CV582" s="43"/>
      <c r="CW582" s="43"/>
      <c r="CX582" s="43"/>
      <c r="CY582" s="43"/>
      <c r="CZ582" s="43"/>
      <c r="DA582" s="43"/>
      <c r="DB582" s="43"/>
      <c r="DC582" s="43"/>
      <c r="DD582" s="43"/>
      <c r="DE582" s="43"/>
      <c r="DF582" s="43"/>
      <c r="DG582" s="43"/>
      <c r="DH582" s="43"/>
      <c r="DI582" s="43"/>
      <c r="DJ582" s="43"/>
      <c r="DK582" s="43"/>
      <c r="DL582" s="43"/>
      <c r="DM582" s="43"/>
      <c r="DN582" s="43"/>
      <c r="DO582" s="43"/>
      <c r="DP582" s="43"/>
      <c r="DQ582" s="43"/>
      <c r="DR582" s="43"/>
      <c r="DS582" s="43"/>
      <c r="DT582" s="43"/>
      <c r="DU582" s="43"/>
      <c r="DV582" s="43"/>
      <c r="DW582" s="43"/>
      <c r="DX582" s="43"/>
      <c r="DY582" s="43"/>
      <c r="DZ582" s="43"/>
      <c r="EA582" s="43"/>
      <c r="EB582" s="43"/>
      <c r="EC582" s="43"/>
      <c r="ED582" s="43"/>
      <c r="EE582" s="43"/>
      <c r="EF582" s="43"/>
      <c r="EG582" s="43"/>
      <c r="EH582" s="43"/>
      <c r="EI582" s="43"/>
      <c r="EJ582" s="43"/>
      <c r="EK582" s="43"/>
      <c r="EL582" s="43"/>
      <c r="EM582" s="43"/>
      <c r="EN582" s="43"/>
      <c r="EO582" s="43"/>
      <c r="EP582" s="43"/>
      <c r="EQ582" s="43"/>
      <c r="ER582" s="43"/>
      <c r="ES582" s="43"/>
      <c r="ET582" s="43"/>
      <c r="EU582" s="43"/>
      <c r="EV582" s="43"/>
      <c r="EW582" s="43"/>
      <c r="EX582" s="43"/>
      <c r="EY582" s="43"/>
      <c r="EZ582" s="43"/>
      <c r="FA582" s="43"/>
      <c r="FB582" s="43"/>
      <c r="FC582" s="43"/>
      <c r="FD582" s="43"/>
      <c r="FE582" s="43"/>
      <c r="FF582" s="43"/>
      <c r="FG582" s="43"/>
      <c r="FH582" s="50"/>
      <c r="FI582" s="50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  <c r="CS583" s="43"/>
      <c r="CT583" s="43"/>
      <c r="CU583" s="43"/>
      <c r="CV583" s="43"/>
      <c r="CW583" s="43"/>
      <c r="CX583" s="43"/>
      <c r="CY583" s="43"/>
      <c r="CZ583" s="43"/>
      <c r="DA583" s="43"/>
      <c r="DB583" s="43"/>
      <c r="DC583" s="43"/>
      <c r="DD583" s="43"/>
      <c r="DE583" s="43"/>
      <c r="DF583" s="43"/>
      <c r="DG583" s="43"/>
      <c r="DH583" s="43"/>
      <c r="DI583" s="43"/>
      <c r="DJ583" s="43"/>
      <c r="DK583" s="43"/>
      <c r="DL583" s="43"/>
      <c r="DM583" s="43"/>
      <c r="DN583" s="43"/>
      <c r="DO583" s="43"/>
      <c r="DP583" s="43"/>
      <c r="DQ583" s="43"/>
      <c r="DR583" s="43"/>
      <c r="DS583" s="43"/>
      <c r="DT583" s="43"/>
      <c r="DU583" s="43"/>
      <c r="DV583" s="43"/>
      <c r="DW583" s="43"/>
      <c r="DX583" s="43"/>
      <c r="DY583" s="43"/>
      <c r="DZ583" s="43"/>
      <c r="EA583" s="43"/>
      <c r="EB583" s="43"/>
      <c r="EC583" s="43"/>
      <c r="ED583" s="43"/>
      <c r="EE583" s="43"/>
      <c r="EF583" s="43"/>
      <c r="EG583" s="43"/>
      <c r="EH583" s="43"/>
      <c r="EI583" s="43"/>
      <c r="EJ583" s="43"/>
      <c r="EK583" s="43"/>
      <c r="EL583" s="43"/>
      <c r="EM583" s="43"/>
      <c r="EN583" s="43"/>
      <c r="EO583" s="43"/>
      <c r="EP583" s="43"/>
      <c r="EQ583" s="43"/>
      <c r="ER583" s="43"/>
      <c r="ES583" s="43"/>
      <c r="ET583" s="43"/>
      <c r="EU583" s="43"/>
      <c r="EV583" s="43"/>
      <c r="EW583" s="43"/>
      <c r="EX583" s="43"/>
      <c r="EY583" s="43"/>
      <c r="EZ583" s="43"/>
      <c r="FA583" s="43"/>
      <c r="FB583" s="43"/>
      <c r="FC583" s="43"/>
      <c r="FD583" s="43"/>
      <c r="FE583" s="43"/>
      <c r="FF583" s="43"/>
      <c r="FG583" s="43"/>
      <c r="FH583" s="50"/>
      <c r="FI583" s="50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  <c r="CV584" s="43"/>
      <c r="CW584" s="43"/>
      <c r="CX584" s="43"/>
      <c r="CY584" s="43"/>
      <c r="CZ584" s="43"/>
      <c r="DA584" s="43"/>
      <c r="DB584" s="43"/>
      <c r="DC584" s="43"/>
      <c r="DD584" s="43"/>
      <c r="DE584" s="43"/>
      <c r="DF584" s="43"/>
      <c r="DG584" s="43"/>
      <c r="DH584" s="43"/>
      <c r="DI584" s="43"/>
      <c r="DJ584" s="43"/>
      <c r="DK584" s="43"/>
      <c r="DL584" s="43"/>
      <c r="DM584" s="43"/>
      <c r="DN584" s="43"/>
      <c r="DO584" s="43"/>
      <c r="DP584" s="43"/>
      <c r="DQ584" s="43"/>
      <c r="DR584" s="43"/>
      <c r="DS584" s="43"/>
      <c r="DT584" s="43"/>
      <c r="DU584" s="43"/>
      <c r="DV584" s="43"/>
      <c r="DW584" s="43"/>
      <c r="DX584" s="43"/>
      <c r="DY584" s="43"/>
      <c r="DZ584" s="43"/>
      <c r="EA584" s="43"/>
      <c r="EB584" s="43"/>
      <c r="EC584" s="43"/>
      <c r="ED584" s="43"/>
      <c r="EE584" s="43"/>
      <c r="EF584" s="43"/>
      <c r="EG584" s="43"/>
      <c r="EH584" s="43"/>
      <c r="EI584" s="43"/>
      <c r="EJ584" s="43"/>
      <c r="EK584" s="43"/>
      <c r="EL584" s="43"/>
      <c r="EM584" s="43"/>
      <c r="EN584" s="43"/>
      <c r="EO584" s="43"/>
      <c r="EP584" s="43"/>
      <c r="EQ584" s="43"/>
      <c r="ER584" s="43"/>
      <c r="ES584" s="43"/>
      <c r="ET584" s="43"/>
      <c r="EU584" s="43"/>
      <c r="EV584" s="43"/>
      <c r="EW584" s="43"/>
      <c r="EX584" s="43"/>
      <c r="EY584" s="43"/>
      <c r="EZ584" s="43"/>
      <c r="FA584" s="43"/>
      <c r="FB584" s="43"/>
      <c r="FC584" s="43"/>
      <c r="FD584" s="43"/>
      <c r="FE584" s="43"/>
      <c r="FF584" s="43"/>
      <c r="FG584" s="43"/>
      <c r="FH584" s="50"/>
      <c r="FI584" s="50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  <c r="CS585" s="43"/>
      <c r="CT585" s="43"/>
      <c r="CU585" s="43"/>
      <c r="CV585" s="43"/>
      <c r="CW585" s="43"/>
      <c r="CX585" s="43"/>
      <c r="CY585" s="43"/>
      <c r="CZ585" s="43"/>
      <c r="DA585" s="43"/>
      <c r="DB585" s="43"/>
      <c r="DC585" s="43"/>
      <c r="DD585" s="43"/>
      <c r="DE585" s="43"/>
      <c r="DF585" s="43"/>
      <c r="DG585" s="43"/>
      <c r="DH585" s="43"/>
      <c r="DI585" s="43"/>
      <c r="DJ585" s="43"/>
      <c r="DK585" s="43"/>
      <c r="DL585" s="43"/>
      <c r="DM585" s="43"/>
      <c r="DN585" s="43"/>
      <c r="DO585" s="43"/>
      <c r="DP585" s="43"/>
      <c r="DQ585" s="43"/>
      <c r="DR585" s="43"/>
      <c r="DS585" s="43"/>
      <c r="DT585" s="43"/>
      <c r="DU585" s="43"/>
      <c r="DV585" s="43"/>
      <c r="DW585" s="43"/>
      <c r="DX585" s="43"/>
      <c r="DY585" s="43"/>
      <c r="DZ585" s="43"/>
      <c r="EA585" s="43"/>
      <c r="EB585" s="43"/>
      <c r="EC585" s="43"/>
      <c r="ED585" s="43"/>
      <c r="EE585" s="43"/>
      <c r="EF585" s="43"/>
      <c r="EG585" s="43"/>
      <c r="EH585" s="43"/>
      <c r="EI585" s="43"/>
      <c r="EJ585" s="43"/>
      <c r="EK585" s="43"/>
      <c r="EL585" s="43"/>
      <c r="EM585" s="43"/>
      <c r="EN585" s="43"/>
      <c r="EO585" s="43"/>
      <c r="EP585" s="43"/>
      <c r="EQ585" s="43"/>
      <c r="ER585" s="43"/>
      <c r="ES585" s="43"/>
      <c r="ET585" s="43"/>
      <c r="EU585" s="43"/>
      <c r="EV585" s="43"/>
      <c r="EW585" s="43"/>
      <c r="EX585" s="43"/>
      <c r="EY585" s="43"/>
      <c r="EZ585" s="43"/>
      <c r="FA585" s="43"/>
      <c r="FB585" s="43"/>
      <c r="FC585" s="43"/>
      <c r="FD585" s="43"/>
      <c r="FE585" s="43"/>
      <c r="FF585" s="43"/>
      <c r="FG585" s="43"/>
      <c r="FH585" s="50"/>
      <c r="FI585" s="50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43"/>
      <c r="CF586" s="43"/>
      <c r="CG586" s="43"/>
      <c r="CH586" s="43"/>
      <c r="CI586" s="43"/>
      <c r="CJ586" s="43"/>
      <c r="CK586" s="43"/>
      <c r="CL586" s="43"/>
      <c r="CM586" s="43"/>
      <c r="CN586" s="43"/>
      <c r="CO586" s="43"/>
      <c r="CP586" s="43"/>
      <c r="CQ586" s="43"/>
      <c r="CR586" s="43"/>
      <c r="CS586" s="43"/>
      <c r="CT586" s="43"/>
      <c r="CU586" s="43"/>
      <c r="CV586" s="43"/>
      <c r="CW586" s="43"/>
      <c r="CX586" s="43"/>
      <c r="CY586" s="43"/>
      <c r="CZ586" s="43"/>
      <c r="DA586" s="43"/>
      <c r="DB586" s="43"/>
      <c r="DC586" s="43"/>
      <c r="DD586" s="43"/>
      <c r="DE586" s="43"/>
      <c r="DF586" s="43"/>
      <c r="DG586" s="43"/>
      <c r="DH586" s="43"/>
      <c r="DI586" s="43"/>
      <c r="DJ586" s="43"/>
      <c r="DK586" s="43"/>
      <c r="DL586" s="43"/>
      <c r="DM586" s="43"/>
      <c r="DN586" s="43"/>
      <c r="DO586" s="43"/>
      <c r="DP586" s="43"/>
      <c r="DQ586" s="43"/>
      <c r="DR586" s="43"/>
      <c r="DS586" s="43"/>
      <c r="DT586" s="43"/>
      <c r="DU586" s="43"/>
      <c r="DV586" s="43"/>
      <c r="DW586" s="43"/>
      <c r="DX586" s="43"/>
      <c r="DY586" s="43"/>
      <c r="DZ586" s="43"/>
      <c r="EA586" s="43"/>
      <c r="EB586" s="43"/>
      <c r="EC586" s="43"/>
      <c r="ED586" s="43"/>
      <c r="EE586" s="43"/>
      <c r="EF586" s="43"/>
      <c r="EG586" s="43"/>
      <c r="EH586" s="43"/>
      <c r="EI586" s="43"/>
      <c r="EJ586" s="43"/>
      <c r="EK586" s="43"/>
      <c r="EL586" s="43"/>
      <c r="EM586" s="43"/>
      <c r="EN586" s="43"/>
      <c r="EO586" s="43"/>
      <c r="EP586" s="43"/>
      <c r="EQ586" s="43"/>
      <c r="ER586" s="43"/>
      <c r="ES586" s="43"/>
      <c r="ET586" s="43"/>
      <c r="EU586" s="43"/>
      <c r="EV586" s="43"/>
      <c r="EW586" s="43"/>
      <c r="EX586" s="43"/>
      <c r="EY586" s="43"/>
      <c r="EZ586" s="43"/>
      <c r="FA586" s="43"/>
      <c r="FB586" s="43"/>
      <c r="FC586" s="43"/>
      <c r="FD586" s="43"/>
      <c r="FE586" s="43"/>
      <c r="FF586" s="43"/>
      <c r="FG586" s="43"/>
      <c r="FH586" s="50"/>
      <c r="FI586" s="50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  <c r="CS587" s="43"/>
      <c r="CT587" s="43"/>
      <c r="CU587" s="43"/>
      <c r="CV587" s="43"/>
      <c r="CW587" s="43"/>
      <c r="CX587" s="43"/>
      <c r="CY587" s="43"/>
      <c r="CZ587" s="43"/>
      <c r="DA587" s="43"/>
      <c r="DB587" s="43"/>
      <c r="DC587" s="43"/>
      <c r="DD587" s="43"/>
      <c r="DE587" s="43"/>
      <c r="DF587" s="43"/>
      <c r="DG587" s="43"/>
      <c r="DH587" s="43"/>
      <c r="DI587" s="43"/>
      <c r="DJ587" s="43"/>
      <c r="DK587" s="43"/>
      <c r="DL587" s="43"/>
      <c r="DM587" s="43"/>
      <c r="DN587" s="43"/>
      <c r="DO587" s="43"/>
      <c r="DP587" s="43"/>
      <c r="DQ587" s="43"/>
      <c r="DR587" s="43"/>
      <c r="DS587" s="43"/>
      <c r="DT587" s="43"/>
      <c r="DU587" s="43"/>
      <c r="DV587" s="43"/>
      <c r="DW587" s="43"/>
      <c r="DX587" s="43"/>
      <c r="DY587" s="43"/>
      <c r="DZ587" s="43"/>
      <c r="EA587" s="43"/>
      <c r="EB587" s="43"/>
      <c r="EC587" s="43"/>
      <c r="ED587" s="43"/>
      <c r="EE587" s="43"/>
      <c r="EF587" s="43"/>
      <c r="EG587" s="43"/>
      <c r="EH587" s="43"/>
      <c r="EI587" s="43"/>
      <c r="EJ587" s="43"/>
      <c r="EK587" s="43"/>
      <c r="EL587" s="43"/>
      <c r="EM587" s="43"/>
      <c r="EN587" s="43"/>
      <c r="EO587" s="43"/>
      <c r="EP587" s="43"/>
      <c r="EQ587" s="43"/>
      <c r="ER587" s="43"/>
      <c r="ES587" s="43"/>
      <c r="ET587" s="43"/>
      <c r="EU587" s="43"/>
      <c r="EV587" s="43"/>
      <c r="EW587" s="43"/>
      <c r="EX587" s="43"/>
      <c r="EY587" s="43"/>
      <c r="EZ587" s="43"/>
      <c r="FA587" s="43"/>
      <c r="FB587" s="43"/>
      <c r="FC587" s="43"/>
      <c r="FD587" s="43"/>
      <c r="FE587" s="43"/>
      <c r="FF587" s="43"/>
      <c r="FG587" s="43"/>
      <c r="FH587" s="50"/>
      <c r="FI587" s="50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43"/>
      <c r="CF588" s="43"/>
      <c r="CG588" s="43"/>
      <c r="CH588" s="43"/>
      <c r="CI588" s="43"/>
      <c r="CJ588" s="43"/>
      <c r="CK588" s="43"/>
      <c r="CL588" s="43"/>
      <c r="CM588" s="43"/>
      <c r="CN588" s="43"/>
      <c r="CO588" s="43"/>
      <c r="CP588" s="43"/>
      <c r="CQ588" s="43"/>
      <c r="CR588" s="43"/>
      <c r="CS588" s="43"/>
      <c r="CT588" s="43"/>
      <c r="CU588" s="43"/>
      <c r="CV588" s="43"/>
      <c r="CW588" s="43"/>
      <c r="CX588" s="43"/>
      <c r="CY588" s="43"/>
      <c r="CZ588" s="43"/>
      <c r="DA588" s="43"/>
      <c r="DB588" s="43"/>
      <c r="DC588" s="43"/>
      <c r="DD588" s="43"/>
      <c r="DE588" s="43"/>
      <c r="DF588" s="43"/>
      <c r="DG588" s="43"/>
      <c r="DH588" s="43"/>
      <c r="DI588" s="43"/>
      <c r="DJ588" s="43"/>
      <c r="DK588" s="43"/>
      <c r="DL588" s="43"/>
      <c r="DM588" s="43"/>
      <c r="DN588" s="43"/>
      <c r="DO588" s="43"/>
      <c r="DP588" s="43"/>
      <c r="DQ588" s="43"/>
      <c r="DR588" s="43"/>
      <c r="DS588" s="43"/>
      <c r="DT588" s="43"/>
      <c r="DU588" s="43"/>
      <c r="DV588" s="43"/>
      <c r="DW588" s="43"/>
      <c r="DX588" s="43"/>
      <c r="DY588" s="43"/>
      <c r="DZ588" s="43"/>
      <c r="EA588" s="43"/>
      <c r="EB588" s="43"/>
      <c r="EC588" s="43"/>
      <c r="ED588" s="43"/>
      <c r="EE588" s="43"/>
      <c r="EF588" s="43"/>
      <c r="EG588" s="43"/>
      <c r="EH588" s="43"/>
      <c r="EI588" s="43"/>
      <c r="EJ588" s="43"/>
      <c r="EK588" s="43"/>
      <c r="EL588" s="43"/>
      <c r="EM588" s="43"/>
      <c r="EN588" s="43"/>
      <c r="EO588" s="43"/>
      <c r="EP588" s="43"/>
      <c r="EQ588" s="43"/>
      <c r="ER588" s="43"/>
      <c r="ES588" s="43"/>
      <c r="ET588" s="43"/>
      <c r="EU588" s="43"/>
      <c r="EV588" s="43"/>
      <c r="EW588" s="43"/>
      <c r="EX588" s="43"/>
      <c r="EY588" s="43"/>
      <c r="EZ588" s="43"/>
      <c r="FA588" s="43"/>
      <c r="FB588" s="43"/>
      <c r="FC588" s="43"/>
      <c r="FD588" s="43"/>
      <c r="FE588" s="43"/>
      <c r="FF588" s="43"/>
      <c r="FG588" s="43"/>
      <c r="FH588" s="50"/>
      <c r="FI588" s="50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43"/>
      <c r="CF589" s="43"/>
      <c r="CG589" s="43"/>
      <c r="CH589" s="43"/>
      <c r="CI589" s="43"/>
      <c r="CJ589" s="43"/>
      <c r="CK589" s="43"/>
      <c r="CL589" s="43"/>
      <c r="CM589" s="43"/>
      <c r="CN589" s="43"/>
      <c r="CO589" s="43"/>
      <c r="CP589" s="43"/>
      <c r="CQ589" s="43"/>
      <c r="CR589" s="43"/>
      <c r="CS589" s="43"/>
      <c r="CT589" s="43"/>
      <c r="CU589" s="43"/>
      <c r="CV589" s="43"/>
      <c r="CW589" s="43"/>
      <c r="CX589" s="43"/>
      <c r="CY589" s="43"/>
      <c r="CZ589" s="43"/>
      <c r="DA589" s="43"/>
      <c r="DB589" s="43"/>
      <c r="DC589" s="43"/>
      <c r="DD589" s="43"/>
      <c r="DE589" s="43"/>
      <c r="DF589" s="43"/>
      <c r="DG589" s="43"/>
      <c r="DH589" s="43"/>
      <c r="DI589" s="43"/>
      <c r="DJ589" s="43"/>
      <c r="DK589" s="43"/>
      <c r="DL589" s="43"/>
      <c r="DM589" s="43"/>
      <c r="DN589" s="43"/>
      <c r="DO589" s="43"/>
      <c r="DP589" s="43"/>
      <c r="DQ589" s="43"/>
      <c r="DR589" s="43"/>
      <c r="DS589" s="43"/>
      <c r="DT589" s="43"/>
      <c r="DU589" s="43"/>
      <c r="DV589" s="43"/>
      <c r="DW589" s="43"/>
      <c r="DX589" s="43"/>
      <c r="DY589" s="43"/>
      <c r="DZ589" s="43"/>
      <c r="EA589" s="43"/>
      <c r="EB589" s="43"/>
      <c r="EC589" s="43"/>
      <c r="ED589" s="43"/>
      <c r="EE589" s="43"/>
      <c r="EF589" s="43"/>
      <c r="EG589" s="43"/>
      <c r="EH589" s="43"/>
      <c r="EI589" s="43"/>
      <c r="EJ589" s="43"/>
      <c r="EK589" s="43"/>
      <c r="EL589" s="43"/>
      <c r="EM589" s="43"/>
      <c r="EN589" s="43"/>
      <c r="EO589" s="43"/>
      <c r="EP589" s="43"/>
      <c r="EQ589" s="43"/>
      <c r="ER589" s="43"/>
      <c r="ES589" s="43"/>
      <c r="ET589" s="43"/>
      <c r="EU589" s="43"/>
      <c r="EV589" s="43"/>
      <c r="EW589" s="43"/>
      <c r="EX589" s="43"/>
      <c r="EY589" s="43"/>
      <c r="EZ589" s="43"/>
      <c r="FA589" s="43"/>
      <c r="FB589" s="43"/>
      <c r="FC589" s="43"/>
      <c r="FD589" s="43"/>
      <c r="FE589" s="43"/>
      <c r="FF589" s="43"/>
      <c r="FG589" s="43"/>
      <c r="FH589" s="50"/>
      <c r="FI589" s="50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  <c r="CS590" s="43"/>
      <c r="CT590" s="43"/>
      <c r="CU590" s="43"/>
      <c r="CV590" s="43"/>
      <c r="CW590" s="43"/>
      <c r="CX590" s="43"/>
      <c r="CY590" s="43"/>
      <c r="CZ590" s="43"/>
      <c r="DA590" s="43"/>
      <c r="DB590" s="43"/>
      <c r="DC590" s="43"/>
      <c r="DD590" s="43"/>
      <c r="DE590" s="43"/>
      <c r="DF590" s="43"/>
      <c r="DG590" s="43"/>
      <c r="DH590" s="43"/>
      <c r="DI590" s="43"/>
      <c r="DJ590" s="43"/>
      <c r="DK590" s="43"/>
      <c r="DL590" s="43"/>
      <c r="DM590" s="43"/>
      <c r="DN590" s="43"/>
      <c r="DO590" s="43"/>
      <c r="DP590" s="43"/>
      <c r="DQ590" s="43"/>
      <c r="DR590" s="43"/>
      <c r="DS590" s="43"/>
      <c r="DT590" s="43"/>
      <c r="DU590" s="43"/>
      <c r="DV590" s="43"/>
      <c r="DW590" s="43"/>
      <c r="DX590" s="43"/>
      <c r="DY590" s="43"/>
      <c r="DZ590" s="43"/>
      <c r="EA590" s="43"/>
      <c r="EB590" s="43"/>
      <c r="EC590" s="43"/>
      <c r="ED590" s="43"/>
      <c r="EE590" s="43"/>
      <c r="EF590" s="43"/>
      <c r="EG590" s="43"/>
      <c r="EH590" s="43"/>
      <c r="EI590" s="43"/>
      <c r="EJ590" s="43"/>
      <c r="EK590" s="43"/>
      <c r="EL590" s="43"/>
      <c r="EM590" s="43"/>
      <c r="EN590" s="43"/>
      <c r="EO590" s="43"/>
      <c r="EP590" s="43"/>
      <c r="EQ590" s="43"/>
      <c r="ER590" s="43"/>
      <c r="ES590" s="43"/>
      <c r="ET590" s="43"/>
      <c r="EU590" s="43"/>
      <c r="EV590" s="43"/>
      <c r="EW590" s="43"/>
      <c r="EX590" s="43"/>
      <c r="EY590" s="43"/>
      <c r="EZ590" s="43"/>
      <c r="FA590" s="43"/>
      <c r="FB590" s="43"/>
      <c r="FC590" s="43"/>
      <c r="FD590" s="43"/>
      <c r="FE590" s="43"/>
      <c r="FF590" s="43"/>
      <c r="FG590" s="43"/>
      <c r="FH590" s="50"/>
      <c r="FI590" s="50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43"/>
      <c r="CF591" s="43"/>
      <c r="CG591" s="43"/>
      <c r="CH591" s="43"/>
      <c r="CI591" s="43"/>
      <c r="CJ591" s="43"/>
      <c r="CK591" s="43"/>
      <c r="CL591" s="43"/>
      <c r="CM591" s="43"/>
      <c r="CN591" s="43"/>
      <c r="CO591" s="43"/>
      <c r="CP591" s="43"/>
      <c r="CQ591" s="43"/>
      <c r="CR591" s="43"/>
      <c r="CS591" s="43"/>
      <c r="CT591" s="43"/>
      <c r="CU591" s="43"/>
      <c r="CV591" s="43"/>
      <c r="CW591" s="43"/>
      <c r="CX591" s="43"/>
      <c r="CY591" s="43"/>
      <c r="CZ591" s="43"/>
      <c r="DA591" s="43"/>
      <c r="DB591" s="43"/>
      <c r="DC591" s="43"/>
      <c r="DD591" s="43"/>
      <c r="DE591" s="43"/>
      <c r="DF591" s="43"/>
      <c r="DG591" s="43"/>
      <c r="DH591" s="43"/>
      <c r="DI591" s="43"/>
      <c r="DJ591" s="43"/>
      <c r="DK591" s="43"/>
      <c r="DL591" s="43"/>
      <c r="DM591" s="43"/>
      <c r="DN591" s="43"/>
      <c r="DO591" s="43"/>
      <c r="DP591" s="43"/>
      <c r="DQ591" s="43"/>
      <c r="DR591" s="43"/>
      <c r="DS591" s="43"/>
      <c r="DT591" s="43"/>
      <c r="DU591" s="43"/>
      <c r="DV591" s="43"/>
      <c r="DW591" s="43"/>
      <c r="DX591" s="43"/>
      <c r="DY591" s="43"/>
      <c r="DZ591" s="43"/>
      <c r="EA591" s="43"/>
      <c r="EB591" s="43"/>
      <c r="EC591" s="43"/>
      <c r="ED591" s="43"/>
      <c r="EE591" s="43"/>
      <c r="EF591" s="43"/>
      <c r="EG591" s="43"/>
      <c r="EH591" s="43"/>
      <c r="EI591" s="43"/>
      <c r="EJ591" s="43"/>
      <c r="EK591" s="43"/>
      <c r="EL591" s="43"/>
      <c r="EM591" s="43"/>
      <c r="EN591" s="43"/>
      <c r="EO591" s="43"/>
      <c r="EP591" s="43"/>
      <c r="EQ591" s="43"/>
      <c r="ER591" s="43"/>
      <c r="ES591" s="43"/>
      <c r="ET591" s="43"/>
      <c r="EU591" s="43"/>
      <c r="EV591" s="43"/>
      <c r="EW591" s="43"/>
      <c r="EX591" s="43"/>
      <c r="EY591" s="43"/>
      <c r="EZ591" s="43"/>
      <c r="FA591" s="43"/>
      <c r="FB591" s="43"/>
      <c r="FC591" s="43"/>
      <c r="FD591" s="43"/>
      <c r="FE591" s="43"/>
      <c r="FF591" s="43"/>
      <c r="FG591" s="43"/>
      <c r="FH591" s="50"/>
      <c r="FI591" s="50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43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43"/>
      <c r="CF592" s="43"/>
      <c r="CG592" s="43"/>
      <c r="CH592" s="43"/>
      <c r="CI592" s="43"/>
      <c r="CJ592" s="43"/>
      <c r="CK592" s="43"/>
      <c r="CL592" s="43"/>
      <c r="CM592" s="43"/>
      <c r="CN592" s="43"/>
      <c r="CO592" s="43"/>
      <c r="CP592" s="43"/>
      <c r="CQ592" s="43"/>
      <c r="CR592" s="43"/>
      <c r="CS592" s="43"/>
      <c r="CT592" s="43"/>
      <c r="CU592" s="43"/>
      <c r="CV592" s="43"/>
      <c r="CW592" s="43"/>
      <c r="CX592" s="43"/>
      <c r="CY592" s="43"/>
      <c r="CZ592" s="43"/>
      <c r="DA592" s="43"/>
      <c r="DB592" s="43"/>
      <c r="DC592" s="43"/>
      <c r="DD592" s="43"/>
      <c r="DE592" s="43"/>
      <c r="DF592" s="43"/>
      <c r="DG592" s="43"/>
      <c r="DH592" s="43"/>
      <c r="DI592" s="43"/>
      <c r="DJ592" s="43"/>
      <c r="DK592" s="43"/>
      <c r="DL592" s="43"/>
      <c r="DM592" s="43"/>
      <c r="DN592" s="43"/>
      <c r="DO592" s="43"/>
      <c r="DP592" s="43"/>
      <c r="DQ592" s="43"/>
      <c r="DR592" s="43"/>
      <c r="DS592" s="43"/>
      <c r="DT592" s="43"/>
      <c r="DU592" s="43"/>
      <c r="DV592" s="43"/>
      <c r="DW592" s="43"/>
      <c r="DX592" s="43"/>
      <c r="DY592" s="43"/>
      <c r="DZ592" s="43"/>
      <c r="EA592" s="43"/>
      <c r="EB592" s="43"/>
      <c r="EC592" s="43"/>
      <c r="ED592" s="43"/>
      <c r="EE592" s="43"/>
      <c r="EF592" s="43"/>
      <c r="EG592" s="43"/>
      <c r="EH592" s="43"/>
      <c r="EI592" s="43"/>
      <c r="EJ592" s="43"/>
      <c r="EK592" s="43"/>
      <c r="EL592" s="43"/>
      <c r="EM592" s="43"/>
      <c r="EN592" s="43"/>
      <c r="EO592" s="43"/>
      <c r="EP592" s="43"/>
      <c r="EQ592" s="43"/>
      <c r="ER592" s="43"/>
      <c r="ES592" s="43"/>
      <c r="ET592" s="43"/>
      <c r="EU592" s="43"/>
      <c r="EV592" s="43"/>
      <c r="EW592" s="43"/>
      <c r="EX592" s="43"/>
      <c r="EY592" s="43"/>
      <c r="EZ592" s="43"/>
      <c r="FA592" s="43"/>
      <c r="FB592" s="43"/>
      <c r="FC592" s="43"/>
      <c r="FD592" s="43"/>
      <c r="FE592" s="43"/>
      <c r="FF592" s="43"/>
      <c r="FG592" s="43"/>
      <c r="FH592" s="50"/>
      <c r="FI592" s="50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43"/>
      <c r="CF593" s="43"/>
      <c r="CG593" s="43"/>
      <c r="CH593" s="43"/>
      <c r="CI593" s="43"/>
      <c r="CJ593" s="43"/>
      <c r="CK593" s="43"/>
      <c r="CL593" s="43"/>
      <c r="CM593" s="43"/>
      <c r="CN593" s="43"/>
      <c r="CO593" s="43"/>
      <c r="CP593" s="43"/>
      <c r="CQ593" s="43"/>
      <c r="CR593" s="43"/>
      <c r="CS593" s="43"/>
      <c r="CT593" s="43"/>
      <c r="CU593" s="43"/>
      <c r="CV593" s="43"/>
      <c r="CW593" s="43"/>
      <c r="CX593" s="43"/>
      <c r="CY593" s="43"/>
      <c r="CZ593" s="43"/>
      <c r="DA593" s="43"/>
      <c r="DB593" s="43"/>
      <c r="DC593" s="43"/>
      <c r="DD593" s="43"/>
      <c r="DE593" s="43"/>
      <c r="DF593" s="43"/>
      <c r="DG593" s="43"/>
      <c r="DH593" s="43"/>
      <c r="DI593" s="43"/>
      <c r="DJ593" s="43"/>
      <c r="DK593" s="43"/>
      <c r="DL593" s="43"/>
      <c r="DM593" s="43"/>
      <c r="DN593" s="43"/>
      <c r="DO593" s="43"/>
      <c r="DP593" s="43"/>
      <c r="DQ593" s="43"/>
      <c r="DR593" s="43"/>
      <c r="DS593" s="43"/>
      <c r="DT593" s="43"/>
      <c r="DU593" s="43"/>
      <c r="DV593" s="43"/>
      <c r="DW593" s="43"/>
      <c r="DX593" s="43"/>
      <c r="DY593" s="43"/>
      <c r="DZ593" s="43"/>
      <c r="EA593" s="43"/>
      <c r="EB593" s="43"/>
      <c r="EC593" s="43"/>
      <c r="ED593" s="43"/>
      <c r="EE593" s="43"/>
      <c r="EF593" s="43"/>
      <c r="EG593" s="43"/>
      <c r="EH593" s="43"/>
      <c r="EI593" s="43"/>
      <c r="EJ593" s="43"/>
      <c r="EK593" s="43"/>
      <c r="EL593" s="43"/>
      <c r="EM593" s="43"/>
      <c r="EN593" s="43"/>
      <c r="EO593" s="43"/>
      <c r="EP593" s="43"/>
      <c r="EQ593" s="43"/>
      <c r="ER593" s="43"/>
      <c r="ES593" s="43"/>
      <c r="ET593" s="43"/>
      <c r="EU593" s="43"/>
      <c r="EV593" s="43"/>
      <c r="EW593" s="43"/>
      <c r="EX593" s="43"/>
      <c r="EY593" s="43"/>
      <c r="EZ593" s="43"/>
      <c r="FA593" s="43"/>
      <c r="FB593" s="43"/>
      <c r="FC593" s="43"/>
      <c r="FD593" s="43"/>
      <c r="FE593" s="43"/>
      <c r="FF593" s="43"/>
      <c r="FG593" s="43"/>
      <c r="FH593" s="50"/>
      <c r="FI593" s="50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43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43"/>
      <c r="CF594" s="43"/>
      <c r="CG594" s="43"/>
      <c r="CH594" s="43"/>
      <c r="CI594" s="43"/>
      <c r="CJ594" s="43"/>
      <c r="CK594" s="43"/>
      <c r="CL594" s="43"/>
      <c r="CM594" s="43"/>
      <c r="CN594" s="43"/>
      <c r="CO594" s="43"/>
      <c r="CP594" s="43"/>
      <c r="CQ594" s="43"/>
      <c r="CR594" s="43"/>
      <c r="CS594" s="43"/>
      <c r="CT594" s="43"/>
      <c r="CU594" s="43"/>
      <c r="CV594" s="43"/>
      <c r="CW594" s="43"/>
      <c r="CX594" s="43"/>
      <c r="CY594" s="43"/>
      <c r="CZ594" s="43"/>
      <c r="DA594" s="43"/>
      <c r="DB594" s="43"/>
      <c r="DC594" s="43"/>
      <c r="DD594" s="43"/>
      <c r="DE594" s="43"/>
      <c r="DF594" s="43"/>
      <c r="DG594" s="43"/>
      <c r="DH594" s="43"/>
      <c r="DI594" s="43"/>
      <c r="DJ594" s="43"/>
      <c r="DK594" s="43"/>
      <c r="DL594" s="43"/>
      <c r="DM594" s="43"/>
      <c r="DN594" s="43"/>
      <c r="DO594" s="43"/>
      <c r="DP594" s="43"/>
      <c r="DQ594" s="43"/>
      <c r="DR594" s="43"/>
      <c r="DS594" s="43"/>
      <c r="DT594" s="43"/>
      <c r="DU594" s="43"/>
      <c r="DV594" s="43"/>
      <c r="DW594" s="43"/>
      <c r="DX594" s="43"/>
      <c r="DY594" s="43"/>
      <c r="DZ594" s="43"/>
      <c r="EA594" s="43"/>
      <c r="EB594" s="43"/>
      <c r="EC594" s="43"/>
      <c r="ED594" s="43"/>
      <c r="EE594" s="43"/>
      <c r="EF594" s="43"/>
      <c r="EG594" s="43"/>
      <c r="EH594" s="43"/>
      <c r="EI594" s="43"/>
      <c r="EJ594" s="43"/>
      <c r="EK594" s="43"/>
      <c r="EL594" s="43"/>
      <c r="EM594" s="43"/>
      <c r="EN594" s="43"/>
      <c r="EO594" s="43"/>
      <c r="EP594" s="43"/>
      <c r="EQ594" s="43"/>
      <c r="ER594" s="43"/>
      <c r="ES594" s="43"/>
      <c r="ET594" s="43"/>
      <c r="EU594" s="43"/>
      <c r="EV594" s="43"/>
      <c r="EW594" s="43"/>
      <c r="EX594" s="43"/>
      <c r="EY594" s="43"/>
      <c r="EZ594" s="43"/>
      <c r="FA594" s="43"/>
      <c r="FB594" s="43"/>
      <c r="FC594" s="43"/>
      <c r="FD594" s="43"/>
      <c r="FE594" s="43"/>
      <c r="FF594" s="43"/>
      <c r="FG594" s="43"/>
      <c r="FH594" s="50"/>
      <c r="FI594" s="50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43"/>
      <c r="CF595" s="43"/>
      <c r="CG595" s="43"/>
      <c r="CH595" s="43"/>
      <c r="CI595" s="43"/>
      <c r="CJ595" s="43"/>
      <c r="CK595" s="43"/>
      <c r="CL595" s="43"/>
      <c r="CM595" s="43"/>
      <c r="CN595" s="43"/>
      <c r="CO595" s="43"/>
      <c r="CP595" s="43"/>
      <c r="CQ595" s="43"/>
      <c r="CR595" s="43"/>
      <c r="CS595" s="43"/>
      <c r="CT595" s="43"/>
      <c r="CU595" s="43"/>
      <c r="CV595" s="43"/>
      <c r="CW595" s="43"/>
      <c r="CX595" s="43"/>
      <c r="CY595" s="43"/>
      <c r="CZ595" s="43"/>
      <c r="DA595" s="43"/>
      <c r="DB595" s="43"/>
      <c r="DC595" s="43"/>
      <c r="DD595" s="43"/>
      <c r="DE595" s="43"/>
      <c r="DF595" s="43"/>
      <c r="DG595" s="43"/>
      <c r="DH595" s="43"/>
      <c r="DI595" s="43"/>
      <c r="DJ595" s="43"/>
      <c r="DK595" s="43"/>
      <c r="DL595" s="43"/>
      <c r="DM595" s="43"/>
      <c r="DN595" s="43"/>
      <c r="DO595" s="43"/>
      <c r="DP595" s="43"/>
      <c r="DQ595" s="43"/>
      <c r="DR595" s="43"/>
      <c r="DS595" s="43"/>
      <c r="DT595" s="43"/>
      <c r="DU595" s="43"/>
      <c r="DV595" s="43"/>
      <c r="DW595" s="43"/>
      <c r="DX595" s="43"/>
      <c r="DY595" s="43"/>
      <c r="DZ595" s="43"/>
      <c r="EA595" s="43"/>
      <c r="EB595" s="43"/>
      <c r="EC595" s="43"/>
      <c r="ED595" s="43"/>
      <c r="EE595" s="43"/>
      <c r="EF595" s="43"/>
      <c r="EG595" s="43"/>
      <c r="EH595" s="43"/>
      <c r="EI595" s="43"/>
      <c r="EJ595" s="43"/>
      <c r="EK595" s="43"/>
      <c r="EL595" s="43"/>
      <c r="EM595" s="43"/>
      <c r="EN595" s="43"/>
      <c r="EO595" s="43"/>
      <c r="EP595" s="43"/>
      <c r="EQ595" s="43"/>
      <c r="ER595" s="43"/>
      <c r="ES595" s="43"/>
      <c r="ET595" s="43"/>
      <c r="EU595" s="43"/>
      <c r="EV595" s="43"/>
      <c r="EW595" s="43"/>
      <c r="EX595" s="43"/>
      <c r="EY595" s="43"/>
      <c r="EZ595" s="43"/>
      <c r="FA595" s="43"/>
      <c r="FB595" s="43"/>
      <c r="FC595" s="43"/>
      <c r="FD595" s="43"/>
      <c r="FE595" s="43"/>
      <c r="FF595" s="43"/>
      <c r="FG595" s="43"/>
      <c r="FH595" s="50"/>
      <c r="FI595" s="50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43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43"/>
      <c r="CF596" s="43"/>
      <c r="CG596" s="43"/>
      <c r="CH596" s="43"/>
      <c r="CI596" s="43"/>
      <c r="CJ596" s="43"/>
      <c r="CK596" s="43"/>
      <c r="CL596" s="43"/>
      <c r="CM596" s="43"/>
      <c r="CN596" s="43"/>
      <c r="CO596" s="43"/>
      <c r="CP596" s="43"/>
      <c r="CQ596" s="43"/>
      <c r="CR596" s="43"/>
      <c r="CS596" s="43"/>
      <c r="CT596" s="43"/>
      <c r="CU596" s="43"/>
      <c r="CV596" s="43"/>
      <c r="CW596" s="43"/>
      <c r="CX596" s="43"/>
      <c r="CY596" s="43"/>
      <c r="CZ596" s="43"/>
      <c r="DA596" s="43"/>
      <c r="DB596" s="43"/>
      <c r="DC596" s="43"/>
      <c r="DD596" s="43"/>
      <c r="DE596" s="43"/>
      <c r="DF596" s="43"/>
      <c r="DG596" s="43"/>
      <c r="DH596" s="43"/>
      <c r="DI596" s="43"/>
      <c r="DJ596" s="43"/>
      <c r="DK596" s="43"/>
      <c r="DL596" s="43"/>
      <c r="DM596" s="43"/>
      <c r="DN596" s="43"/>
      <c r="DO596" s="43"/>
      <c r="DP596" s="43"/>
      <c r="DQ596" s="43"/>
      <c r="DR596" s="43"/>
      <c r="DS596" s="43"/>
      <c r="DT596" s="43"/>
      <c r="DU596" s="43"/>
      <c r="DV596" s="43"/>
      <c r="DW596" s="43"/>
      <c r="DX596" s="43"/>
      <c r="DY596" s="43"/>
      <c r="DZ596" s="43"/>
      <c r="EA596" s="43"/>
      <c r="EB596" s="43"/>
      <c r="EC596" s="43"/>
      <c r="ED596" s="43"/>
      <c r="EE596" s="43"/>
      <c r="EF596" s="43"/>
      <c r="EG596" s="43"/>
      <c r="EH596" s="43"/>
      <c r="EI596" s="43"/>
      <c r="EJ596" s="43"/>
      <c r="EK596" s="43"/>
      <c r="EL596" s="43"/>
      <c r="EM596" s="43"/>
      <c r="EN596" s="43"/>
      <c r="EO596" s="43"/>
      <c r="EP596" s="43"/>
      <c r="EQ596" s="43"/>
      <c r="ER596" s="43"/>
      <c r="ES596" s="43"/>
      <c r="ET596" s="43"/>
      <c r="EU596" s="43"/>
      <c r="EV596" s="43"/>
      <c r="EW596" s="43"/>
      <c r="EX596" s="43"/>
      <c r="EY596" s="43"/>
      <c r="EZ596" s="43"/>
      <c r="FA596" s="43"/>
      <c r="FB596" s="43"/>
      <c r="FC596" s="43"/>
      <c r="FD596" s="43"/>
      <c r="FE596" s="43"/>
      <c r="FF596" s="43"/>
      <c r="FG596" s="43"/>
      <c r="FH596" s="50"/>
      <c r="FI596" s="50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43"/>
      <c r="CF597" s="43"/>
      <c r="CG597" s="43"/>
      <c r="CH597" s="43"/>
      <c r="CI597" s="43"/>
      <c r="CJ597" s="43"/>
      <c r="CK597" s="43"/>
      <c r="CL597" s="43"/>
      <c r="CM597" s="43"/>
      <c r="CN597" s="43"/>
      <c r="CO597" s="43"/>
      <c r="CP597" s="43"/>
      <c r="CQ597" s="43"/>
      <c r="CR597" s="43"/>
      <c r="CS597" s="43"/>
      <c r="CT597" s="43"/>
      <c r="CU597" s="43"/>
      <c r="CV597" s="43"/>
      <c r="CW597" s="43"/>
      <c r="CX597" s="43"/>
      <c r="CY597" s="43"/>
      <c r="CZ597" s="43"/>
      <c r="DA597" s="43"/>
      <c r="DB597" s="43"/>
      <c r="DC597" s="43"/>
      <c r="DD597" s="43"/>
      <c r="DE597" s="43"/>
      <c r="DF597" s="43"/>
      <c r="DG597" s="43"/>
      <c r="DH597" s="43"/>
      <c r="DI597" s="43"/>
      <c r="DJ597" s="43"/>
      <c r="DK597" s="43"/>
      <c r="DL597" s="43"/>
      <c r="DM597" s="43"/>
      <c r="DN597" s="43"/>
      <c r="DO597" s="43"/>
      <c r="DP597" s="43"/>
      <c r="DQ597" s="43"/>
      <c r="DR597" s="43"/>
      <c r="DS597" s="43"/>
      <c r="DT597" s="43"/>
      <c r="DU597" s="43"/>
      <c r="DV597" s="43"/>
      <c r="DW597" s="43"/>
      <c r="DX597" s="43"/>
      <c r="DY597" s="43"/>
      <c r="DZ597" s="43"/>
      <c r="EA597" s="43"/>
      <c r="EB597" s="43"/>
      <c r="EC597" s="43"/>
      <c r="ED597" s="43"/>
      <c r="EE597" s="43"/>
      <c r="EF597" s="43"/>
      <c r="EG597" s="43"/>
      <c r="EH597" s="43"/>
      <c r="EI597" s="43"/>
      <c r="EJ597" s="43"/>
      <c r="EK597" s="43"/>
      <c r="EL597" s="43"/>
      <c r="EM597" s="43"/>
      <c r="EN597" s="43"/>
      <c r="EO597" s="43"/>
      <c r="EP597" s="43"/>
      <c r="EQ597" s="43"/>
      <c r="ER597" s="43"/>
      <c r="ES597" s="43"/>
      <c r="ET597" s="43"/>
      <c r="EU597" s="43"/>
      <c r="EV597" s="43"/>
      <c r="EW597" s="43"/>
      <c r="EX597" s="43"/>
      <c r="EY597" s="43"/>
      <c r="EZ597" s="43"/>
      <c r="FA597" s="43"/>
      <c r="FB597" s="43"/>
      <c r="FC597" s="43"/>
      <c r="FD597" s="43"/>
      <c r="FE597" s="43"/>
      <c r="FF597" s="43"/>
      <c r="FG597" s="43"/>
      <c r="FH597" s="50"/>
      <c r="FI597" s="50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43"/>
      <c r="CF598" s="43"/>
      <c r="CG598" s="43"/>
      <c r="CH598" s="43"/>
      <c r="CI598" s="43"/>
      <c r="CJ598" s="43"/>
      <c r="CK598" s="43"/>
      <c r="CL598" s="43"/>
      <c r="CM598" s="43"/>
      <c r="CN598" s="43"/>
      <c r="CO598" s="43"/>
      <c r="CP598" s="43"/>
      <c r="CQ598" s="43"/>
      <c r="CR598" s="43"/>
      <c r="CS598" s="43"/>
      <c r="CT598" s="43"/>
      <c r="CU598" s="43"/>
      <c r="CV598" s="43"/>
      <c r="CW598" s="43"/>
      <c r="CX598" s="43"/>
      <c r="CY598" s="43"/>
      <c r="CZ598" s="43"/>
      <c r="DA598" s="43"/>
      <c r="DB598" s="43"/>
      <c r="DC598" s="43"/>
      <c r="DD598" s="43"/>
      <c r="DE598" s="43"/>
      <c r="DF598" s="43"/>
      <c r="DG598" s="43"/>
      <c r="DH598" s="43"/>
      <c r="DI598" s="43"/>
      <c r="DJ598" s="43"/>
      <c r="DK598" s="43"/>
      <c r="DL598" s="43"/>
      <c r="DM598" s="43"/>
      <c r="DN598" s="43"/>
      <c r="DO598" s="43"/>
      <c r="DP598" s="43"/>
      <c r="DQ598" s="43"/>
      <c r="DR598" s="43"/>
      <c r="DS598" s="43"/>
      <c r="DT598" s="43"/>
      <c r="DU598" s="43"/>
      <c r="DV598" s="43"/>
      <c r="DW598" s="43"/>
      <c r="DX598" s="43"/>
      <c r="DY598" s="43"/>
      <c r="DZ598" s="43"/>
      <c r="EA598" s="43"/>
      <c r="EB598" s="43"/>
      <c r="EC598" s="43"/>
      <c r="ED598" s="43"/>
      <c r="EE598" s="43"/>
      <c r="EF598" s="43"/>
      <c r="EG598" s="43"/>
      <c r="EH598" s="43"/>
      <c r="EI598" s="43"/>
      <c r="EJ598" s="43"/>
      <c r="EK598" s="43"/>
      <c r="EL598" s="43"/>
      <c r="EM598" s="43"/>
      <c r="EN598" s="43"/>
      <c r="EO598" s="43"/>
      <c r="EP598" s="43"/>
      <c r="EQ598" s="43"/>
      <c r="ER598" s="43"/>
      <c r="ES598" s="43"/>
      <c r="ET598" s="43"/>
      <c r="EU598" s="43"/>
      <c r="EV598" s="43"/>
      <c r="EW598" s="43"/>
      <c r="EX598" s="43"/>
      <c r="EY598" s="43"/>
      <c r="EZ598" s="43"/>
      <c r="FA598" s="43"/>
      <c r="FB598" s="43"/>
      <c r="FC598" s="43"/>
      <c r="FD598" s="43"/>
      <c r="FE598" s="43"/>
      <c r="FF598" s="43"/>
      <c r="FG598" s="43"/>
      <c r="FH598" s="50"/>
      <c r="FI598" s="50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43"/>
      <c r="CF599" s="43"/>
      <c r="CG599" s="43"/>
      <c r="CH599" s="43"/>
      <c r="CI599" s="43"/>
      <c r="CJ599" s="43"/>
      <c r="CK599" s="43"/>
      <c r="CL599" s="43"/>
      <c r="CM599" s="43"/>
      <c r="CN599" s="43"/>
      <c r="CO599" s="43"/>
      <c r="CP599" s="43"/>
      <c r="CQ599" s="43"/>
      <c r="CR599" s="43"/>
      <c r="CS599" s="43"/>
      <c r="CT599" s="43"/>
      <c r="CU599" s="43"/>
      <c r="CV599" s="43"/>
      <c r="CW599" s="43"/>
      <c r="CX599" s="43"/>
      <c r="CY599" s="43"/>
      <c r="CZ599" s="43"/>
      <c r="DA599" s="43"/>
      <c r="DB599" s="43"/>
      <c r="DC599" s="43"/>
      <c r="DD599" s="43"/>
      <c r="DE599" s="43"/>
      <c r="DF599" s="43"/>
      <c r="DG599" s="43"/>
      <c r="DH599" s="43"/>
      <c r="DI599" s="43"/>
      <c r="DJ599" s="43"/>
      <c r="DK599" s="43"/>
      <c r="DL599" s="43"/>
      <c r="DM599" s="43"/>
      <c r="DN599" s="43"/>
      <c r="DO599" s="43"/>
      <c r="DP599" s="43"/>
      <c r="DQ599" s="43"/>
      <c r="DR599" s="43"/>
      <c r="DS599" s="43"/>
      <c r="DT599" s="43"/>
      <c r="DU599" s="43"/>
      <c r="DV599" s="43"/>
      <c r="DW599" s="43"/>
      <c r="DX599" s="43"/>
      <c r="DY599" s="43"/>
      <c r="DZ599" s="43"/>
      <c r="EA599" s="43"/>
      <c r="EB599" s="43"/>
      <c r="EC599" s="43"/>
      <c r="ED599" s="43"/>
      <c r="EE599" s="43"/>
      <c r="EF599" s="43"/>
      <c r="EG599" s="43"/>
      <c r="EH599" s="43"/>
      <c r="EI599" s="43"/>
      <c r="EJ599" s="43"/>
      <c r="EK599" s="43"/>
      <c r="EL599" s="43"/>
      <c r="EM599" s="43"/>
      <c r="EN599" s="43"/>
      <c r="EO599" s="43"/>
      <c r="EP599" s="43"/>
      <c r="EQ599" s="43"/>
      <c r="ER599" s="43"/>
      <c r="ES599" s="43"/>
      <c r="ET599" s="43"/>
      <c r="EU599" s="43"/>
      <c r="EV599" s="43"/>
      <c r="EW599" s="43"/>
      <c r="EX599" s="43"/>
      <c r="EY599" s="43"/>
      <c r="EZ599" s="43"/>
      <c r="FA599" s="43"/>
      <c r="FB599" s="43"/>
      <c r="FC599" s="43"/>
      <c r="FD599" s="43"/>
      <c r="FE599" s="43"/>
      <c r="FF599" s="43"/>
      <c r="FG599" s="43"/>
      <c r="FH599" s="50"/>
      <c r="FI599" s="50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43"/>
      <c r="CF600" s="43"/>
      <c r="CG600" s="43"/>
      <c r="CH600" s="43"/>
      <c r="CI600" s="43"/>
      <c r="CJ600" s="43"/>
      <c r="CK600" s="43"/>
      <c r="CL600" s="43"/>
      <c r="CM600" s="43"/>
      <c r="CN600" s="43"/>
      <c r="CO600" s="43"/>
      <c r="CP600" s="43"/>
      <c r="CQ600" s="43"/>
      <c r="CR600" s="43"/>
      <c r="CS600" s="43"/>
      <c r="CT600" s="43"/>
      <c r="CU600" s="43"/>
      <c r="CV600" s="43"/>
      <c r="CW600" s="43"/>
      <c r="CX600" s="43"/>
      <c r="CY600" s="43"/>
      <c r="CZ600" s="43"/>
      <c r="DA600" s="43"/>
      <c r="DB600" s="43"/>
      <c r="DC600" s="43"/>
      <c r="DD600" s="43"/>
      <c r="DE600" s="43"/>
      <c r="DF600" s="43"/>
      <c r="DG600" s="43"/>
      <c r="DH600" s="43"/>
      <c r="DI600" s="43"/>
      <c r="DJ600" s="43"/>
      <c r="DK600" s="43"/>
      <c r="DL600" s="43"/>
      <c r="DM600" s="43"/>
      <c r="DN600" s="43"/>
      <c r="DO600" s="43"/>
      <c r="DP600" s="43"/>
      <c r="DQ600" s="43"/>
      <c r="DR600" s="43"/>
      <c r="DS600" s="43"/>
      <c r="DT600" s="43"/>
      <c r="DU600" s="43"/>
      <c r="DV600" s="43"/>
      <c r="DW600" s="43"/>
      <c r="DX600" s="43"/>
      <c r="DY600" s="43"/>
      <c r="DZ600" s="43"/>
      <c r="EA600" s="43"/>
      <c r="EB600" s="43"/>
      <c r="EC600" s="43"/>
      <c r="ED600" s="43"/>
      <c r="EE600" s="43"/>
      <c r="EF600" s="43"/>
      <c r="EG600" s="43"/>
      <c r="EH600" s="43"/>
      <c r="EI600" s="43"/>
      <c r="EJ600" s="43"/>
      <c r="EK600" s="43"/>
      <c r="EL600" s="43"/>
      <c r="EM600" s="43"/>
      <c r="EN600" s="43"/>
      <c r="EO600" s="43"/>
      <c r="EP600" s="43"/>
      <c r="EQ600" s="43"/>
      <c r="ER600" s="43"/>
      <c r="ES600" s="43"/>
      <c r="ET600" s="43"/>
      <c r="EU600" s="43"/>
      <c r="EV600" s="43"/>
      <c r="EW600" s="43"/>
      <c r="EX600" s="43"/>
      <c r="EY600" s="43"/>
      <c r="EZ600" s="43"/>
      <c r="FA600" s="43"/>
      <c r="FB600" s="43"/>
      <c r="FC600" s="43"/>
      <c r="FD600" s="43"/>
      <c r="FE600" s="43"/>
      <c r="FF600" s="43"/>
      <c r="FG600" s="43"/>
      <c r="FH600" s="50"/>
      <c r="FI600" s="50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43"/>
      <c r="CF601" s="43"/>
      <c r="CG601" s="43"/>
      <c r="CH601" s="43"/>
      <c r="CI601" s="43"/>
      <c r="CJ601" s="43"/>
      <c r="CK601" s="43"/>
      <c r="CL601" s="43"/>
      <c r="CM601" s="43"/>
      <c r="CN601" s="43"/>
      <c r="CO601" s="43"/>
      <c r="CP601" s="43"/>
      <c r="CQ601" s="43"/>
      <c r="CR601" s="43"/>
      <c r="CS601" s="43"/>
      <c r="CT601" s="43"/>
      <c r="CU601" s="43"/>
      <c r="CV601" s="43"/>
      <c r="CW601" s="43"/>
      <c r="CX601" s="43"/>
      <c r="CY601" s="43"/>
      <c r="CZ601" s="43"/>
      <c r="DA601" s="43"/>
      <c r="DB601" s="43"/>
      <c r="DC601" s="43"/>
      <c r="DD601" s="43"/>
      <c r="DE601" s="43"/>
      <c r="DF601" s="43"/>
      <c r="DG601" s="43"/>
      <c r="DH601" s="43"/>
      <c r="DI601" s="43"/>
      <c r="DJ601" s="43"/>
      <c r="DK601" s="43"/>
      <c r="DL601" s="43"/>
      <c r="DM601" s="43"/>
      <c r="DN601" s="43"/>
      <c r="DO601" s="43"/>
      <c r="DP601" s="43"/>
      <c r="DQ601" s="43"/>
      <c r="DR601" s="43"/>
      <c r="DS601" s="43"/>
      <c r="DT601" s="43"/>
      <c r="DU601" s="43"/>
      <c r="DV601" s="43"/>
      <c r="DW601" s="43"/>
      <c r="DX601" s="43"/>
      <c r="DY601" s="43"/>
      <c r="DZ601" s="43"/>
      <c r="EA601" s="43"/>
      <c r="EB601" s="43"/>
      <c r="EC601" s="43"/>
      <c r="ED601" s="43"/>
      <c r="EE601" s="43"/>
      <c r="EF601" s="43"/>
      <c r="EG601" s="43"/>
      <c r="EH601" s="43"/>
      <c r="EI601" s="43"/>
      <c r="EJ601" s="43"/>
      <c r="EK601" s="43"/>
      <c r="EL601" s="43"/>
      <c r="EM601" s="43"/>
      <c r="EN601" s="43"/>
      <c r="EO601" s="43"/>
      <c r="EP601" s="43"/>
      <c r="EQ601" s="43"/>
      <c r="ER601" s="43"/>
      <c r="ES601" s="43"/>
      <c r="ET601" s="43"/>
      <c r="EU601" s="43"/>
      <c r="EV601" s="43"/>
      <c r="EW601" s="43"/>
      <c r="EX601" s="43"/>
      <c r="EY601" s="43"/>
      <c r="EZ601" s="43"/>
      <c r="FA601" s="43"/>
      <c r="FB601" s="43"/>
      <c r="FC601" s="43"/>
      <c r="FD601" s="43"/>
      <c r="FE601" s="43"/>
      <c r="FF601" s="43"/>
      <c r="FG601" s="43"/>
      <c r="FH601" s="50"/>
      <c r="FI601" s="50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43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43"/>
      <c r="CF602" s="43"/>
      <c r="CG602" s="43"/>
      <c r="CH602" s="43"/>
      <c r="CI602" s="43"/>
      <c r="CJ602" s="43"/>
      <c r="CK602" s="43"/>
      <c r="CL602" s="43"/>
      <c r="CM602" s="43"/>
      <c r="CN602" s="43"/>
      <c r="CO602" s="43"/>
      <c r="CP602" s="43"/>
      <c r="CQ602" s="43"/>
      <c r="CR602" s="43"/>
      <c r="CS602" s="43"/>
      <c r="CT602" s="43"/>
      <c r="CU602" s="43"/>
      <c r="CV602" s="43"/>
      <c r="CW602" s="43"/>
      <c r="CX602" s="43"/>
      <c r="CY602" s="43"/>
      <c r="CZ602" s="43"/>
      <c r="DA602" s="43"/>
      <c r="DB602" s="43"/>
      <c r="DC602" s="43"/>
      <c r="DD602" s="43"/>
      <c r="DE602" s="43"/>
      <c r="DF602" s="43"/>
      <c r="DG602" s="43"/>
      <c r="DH602" s="43"/>
      <c r="DI602" s="43"/>
      <c r="DJ602" s="43"/>
      <c r="DK602" s="43"/>
      <c r="DL602" s="43"/>
      <c r="DM602" s="43"/>
      <c r="DN602" s="43"/>
      <c r="DO602" s="43"/>
      <c r="DP602" s="43"/>
      <c r="DQ602" s="43"/>
      <c r="DR602" s="43"/>
      <c r="DS602" s="43"/>
      <c r="DT602" s="43"/>
      <c r="DU602" s="43"/>
      <c r="DV602" s="43"/>
      <c r="DW602" s="43"/>
      <c r="DX602" s="43"/>
      <c r="DY602" s="43"/>
      <c r="DZ602" s="43"/>
      <c r="EA602" s="43"/>
      <c r="EB602" s="43"/>
      <c r="EC602" s="43"/>
      <c r="ED602" s="43"/>
      <c r="EE602" s="43"/>
      <c r="EF602" s="43"/>
      <c r="EG602" s="43"/>
      <c r="EH602" s="43"/>
      <c r="EI602" s="43"/>
      <c r="EJ602" s="43"/>
      <c r="EK602" s="43"/>
      <c r="EL602" s="43"/>
      <c r="EM602" s="43"/>
      <c r="EN602" s="43"/>
      <c r="EO602" s="43"/>
      <c r="EP602" s="43"/>
      <c r="EQ602" s="43"/>
      <c r="ER602" s="43"/>
      <c r="ES602" s="43"/>
      <c r="ET602" s="43"/>
      <c r="EU602" s="43"/>
      <c r="EV602" s="43"/>
      <c r="EW602" s="43"/>
      <c r="EX602" s="43"/>
      <c r="EY602" s="43"/>
      <c r="EZ602" s="43"/>
      <c r="FA602" s="43"/>
      <c r="FB602" s="43"/>
      <c r="FC602" s="43"/>
      <c r="FD602" s="43"/>
      <c r="FE602" s="43"/>
      <c r="FF602" s="43"/>
      <c r="FG602" s="43"/>
      <c r="FH602" s="50"/>
      <c r="FI602" s="50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43"/>
      <c r="CF603" s="43"/>
      <c r="CG603" s="43"/>
      <c r="CH603" s="43"/>
      <c r="CI603" s="43"/>
      <c r="CJ603" s="43"/>
      <c r="CK603" s="43"/>
      <c r="CL603" s="43"/>
      <c r="CM603" s="43"/>
      <c r="CN603" s="43"/>
      <c r="CO603" s="43"/>
      <c r="CP603" s="43"/>
      <c r="CQ603" s="43"/>
      <c r="CR603" s="43"/>
      <c r="CS603" s="43"/>
      <c r="CT603" s="43"/>
      <c r="CU603" s="43"/>
      <c r="CV603" s="43"/>
      <c r="CW603" s="43"/>
      <c r="CX603" s="43"/>
      <c r="CY603" s="43"/>
      <c r="CZ603" s="43"/>
      <c r="DA603" s="43"/>
      <c r="DB603" s="43"/>
      <c r="DC603" s="43"/>
      <c r="DD603" s="43"/>
      <c r="DE603" s="43"/>
      <c r="DF603" s="43"/>
      <c r="DG603" s="43"/>
      <c r="DH603" s="43"/>
      <c r="DI603" s="43"/>
      <c r="DJ603" s="43"/>
      <c r="DK603" s="43"/>
      <c r="DL603" s="43"/>
      <c r="DM603" s="43"/>
      <c r="DN603" s="43"/>
      <c r="DO603" s="43"/>
      <c r="DP603" s="43"/>
      <c r="DQ603" s="43"/>
      <c r="DR603" s="43"/>
      <c r="DS603" s="43"/>
      <c r="DT603" s="43"/>
      <c r="DU603" s="43"/>
      <c r="DV603" s="43"/>
      <c r="DW603" s="43"/>
      <c r="DX603" s="43"/>
      <c r="DY603" s="43"/>
      <c r="DZ603" s="43"/>
      <c r="EA603" s="43"/>
      <c r="EB603" s="43"/>
      <c r="EC603" s="43"/>
      <c r="ED603" s="43"/>
      <c r="EE603" s="43"/>
      <c r="EF603" s="43"/>
      <c r="EG603" s="43"/>
      <c r="EH603" s="43"/>
      <c r="EI603" s="43"/>
      <c r="EJ603" s="43"/>
      <c r="EK603" s="43"/>
      <c r="EL603" s="43"/>
      <c r="EM603" s="43"/>
      <c r="EN603" s="43"/>
      <c r="EO603" s="43"/>
      <c r="EP603" s="43"/>
      <c r="EQ603" s="43"/>
      <c r="ER603" s="43"/>
      <c r="ES603" s="43"/>
      <c r="ET603" s="43"/>
      <c r="EU603" s="43"/>
      <c r="EV603" s="43"/>
      <c r="EW603" s="43"/>
      <c r="EX603" s="43"/>
      <c r="EY603" s="43"/>
      <c r="EZ603" s="43"/>
      <c r="FA603" s="43"/>
      <c r="FB603" s="43"/>
      <c r="FC603" s="43"/>
      <c r="FD603" s="43"/>
      <c r="FE603" s="43"/>
      <c r="FF603" s="43"/>
      <c r="FG603" s="43"/>
      <c r="FH603" s="50"/>
      <c r="FI603" s="50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43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43"/>
      <c r="CF604" s="43"/>
      <c r="CG604" s="43"/>
      <c r="CH604" s="43"/>
      <c r="CI604" s="43"/>
      <c r="CJ604" s="43"/>
      <c r="CK604" s="43"/>
      <c r="CL604" s="43"/>
      <c r="CM604" s="43"/>
      <c r="CN604" s="43"/>
      <c r="CO604" s="43"/>
      <c r="CP604" s="43"/>
      <c r="CQ604" s="43"/>
      <c r="CR604" s="43"/>
      <c r="CS604" s="43"/>
      <c r="CT604" s="43"/>
      <c r="CU604" s="43"/>
      <c r="CV604" s="43"/>
      <c r="CW604" s="43"/>
      <c r="CX604" s="43"/>
      <c r="CY604" s="43"/>
      <c r="CZ604" s="43"/>
      <c r="DA604" s="43"/>
      <c r="DB604" s="43"/>
      <c r="DC604" s="43"/>
      <c r="DD604" s="43"/>
      <c r="DE604" s="43"/>
      <c r="DF604" s="43"/>
      <c r="DG604" s="43"/>
      <c r="DH604" s="43"/>
      <c r="DI604" s="43"/>
      <c r="DJ604" s="43"/>
      <c r="DK604" s="43"/>
      <c r="DL604" s="43"/>
      <c r="DM604" s="43"/>
      <c r="DN604" s="43"/>
      <c r="DO604" s="43"/>
      <c r="DP604" s="43"/>
      <c r="DQ604" s="43"/>
      <c r="DR604" s="43"/>
      <c r="DS604" s="43"/>
      <c r="DT604" s="43"/>
      <c r="DU604" s="43"/>
      <c r="DV604" s="43"/>
      <c r="DW604" s="43"/>
      <c r="DX604" s="43"/>
      <c r="DY604" s="43"/>
      <c r="DZ604" s="43"/>
      <c r="EA604" s="43"/>
      <c r="EB604" s="43"/>
      <c r="EC604" s="43"/>
      <c r="ED604" s="43"/>
      <c r="EE604" s="43"/>
      <c r="EF604" s="43"/>
      <c r="EG604" s="43"/>
      <c r="EH604" s="43"/>
      <c r="EI604" s="43"/>
      <c r="EJ604" s="43"/>
      <c r="EK604" s="43"/>
      <c r="EL604" s="43"/>
      <c r="EM604" s="43"/>
      <c r="EN604" s="43"/>
      <c r="EO604" s="43"/>
      <c r="EP604" s="43"/>
      <c r="EQ604" s="43"/>
      <c r="ER604" s="43"/>
      <c r="ES604" s="43"/>
      <c r="ET604" s="43"/>
      <c r="EU604" s="43"/>
      <c r="EV604" s="43"/>
      <c r="EW604" s="43"/>
      <c r="EX604" s="43"/>
      <c r="EY604" s="43"/>
      <c r="EZ604" s="43"/>
      <c r="FA604" s="43"/>
      <c r="FB604" s="43"/>
      <c r="FC604" s="43"/>
      <c r="FD604" s="43"/>
      <c r="FE604" s="43"/>
      <c r="FF604" s="43"/>
      <c r="FG604" s="43"/>
      <c r="FH604" s="50"/>
      <c r="FI604" s="50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43"/>
      <c r="CF605" s="43"/>
      <c r="CG605" s="43"/>
      <c r="CH605" s="43"/>
      <c r="CI605" s="43"/>
      <c r="CJ605" s="43"/>
      <c r="CK605" s="43"/>
      <c r="CL605" s="43"/>
      <c r="CM605" s="43"/>
      <c r="CN605" s="43"/>
      <c r="CO605" s="43"/>
      <c r="CP605" s="43"/>
      <c r="CQ605" s="43"/>
      <c r="CR605" s="43"/>
      <c r="CS605" s="43"/>
      <c r="CT605" s="43"/>
      <c r="CU605" s="43"/>
      <c r="CV605" s="43"/>
      <c r="CW605" s="43"/>
      <c r="CX605" s="43"/>
      <c r="CY605" s="43"/>
      <c r="CZ605" s="43"/>
      <c r="DA605" s="43"/>
      <c r="DB605" s="43"/>
      <c r="DC605" s="43"/>
      <c r="DD605" s="43"/>
      <c r="DE605" s="43"/>
      <c r="DF605" s="43"/>
      <c r="DG605" s="43"/>
      <c r="DH605" s="43"/>
      <c r="DI605" s="43"/>
      <c r="DJ605" s="43"/>
      <c r="DK605" s="43"/>
      <c r="DL605" s="43"/>
      <c r="DM605" s="43"/>
      <c r="DN605" s="43"/>
      <c r="DO605" s="43"/>
      <c r="DP605" s="43"/>
      <c r="DQ605" s="43"/>
      <c r="DR605" s="43"/>
      <c r="DS605" s="43"/>
      <c r="DT605" s="43"/>
      <c r="DU605" s="43"/>
      <c r="DV605" s="43"/>
      <c r="DW605" s="43"/>
      <c r="DX605" s="43"/>
      <c r="DY605" s="43"/>
      <c r="DZ605" s="43"/>
      <c r="EA605" s="43"/>
      <c r="EB605" s="43"/>
      <c r="EC605" s="43"/>
      <c r="ED605" s="43"/>
      <c r="EE605" s="43"/>
      <c r="EF605" s="43"/>
      <c r="EG605" s="43"/>
      <c r="EH605" s="43"/>
      <c r="EI605" s="43"/>
      <c r="EJ605" s="43"/>
      <c r="EK605" s="43"/>
      <c r="EL605" s="43"/>
      <c r="EM605" s="43"/>
      <c r="EN605" s="43"/>
      <c r="EO605" s="43"/>
      <c r="EP605" s="43"/>
      <c r="EQ605" s="43"/>
      <c r="ER605" s="43"/>
      <c r="ES605" s="43"/>
      <c r="ET605" s="43"/>
      <c r="EU605" s="43"/>
      <c r="EV605" s="43"/>
      <c r="EW605" s="43"/>
      <c r="EX605" s="43"/>
      <c r="EY605" s="43"/>
      <c r="EZ605" s="43"/>
      <c r="FA605" s="43"/>
      <c r="FB605" s="43"/>
      <c r="FC605" s="43"/>
      <c r="FD605" s="43"/>
      <c r="FE605" s="43"/>
      <c r="FF605" s="43"/>
      <c r="FG605" s="43"/>
      <c r="FH605" s="50"/>
      <c r="FI605" s="50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43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43"/>
      <c r="CF606" s="43"/>
      <c r="CG606" s="43"/>
      <c r="CH606" s="43"/>
      <c r="CI606" s="43"/>
      <c r="CJ606" s="43"/>
      <c r="CK606" s="43"/>
      <c r="CL606" s="43"/>
      <c r="CM606" s="43"/>
      <c r="CN606" s="43"/>
      <c r="CO606" s="43"/>
      <c r="CP606" s="43"/>
      <c r="CQ606" s="43"/>
      <c r="CR606" s="43"/>
      <c r="CS606" s="43"/>
      <c r="CT606" s="43"/>
      <c r="CU606" s="43"/>
      <c r="CV606" s="43"/>
      <c r="CW606" s="43"/>
      <c r="CX606" s="43"/>
      <c r="CY606" s="43"/>
      <c r="CZ606" s="43"/>
      <c r="DA606" s="43"/>
      <c r="DB606" s="43"/>
      <c r="DC606" s="43"/>
      <c r="DD606" s="43"/>
      <c r="DE606" s="43"/>
      <c r="DF606" s="43"/>
      <c r="DG606" s="43"/>
      <c r="DH606" s="43"/>
      <c r="DI606" s="43"/>
      <c r="DJ606" s="43"/>
      <c r="DK606" s="43"/>
      <c r="DL606" s="43"/>
      <c r="DM606" s="43"/>
      <c r="DN606" s="43"/>
      <c r="DO606" s="43"/>
      <c r="DP606" s="43"/>
      <c r="DQ606" s="43"/>
      <c r="DR606" s="43"/>
      <c r="DS606" s="43"/>
      <c r="DT606" s="43"/>
      <c r="DU606" s="43"/>
      <c r="DV606" s="43"/>
      <c r="DW606" s="43"/>
      <c r="DX606" s="43"/>
      <c r="DY606" s="43"/>
      <c r="DZ606" s="43"/>
      <c r="EA606" s="43"/>
      <c r="EB606" s="43"/>
      <c r="EC606" s="43"/>
      <c r="ED606" s="43"/>
      <c r="EE606" s="43"/>
      <c r="EF606" s="43"/>
      <c r="EG606" s="43"/>
      <c r="EH606" s="43"/>
      <c r="EI606" s="43"/>
      <c r="EJ606" s="43"/>
      <c r="EK606" s="43"/>
      <c r="EL606" s="43"/>
      <c r="EM606" s="43"/>
      <c r="EN606" s="43"/>
      <c r="EO606" s="43"/>
      <c r="EP606" s="43"/>
      <c r="EQ606" s="43"/>
      <c r="ER606" s="43"/>
      <c r="ES606" s="43"/>
      <c r="ET606" s="43"/>
      <c r="EU606" s="43"/>
      <c r="EV606" s="43"/>
      <c r="EW606" s="43"/>
      <c r="EX606" s="43"/>
      <c r="EY606" s="43"/>
      <c r="EZ606" s="43"/>
      <c r="FA606" s="43"/>
      <c r="FB606" s="43"/>
      <c r="FC606" s="43"/>
      <c r="FD606" s="43"/>
      <c r="FE606" s="43"/>
      <c r="FF606" s="43"/>
      <c r="FG606" s="43"/>
      <c r="FH606" s="50"/>
      <c r="FI606" s="50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43"/>
      <c r="CF607" s="43"/>
      <c r="CG607" s="43"/>
      <c r="CH607" s="43"/>
      <c r="CI607" s="43"/>
      <c r="CJ607" s="43"/>
      <c r="CK607" s="43"/>
      <c r="CL607" s="43"/>
      <c r="CM607" s="43"/>
      <c r="CN607" s="43"/>
      <c r="CO607" s="43"/>
      <c r="CP607" s="43"/>
      <c r="CQ607" s="43"/>
      <c r="CR607" s="43"/>
      <c r="CS607" s="43"/>
      <c r="CT607" s="43"/>
      <c r="CU607" s="43"/>
      <c r="CV607" s="43"/>
      <c r="CW607" s="43"/>
      <c r="CX607" s="43"/>
      <c r="CY607" s="43"/>
      <c r="CZ607" s="43"/>
      <c r="DA607" s="43"/>
      <c r="DB607" s="43"/>
      <c r="DC607" s="43"/>
      <c r="DD607" s="43"/>
      <c r="DE607" s="43"/>
      <c r="DF607" s="43"/>
      <c r="DG607" s="43"/>
      <c r="DH607" s="43"/>
      <c r="DI607" s="43"/>
      <c r="DJ607" s="43"/>
      <c r="DK607" s="43"/>
      <c r="DL607" s="43"/>
      <c r="DM607" s="43"/>
      <c r="DN607" s="43"/>
      <c r="DO607" s="43"/>
      <c r="DP607" s="43"/>
      <c r="DQ607" s="43"/>
      <c r="DR607" s="43"/>
      <c r="DS607" s="43"/>
      <c r="DT607" s="43"/>
      <c r="DU607" s="43"/>
      <c r="DV607" s="43"/>
      <c r="DW607" s="43"/>
      <c r="DX607" s="43"/>
      <c r="DY607" s="43"/>
      <c r="DZ607" s="43"/>
      <c r="EA607" s="43"/>
      <c r="EB607" s="43"/>
      <c r="EC607" s="43"/>
      <c r="ED607" s="43"/>
      <c r="EE607" s="43"/>
      <c r="EF607" s="43"/>
      <c r="EG607" s="43"/>
      <c r="EH607" s="43"/>
      <c r="EI607" s="43"/>
      <c r="EJ607" s="43"/>
      <c r="EK607" s="43"/>
      <c r="EL607" s="43"/>
      <c r="EM607" s="43"/>
      <c r="EN607" s="43"/>
      <c r="EO607" s="43"/>
      <c r="EP607" s="43"/>
      <c r="EQ607" s="43"/>
      <c r="ER607" s="43"/>
      <c r="ES607" s="43"/>
      <c r="ET607" s="43"/>
      <c r="EU607" s="43"/>
      <c r="EV607" s="43"/>
      <c r="EW607" s="43"/>
      <c r="EX607" s="43"/>
      <c r="EY607" s="43"/>
      <c r="EZ607" s="43"/>
      <c r="FA607" s="43"/>
      <c r="FB607" s="43"/>
      <c r="FC607" s="43"/>
      <c r="FD607" s="43"/>
      <c r="FE607" s="43"/>
      <c r="FF607" s="43"/>
      <c r="FG607" s="43"/>
      <c r="FH607" s="50"/>
      <c r="FI607" s="50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  <c r="CS608" s="43"/>
      <c r="CT608" s="43"/>
      <c r="CU608" s="43"/>
      <c r="CV608" s="43"/>
      <c r="CW608" s="43"/>
      <c r="CX608" s="43"/>
      <c r="CY608" s="43"/>
      <c r="CZ608" s="43"/>
      <c r="DA608" s="43"/>
      <c r="DB608" s="43"/>
      <c r="DC608" s="43"/>
      <c r="DD608" s="43"/>
      <c r="DE608" s="43"/>
      <c r="DF608" s="43"/>
      <c r="DG608" s="43"/>
      <c r="DH608" s="43"/>
      <c r="DI608" s="43"/>
      <c r="DJ608" s="43"/>
      <c r="DK608" s="43"/>
      <c r="DL608" s="43"/>
      <c r="DM608" s="43"/>
      <c r="DN608" s="43"/>
      <c r="DO608" s="43"/>
      <c r="DP608" s="43"/>
      <c r="DQ608" s="43"/>
      <c r="DR608" s="43"/>
      <c r="DS608" s="43"/>
      <c r="DT608" s="43"/>
      <c r="DU608" s="43"/>
      <c r="DV608" s="43"/>
      <c r="DW608" s="43"/>
      <c r="DX608" s="43"/>
      <c r="DY608" s="43"/>
      <c r="DZ608" s="43"/>
      <c r="EA608" s="43"/>
      <c r="EB608" s="43"/>
      <c r="EC608" s="43"/>
      <c r="ED608" s="43"/>
      <c r="EE608" s="43"/>
      <c r="EF608" s="43"/>
      <c r="EG608" s="43"/>
      <c r="EH608" s="43"/>
      <c r="EI608" s="43"/>
      <c r="EJ608" s="43"/>
      <c r="EK608" s="43"/>
      <c r="EL608" s="43"/>
      <c r="EM608" s="43"/>
      <c r="EN608" s="43"/>
      <c r="EO608" s="43"/>
      <c r="EP608" s="43"/>
      <c r="EQ608" s="43"/>
      <c r="ER608" s="43"/>
      <c r="ES608" s="43"/>
      <c r="ET608" s="43"/>
      <c r="EU608" s="43"/>
      <c r="EV608" s="43"/>
      <c r="EW608" s="43"/>
      <c r="EX608" s="43"/>
      <c r="EY608" s="43"/>
      <c r="EZ608" s="43"/>
      <c r="FA608" s="43"/>
      <c r="FB608" s="43"/>
      <c r="FC608" s="43"/>
      <c r="FD608" s="43"/>
      <c r="FE608" s="43"/>
      <c r="FF608" s="43"/>
      <c r="FG608" s="43"/>
      <c r="FH608" s="50"/>
      <c r="FI608" s="50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43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43"/>
      <c r="CF609" s="43"/>
      <c r="CG609" s="43"/>
      <c r="CH609" s="43"/>
      <c r="CI609" s="43"/>
      <c r="CJ609" s="43"/>
      <c r="CK609" s="43"/>
      <c r="CL609" s="43"/>
      <c r="CM609" s="43"/>
      <c r="CN609" s="43"/>
      <c r="CO609" s="43"/>
      <c r="CP609" s="43"/>
      <c r="CQ609" s="43"/>
      <c r="CR609" s="43"/>
      <c r="CS609" s="43"/>
      <c r="CT609" s="43"/>
      <c r="CU609" s="43"/>
      <c r="CV609" s="43"/>
      <c r="CW609" s="43"/>
      <c r="CX609" s="43"/>
      <c r="CY609" s="43"/>
      <c r="CZ609" s="43"/>
      <c r="DA609" s="43"/>
      <c r="DB609" s="43"/>
      <c r="DC609" s="43"/>
      <c r="DD609" s="43"/>
      <c r="DE609" s="43"/>
      <c r="DF609" s="43"/>
      <c r="DG609" s="43"/>
      <c r="DH609" s="43"/>
      <c r="DI609" s="43"/>
      <c r="DJ609" s="43"/>
      <c r="DK609" s="43"/>
      <c r="DL609" s="43"/>
      <c r="DM609" s="43"/>
      <c r="DN609" s="43"/>
      <c r="DO609" s="43"/>
      <c r="DP609" s="43"/>
      <c r="DQ609" s="43"/>
      <c r="DR609" s="43"/>
      <c r="DS609" s="43"/>
      <c r="DT609" s="43"/>
      <c r="DU609" s="43"/>
      <c r="DV609" s="43"/>
      <c r="DW609" s="43"/>
      <c r="DX609" s="43"/>
      <c r="DY609" s="43"/>
      <c r="DZ609" s="43"/>
      <c r="EA609" s="43"/>
      <c r="EB609" s="43"/>
      <c r="EC609" s="43"/>
      <c r="ED609" s="43"/>
      <c r="EE609" s="43"/>
      <c r="EF609" s="43"/>
      <c r="EG609" s="43"/>
      <c r="EH609" s="43"/>
      <c r="EI609" s="43"/>
      <c r="EJ609" s="43"/>
      <c r="EK609" s="43"/>
      <c r="EL609" s="43"/>
      <c r="EM609" s="43"/>
      <c r="EN609" s="43"/>
      <c r="EO609" s="43"/>
      <c r="EP609" s="43"/>
      <c r="EQ609" s="43"/>
      <c r="ER609" s="43"/>
      <c r="ES609" s="43"/>
      <c r="ET609" s="43"/>
      <c r="EU609" s="43"/>
      <c r="EV609" s="43"/>
      <c r="EW609" s="43"/>
      <c r="EX609" s="43"/>
      <c r="EY609" s="43"/>
      <c r="EZ609" s="43"/>
      <c r="FA609" s="43"/>
      <c r="FB609" s="43"/>
      <c r="FC609" s="43"/>
      <c r="FD609" s="43"/>
      <c r="FE609" s="43"/>
      <c r="FF609" s="43"/>
      <c r="FG609" s="43"/>
      <c r="FH609" s="50"/>
      <c r="FI609" s="50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43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43"/>
      <c r="CF610" s="43"/>
      <c r="CG610" s="43"/>
      <c r="CH610" s="43"/>
      <c r="CI610" s="43"/>
      <c r="CJ610" s="43"/>
      <c r="CK610" s="43"/>
      <c r="CL610" s="43"/>
      <c r="CM610" s="43"/>
      <c r="CN610" s="43"/>
      <c r="CO610" s="43"/>
      <c r="CP610" s="43"/>
      <c r="CQ610" s="43"/>
      <c r="CR610" s="43"/>
      <c r="CS610" s="43"/>
      <c r="CT610" s="43"/>
      <c r="CU610" s="43"/>
      <c r="CV610" s="43"/>
      <c r="CW610" s="43"/>
      <c r="CX610" s="43"/>
      <c r="CY610" s="43"/>
      <c r="CZ610" s="43"/>
      <c r="DA610" s="43"/>
      <c r="DB610" s="43"/>
      <c r="DC610" s="43"/>
      <c r="DD610" s="43"/>
      <c r="DE610" s="43"/>
      <c r="DF610" s="43"/>
      <c r="DG610" s="43"/>
      <c r="DH610" s="43"/>
      <c r="DI610" s="43"/>
      <c r="DJ610" s="43"/>
      <c r="DK610" s="43"/>
      <c r="DL610" s="43"/>
      <c r="DM610" s="43"/>
      <c r="DN610" s="43"/>
      <c r="DO610" s="43"/>
      <c r="DP610" s="43"/>
      <c r="DQ610" s="43"/>
      <c r="DR610" s="43"/>
      <c r="DS610" s="43"/>
      <c r="DT610" s="43"/>
      <c r="DU610" s="43"/>
      <c r="DV610" s="43"/>
      <c r="DW610" s="43"/>
      <c r="DX610" s="43"/>
      <c r="DY610" s="43"/>
      <c r="DZ610" s="43"/>
      <c r="EA610" s="43"/>
      <c r="EB610" s="43"/>
      <c r="EC610" s="43"/>
      <c r="ED610" s="43"/>
      <c r="EE610" s="43"/>
      <c r="EF610" s="43"/>
      <c r="EG610" s="43"/>
      <c r="EH610" s="43"/>
      <c r="EI610" s="43"/>
      <c r="EJ610" s="43"/>
      <c r="EK610" s="43"/>
      <c r="EL610" s="43"/>
      <c r="EM610" s="43"/>
      <c r="EN610" s="43"/>
      <c r="EO610" s="43"/>
      <c r="EP610" s="43"/>
      <c r="EQ610" s="43"/>
      <c r="ER610" s="43"/>
      <c r="ES610" s="43"/>
      <c r="ET610" s="43"/>
      <c r="EU610" s="43"/>
      <c r="EV610" s="43"/>
      <c r="EW610" s="43"/>
      <c r="EX610" s="43"/>
      <c r="EY610" s="43"/>
      <c r="EZ610" s="43"/>
      <c r="FA610" s="43"/>
      <c r="FB610" s="43"/>
      <c r="FC610" s="43"/>
      <c r="FD610" s="43"/>
      <c r="FE610" s="43"/>
      <c r="FF610" s="43"/>
      <c r="FG610" s="43"/>
      <c r="FH610" s="50"/>
      <c r="FI610" s="50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  <c r="CS611" s="43"/>
      <c r="CT611" s="43"/>
      <c r="CU611" s="43"/>
      <c r="CV611" s="43"/>
      <c r="CW611" s="43"/>
      <c r="CX611" s="43"/>
      <c r="CY611" s="43"/>
      <c r="CZ611" s="43"/>
      <c r="DA611" s="43"/>
      <c r="DB611" s="43"/>
      <c r="DC611" s="43"/>
      <c r="DD611" s="43"/>
      <c r="DE611" s="43"/>
      <c r="DF611" s="43"/>
      <c r="DG611" s="43"/>
      <c r="DH611" s="43"/>
      <c r="DI611" s="43"/>
      <c r="DJ611" s="43"/>
      <c r="DK611" s="43"/>
      <c r="DL611" s="43"/>
      <c r="DM611" s="43"/>
      <c r="DN611" s="43"/>
      <c r="DO611" s="43"/>
      <c r="DP611" s="43"/>
      <c r="DQ611" s="43"/>
      <c r="DR611" s="43"/>
      <c r="DS611" s="43"/>
      <c r="DT611" s="43"/>
      <c r="DU611" s="43"/>
      <c r="DV611" s="43"/>
      <c r="DW611" s="43"/>
      <c r="DX611" s="43"/>
      <c r="DY611" s="43"/>
      <c r="DZ611" s="43"/>
      <c r="EA611" s="43"/>
      <c r="EB611" s="43"/>
      <c r="EC611" s="43"/>
      <c r="ED611" s="43"/>
      <c r="EE611" s="43"/>
      <c r="EF611" s="43"/>
      <c r="EG611" s="43"/>
      <c r="EH611" s="43"/>
      <c r="EI611" s="43"/>
      <c r="EJ611" s="43"/>
      <c r="EK611" s="43"/>
      <c r="EL611" s="43"/>
      <c r="EM611" s="43"/>
      <c r="EN611" s="43"/>
      <c r="EO611" s="43"/>
      <c r="EP611" s="43"/>
      <c r="EQ611" s="43"/>
      <c r="ER611" s="43"/>
      <c r="ES611" s="43"/>
      <c r="ET611" s="43"/>
      <c r="EU611" s="43"/>
      <c r="EV611" s="43"/>
      <c r="EW611" s="43"/>
      <c r="EX611" s="43"/>
      <c r="EY611" s="43"/>
      <c r="EZ611" s="43"/>
      <c r="FA611" s="43"/>
      <c r="FB611" s="43"/>
      <c r="FC611" s="43"/>
      <c r="FD611" s="43"/>
      <c r="FE611" s="43"/>
      <c r="FF611" s="43"/>
      <c r="FG611" s="43"/>
      <c r="FH611" s="50"/>
      <c r="FI611" s="50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43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43"/>
      <c r="CF612" s="43"/>
      <c r="CG612" s="43"/>
      <c r="CH612" s="43"/>
      <c r="CI612" s="43"/>
      <c r="CJ612" s="43"/>
      <c r="CK612" s="43"/>
      <c r="CL612" s="43"/>
      <c r="CM612" s="43"/>
      <c r="CN612" s="43"/>
      <c r="CO612" s="43"/>
      <c r="CP612" s="43"/>
      <c r="CQ612" s="43"/>
      <c r="CR612" s="43"/>
      <c r="CS612" s="43"/>
      <c r="CT612" s="43"/>
      <c r="CU612" s="43"/>
      <c r="CV612" s="43"/>
      <c r="CW612" s="43"/>
      <c r="CX612" s="43"/>
      <c r="CY612" s="43"/>
      <c r="CZ612" s="43"/>
      <c r="DA612" s="43"/>
      <c r="DB612" s="43"/>
      <c r="DC612" s="43"/>
      <c r="DD612" s="43"/>
      <c r="DE612" s="43"/>
      <c r="DF612" s="43"/>
      <c r="DG612" s="43"/>
      <c r="DH612" s="43"/>
      <c r="DI612" s="43"/>
      <c r="DJ612" s="43"/>
      <c r="DK612" s="43"/>
      <c r="DL612" s="43"/>
      <c r="DM612" s="43"/>
      <c r="DN612" s="43"/>
      <c r="DO612" s="43"/>
      <c r="DP612" s="43"/>
      <c r="DQ612" s="43"/>
      <c r="DR612" s="43"/>
      <c r="DS612" s="43"/>
      <c r="DT612" s="43"/>
      <c r="DU612" s="43"/>
      <c r="DV612" s="43"/>
      <c r="DW612" s="43"/>
      <c r="DX612" s="43"/>
      <c r="DY612" s="43"/>
      <c r="DZ612" s="43"/>
      <c r="EA612" s="43"/>
      <c r="EB612" s="43"/>
      <c r="EC612" s="43"/>
      <c r="ED612" s="43"/>
      <c r="EE612" s="43"/>
      <c r="EF612" s="43"/>
      <c r="EG612" s="43"/>
      <c r="EH612" s="43"/>
      <c r="EI612" s="43"/>
      <c r="EJ612" s="43"/>
      <c r="EK612" s="43"/>
      <c r="EL612" s="43"/>
      <c r="EM612" s="43"/>
      <c r="EN612" s="43"/>
      <c r="EO612" s="43"/>
      <c r="EP612" s="43"/>
      <c r="EQ612" s="43"/>
      <c r="ER612" s="43"/>
      <c r="ES612" s="43"/>
      <c r="ET612" s="43"/>
      <c r="EU612" s="43"/>
      <c r="EV612" s="43"/>
      <c r="EW612" s="43"/>
      <c r="EX612" s="43"/>
      <c r="EY612" s="43"/>
      <c r="EZ612" s="43"/>
      <c r="FA612" s="43"/>
      <c r="FB612" s="43"/>
      <c r="FC612" s="43"/>
      <c r="FD612" s="43"/>
      <c r="FE612" s="43"/>
      <c r="FF612" s="43"/>
      <c r="FG612" s="43"/>
      <c r="FH612" s="50"/>
      <c r="FI612" s="50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43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43"/>
      <c r="CF613" s="43"/>
      <c r="CG613" s="43"/>
      <c r="CH613" s="43"/>
      <c r="CI613" s="43"/>
      <c r="CJ613" s="43"/>
      <c r="CK613" s="43"/>
      <c r="CL613" s="43"/>
      <c r="CM613" s="43"/>
      <c r="CN613" s="43"/>
      <c r="CO613" s="43"/>
      <c r="CP613" s="43"/>
      <c r="CQ613" s="43"/>
      <c r="CR613" s="43"/>
      <c r="CS613" s="43"/>
      <c r="CT613" s="43"/>
      <c r="CU613" s="43"/>
      <c r="CV613" s="43"/>
      <c r="CW613" s="43"/>
      <c r="CX613" s="43"/>
      <c r="CY613" s="43"/>
      <c r="CZ613" s="43"/>
      <c r="DA613" s="43"/>
      <c r="DB613" s="43"/>
      <c r="DC613" s="43"/>
      <c r="DD613" s="43"/>
      <c r="DE613" s="43"/>
      <c r="DF613" s="43"/>
      <c r="DG613" s="43"/>
      <c r="DH613" s="43"/>
      <c r="DI613" s="43"/>
      <c r="DJ613" s="43"/>
      <c r="DK613" s="43"/>
      <c r="DL613" s="43"/>
      <c r="DM613" s="43"/>
      <c r="DN613" s="43"/>
      <c r="DO613" s="43"/>
      <c r="DP613" s="43"/>
      <c r="DQ613" s="43"/>
      <c r="DR613" s="43"/>
      <c r="DS613" s="43"/>
      <c r="DT613" s="43"/>
      <c r="DU613" s="43"/>
      <c r="DV613" s="43"/>
      <c r="DW613" s="43"/>
      <c r="DX613" s="43"/>
      <c r="DY613" s="43"/>
      <c r="DZ613" s="43"/>
      <c r="EA613" s="43"/>
      <c r="EB613" s="43"/>
      <c r="EC613" s="43"/>
      <c r="ED613" s="43"/>
      <c r="EE613" s="43"/>
      <c r="EF613" s="43"/>
      <c r="EG613" s="43"/>
      <c r="EH613" s="43"/>
      <c r="EI613" s="43"/>
      <c r="EJ613" s="43"/>
      <c r="EK613" s="43"/>
      <c r="EL613" s="43"/>
      <c r="EM613" s="43"/>
      <c r="EN613" s="43"/>
      <c r="EO613" s="43"/>
      <c r="EP613" s="43"/>
      <c r="EQ613" s="43"/>
      <c r="ER613" s="43"/>
      <c r="ES613" s="43"/>
      <c r="ET613" s="43"/>
      <c r="EU613" s="43"/>
      <c r="EV613" s="43"/>
      <c r="EW613" s="43"/>
      <c r="EX613" s="43"/>
      <c r="EY613" s="43"/>
      <c r="EZ613" s="43"/>
      <c r="FA613" s="43"/>
      <c r="FB613" s="43"/>
      <c r="FC613" s="43"/>
      <c r="FD613" s="43"/>
      <c r="FE613" s="43"/>
      <c r="FF613" s="43"/>
      <c r="FG613" s="43"/>
      <c r="FH613" s="50"/>
      <c r="FI613" s="50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  <c r="CS614" s="43"/>
      <c r="CT614" s="43"/>
      <c r="CU614" s="43"/>
      <c r="CV614" s="43"/>
      <c r="CW614" s="43"/>
      <c r="CX614" s="43"/>
      <c r="CY614" s="43"/>
      <c r="CZ614" s="43"/>
      <c r="DA614" s="43"/>
      <c r="DB614" s="43"/>
      <c r="DC614" s="43"/>
      <c r="DD614" s="43"/>
      <c r="DE614" s="43"/>
      <c r="DF614" s="43"/>
      <c r="DG614" s="43"/>
      <c r="DH614" s="43"/>
      <c r="DI614" s="43"/>
      <c r="DJ614" s="43"/>
      <c r="DK614" s="43"/>
      <c r="DL614" s="43"/>
      <c r="DM614" s="43"/>
      <c r="DN614" s="43"/>
      <c r="DO614" s="43"/>
      <c r="DP614" s="43"/>
      <c r="DQ614" s="43"/>
      <c r="DR614" s="43"/>
      <c r="DS614" s="43"/>
      <c r="DT614" s="43"/>
      <c r="DU614" s="43"/>
      <c r="DV614" s="43"/>
      <c r="DW614" s="43"/>
      <c r="DX614" s="43"/>
      <c r="DY614" s="43"/>
      <c r="DZ614" s="43"/>
      <c r="EA614" s="43"/>
      <c r="EB614" s="43"/>
      <c r="EC614" s="43"/>
      <c r="ED614" s="43"/>
      <c r="EE614" s="43"/>
      <c r="EF614" s="43"/>
      <c r="EG614" s="43"/>
      <c r="EH614" s="43"/>
      <c r="EI614" s="43"/>
      <c r="EJ614" s="43"/>
      <c r="EK614" s="43"/>
      <c r="EL614" s="43"/>
      <c r="EM614" s="43"/>
      <c r="EN614" s="43"/>
      <c r="EO614" s="43"/>
      <c r="EP614" s="43"/>
      <c r="EQ614" s="43"/>
      <c r="ER614" s="43"/>
      <c r="ES614" s="43"/>
      <c r="ET614" s="43"/>
      <c r="EU614" s="43"/>
      <c r="EV614" s="43"/>
      <c r="EW614" s="43"/>
      <c r="EX614" s="43"/>
      <c r="EY614" s="43"/>
      <c r="EZ614" s="43"/>
      <c r="FA614" s="43"/>
      <c r="FB614" s="43"/>
      <c r="FC614" s="43"/>
      <c r="FD614" s="43"/>
      <c r="FE614" s="43"/>
      <c r="FF614" s="43"/>
      <c r="FG614" s="43"/>
      <c r="FH614" s="50"/>
      <c r="FI614" s="50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43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43"/>
      <c r="CF615" s="43"/>
      <c r="CG615" s="43"/>
      <c r="CH615" s="43"/>
      <c r="CI615" s="43"/>
      <c r="CJ615" s="43"/>
      <c r="CK615" s="43"/>
      <c r="CL615" s="43"/>
      <c r="CM615" s="43"/>
      <c r="CN615" s="43"/>
      <c r="CO615" s="43"/>
      <c r="CP615" s="43"/>
      <c r="CQ615" s="43"/>
      <c r="CR615" s="43"/>
      <c r="CS615" s="43"/>
      <c r="CT615" s="43"/>
      <c r="CU615" s="43"/>
      <c r="CV615" s="43"/>
      <c r="CW615" s="43"/>
      <c r="CX615" s="43"/>
      <c r="CY615" s="43"/>
      <c r="CZ615" s="43"/>
      <c r="DA615" s="43"/>
      <c r="DB615" s="43"/>
      <c r="DC615" s="43"/>
      <c r="DD615" s="43"/>
      <c r="DE615" s="43"/>
      <c r="DF615" s="43"/>
      <c r="DG615" s="43"/>
      <c r="DH615" s="43"/>
      <c r="DI615" s="43"/>
      <c r="DJ615" s="43"/>
      <c r="DK615" s="43"/>
      <c r="DL615" s="43"/>
      <c r="DM615" s="43"/>
      <c r="DN615" s="43"/>
      <c r="DO615" s="43"/>
      <c r="DP615" s="43"/>
      <c r="DQ615" s="43"/>
      <c r="DR615" s="43"/>
      <c r="DS615" s="43"/>
      <c r="DT615" s="43"/>
      <c r="DU615" s="43"/>
      <c r="DV615" s="43"/>
      <c r="DW615" s="43"/>
      <c r="DX615" s="43"/>
      <c r="DY615" s="43"/>
      <c r="DZ615" s="43"/>
      <c r="EA615" s="43"/>
      <c r="EB615" s="43"/>
      <c r="EC615" s="43"/>
      <c r="ED615" s="43"/>
      <c r="EE615" s="43"/>
      <c r="EF615" s="43"/>
      <c r="EG615" s="43"/>
      <c r="EH615" s="43"/>
      <c r="EI615" s="43"/>
      <c r="EJ615" s="43"/>
      <c r="EK615" s="43"/>
      <c r="EL615" s="43"/>
      <c r="EM615" s="43"/>
      <c r="EN615" s="43"/>
      <c r="EO615" s="43"/>
      <c r="EP615" s="43"/>
      <c r="EQ615" s="43"/>
      <c r="ER615" s="43"/>
      <c r="ES615" s="43"/>
      <c r="ET615" s="43"/>
      <c r="EU615" s="43"/>
      <c r="EV615" s="43"/>
      <c r="EW615" s="43"/>
      <c r="EX615" s="43"/>
      <c r="EY615" s="43"/>
      <c r="EZ615" s="43"/>
      <c r="FA615" s="43"/>
      <c r="FB615" s="43"/>
      <c r="FC615" s="43"/>
      <c r="FD615" s="43"/>
      <c r="FE615" s="43"/>
      <c r="FF615" s="43"/>
      <c r="FG615" s="43"/>
      <c r="FH615" s="50"/>
      <c r="FI615" s="50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43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43"/>
      <c r="CF616" s="43"/>
      <c r="CG616" s="43"/>
      <c r="CH616" s="43"/>
      <c r="CI616" s="43"/>
      <c r="CJ616" s="43"/>
      <c r="CK616" s="43"/>
      <c r="CL616" s="43"/>
      <c r="CM616" s="43"/>
      <c r="CN616" s="43"/>
      <c r="CO616" s="43"/>
      <c r="CP616" s="43"/>
      <c r="CQ616" s="43"/>
      <c r="CR616" s="43"/>
      <c r="CS616" s="43"/>
      <c r="CT616" s="43"/>
      <c r="CU616" s="43"/>
      <c r="CV616" s="43"/>
      <c r="CW616" s="43"/>
      <c r="CX616" s="43"/>
      <c r="CY616" s="43"/>
      <c r="CZ616" s="43"/>
      <c r="DA616" s="43"/>
      <c r="DB616" s="43"/>
      <c r="DC616" s="43"/>
      <c r="DD616" s="43"/>
      <c r="DE616" s="43"/>
      <c r="DF616" s="43"/>
      <c r="DG616" s="43"/>
      <c r="DH616" s="43"/>
      <c r="DI616" s="43"/>
      <c r="DJ616" s="43"/>
      <c r="DK616" s="43"/>
      <c r="DL616" s="43"/>
      <c r="DM616" s="43"/>
      <c r="DN616" s="43"/>
      <c r="DO616" s="43"/>
      <c r="DP616" s="43"/>
      <c r="DQ616" s="43"/>
      <c r="DR616" s="43"/>
      <c r="DS616" s="43"/>
      <c r="DT616" s="43"/>
      <c r="DU616" s="43"/>
      <c r="DV616" s="43"/>
      <c r="DW616" s="43"/>
      <c r="DX616" s="43"/>
      <c r="DY616" s="43"/>
      <c r="DZ616" s="43"/>
      <c r="EA616" s="43"/>
      <c r="EB616" s="43"/>
      <c r="EC616" s="43"/>
      <c r="ED616" s="43"/>
      <c r="EE616" s="43"/>
      <c r="EF616" s="43"/>
      <c r="EG616" s="43"/>
      <c r="EH616" s="43"/>
      <c r="EI616" s="43"/>
      <c r="EJ616" s="43"/>
      <c r="EK616" s="43"/>
      <c r="EL616" s="43"/>
      <c r="EM616" s="43"/>
      <c r="EN616" s="43"/>
      <c r="EO616" s="43"/>
      <c r="EP616" s="43"/>
      <c r="EQ616" s="43"/>
      <c r="ER616" s="43"/>
      <c r="ES616" s="43"/>
      <c r="ET616" s="43"/>
      <c r="EU616" s="43"/>
      <c r="EV616" s="43"/>
      <c r="EW616" s="43"/>
      <c r="EX616" s="43"/>
      <c r="EY616" s="43"/>
      <c r="EZ616" s="43"/>
      <c r="FA616" s="43"/>
      <c r="FB616" s="43"/>
      <c r="FC616" s="43"/>
      <c r="FD616" s="43"/>
      <c r="FE616" s="43"/>
      <c r="FF616" s="43"/>
      <c r="FG616" s="43"/>
      <c r="FH616" s="50"/>
      <c r="FI616" s="50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43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43"/>
      <c r="CF617" s="43"/>
      <c r="CG617" s="43"/>
      <c r="CH617" s="43"/>
      <c r="CI617" s="43"/>
      <c r="CJ617" s="43"/>
      <c r="CK617" s="43"/>
      <c r="CL617" s="43"/>
      <c r="CM617" s="43"/>
      <c r="CN617" s="43"/>
      <c r="CO617" s="43"/>
      <c r="CP617" s="43"/>
      <c r="CQ617" s="43"/>
      <c r="CR617" s="43"/>
      <c r="CS617" s="43"/>
      <c r="CT617" s="43"/>
      <c r="CU617" s="43"/>
      <c r="CV617" s="43"/>
      <c r="CW617" s="43"/>
      <c r="CX617" s="43"/>
      <c r="CY617" s="43"/>
      <c r="CZ617" s="43"/>
      <c r="DA617" s="43"/>
      <c r="DB617" s="43"/>
      <c r="DC617" s="43"/>
      <c r="DD617" s="43"/>
      <c r="DE617" s="43"/>
      <c r="DF617" s="43"/>
      <c r="DG617" s="43"/>
      <c r="DH617" s="43"/>
      <c r="DI617" s="43"/>
      <c r="DJ617" s="43"/>
      <c r="DK617" s="43"/>
      <c r="DL617" s="43"/>
      <c r="DM617" s="43"/>
      <c r="DN617" s="43"/>
      <c r="DO617" s="43"/>
      <c r="DP617" s="43"/>
      <c r="DQ617" s="43"/>
      <c r="DR617" s="43"/>
      <c r="DS617" s="43"/>
      <c r="DT617" s="43"/>
      <c r="DU617" s="43"/>
      <c r="DV617" s="43"/>
      <c r="DW617" s="43"/>
      <c r="DX617" s="43"/>
      <c r="DY617" s="43"/>
      <c r="DZ617" s="43"/>
      <c r="EA617" s="43"/>
      <c r="EB617" s="43"/>
      <c r="EC617" s="43"/>
      <c r="ED617" s="43"/>
      <c r="EE617" s="43"/>
      <c r="EF617" s="43"/>
      <c r="EG617" s="43"/>
      <c r="EH617" s="43"/>
      <c r="EI617" s="43"/>
      <c r="EJ617" s="43"/>
      <c r="EK617" s="43"/>
      <c r="EL617" s="43"/>
      <c r="EM617" s="43"/>
      <c r="EN617" s="43"/>
      <c r="EO617" s="43"/>
      <c r="EP617" s="43"/>
      <c r="EQ617" s="43"/>
      <c r="ER617" s="43"/>
      <c r="ES617" s="43"/>
      <c r="ET617" s="43"/>
      <c r="EU617" s="43"/>
      <c r="EV617" s="43"/>
      <c r="EW617" s="43"/>
      <c r="EX617" s="43"/>
      <c r="EY617" s="43"/>
      <c r="EZ617" s="43"/>
      <c r="FA617" s="43"/>
      <c r="FB617" s="43"/>
      <c r="FC617" s="43"/>
      <c r="FD617" s="43"/>
      <c r="FE617" s="43"/>
      <c r="FF617" s="43"/>
      <c r="FG617" s="43"/>
      <c r="FH617" s="50"/>
      <c r="FI617" s="50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43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43"/>
      <c r="CF618" s="43"/>
      <c r="CG618" s="43"/>
      <c r="CH618" s="43"/>
      <c r="CI618" s="43"/>
      <c r="CJ618" s="43"/>
      <c r="CK618" s="43"/>
      <c r="CL618" s="43"/>
      <c r="CM618" s="43"/>
      <c r="CN618" s="43"/>
      <c r="CO618" s="43"/>
      <c r="CP618" s="43"/>
      <c r="CQ618" s="43"/>
      <c r="CR618" s="43"/>
      <c r="CS618" s="43"/>
      <c r="CT618" s="43"/>
      <c r="CU618" s="43"/>
      <c r="CV618" s="43"/>
      <c r="CW618" s="43"/>
      <c r="CX618" s="43"/>
      <c r="CY618" s="43"/>
      <c r="CZ618" s="43"/>
      <c r="DA618" s="43"/>
      <c r="DB618" s="43"/>
      <c r="DC618" s="43"/>
      <c r="DD618" s="43"/>
      <c r="DE618" s="43"/>
      <c r="DF618" s="43"/>
      <c r="DG618" s="43"/>
      <c r="DH618" s="43"/>
      <c r="DI618" s="43"/>
      <c r="DJ618" s="43"/>
      <c r="DK618" s="43"/>
      <c r="DL618" s="43"/>
      <c r="DM618" s="43"/>
      <c r="DN618" s="43"/>
      <c r="DO618" s="43"/>
      <c r="DP618" s="43"/>
      <c r="DQ618" s="43"/>
      <c r="DR618" s="43"/>
      <c r="DS618" s="43"/>
      <c r="DT618" s="43"/>
      <c r="DU618" s="43"/>
      <c r="DV618" s="43"/>
      <c r="DW618" s="43"/>
      <c r="DX618" s="43"/>
      <c r="DY618" s="43"/>
      <c r="DZ618" s="43"/>
      <c r="EA618" s="43"/>
      <c r="EB618" s="43"/>
      <c r="EC618" s="43"/>
      <c r="ED618" s="43"/>
      <c r="EE618" s="43"/>
      <c r="EF618" s="43"/>
      <c r="EG618" s="43"/>
      <c r="EH618" s="43"/>
      <c r="EI618" s="43"/>
      <c r="EJ618" s="43"/>
      <c r="EK618" s="43"/>
      <c r="EL618" s="43"/>
      <c r="EM618" s="43"/>
      <c r="EN618" s="43"/>
      <c r="EO618" s="43"/>
      <c r="EP618" s="43"/>
      <c r="EQ618" s="43"/>
      <c r="ER618" s="43"/>
      <c r="ES618" s="43"/>
      <c r="ET618" s="43"/>
      <c r="EU618" s="43"/>
      <c r="EV618" s="43"/>
      <c r="EW618" s="43"/>
      <c r="EX618" s="43"/>
      <c r="EY618" s="43"/>
      <c r="EZ618" s="43"/>
      <c r="FA618" s="43"/>
      <c r="FB618" s="43"/>
      <c r="FC618" s="43"/>
      <c r="FD618" s="43"/>
      <c r="FE618" s="43"/>
      <c r="FF618" s="43"/>
      <c r="FG618" s="43"/>
      <c r="FH618" s="50"/>
      <c r="FI618" s="50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43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43"/>
      <c r="CF619" s="43"/>
      <c r="CG619" s="43"/>
      <c r="CH619" s="43"/>
      <c r="CI619" s="43"/>
      <c r="CJ619" s="43"/>
      <c r="CK619" s="43"/>
      <c r="CL619" s="43"/>
      <c r="CM619" s="43"/>
      <c r="CN619" s="43"/>
      <c r="CO619" s="43"/>
      <c r="CP619" s="43"/>
      <c r="CQ619" s="43"/>
      <c r="CR619" s="43"/>
      <c r="CS619" s="43"/>
      <c r="CT619" s="43"/>
      <c r="CU619" s="43"/>
      <c r="CV619" s="43"/>
      <c r="CW619" s="43"/>
      <c r="CX619" s="43"/>
      <c r="CY619" s="43"/>
      <c r="CZ619" s="43"/>
      <c r="DA619" s="43"/>
      <c r="DB619" s="43"/>
      <c r="DC619" s="43"/>
      <c r="DD619" s="43"/>
      <c r="DE619" s="43"/>
      <c r="DF619" s="43"/>
      <c r="DG619" s="43"/>
      <c r="DH619" s="43"/>
      <c r="DI619" s="43"/>
      <c r="DJ619" s="43"/>
      <c r="DK619" s="43"/>
      <c r="DL619" s="43"/>
      <c r="DM619" s="43"/>
      <c r="DN619" s="43"/>
      <c r="DO619" s="43"/>
      <c r="DP619" s="43"/>
      <c r="DQ619" s="43"/>
      <c r="DR619" s="43"/>
      <c r="DS619" s="43"/>
      <c r="DT619" s="43"/>
      <c r="DU619" s="43"/>
      <c r="DV619" s="43"/>
      <c r="DW619" s="43"/>
      <c r="DX619" s="43"/>
      <c r="DY619" s="43"/>
      <c r="DZ619" s="43"/>
      <c r="EA619" s="43"/>
      <c r="EB619" s="43"/>
      <c r="EC619" s="43"/>
      <c r="ED619" s="43"/>
      <c r="EE619" s="43"/>
      <c r="EF619" s="43"/>
      <c r="EG619" s="43"/>
      <c r="EH619" s="43"/>
      <c r="EI619" s="43"/>
      <c r="EJ619" s="43"/>
      <c r="EK619" s="43"/>
      <c r="EL619" s="43"/>
      <c r="EM619" s="43"/>
      <c r="EN619" s="43"/>
      <c r="EO619" s="43"/>
      <c r="EP619" s="43"/>
      <c r="EQ619" s="43"/>
      <c r="ER619" s="43"/>
      <c r="ES619" s="43"/>
      <c r="ET619" s="43"/>
      <c r="EU619" s="43"/>
      <c r="EV619" s="43"/>
      <c r="EW619" s="43"/>
      <c r="EX619" s="43"/>
      <c r="EY619" s="43"/>
      <c r="EZ619" s="43"/>
      <c r="FA619" s="43"/>
      <c r="FB619" s="43"/>
      <c r="FC619" s="43"/>
      <c r="FD619" s="43"/>
      <c r="FE619" s="43"/>
      <c r="FF619" s="43"/>
      <c r="FG619" s="43"/>
      <c r="FH619" s="50"/>
      <c r="FI619" s="50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43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43"/>
      <c r="CF620" s="43"/>
      <c r="CG620" s="43"/>
      <c r="CH620" s="43"/>
      <c r="CI620" s="43"/>
      <c r="CJ620" s="43"/>
      <c r="CK620" s="43"/>
      <c r="CL620" s="43"/>
      <c r="CM620" s="43"/>
      <c r="CN620" s="43"/>
      <c r="CO620" s="43"/>
      <c r="CP620" s="43"/>
      <c r="CQ620" s="43"/>
      <c r="CR620" s="43"/>
      <c r="CS620" s="43"/>
      <c r="CT620" s="43"/>
      <c r="CU620" s="43"/>
      <c r="CV620" s="43"/>
      <c r="CW620" s="43"/>
      <c r="CX620" s="43"/>
      <c r="CY620" s="43"/>
      <c r="CZ620" s="43"/>
      <c r="DA620" s="43"/>
      <c r="DB620" s="43"/>
      <c r="DC620" s="43"/>
      <c r="DD620" s="43"/>
      <c r="DE620" s="43"/>
      <c r="DF620" s="43"/>
      <c r="DG620" s="43"/>
      <c r="DH620" s="43"/>
      <c r="DI620" s="43"/>
      <c r="DJ620" s="43"/>
      <c r="DK620" s="43"/>
      <c r="DL620" s="43"/>
      <c r="DM620" s="43"/>
      <c r="DN620" s="43"/>
      <c r="DO620" s="43"/>
      <c r="DP620" s="43"/>
      <c r="DQ620" s="43"/>
      <c r="DR620" s="43"/>
      <c r="DS620" s="43"/>
      <c r="DT620" s="43"/>
      <c r="DU620" s="43"/>
      <c r="DV620" s="43"/>
      <c r="DW620" s="43"/>
      <c r="DX620" s="43"/>
      <c r="DY620" s="43"/>
      <c r="DZ620" s="43"/>
      <c r="EA620" s="43"/>
      <c r="EB620" s="43"/>
      <c r="EC620" s="43"/>
      <c r="ED620" s="43"/>
      <c r="EE620" s="43"/>
      <c r="EF620" s="43"/>
      <c r="EG620" s="43"/>
      <c r="EH620" s="43"/>
      <c r="EI620" s="43"/>
      <c r="EJ620" s="43"/>
      <c r="EK620" s="43"/>
      <c r="EL620" s="43"/>
      <c r="EM620" s="43"/>
      <c r="EN620" s="43"/>
      <c r="EO620" s="43"/>
      <c r="EP620" s="43"/>
      <c r="EQ620" s="43"/>
      <c r="ER620" s="43"/>
      <c r="ES620" s="43"/>
      <c r="ET620" s="43"/>
      <c r="EU620" s="43"/>
      <c r="EV620" s="43"/>
      <c r="EW620" s="43"/>
      <c r="EX620" s="43"/>
      <c r="EY620" s="43"/>
      <c r="EZ620" s="43"/>
      <c r="FA620" s="43"/>
      <c r="FB620" s="43"/>
      <c r="FC620" s="43"/>
      <c r="FD620" s="43"/>
      <c r="FE620" s="43"/>
      <c r="FF620" s="43"/>
      <c r="FG620" s="43"/>
      <c r="FH620" s="50"/>
      <c r="FI620" s="50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43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43"/>
      <c r="CF621" s="43"/>
      <c r="CG621" s="43"/>
      <c r="CH621" s="43"/>
      <c r="CI621" s="43"/>
      <c r="CJ621" s="43"/>
      <c r="CK621" s="43"/>
      <c r="CL621" s="43"/>
      <c r="CM621" s="43"/>
      <c r="CN621" s="43"/>
      <c r="CO621" s="43"/>
      <c r="CP621" s="43"/>
      <c r="CQ621" s="43"/>
      <c r="CR621" s="43"/>
      <c r="CS621" s="43"/>
      <c r="CT621" s="43"/>
      <c r="CU621" s="43"/>
      <c r="CV621" s="43"/>
      <c r="CW621" s="43"/>
      <c r="CX621" s="43"/>
      <c r="CY621" s="43"/>
      <c r="CZ621" s="43"/>
      <c r="DA621" s="43"/>
      <c r="DB621" s="43"/>
      <c r="DC621" s="43"/>
      <c r="DD621" s="43"/>
      <c r="DE621" s="43"/>
      <c r="DF621" s="43"/>
      <c r="DG621" s="43"/>
      <c r="DH621" s="43"/>
      <c r="DI621" s="43"/>
      <c r="DJ621" s="43"/>
      <c r="DK621" s="43"/>
      <c r="DL621" s="43"/>
      <c r="DM621" s="43"/>
      <c r="DN621" s="43"/>
      <c r="DO621" s="43"/>
      <c r="DP621" s="43"/>
      <c r="DQ621" s="43"/>
      <c r="DR621" s="43"/>
      <c r="DS621" s="43"/>
      <c r="DT621" s="43"/>
      <c r="DU621" s="43"/>
      <c r="DV621" s="43"/>
      <c r="DW621" s="43"/>
      <c r="DX621" s="43"/>
      <c r="DY621" s="43"/>
      <c r="DZ621" s="43"/>
      <c r="EA621" s="43"/>
      <c r="EB621" s="43"/>
      <c r="EC621" s="43"/>
      <c r="ED621" s="43"/>
      <c r="EE621" s="43"/>
      <c r="EF621" s="43"/>
      <c r="EG621" s="43"/>
      <c r="EH621" s="43"/>
      <c r="EI621" s="43"/>
      <c r="EJ621" s="43"/>
      <c r="EK621" s="43"/>
      <c r="EL621" s="43"/>
      <c r="EM621" s="43"/>
      <c r="EN621" s="43"/>
      <c r="EO621" s="43"/>
      <c r="EP621" s="43"/>
      <c r="EQ621" s="43"/>
      <c r="ER621" s="43"/>
      <c r="ES621" s="43"/>
      <c r="ET621" s="43"/>
      <c r="EU621" s="43"/>
      <c r="EV621" s="43"/>
      <c r="EW621" s="43"/>
      <c r="EX621" s="43"/>
      <c r="EY621" s="43"/>
      <c r="EZ621" s="43"/>
      <c r="FA621" s="43"/>
      <c r="FB621" s="43"/>
      <c r="FC621" s="43"/>
      <c r="FD621" s="43"/>
      <c r="FE621" s="43"/>
      <c r="FF621" s="43"/>
      <c r="FG621" s="43"/>
      <c r="FH621" s="50"/>
      <c r="FI621" s="50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43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43"/>
      <c r="CF622" s="43"/>
      <c r="CG622" s="43"/>
      <c r="CH622" s="43"/>
      <c r="CI622" s="43"/>
      <c r="CJ622" s="43"/>
      <c r="CK622" s="43"/>
      <c r="CL622" s="43"/>
      <c r="CM622" s="43"/>
      <c r="CN622" s="43"/>
      <c r="CO622" s="43"/>
      <c r="CP622" s="43"/>
      <c r="CQ622" s="43"/>
      <c r="CR622" s="43"/>
      <c r="CS622" s="43"/>
      <c r="CT622" s="43"/>
      <c r="CU622" s="43"/>
      <c r="CV622" s="43"/>
      <c r="CW622" s="43"/>
      <c r="CX622" s="43"/>
      <c r="CY622" s="43"/>
      <c r="CZ622" s="43"/>
      <c r="DA622" s="43"/>
      <c r="DB622" s="43"/>
      <c r="DC622" s="43"/>
      <c r="DD622" s="43"/>
      <c r="DE622" s="43"/>
      <c r="DF622" s="43"/>
      <c r="DG622" s="43"/>
      <c r="DH622" s="43"/>
      <c r="DI622" s="43"/>
      <c r="DJ622" s="43"/>
      <c r="DK622" s="43"/>
      <c r="DL622" s="43"/>
      <c r="DM622" s="43"/>
      <c r="DN622" s="43"/>
      <c r="DO622" s="43"/>
      <c r="DP622" s="43"/>
      <c r="DQ622" s="43"/>
      <c r="DR622" s="43"/>
      <c r="DS622" s="43"/>
      <c r="DT622" s="43"/>
      <c r="DU622" s="43"/>
      <c r="DV622" s="43"/>
      <c r="DW622" s="43"/>
      <c r="DX622" s="43"/>
      <c r="DY622" s="43"/>
      <c r="DZ622" s="43"/>
      <c r="EA622" s="43"/>
      <c r="EB622" s="43"/>
      <c r="EC622" s="43"/>
      <c r="ED622" s="43"/>
      <c r="EE622" s="43"/>
      <c r="EF622" s="43"/>
      <c r="EG622" s="43"/>
      <c r="EH622" s="43"/>
      <c r="EI622" s="43"/>
      <c r="EJ622" s="43"/>
      <c r="EK622" s="43"/>
      <c r="EL622" s="43"/>
      <c r="EM622" s="43"/>
      <c r="EN622" s="43"/>
      <c r="EO622" s="43"/>
      <c r="EP622" s="43"/>
      <c r="EQ622" s="43"/>
      <c r="ER622" s="43"/>
      <c r="ES622" s="43"/>
      <c r="ET622" s="43"/>
      <c r="EU622" s="43"/>
      <c r="EV622" s="43"/>
      <c r="EW622" s="43"/>
      <c r="EX622" s="43"/>
      <c r="EY622" s="43"/>
      <c r="EZ622" s="43"/>
      <c r="FA622" s="43"/>
      <c r="FB622" s="43"/>
      <c r="FC622" s="43"/>
      <c r="FD622" s="43"/>
      <c r="FE622" s="43"/>
      <c r="FF622" s="43"/>
      <c r="FG622" s="43"/>
      <c r="FH622" s="50"/>
      <c r="FI622" s="50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/>
      <c r="CK623" s="43"/>
      <c r="CL623" s="43"/>
      <c r="CM623" s="43"/>
      <c r="CN623" s="43"/>
      <c r="CO623" s="43"/>
      <c r="CP623" s="43"/>
      <c r="CQ623" s="43"/>
      <c r="CR623" s="43"/>
      <c r="CS623" s="43"/>
      <c r="CT623" s="43"/>
      <c r="CU623" s="43"/>
      <c r="CV623" s="43"/>
      <c r="CW623" s="43"/>
      <c r="CX623" s="43"/>
      <c r="CY623" s="43"/>
      <c r="CZ623" s="43"/>
      <c r="DA623" s="43"/>
      <c r="DB623" s="43"/>
      <c r="DC623" s="43"/>
      <c r="DD623" s="43"/>
      <c r="DE623" s="43"/>
      <c r="DF623" s="43"/>
      <c r="DG623" s="43"/>
      <c r="DH623" s="43"/>
      <c r="DI623" s="43"/>
      <c r="DJ623" s="43"/>
      <c r="DK623" s="43"/>
      <c r="DL623" s="43"/>
      <c r="DM623" s="43"/>
      <c r="DN623" s="43"/>
      <c r="DO623" s="43"/>
      <c r="DP623" s="43"/>
      <c r="DQ623" s="43"/>
      <c r="DR623" s="43"/>
      <c r="DS623" s="43"/>
      <c r="DT623" s="43"/>
      <c r="DU623" s="43"/>
      <c r="DV623" s="43"/>
      <c r="DW623" s="43"/>
      <c r="DX623" s="43"/>
      <c r="DY623" s="43"/>
      <c r="DZ623" s="43"/>
      <c r="EA623" s="43"/>
      <c r="EB623" s="43"/>
      <c r="EC623" s="43"/>
      <c r="ED623" s="43"/>
      <c r="EE623" s="43"/>
      <c r="EF623" s="43"/>
      <c r="EG623" s="43"/>
      <c r="EH623" s="43"/>
      <c r="EI623" s="43"/>
      <c r="EJ623" s="43"/>
      <c r="EK623" s="43"/>
      <c r="EL623" s="43"/>
      <c r="EM623" s="43"/>
      <c r="EN623" s="43"/>
      <c r="EO623" s="43"/>
      <c r="EP623" s="43"/>
      <c r="EQ623" s="43"/>
      <c r="ER623" s="43"/>
      <c r="ES623" s="43"/>
      <c r="ET623" s="43"/>
      <c r="EU623" s="43"/>
      <c r="EV623" s="43"/>
      <c r="EW623" s="43"/>
      <c r="EX623" s="43"/>
      <c r="EY623" s="43"/>
      <c r="EZ623" s="43"/>
      <c r="FA623" s="43"/>
      <c r="FB623" s="43"/>
      <c r="FC623" s="43"/>
      <c r="FD623" s="43"/>
      <c r="FE623" s="43"/>
      <c r="FF623" s="43"/>
      <c r="FG623" s="43"/>
      <c r="FH623" s="50"/>
      <c r="FI623" s="50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43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43"/>
      <c r="CF624" s="43"/>
      <c r="CG624" s="43"/>
      <c r="CH624" s="43"/>
      <c r="CI624" s="43"/>
      <c r="CJ624" s="43"/>
      <c r="CK624" s="43"/>
      <c r="CL624" s="43"/>
      <c r="CM624" s="43"/>
      <c r="CN624" s="43"/>
      <c r="CO624" s="43"/>
      <c r="CP624" s="43"/>
      <c r="CQ624" s="43"/>
      <c r="CR624" s="43"/>
      <c r="CS624" s="43"/>
      <c r="CT624" s="43"/>
      <c r="CU624" s="43"/>
      <c r="CV624" s="43"/>
      <c r="CW624" s="43"/>
      <c r="CX624" s="43"/>
      <c r="CY624" s="43"/>
      <c r="CZ624" s="43"/>
      <c r="DA624" s="43"/>
      <c r="DB624" s="43"/>
      <c r="DC624" s="43"/>
      <c r="DD624" s="43"/>
      <c r="DE624" s="43"/>
      <c r="DF624" s="43"/>
      <c r="DG624" s="43"/>
      <c r="DH624" s="43"/>
      <c r="DI624" s="43"/>
      <c r="DJ624" s="43"/>
      <c r="DK624" s="43"/>
      <c r="DL624" s="43"/>
      <c r="DM624" s="43"/>
      <c r="DN624" s="43"/>
      <c r="DO624" s="43"/>
      <c r="DP624" s="43"/>
      <c r="DQ624" s="43"/>
      <c r="DR624" s="43"/>
      <c r="DS624" s="43"/>
      <c r="DT624" s="43"/>
      <c r="DU624" s="43"/>
      <c r="DV624" s="43"/>
      <c r="DW624" s="43"/>
      <c r="DX624" s="43"/>
      <c r="DY624" s="43"/>
      <c r="DZ624" s="43"/>
      <c r="EA624" s="43"/>
      <c r="EB624" s="43"/>
      <c r="EC624" s="43"/>
      <c r="ED624" s="43"/>
      <c r="EE624" s="43"/>
      <c r="EF624" s="43"/>
      <c r="EG624" s="43"/>
      <c r="EH624" s="43"/>
      <c r="EI624" s="43"/>
      <c r="EJ624" s="43"/>
      <c r="EK624" s="43"/>
      <c r="EL624" s="43"/>
      <c r="EM624" s="43"/>
      <c r="EN624" s="43"/>
      <c r="EO624" s="43"/>
      <c r="EP624" s="43"/>
      <c r="EQ624" s="43"/>
      <c r="ER624" s="43"/>
      <c r="ES624" s="43"/>
      <c r="ET624" s="43"/>
      <c r="EU624" s="43"/>
      <c r="EV624" s="43"/>
      <c r="EW624" s="43"/>
      <c r="EX624" s="43"/>
      <c r="EY624" s="43"/>
      <c r="EZ624" s="43"/>
      <c r="FA624" s="43"/>
      <c r="FB624" s="43"/>
      <c r="FC624" s="43"/>
      <c r="FD624" s="43"/>
      <c r="FE624" s="43"/>
      <c r="FF624" s="43"/>
      <c r="FG624" s="43"/>
      <c r="FH624" s="50"/>
      <c r="FI624" s="50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43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43"/>
      <c r="CF625" s="43"/>
      <c r="CG625" s="43"/>
      <c r="CH625" s="43"/>
      <c r="CI625" s="43"/>
      <c r="CJ625" s="43"/>
      <c r="CK625" s="43"/>
      <c r="CL625" s="43"/>
      <c r="CM625" s="43"/>
      <c r="CN625" s="43"/>
      <c r="CO625" s="43"/>
      <c r="CP625" s="43"/>
      <c r="CQ625" s="43"/>
      <c r="CR625" s="43"/>
      <c r="CS625" s="43"/>
      <c r="CT625" s="43"/>
      <c r="CU625" s="43"/>
      <c r="CV625" s="43"/>
      <c r="CW625" s="43"/>
      <c r="CX625" s="43"/>
      <c r="CY625" s="43"/>
      <c r="CZ625" s="43"/>
      <c r="DA625" s="43"/>
      <c r="DB625" s="43"/>
      <c r="DC625" s="43"/>
      <c r="DD625" s="43"/>
      <c r="DE625" s="43"/>
      <c r="DF625" s="43"/>
      <c r="DG625" s="43"/>
      <c r="DH625" s="43"/>
      <c r="DI625" s="43"/>
      <c r="DJ625" s="43"/>
      <c r="DK625" s="43"/>
      <c r="DL625" s="43"/>
      <c r="DM625" s="43"/>
      <c r="DN625" s="43"/>
      <c r="DO625" s="43"/>
      <c r="DP625" s="43"/>
      <c r="DQ625" s="43"/>
      <c r="DR625" s="43"/>
      <c r="DS625" s="43"/>
      <c r="DT625" s="43"/>
      <c r="DU625" s="43"/>
      <c r="DV625" s="43"/>
      <c r="DW625" s="43"/>
      <c r="DX625" s="43"/>
      <c r="DY625" s="43"/>
      <c r="DZ625" s="43"/>
      <c r="EA625" s="43"/>
      <c r="EB625" s="43"/>
      <c r="EC625" s="43"/>
      <c r="ED625" s="43"/>
      <c r="EE625" s="43"/>
      <c r="EF625" s="43"/>
      <c r="EG625" s="43"/>
      <c r="EH625" s="43"/>
      <c r="EI625" s="43"/>
      <c r="EJ625" s="43"/>
      <c r="EK625" s="43"/>
      <c r="EL625" s="43"/>
      <c r="EM625" s="43"/>
      <c r="EN625" s="43"/>
      <c r="EO625" s="43"/>
      <c r="EP625" s="43"/>
      <c r="EQ625" s="43"/>
      <c r="ER625" s="43"/>
      <c r="ES625" s="43"/>
      <c r="ET625" s="43"/>
      <c r="EU625" s="43"/>
      <c r="EV625" s="43"/>
      <c r="EW625" s="43"/>
      <c r="EX625" s="43"/>
      <c r="EY625" s="43"/>
      <c r="EZ625" s="43"/>
      <c r="FA625" s="43"/>
      <c r="FB625" s="43"/>
      <c r="FC625" s="43"/>
      <c r="FD625" s="43"/>
      <c r="FE625" s="43"/>
      <c r="FF625" s="43"/>
      <c r="FG625" s="43"/>
      <c r="FH625" s="50"/>
      <c r="FI625" s="50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43"/>
      <c r="CF626" s="43"/>
      <c r="CG626" s="43"/>
      <c r="CH626" s="43"/>
      <c r="CI626" s="43"/>
      <c r="CJ626" s="43"/>
      <c r="CK626" s="43"/>
      <c r="CL626" s="43"/>
      <c r="CM626" s="43"/>
      <c r="CN626" s="43"/>
      <c r="CO626" s="43"/>
      <c r="CP626" s="43"/>
      <c r="CQ626" s="43"/>
      <c r="CR626" s="43"/>
      <c r="CS626" s="43"/>
      <c r="CT626" s="43"/>
      <c r="CU626" s="43"/>
      <c r="CV626" s="43"/>
      <c r="CW626" s="43"/>
      <c r="CX626" s="43"/>
      <c r="CY626" s="43"/>
      <c r="CZ626" s="43"/>
      <c r="DA626" s="43"/>
      <c r="DB626" s="43"/>
      <c r="DC626" s="43"/>
      <c r="DD626" s="43"/>
      <c r="DE626" s="43"/>
      <c r="DF626" s="43"/>
      <c r="DG626" s="43"/>
      <c r="DH626" s="43"/>
      <c r="DI626" s="43"/>
      <c r="DJ626" s="43"/>
      <c r="DK626" s="43"/>
      <c r="DL626" s="43"/>
      <c r="DM626" s="43"/>
      <c r="DN626" s="43"/>
      <c r="DO626" s="43"/>
      <c r="DP626" s="43"/>
      <c r="DQ626" s="43"/>
      <c r="DR626" s="43"/>
      <c r="DS626" s="43"/>
      <c r="DT626" s="43"/>
      <c r="DU626" s="43"/>
      <c r="DV626" s="43"/>
      <c r="DW626" s="43"/>
      <c r="DX626" s="43"/>
      <c r="DY626" s="43"/>
      <c r="DZ626" s="43"/>
      <c r="EA626" s="43"/>
      <c r="EB626" s="43"/>
      <c r="EC626" s="43"/>
      <c r="ED626" s="43"/>
      <c r="EE626" s="43"/>
      <c r="EF626" s="43"/>
      <c r="EG626" s="43"/>
      <c r="EH626" s="43"/>
      <c r="EI626" s="43"/>
      <c r="EJ626" s="43"/>
      <c r="EK626" s="43"/>
      <c r="EL626" s="43"/>
      <c r="EM626" s="43"/>
      <c r="EN626" s="43"/>
      <c r="EO626" s="43"/>
      <c r="EP626" s="43"/>
      <c r="EQ626" s="43"/>
      <c r="ER626" s="43"/>
      <c r="ES626" s="43"/>
      <c r="ET626" s="43"/>
      <c r="EU626" s="43"/>
      <c r="EV626" s="43"/>
      <c r="EW626" s="43"/>
      <c r="EX626" s="43"/>
      <c r="EY626" s="43"/>
      <c r="EZ626" s="43"/>
      <c r="FA626" s="43"/>
      <c r="FB626" s="43"/>
      <c r="FC626" s="43"/>
      <c r="FD626" s="43"/>
      <c r="FE626" s="43"/>
      <c r="FF626" s="43"/>
      <c r="FG626" s="43"/>
      <c r="FH626" s="50"/>
      <c r="FI626" s="50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43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43"/>
      <c r="CF627" s="43"/>
      <c r="CG627" s="43"/>
      <c r="CH627" s="43"/>
      <c r="CI627" s="43"/>
      <c r="CJ627" s="43"/>
      <c r="CK627" s="43"/>
      <c r="CL627" s="43"/>
      <c r="CM627" s="43"/>
      <c r="CN627" s="43"/>
      <c r="CO627" s="43"/>
      <c r="CP627" s="43"/>
      <c r="CQ627" s="43"/>
      <c r="CR627" s="43"/>
      <c r="CS627" s="43"/>
      <c r="CT627" s="43"/>
      <c r="CU627" s="43"/>
      <c r="CV627" s="43"/>
      <c r="CW627" s="43"/>
      <c r="CX627" s="43"/>
      <c r="CY627" s="43"/>
      <c r="CZ627" s="43"/>
      <c r="DA627" s="43"/>
      <c r="DB627" s="43"/>
      <c r="DC627" s="43"/>
      <c r="DD627" s="43"/>
      <c r="DE627" s="43"/>
      <c r="DF627" s="43"/>
      <c r="DG627" s="43"/>
      <c r="DH627" s="43"/>
      <c r="DI627" s="43"/>
      <c r="DJ627" s="43"/>
      <c r="DK627" s="43"/>
      <c r="DL627" s="43"/>
      <c r="DM627" s="43"/>
      <c r="DN627" s="43"/>
      <c r="DO627" s="43"/>
      <c r="DP627" s="43"/>
      <c r="DQ627" s="43"/>
      <c r="DR627" s="43"/>
      <c r="DS627" s="43"/>
      <c r="DT627" s="43"/>
      <c r="DU627" s="43"/>
      <c r="DV627" s="43"/>
      <c r="DW627" s="43"/>
      <c r="DX627" s="43"/>
      <c r="DY627" s="43"/>
      <c r="DZ627" s="43"/>
      <c r="EA627" s="43"/>
      <c r="EB627" s="43"/>
      <c r="EC627" s="43"/>
      <c r="ED627" s="43"/>
      <c r="EE627" s="43"/>
      <c r="EF627" s="43"/>
      <c r="EG627" s="43"/>
      <c r="EH627" s="43"/>
      <c r="EI627" s="43"/>
      <c r="EJ627" s="43"/>
      <c r="EK627" s="43"/>
      <c r="EL627" s="43"/>
      <c r="EM627" s="43"/>
      <c r="EN627" s="43"/>
      <c r="EO627" s="43"/>
      <c r="EP627" s="43"/>
      <c r="EQ627" s="43"/>
      <c r="ER627" s="43"/>
      <c r="ES627" s="43"/>
      <c r="ET627" s="43"/>
      <c r="EU627" s="43"/>
      <c r="EV627" s="43"/>
      <c r="EW627" s="43"/>
      <c r="EX627" s="43"/>
      <c r="EY627" s="43"/>
      <c r="EZ627" s="43"/>
      <c r="FA627" s="43"/>
      <c r="FB627" s="43"/>
      <c r="FC627" s="43"/>
      <c r="FD627" s="43"/>
      <c r="FE627" s="43"/>
      <c r="FF627" s="43"/>
      <c r="FG627" s="43"/>
      <c r="FH627" s="50"/>
      <c r="FI627" s="50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43"/>
      <c r="CF628" s="43"/>
      <c r="CG628" s="43"/>
      <c r="CH628" s="43"/>
      <c r="CI628" s="43"/>
      <c r="CJ628" s="43"/>
      <c r="CK628" s="43"/>
      <c r="CL628" s="43"/>
      <c r="CM628" s="43"/>
      <c r="CN628" s="43"/>
      <c r="CO628" s="43"/>
      <c r="CP628" s="43"/>
      <c r="CQ628" s="43"/>
      <c r="CR628" s="43"/>
      <c r="CS628" s="43"/>
      <c r="CT628" s="43"/>
      <c r="CU628" s="43"/>
      <c r="CV628" s="43"/>
      <c r="CW628" s="43"/>
      <c r="CX628" s="43"/>
      <c r="CY628" s="43"/>
      <c r="CZ628" s="43"/>
      <c r="DA628" s="43"/>
      <c r="DB628" s="43"/>
      <c r="DC628" s="43"/>
      <c r="DD628" s="43"/>
      <c r="DE628" s="43"/>
      <c r="DF628" s="43"/>
      <c r="DG628" s="43"/>
      <c r="DH628" s="43"/>
      <c r="DI628" s="43"/>
      <c r="DJ628" s="43"/>
      <c r="DK628" s="43"/>
      <c r="DL628" s="43"/>
      <c r="DM628" s="43"/>
      <c r="DN628" s="43"/>
      <c r="DO628" s="43"/>
      <c r="DP628" s="43"/>
      <c r="DQ628" s="43"/>
      <c r="DR628" s="43"/>
      <c r="DS628" s="43"/>
      <c r="DT628" s="43"/>
      <c r="DU628" s="43"/>
      <c r="DV628" s="43"/>
      <c r="DW628" s="43"/>
      <c r="DX628" s="43"/>
      <c r="DY628" s="43"/>
      <c r="DZ628" s="43"/>
      <c r="EA628" s="43"/>
      <c r="EB628" s="43"/>
      <c r="EC628" s="43"/>
      <c r="ED628" s="43"/>
      <c r="EE628" s="43"/>
      <c r="EF628" s="43"/>
      <c r="EG628" s="43"/>
      <c r="EH628" s="43"/>
      <c r="EI628" s="43"/>
      <c r="EJ628" s="43"/>
      <c r="EK628" s="43"/>
      <c r="EL628" s="43"/>
      <c r="EM628" s="43"/>
      <c r="EN628" s="43"/>
      <c r="EO628" s="43"/>
      <c r="EP628" s="43"/>
      <c r="EQ628" s="43"/>
      <c r="ER628" s="43"/>
      <c r="ES628" s="43"/>
      <c r="ET628" s="43"/>
      <c r="EU628" s="43"/>
      <c r="EV628" s="43"/>
      <c r="EW628" s="43"/>
      <c r="EX628" s="43"/>
      <c r="EY628" s="43"/>
      <c r="EZ628" s="43"/>
      <c r="FA628" s="43"/>
      <c r="FB628" s="43"/>
      <c r="FC628" s="43"/>
      <c r="FD628" s="43"/>
      <c r="FE628" s="43"/>
      <c r="FF628" s="43"/>
      <c r="FG628" s="43"/>
      <c r="FH628" s="50"/>
      <c r="FI628" s="50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  <c r="CS629" s="43"/>
      <c r="CT629" s="43"/>
      <c r="CU629" s="43"/>
      <c r="CV629" s="43"/>
      <c r="CW629" s="43"/>
      <c r="CX629" s="43"/>
      <c r="CY629" s="43"/>
      <c r="CZ629" s="43"/>
      <c r="DA629" s="43"/>
      <c r="DB629" s="43"/>
      <c r="DC629" s="43"/>
      <c r="DD629" s="43"/>
      <c r="DE629" s="43"/>
      <c r="DF629" s="43"/>
      <c r="DG629" s="43"/>
      <c r="DH629" s="43"/>
      <c r="DI629" s="43"/>
      <c r="DJ629" s="43"/>
      <c r="DK629" s="43"/>
      <c r="DL629" s="43"/>
      <c r="DM629" s="43"/>
      <c r="DN629" s="43"/>
      <c r="DO629" s="43"/>
      <c r="DP629" s="43"/>
      <c r="DQ629" s="43"/>
      <c r="DR629" s="43"/>
      <c r="DS629" s="43"/>
      <c r="DT629" s="43"/>
      <c r="DU629" s="43"/>
      <c r="DV629" s="43"/>
      <c r="DW629" s="43"/>
      <c r="DX629" s="43"/>
      <c r="DY629" s="43"/>
      <c r="DZ629" s="43"/>
      <c r="EA629" s="43"/>
      <c r="EB629" s="43"/>
      <c r="EC629" s="43"/>
      <c r="ED629" s="43"/>
      <c r="EE629" s="43"/>
      <c r="EF629" s="43"/>
      <c r="EG629" s="43"/>
      <c r="EH629" s="43"/>
      <c r="EI629" s="43"/>
      <c r="EJ629" s="43"/>
      <c r="EK629" s="43"/>
      <c r="EL629" s="43"/>
      <c r="EM629" s="43"/>
      <c r="EN629" s="43"/>
      <c r="EO629" s="43"/>
      <c r="EP629" s="43"/>
      <c r="EQ629" s="43"/>
      <c r="ER629" s="43"/>
      <c r="ES629" s="43"/>
      <c r="ET629" s="43"/>
      <c r="EU629" s="43"/>
      <c r="EV629" s="43"/>
      <c r="EW629" s="43"/>
      <c r="EX629" s="43"/>
      <c r="EY629" s="43"/>
      <c r="EZ629" s="43"/>
      <c r="FA629" s="43"/>
      <c r="FB629" s="43"/>
      <c r="FC629" s="43"/>
      <c r="FD629" s="43"/>
      <c r="FE629" s="43"/>
      <c r="FF629" s="43"/>
      <c r="FG629" s="43"/>
      <c r="FH629" s="50"/>
      <c r="FI629" s="50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43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43"/>
      <c r="CF630" s="43"/>
      <c r="CG630" s="43"/>
      <c r="CH630" s="43"/>
      <c r="CI630" s="43"/>
      <c r="CJ630" s="43"/>
      <c r="CK630" s="43"/>
      <c r="CL630" s="43"/>
      <c r="CM630" s="43"/>
      <c r="CN630" s="43"/>
      <c r="CO630" s="43"/>
      <c r="CP630" s="43"/>
      <c r="CQ630" s="43"/>
      <c r="CR630" s="43"/>
      <c r="CS630" s="43"/>
      <c r="CT630" s="43"/>
      <c r="CU630" s="43"/>
      <c r="CV630" s="43"/>
      <c r="CW630" s="43"/>
      <c r="CX630" s="43"/>
      <c r="CY630" s="43"/>
      <c r="CZ630" s="43"/>
      <c r="DA630" s="43"/>
      <c r="DB630" s="43"/>
      <c r="DC630" s="43"/>
      <c r="DD630" s="43"/>
      <c r="DE630" s="43"/>
      <c r="DF630" s="43"/>
      <c r="DG630" s="43"/>
      <c r="DH630" s="43"/>
      <c r="DI630" s="43"/>
      <c r="DJ630" s="43"/>
      <c r="DK630" s="43"/>
      <c r="DL630" s="43"/>
      <c r="DM630" s="43"/>
      <c r="DN630" s="43"/>
      <c r="DO630" s="43"/>
      <c r="DP630" s="43"/>
      <c r="DQ630" s="43"/>
      <c r="DR630" s="43"/>
      <c r="DS630" s="43"/>
      <c r="DT630" s="43"/>
      <c r="DU630" s="43"/>
      <c r="DV630" s="43"/>
      <c r="DW630" s="43"/>
      <c r="DX630" s="43"/>
      <c r="DY630" s="43"/>
      <c r="DZ630" s="43"/>
      <c r="EA630" s="43"/>
      <c r="EB630" s="43"/>
      <c r="EC630" s="43"/>
      <c r="ED630" s="43"/>
      <c r="EE630" s="43"/>
      <c r="EF630" s="43"/>
      <c r="EG630" s="43"/>
      <c r="EH630" s="43"/>
      <c r="EI630" s="43"/>
      <c r="EJ630" s="43"/>
      <c r="EK630" s="43"/>
      <c r="EL630" s="43"/>
      <c r="EM630" s="43"/>
      <c r="EN630" s="43"/>
      <c r="EO630" s="43"/>
      <c r="EP630" s="43"/>
      <c r="EQ630" s="43"/>
      <c r="ER630" s="43"/>
      <c r="ES630" s="43"/>
      <c r="ET630" s="43"/>
      <c r="EU630" s="43"/>
      <c r="EV630" s="43"/>
      <c r="EW630" s="43"/>
      <c r="EX630" s="43"/>
      <c r="EY630" s="43"/>
      <c r="EZ630" s="43"/>
      <c r="FA630" s="43"/>
      <c r="FB630" s="43"/>
      <c r="FC630" s="43"/>
      <c r="FD630" s="43"/>
      <c r="FE630" s="43"/>
      <c r="FF630" s="43"/>
      <c r="FG630" s="43"/>
      <c r="FH630" s="50"/>
      <c r="FI630" s="50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43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43"/>
      <c r="CF631" s="43"/>
      <c r="CG631" s="43"/>
      <c r="CH631" s="43"/>
      <c r="CI631" s="43"/>
      <c r="CJ631" s="43"/>
      <c r="CK631" s="43"/>
      <c r="CL631" s="43"/>
      <c r="CM631" s="43"/>
      <c r="CN631" s="43"/>
      <c r="CO631" s="43"/>
      <c r="CP631" s="43"/>
      <c r="CQ631" s="43"/>
      <c r="CR631" s="43"/>
      <c r="CS631" s="43"/>
      <c r="CT631" s="43"/>
      <c r="CU631" s="43"/>
      <c r="CV631" s="43"/>
      <c r="CW631" s="43"/>
      <c r="CX631" s="43"/>
      <c r="CY631" s="43"/>
      <c r="CZ631" s="43"/>
      <c r="DA631" s="43"/>
      <c r="DB631" s="43"/>
      <c r="DC631" s="43"/>
      <c r="DD631" s="43"/>
      <c r="DE631" s="43"/>
      <c r="DF631" s="43"/>
      <c r="DG631" s="43"/>
      <c r="DH631" s="43"/>
      <c r="DI631" s="43"/>
      <c r="DJ631" s="43"/>
      <c r="DK631" s="43"/>
      <c r="DL631" s="43"/>
      <c r="DM631" s="43"/>
      <c r="DN631" s="43"/>
      <c r="DO631" s="43"/>
      <c r="DP631" s="43"/>
      <c r="DQ631" s="43"/>
      <c r="DR631" s="43"/>
      <c r="DS631" s="43"/>
      <c r="DT631" s="43"/>
      <c r="DU631" s="43"/>
      <c r="DV631" s="43"/>
      <c r="DW631" s="43"/>
      <c r="DX631" s="43"/>
      <c r="DY631" s="43"/>
      <c r="DZ631" s="43"/>
      <c r="EA631" s="43"/>
      <c r="EB631" s="43"/>
      <c r="EC631" s="43"/>
      <c r="ED631" s="43"/>
      <c r="EE631" s="43"/>
      <c r="EF631" s="43"/>
      <c r="EG631" s="43"/>
      <c r="EH631" s="43"/>
      <c r="EI631" s="43"/>
      <c r="EJ631" s="43"/>
      <c r="EK631" s="43"/>
      <c r="EL631" s="43"/>
      <c r="EM631" s="43"/>
      <c r="EN631" s="43"/>
      <c r="EO631" s="43"/>
      <c r="EP631" s="43"/>
      <c r="EQ631" s="43"/>
      <c r="ER631" s="43"/>
      <c r="ES631" s="43"/>
      <c r="ET631" s="43"/>
      <c r="EU631" s="43"/>
      <c r="EV631" s="43"/>
      <c r="EW631" s="43"/>
      <c r="EX631" s="43"/>
      <c r="EY631" s="43"/>
      <c r="EZ631" s="43"/>
      <c r="FA631" s="43"/>
      <c r="FB631" s="43"/>
      <c r="FC631" s="43"/>
      <c r="FD631" s="43"/>
      <c r="FE631" s="43"/>
      <c r="FF631" s="43"/>
      <c r="FG631" s="43"/>
      <c r="FH631" s="50"/>
      <c r="FI631" s="50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  <c r="CS632" s="43"/>
      <c r="CT632" s="43"/>
      <c r="CU632" s="43"/>
      <c r="CV632" s="43"/>
      <c r="CW632" s="43"/>
      <c r="CX632" s="43"/>
      <c r="CY632" s="43"/>
      <c r="CZ632" s="43"/>
      <c r="DA632" s="43"/>
      <c r="DB632" s="43"/>
      <c r="DC632" s="43"/>
      <c r="DD632" s="43"/>
      <c r="DE632" s="43"/>
      <c r="DF632" s="43"/>
      <c r="DG632" s="43"/>
      <c r="DH632" s="43"/>
      <c r="DI632" s="43"/>
      <c r="DJ632" s="43"/>
      <c r="DK632" s="43"/>
      <c r="DL632" s="43"/>
      <c r="DM632" s="43"/>
      <c r="DN632" s="43"/>
      <c r="DO632" s="43"/>
      <c r="DP632" s="43"/>
      <c r="DQ632" s="43"/>
      <c r="DR632" s="43"/>
      <c r="DS632" s="43"/>
      <c r="DT632" s="43"/>
      <c r="DU632" s="43"/>
      <c r="DV632" s="43"/>
      <c r="DW632" s="43"/>
      <c r="DX632" s="43"/>
      <c r="DY632" s="43"/>
      <c r="DZ632" s="43"/>
      <c r="EA632" s="43"/>
      <c r="EB632" s="43"/>
      <c r="EC632" s="43"/>
      <c r="ED632" s="43"/>
      <c r="EE632" s="43"/>
      <c r="EF632" s="43"/>
      <c r="EG632" s="43"/>
      <c r="EH632" s="43"/>
      <c r="EI632" s="43"/>
      <c r="EJ632" s="43"/>
      <c r="EK632" s="43"/>
      <c r="EL632" s="43"/>
      <c r="EM632" s="43"/>
      <c r="EN632" s="43"/>
      <c r="EO632" s="43"/>
      <c r="EP632" s="43"/>
      <c r="EQ632" s="43"/>
      <c r="ER632" s="43"/>
      <c r="ES632" s="43"/>
      <c r="ET632" s="43"/>
      <c r="EU632" s="43"/>
      <c r="EV632" s="43"/>
      <c r="EW632" s="43"/>
      <c r="EX632" s="43"/>
      <c r="EY632" s="43"/>
      <c r="EZ632" s="43"/>
      <c r="FA632" s="43"/>
      <c r="FB632" s="43"/>
      <c r="FC632" s="43"/>
      <c r="FD632" s="43"/>
      <c r="FE632" s="43"/>
      <c r="FF632" s="43"/>
      <c r="FG632" s="43"/>
      <c r="FH632" s="50"/>
      <c r="FI632" s="50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43"/>
      <c r="CF633" s="43"/>
      <c r="CG633" s="43"/>
      <c r="CH633" s="43"/>
      <c r="CI633" s="43"/>
      <c r="CJ633" s="43"/>
      <c r="CK633" s="43"/>
      <c r="CL633" s="43"/>
      <c r="CM633" s="43"/>
      <c r="CN633" s="43"/>
      <c r="CO633" s="43"/>
      <c r="CP633" s="43"/>
      <c r="CQ633" s="43"/>
      <c r="CR633" s="43"/>
      <c r="CS633" s="43"/>
      <c r="CT633" s="43"/>
      <c r="CU633" s="43"/>
      <c r="CV633" s="43"/>
      <c r="CW633" s="43"/>
      <c r="CX633" s="43"/>
      <c r="CY633" s="43"/>
      <c r="CZ633" s="43"/>
      <c r="DA633" s="43"/>
      <c r="DB633" s="43"/>
      <c r="DC633" s="43"/>
      <c r="DD633" s="43"/>
      <c r="DE633" s="43"/>
      <c r="DF633" s="43"/>
      <c r="DG633" s="43"/>
      <c r="DH633" s="43"/>
      <c r="DI633" s="43"/>
      <c r="DJ633" s="43"/>
      <c r="DK633" s="43"/>
      <c r="DL633" s="43"/>
      <c r="DM633" s="43"/>
      <c r="DN633" s="43"/>
      <c r="DO633" s="43"/>
      <c r="DP633" s="43"/>
      <c r="DQ633" s="43"/>
      <c r="DR633" s="43"/>
      <c r="DS633" s="43"/>
      <c r="DT633" s="43"/>
      <c r="DU633" s="43"/>
      <c r="DV633" s="43"/>
      <c r="DW633" s="43"/>
      <c r="DX633" s="43"/>
      <c r="DY633" s="43"/>
      <c r="DZ633" s="43"/>
      <c r="EA633" s="43"/>
      <c r="EB633" s="43"/>
      <c r="EC633" s="43"/>
      <c r="ED633" s="43"/>
      <c r="EE633" s="43"/>
      <c r="EF633" s="43"/>
      <c r="EG633" s="43"/>
      <c r="EH633" s="43"/>
      <c r="EI633" s="43"/>
      <c r="EJ633" s="43"/>
      <c r="EK633" s="43"/>
      <c r="EL633" s="43"/>
      <c r="EM633" s="43"/>
      <c r="EN633" s="43"/>
      <c r="EO633" s="43"/>
      <c r="EP633" s="43"/>
      <c r="EQ633" s="43"/>
      <c r="ER633" s="43"/>
      <c r="ES633" s="43"/>
      <c r="ET633" s="43"/>
      <c r="EU633" s="43"/>
      <c r="EV633" s="43"/>
      <c r="EW633" s="43"/>
      <c r="EX633" s="43"/>
      <c r="EY633" s="43"/>
      <c r="EZ633" s="43"/>
      <c r="FA633" s="43"/>
      <c r="FB633" s="43"/>
      <c r="FC633" s="43"/>
      <c r="FD633" s="43"/>
      <c r="FE633" s="43"/>
      <c r="FF633" s="43"/>
      <c r="FG633" s="43"/>
      <c r="FH633" s="50"/>
      <c r="FI633" s="50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  <c r="CI634" s="43"/>
      <c r="CJ634" s="43"/>
      <c r="CK634" s="43"/>
      <c r="CL634" s="43"/>
      <c r="CM634" s="43"/>
      <c r="CN634" s="43"/>
      <c r="CO634" s="43"/>
      <c r="CP634" s="43"/>
      <c r="CQ634" s="43"/>
      <c r="CR634" s="43"/>
      <c r="CS634" s="43"/>
      <c r="CT634" s="43"/>
      <c r="CU634" s="43"/>
      <c r="CV634" s="43"/>
      <c r="CW634" s="43"/>
      <c r="CX634" s="43"/>
      <c r="CY634" s="43"/>
      <c r="CZ634" s="43"/>
      <c r="DA634" s="43"/>
      <c r="DB634" s="43"/>
      <c r="DC634" s="43"/>
      <c r="DD634" s="43"/>
      <c r="DE634" s="43"/>
      <c r="DF634" s="43"/>
      <c r="DG634" s="43"/>
      <c r="DH634" s="43"/>
      <c r="DI634" s="43"/>
      <c r="DJ634" s="43"/>
      <c r="DK634" s="43"/>
      <c r="DL634" s="43"/>
      <c r="DM634" s="43"/>
      <c r="DN634" s="43"/>
      <c r="DO634" s="43"/>
      <c r="DP634" s="43"/>
      <c r="DQ634" s="43"/>
      <c r="DR634" s="43"/>
      <c r="DS634" s="43"/>
      <c r="DT634" s="43"/>
      <c r="DU634" s="43"/>
      <c r="DV634" s="43"/>
      <c r="DW634" s="43"/>
      <c r="DX634" s="43"/>
      <c r="DY634" s="43"/>
      <c r="DZ634" s="43"/>
      <c r="EA634" s="43"/>
      <c r="EB634" s="43"/>
      <c r="EC634" s="43"/>
      <c r="ED634" s="43"/>
      <c r="EE634" s="43"/>
      <c r="EF634" s="43"/>
      <c r="EG634" s="43"/>
      <c r="EH634" s="43"/>
      <c r="EI634" s="43"/>
      <c r="EJ634" s="43"/>
      <c r="EK634" s="43"/>
      <c r="EL634" s="43"/>
      <c r="EM634" s="43"/>
      <c r="EN634" s="43"/>
      <c r="EO634" s="43"/>
      <c r="EP634" s="43"/>
      <c r="EQ634" s="43"/>
      <c r="ER634" s="43"/>
      <c r="ES634" s="43"/>
      <c r="ET634" s="43"/>
      <c r="EU634" s="43"/>
      <c r="EV634" s="43"/>
      <c r="EW634" s="43"/>
      <c r="EX634" s="43"/>
      <c r="EY634" s="43"/>
      <c r="EZ634" s="43"/>
      <c r="FA634" s="43"/>
      <c r="FB634" s="43"/>
      <c r="FC634" s="43"/>
      <c r="FD634" s="43"/>
      <c r="FE634" s="43"/>
      <c r="FF634" s="43"/>
      <c r="FG634" s="43"/>
      <c r="FH634" s="50"/>
      <c r="FI634" s="50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  <c r="CS635" s="43"/>
      <c r="CT635" s="43"/>
      <c r="CU635" s="43"/>
      <c r="CV635" s="43"/>
      <c r="CW635" s="43"/>
      <c r="CX635" s="43"/>
      <c r="CY635" s="43"/>
      <c r="CZ635" s="43"/>
      <c r="DA635" s="43"/>
      <c r="DB635" s="43"/>
      <c r="DC635" s="43"/>
      <c r="DD635" s="43"/>
      <c r="DE635" s="43"/>
      <c r="DF635" s="43"/>
      <c r="DG635" s="43"/>
      <c r="DH635" s="43"/>
      <c r="DI635" s="43"/>
      <c r="DJ635" s="43"/>
      <c r="DK635" s="43"/>
      <c r="DL635" s="43"/>
      <c r="DM635" s="43"/>
      <c r="DN635" s="43"/>
      <c r="DO635" s="43"/>
      <c r="DP635" s="43"/>
      <c r="DQ635" s="43"/>
      <c r="DR635" s="43"/>
      <c r="DS635" s="43"/>
      <c r="DT635" s="43"/>
      <c r="DU635" s="43"/>
      <c r="DV635" s="43"/>
      <c r="DW635" s="43"/>
      <c r="DX635" s="43"/>
      <c r="DY635" s="43"/>
      <c r="DZ635" s="43"/>
      <c r="EA635" s="43"/>
      <c r="EB635" s="43"/>
      <c r="EC635" s="43"/>
      <c r="ED635" s="43"/>
      <c r="EE635" s="43"/>
      <c r="EF635" s="43"/>
      <c r="EG635" s="43"/>
      <c r="EH635" s="43"/>
      <c r="EI635" s="43"/>
      <c r="EJ635" s="43"/>
      <c r="EK635" s="43"/>
      <c r="EL635" s="43"/>
      <c r="EM635" s="43"/>
      <c r="EN635" s="43"/>
      <c r="EO635" s="43"/>
      <c r="EP635" s="43"/>
      <c r="EQ635" s="43"/>
      <c r="ER635" s="43"/>
      <c r="ES635" s="43"/>
      <c r="ET635" s="43"/>
      <c r="EU635" s="43"/>
      <c r="EV635" s="43"/>
      <c r="EW635" s="43"/>
      <c r="EX635" s="43"/>
      <c r="EY635" s="43"/>
      <c r="EZ635" s="43"/>
      <c r="FA635" s="43"/>
      <c r="FB635" s="43"/>
      <c r="FC635" s="43"/>
      <c r="FD635" s="43"/>
      <c r="FE635" s="43"/>
      <c r="FF635" s="43"/>
      <c r="FG635" s="43"/>
      <c r="FH635" s="50"/>
      <c r="FI635" s="50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43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43"/>
      <c r="CF636" s="43"/>
      <c r="CG636" s="43"/>
      <c r="CH636" s="43"/>
      <c r="CI636" s="43"/>
      <c r="CJ636" s="43"/>
      <c r="CK636" s="43"/>
      <c r="CL636" s="43"/>
      <c r="CM636" s="43"/>
      <c r="CN636" s="43"/>
      <c r="CO636" s="43"/>
      <c r="CP636" s="43"/>
      <c r="CQ636" s="43"/>
      <c r="CR636" s="43"/>
      <c r="CS636" s="43"/>
      <c r="CT636" s="43"/>
      <c r="CU636" s="43"/>
      <c r="CV636" s="43"/>
      <c r="CW636" s="43"/>
      <c r="CX636" s="43"/>
      <c r="CY636" s="43"/>
      <c r="CZ636" s="43"/>
      <c r="DA636" s="43"/>
      <c r="DB636" s="43"/>
      <c r="DC636" s="43"/>
      <c r="DD636" s="43"/>
      <c r="DE636" s="43"/>
      <c r="DF636" s="43"/>
      <c r="DG636" s="43"/>
      <c r="DH636" s="43"/>
      <c r="DI636" s="43"/>
      <c r="DJ636" s="43"/>
      <c r="DK636" s="43"/>
      <c r="DL636" s="43"/>
      <c r="DM636" s="43"/>
      <c r="DN636" s="43"/>
      <c r="DO636" s="43"/>
      <c r="DP636" s="43"/>
      <c r="DQ636" s="43"/>
      <c r="DR636" s="43"/>
      <c r="DS636" s="43"/>
      <c r="DT636" s="43"/>
      <c r="DU636" s="43"/>
      <c r="DV636" s="43"/>
      <c r="DW636" s="43"/>
      <c r="DX636" s="43"/>
      <c r="DY636" s="43"/>
      <c r="DZ636" s="43"/>
      <c r="EA636" s="43"/>
      <c r="EB636" s="43"/>
      <c r="EC636" s="43"/>
      <c r="ED636" s="43"/>
      <c r="EE636" s="43"/>
      <c r="EF636" s="43"/>
      <c r="EG636" s="43"/>
      <c r="EH636" s="43"/>
      <c r="EI636" s="43"/>
      <c r="EJ636" s="43"/>
      <c r="EK636" s="43"/>
      <c r="EL636" s="43"/>
      <c r="EM636" s="43"/>
      <c r="EN636" s="43"/>
      <c r="EO636" s="43"/>
      <c r="EP636" s="43"/>
      <c r="EQ636" s="43"/>
      <c r="ER636" s="43"/>
      <c r="ES636" s="43"/>
      <c r="ET636" s="43"/>
      <c r="EU636" s="43"/>
      <c r="EV636" s="43"/>
      <c r="EW636" s="43"/>
      <c r="EX636" s="43"/>
      <c r="EY636" s="43"/>
      <c r="EZ636" s="43"/>
      <c r="FA636" s="43"/>
      <c r="FB636" s="43"/>
      <c r="FC636" s="43"/>
      <c r="FD636" s="43"/>
      <c r="FE636" s="43"/>
      <c r="FF636" s="43"/>
      <c r="FG636" s="43"/>
      <c r="FH636" s="50"/>
      <c r="FI636" s="50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43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43"/>
      <c r="CF637" s="43"/>
      <c r="CG637" s="43"/>
      <c r="CH637" s="43"/>
      <c r="CI637" s="43"/>
      <c r="CJ637" s="43"/>
      <c r="CK637" s="43"/>
      <c r="CL637" s="43"/>
      <c r="CM637" s="43"/>
      <c r="CN637" s="43"/>
      <c r="CO637" s="43"/>
      <c r="CP637" s="43"/>
      <c r="CQ637" s="43"/>
      <c r="CR637" s="43"/>
      <c r="CS637" s="43"/>
      <c r="CT637" s="43"/>
      <c r="CU637" s="43"/>
      <c r="CV637" s="43"/>
      <c r="CW637" s="43"/>
      <c r="CX637" s="43"/>
      <c r="CY637" s="43"/>
      <c r="CZ637" s="43"/>
      <c r="DA637" s="43"/>
      <c r="DB637" s="43"/>
      <c r="DC637" s="43"/>
      <c r="DD637" s="43"/>
      <c r="DE637" s="43"/>
      <c r="DF637" s="43"/>
      <c r="DG637" s="43"/>
      <c r="DH637" s="43"/>
      <c r="DI637" s="43"/>
      <c r="DJ637" s="43"/>
      <c r="DK637" s="43"/>
      <c r="DL637" s="43"/>
      <c r="DM637" s="43"/>
      <c r="DN637" s="43"/>
      <c r="DO637" s="43"/>
      <c r="DP637" s="43"/>
      <c r="DQ637" s="43"/>
      <c r="DR637" s="43"/>
      <c r="DS637" s="43"/>
      <c r="DT637" s="43"/>
      <c r="DU637" s="43"/>
      <c r="DV637" s="43"/>
      <c r="DW637" s="43"/>
      <c r="DX637" s="43"/>
      <c r="DY637" s="43"/>
      <c r="DZ637" s="43"/>
      <c r="EA637" s="43"/>
      <c r="EB637" s="43"/>
      <c r="EC637" s="43"/>
      <c r="ED637" s="43"/>
      <c r="EE637" s="43"/>
      <c r="EF637" s="43"/>
      <c r="EG637" s="43"/>
      <c r="EH637" s="43"/>
      <c r="EI637" s="43"/>
      <c r="EJ637" s="43"/>
      <c r="EK637" s="43"/>
      <c r="EL637" s="43"/>
      <c r="EM637" s="43"/>
      <c r="EN637" s="43"/>
      <c r="EO637" s="43"/>
      <c r="EP637" s="43"/>
      <c r="EQ637" s="43"/>
      <c r="ER637" s="43"/>
      <c r="ES637" s="43"/>
      <c r="ET637" s="43"/>
      <c r="EU637" s="43"/>
      <c r="EV637" s="43"/>
      <c r="EW637" s="43"/>
      <c r="EX637" s="43"/>
      <c r="EY637" s="43"/>
      <c r="EZ637" s="43"/>
      <c r="FA637" s="43"/>
      <c r="FB637" s="43"/>
      <c r="FC637" s="43"/>
      <c r="FD637" s="43"/>
      <c r="FE637" s="43"/>
      <c r="FF637" s="43"/>
      <c r="FG637" s="43"/>
      <c r="FH637" s="50"/>
      <c r="FI637" s="50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  <c r="CS638" s="43"/>
      <c r="CT638" s="43"/>
      <c r="CU638" s="43"/>
      <c r="CV638" s="43"/>
      <c r="CW638" s="43"/>
      <c r="CX638" s="43"/>
      <c r="CY638" s="43"/>
      <c r="CZ638" s="43"/>
      <c r="DA638" s="43"/>
      <c r="DB638" s="43"/>
      <c r="DC638" s="43"/>
      <c r="DD638" s="43"/>
      <c r="DE638" s="43"/>
      <c r="DF638" s="43"/>
      <c r="DG638" s="43"/>
      <c r="DH638" s="43"/>
      <c r="DI638" s="43"/>
      <c r="DJ638" s="43"/>
      <c r="DK638" s="43"/>
      <c r="DL638" s="43"/>
      <c r="DM638" s="43"/>
      <c r="DN638" s="43"/>
      <c r="DO638" s="43"/>
      <c r="DP638" s="43"/>
      <c r="DQ638" s="43"/>
      <c r="DR638" s="43"/>
      <c r="DS638" s="43"/>
      <c r="DT638" s="43"/>
      <c r="DU638" s="43"/>
      <c r="DV638" s="43"/>
      <c r="DW638" s="43"/>
      <c r="DX638" s="43"/>
      <c r="DY638" s="43"/>
      <c r="DZ638" s="43"/>
      <c r="EA638" s="43"/>
      <c r="EB638" s="43"/>
      <c r="EC638" s="43"/>
      <c r="ED638" s="43"/>
      <c r="EE638" s="43"/>
      <c r="EF638" s="43"/>
      <c r="EG638" s="43"/>
      <c r="EH638" s="43"/>
      <c r="EI638" s="43"/>
      <c r="EJ638" s="43"/>
      <c r="EK638" s="43"/>
      <c r="EL638" s="43"/>
      <c r="EM638" s="43"/>
      <c r="EN638" s="43"/>
      <c r="EO638" s="43"/>
      <c r="EP638" s="43"/>
      <c r="EQ638" s="43"/>
      <c r="ER638" s="43"/>
      <c r="ES638" s="43"/>
      <c r="ET638" s="43"/>
      <c r="EU638" s="43"/>
      <c r="EV638" s="43"/>
      <c r="EW638" s="43"/>
      <c r="EX638" s="43"/>
      <c r="EY638" s="43"/>
      <c r="EZ638" s="43"/>
      <c r="FA638" s="43"/>
      <c r="FB638" s="43"/>
      <c r="FC638" s="43"/>
      <c r="FD638" s="43"/>
      <c r="FE638" s="43"/>
      <c r="FF638" s="43"/>
      <c r="FG638" s="43"/>
      <c r="FH638" s="50"/>
      <c r="FI638" s="50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  <c r="CI639" s="43"/>
      <c r="CJ639" s="43"/>
      <c r="CK639" s="43"/>
      <c r="CL639" s="43"/>
      <c r="CM639" s="43"/>
      <c r="CN639" s="43"/>
      <c r="CO639" s="43"/>
      <c r="CP639" s="43"/>
      <c r="CQ639" s="43"/>
      <c r="CR639" s="43"/>
      <c r="CS639" s="43"/>
      <c r="CT639" s="43"/>
      <c r="CU639" s="43"/>
      <c r="CV639" s="43"/>
      <c r="CW639" s="43"/>
      <c r="CX639" s="43"/>
      <c r="CY639" s="43"/>
      <c r="CZ639" s="43"/>
      <c r="DA639" s="43"/>
      <c r="DB639" s="43"/>
      <c r="DC639" s="43"/>
      <c r="DD639" s="43"/>
      <c r="DE639" s="43"/>
      <c r="DF639" s="43"/>
      <c r="DG639" s="43"/>
      <c r="DH639" s="43"/>
      <c r="DI639" s="43"/>
      <c r="DJ639" s="43"/>
      <c r="DK639" s="43"/>
      <c r="DL639" s="43"/>
      <c r="DM639" s="43"/>
      <c r="DN639" s="43"/>
      <c r="DO639" s="43"/>
      <c r="DP639" s="43"/>
      <c r="DQ639" s="43"/>
      <c r="DR639" s="43"/>
      <c r="DS639" s="43"/>
      <c r="DT639" s="43"/>
      <c r="DU639" s="43"/>
      <c r="DV639" s="43"/>
      <c r="DW639" s="43"/>
      <c r="DX639" s="43"/>
      <c r="DY639" s="43"/>
      <c r="DZ639" s="43"/>
      <c r="EA639" s="43"/>
      <c r="EB639" s="43"/>
      <c r="EC639" s="43"/>
      <c r="ED639" s="43"/>
      <c r="EE639" s="43"/>
      <c r="EF639" s="43"/>
      <c r="EG639" s="43"/>
      <c r="EH639" s="43"/>
      <c r="EI639" s="43"/>
      <c r="EJ639" s="43"/>
      <c r="EK639" s="43"/>
      <c r="EL639" s="43"/>
      <c r="EM639" s="43"/>
      <c r="EN639" s="43"/>
      <c r="EO639" s="43"/>
      <c r="EP639" s="43"/>
      <c r="EQ639" s="43"/>
      <c r="ER639" s="43"/>
      <c r="ES639" s="43"/>
      <c r="ET639" s="43"/>
      <c r="EU639" s="43"/>
      <c r="EV639" s="43"/>
      <c r="EW639" s="43"/>
      <c r="EX639" s="43"/>
      <c r="EY639" s="43"/>
      <c r="EZ639" s="43"/>
      <c r="FA639" s="43"/>
      <c r="FB639" s="43"/>
      <c r="FC639" s="43"/>
      <c r="FD639" s="43"/>
      <c r="FE639" s="43"/>
      <c r="FF639" s="43"/>
      <c r="FG639" s="43"/>
      <c r="FH639" s="50"/>
      <c r="FI639" s="50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43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43"/>
      <c r="CF640" s="43"/>
      <c r="CG640" s="43"/>
      <c r="CH640" s="43"/>
      <c r="CI640" s="43"/>
      <c r="CJ640" s="43"/>
      <c r="CK640" s="43"/>
      <c r="CL640" s="43"/>
      <c r="CM640" s="43"/>
      <c r="CN640" s="43"/>
      <c r="CO640" s="43"/>
      <c r="CP640" s="43"/>
      <c r="CQ640" s="43"/>
      <c r="CR640" s="43"/>
      <c r="CS640" s="43"/>
      <c r="CT640" s="43"/>
      <c r="CU640" s="43"/>
      <c r="CV640" s="43"/>
      <c r="CW640" s="43"/>
      <c r="CX640" s="43"/>
      <c r="CY640" s="43"/>
      <c r="CZ640" s="43"/>
      <c r="DA640" s="43"/>
      <c r="DB640" s="43"/>
      <c r="DC640" s="43"/>
      <c r="DD640" s="43"/>
      <c r="DE640" s="43"/>
      <c r="DF640" s="43"/>
      <c r="DG640" s="43"/>
      <c r="DH640" s="43"/>
      <c r="DI640" s="43"/>
      <c r="DJ640" s="43"/>
      <c r="DK640" s="43"/>
      <c r="DL640" s="43"/>
      <c r="DM640" s="43"/>
      <c r="DN640" s="43"/>
      <c r="DO640" s="43"/>
      <c r="DP640" s="43"/>
      <c r="DQ640" s="43"/>
      <c r="DR640" s="43"/>
      <c r="DS640" s="43"/>
      <c r="DT640" s="43"/>
      <c r="DU640" s="43"/>
      <c r="DV640" s="43"/>
      <c r="DW640" s="43"/>
      <c r="DX640" s="43"/>
      <c r="DY640" s="43"/>
      <c r="DZ640" s="43"/>
      <c r="EA640" s="43"/>
      <c r="EB640" s="43"/>
      <c r="EC640" s="43"/>
      <c r="ED640" s="43"/>
      <c r="EE640" s="43"/>
      <c r="EF640" s="43"/>
      <c r="EG640" s="43"/>
      <c r="EH640" s="43"/>
      <c r="EI640" s="43"/>
      <c r="EJ640" s="43"/>
      <c r="EK640" s="43"/>
      <c r="EL640" s="43"/>
      <c r="EM640" s="43"/>
      <c r="EN640" s="43"/>
      <c r="EO640" s="43"/>
      <c r="EP640" s="43"/>
      <c r="EQ640" s="43"/>
      <c r="ER640" s="43"/>
      <c r="ES640" s="43"/>
      <c r="ET640" s="43"/>
      <c r="EU640" s="43"/>
      <c r="EV640" s="43"/>
      <c r="EW640" s="43"/>
      <c r="EX640" s="43"/>
      <c r="EY640" s="43"/>
      <c r="EZ640" s="43"/>
      <c r="FA640" s="43"/>
      <c r="FB640" s="43"/>
      <c r="FC640" s="43"/>
      <c r="FD640" s="43"/>
      <c r="FE640" s="43"/>
      <c r="FF640" s="43"/>
      <c r="FG640" s="43"/>
      <c r="FH640" s="50"/>
      <c r="FI640" s="50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43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43"/>
      <c r="CF641" s="43"/>
      <c r="CG641" s="43"/>
      <c r="CH641" s="43"/>
      <c r="CI641" s="43"/>
      <c r="CJ641" s="43"/>
      <c r="CK641" s="43"/>
      <c r="CL641" s="43"/>
      <c r="CM641" s="43"/>
      <c r="CN641" s="43"/>
      <c r="CO641" s="43"/>
      <c r="CP641" s="43"/>
      <c r="CQ641" s="43"/>
      <c r="CR641" s="43"/>
      <c r="CS641" s="43"/>
      <c r="CT641" s="43"/>
      <c r="CU641" s="43"/>
      <c r="CV641" s="43"/>
      <c r="CW641" s="43"/>
      <c r="CX641" s="43"/>
      <c r="CY641" s="43"/>
      <c r="CZ641" s="43"/>
      <c r="DA641" s="43"/>
      <c r="DB641" s="43"/>
      <c r="DC641" s="43"/>
      <c r="DD641" s="43"/>
      <c r="DE641" s="43"/>
      <c r="DF641" s="43"/>
      <c r="DG641" s="43"/>
      <c r="DH641" s="43"/>
      <c r="DI641" s="43"/>
      <c r="DJ641" s="43"/>
      <c r="DK641" s="43"/>
      <c r="DL641" s="43"/>
      <c r="DM641" s="43"/>
      <c r="DN641" s="43"/>
      <c r="DO641" s="43"/>
      <c r="DP641" s="43"/>
      <c r="DQ641" s="43"/>
      <c r="DR641" s="43"/>
      <c r="DS641" s="43"/>
      <c r="DT641" s="43"/>
      <c r="DU641" s="43"/>
      <c r="DV641" s="43"/>
      <c r="DW641" s="43"/>
      <c r="DX641" s="43"/>
      <c r="DY641" s="43"/>
      <c r="DZ641" s="43"/>
      <c r="EA641" s="43"/>
      <c r="EB641" s="43"/>
      <c r="EC641" s="43"/>
      <c r="ED641" s="43"/>
      <c r="EE641" s="43"/>
      <c r="EF641" s="43"/>
      <c r="EG641" s="43"/>
      <c r="EH641" s="43"/>
      <c r="EI641" s="43"/>
      <c r="EJ641" s="43"/>
      <c r="EK641" s="43"/>
      <c r="EL641" s="43"/>
      <c r="EM641" s="43"/>
      <c r="EN641" s="43"/>
      <c r="EO641" s="43"/>
      <c r="EP641" s="43"/>
      <c r="EQ641" s="43"/>
      <c r="ER641" s="43"/>
      <c r="ES641" s="43"/>
      <c r="ET641" s="43"/>
      <c r="EU641" s="43"/>
      <c r="EV641" s="43"/>
      <c r="EW641" s="43"/>
      <c r="EX641" s="43"/>
      <c r="EY641" s="43"/>
      <c r="EZ641" s="43"/>
      <c r="FA641" s="43"/>
      <c r="FB641" s="43"/>
      <c r="FC641" s="43"/>
      <c r="FD641" s="43"/>
      <c r="FE641" s="43"/>
      <c r="FF641" s="43"/>
      <c r="FG641" s="43"/>
      <c r="FH641" s="50"/>
      <c r="FI641" s="50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43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43"/>
      <c r="CF642" s="43"/>
      <c r="CG642" s="43"/>
      <c r="CH642" s="43"/>
      <c r="CI642" s="43"/>
      <c r="CJ642" s="43"/>
      <c r="CK642" s="43"/>
      <c r="CL642" s="43"/>
      <c r="CM642" s="43"/>
      <c r="CN642" s="43"/>
      <c r="CO642" s="43"/>
      <c r="CP642" s="43"/>
      <c r="CQ642" s="43"/>
      <c r="CR642" s="43"/>
      <c r="CS642" s="43"/>
      <c r="CT642" s="43"/>
      <c r="CU642" s="43"/>
      <c r="CV642" s="43"/>
      <c r="CW642" s="43"/>
      <c r="CX642" s="43"/>
      <c r="CY642" s="43"/>
      <c r="CZ642" s="43"/>
      <c r="DA642" s="43"/>
      <c r="DB642" s="43"/>
      <c r="DC642" s="43"/>
      <c r="DD642" s="43"/>
      <c r="DE642" s="43"/>
      <c r="DF642" s="43"/>
      <c r="DG642" s="43"/>
      <c r="DH642" s="43"/>
      <c r="DI642" s="43"/>
      <c r="DJ642" s="43"/>
      <c r="DK642" s="43"/>
      <c r="DL642" s="43"/>
      <c r="DM642" s="43"/>
      <c r="DN642" s="43"/>
      <c r="DO642" s="43"/>
      <c r="DP642" s="43"/>
      <c r="DQ642" s="43"/>
      <c r="DR642" s="43"/>
      <c r="DS642" s="43"/>
      <c r="DT642" s="43"/>
      <c r="DU642" s="43"/>
      <c r="DV642" s="43"/>
      <c r="DW642" s="43"/>
      <c r="DX642" s="43"/>
      <c r="DY642" s="43"/>
      <c r="DZ642" s="43"/>
      <c r="EA642" s="43"/>
      <c r="EB642" s="43"/>
      <c r="EC642" s="43"/>
      <c r="ED642" s="43"/>
      <c r="EE642" s="43"/>
      <c r="EF642" s="43"/>
      <c r="EG642" s="43"/>
      <c r="EH642" s="43"/>
      <c r="EI642" s="43"/>
      <c r="EJ642" s="43"/>
      <c r="EK642" s="43"/>
      <c r="EL642" s="43"/>
      <c r="EM642" s="43"/>
      <c r="EN642" s="43"/>
      <c r="EO642" s="43"/>
      <c r="EP642" s="43"/>
      <c r="EQ642" s="43"/>
      <c r="ER642" s="43"/>
      <c r="ES642" s="43"/>
      <c r="ET642" s="43"/>
      <c r="EU642" s="43"/>
      <c r="EV642" s="43"/>
      <c r="EW642" s="43"/>
      <c r="EX642" s="43"/>
      <c r="EY642" s="43"/>
      <c r="EZ642" s="43"/>
      <c r="FA642" s="43"/>
      <c r="FB642" s="43"/>
      <c r="FC642" s="43"/>
      <c r="FD642" s="43"/>
      <c r="FE642" s="43"/>
      <c r="FF642" s="43"/>
      <c r="FG642" s="43"/>
      <c r="FH642" s="50"/>
      <c r="FI642" s="50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43"/>
      <c r="CF643" s="43"/>
      <c r="CG643" s="43"/>
      <c r="CH643" s="43"/>
      <c r="CI643" s="43"/>
      <c r="CJ643" s="43"/>
      <c r="CK643" s="43"/>
      <c r="CL643" s="43"/>
      <c r="CM643" s="43"/>
      <c r="CN643" s="43"/>
      <c r="CO643" s="43"/>
      <c r="CP643" s="43"/>
      <c r="CQ643" s="43"/>
      <c r="CR643" s="43"/>
      <c r="CS643" s="43"/>
      <c r="CT643" s="43"/>
      <c r="CU643" s="43"/>
      <c r="CV643" s="43"/>
      <c r="CW643" s="43"/>
      <c r="CX643" s="43"/>
      <c r="CY643" s="43"/>
      <c r="CZ643" s="43"/>
      <c r="DA643" s="43"/>
      <c r="DB643" s="43"/>
      <c r="DC643" s="43"/>
      <c r="DD643" s="43"/>
      <c r="DE643" s="43"/>
      <c r="DF643" s="43"/>
      <c r="DG643" s="43"/>
      <c r="DH643" s="43"/>
      <c r="DI643" s="43"/>
      <c r="DJ643" s="43"/>
      <c r="DK643" s="43"/>
      <c r="DL643" s="43"/>
      <c r="DM643" s="43"/>
      <c r="DN643" s="43"/>
      <c r="DO643" s="43"/>
      <c r="DP643" s="43"/>
      <c r="DQ643" s="43"/>
      <c r="DR643" s="43"/>
      <c r="DS643" s="43"/>
      <c r="DT643" s="43"/>
      <c r="DU643" s="43"/>
      <c r="DV643" s="43"/>
      <c r="DW643" s="43"/>
      <c r="DX643" s="43"/>
      <c r="DY643" s="43"/>
      <c r="DZ643" s="43"/>
      <c r="EA643" s="43"/>
      <c r="EB643" s="43"/>
      <c r="EC643" s="43"/>
      <c r="ED643" s="43"/>
      <c r="EE643" s="43"/>
      <c r="EF643" s="43"/>
      <c r="EG643" s="43"/>
      <c r="EH643" s="43"/>
      <c r="EI643" s="43"/>
      <c r="EJ643" s="43"/>
      <c r="EK643" s="43"/>
      <c r="EL643" s="43"/>
      <c r="EM643" s="43"/>
      <c r="EN643" s="43"/>
      <c r="EO643" s="43"/>
      <c r="EP643" s="43"/>
      <c r="EQ643" s="43"/>
      <c r="ER643" s="43"/>
      <c r="ES643" s="43"/>
      <c r="ET643" s="43"/>
      <c r="EU643" s="43"/>
      <c r="EV643" s="43"/>
      <c r="EW643" s="43"/>
      <c r="EX643" s="43"/>
      <c r="EY643" s="43"/>
      <c r="EZ643" s="43"/>
      <c r="FA643" s="43"/>
      <c r="FB643" s="43"/>
      <c r="FC643" s="43"/>
      <c r="FD643" s="43"/>
      <c r="FE643" s="43"/>
      <c r="FF643" s="43"/>
      <c r="FG643" s="43"/>
      <c r="FH643" s="50"/>
      <c r="FI643" s="50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43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43"/>
      <c r="CF644" s="43"/>
      <c r="CG644" s="43"/>
      <c r="CH644" s="43"/>
      <c r="CI644" s="43"/>
      <c r="CJ644" s="43"/>
      <c r="CK644" s="43"/>
      <c r="CL644" s="43"/>
      <c r="CM644" s="43"/>
      <c r="CN644" s="43"/>
      <c r="CO644" s="43"/>
      <c r="CP644" s="43"/>
      <c r="CQ644" s="43"/>
      <c r="CR644" s="43"/>
      <c r="CS644" s="43"/>
      <c r="CT644" s="43"/>
      <c r="CU644" s="43"/>
      <c r="CV644" s="43"/>
      <c r="CW644" s="43"/>
      <c r="CX644" s="43"/>
      <c r="CY644" s="43"/>
      <c r="CZ644" s="43"/>
      <c r="DA644" s="43"/>
      <c r="DB644" s="43"/>
      <c r="DC644" s="43"/>
      <c r="DD644" s="43"/>
      <c r="DE644" s="43"/>
      <c r="DF644" s="43"/>
      <c r="DG644" s="43"/>
      <c r="DH644" s="43"/>
      <c r="DI644" s="43"/>
      <c r="DJ644" s="43"/>
      <c r="DK644" s="43"/>
      <c r="DL644" s="43"/>
      <c r="DM644" s="43"/>
      <c r="DN644" s="43"/>
      <c r="DO644" s="43"/>
      <c r="DP644" s="43"/>
      <c r="DQ644" s="43"/>
      <c r="DR644" s="43"/>
      <c r="DS644" s="43"/>
      <c r="DT644" s="43"/>
      <c r="DU644" s="43"/>
      <c r="DV644" s="43"/>
      <c r="DW644" s="43"/>
      <c r="DX644" s="43"/>
      <c r="DY644" s="43"/>
      <c r="DZ644" s="43"/>
      <c r="EA644" s="43"/>
      <c r="EB644" s="43"/>
      <c r="EC644" s="43"/>
      <c r="ED644" s="43"/>
      <c r="EE644" s="43"/>
      <c r="EF644" s="43"/>
      <c r="EG644" s="43"/>
      <c r="EH644" s="43"/>
      <c r="EI644" s="43"/>
      <c r="EJ644" s="43"/>
      <c r="EK644" s="43"/>
      <c r="EL644" s="43"/>
      <c r="EM644" s="43"/>
      <c r="EN644" s="43"/>
      <c r="EO644" s="43"/>
      <c r="EP644" s="43"/>
      <c r="EQ644" s="43"/>
      <c r="ER644" s="43"/>
      <c r="ES644" s="43"/>
      <c r="ET644" s="43"/>
      <c r="EU644" s="43"/>
      <c r="EV644" s="43"/>
      <c r="EW644" s="43"/>
      <c r="EX644" s="43"/>
      <c r="EY644" s="43"/>
      <c r="EZ644" s="43"/>
      <c r="FA644" s="43"/>
      <c r="FB644" s="43"/>
      <c r="FC644" s="43"/>
      <c r="FD644" s="43"/>
      <c r="FE644" s="43"/>
      <c r="FF644" s="43"/>
      <c r="FG644" s="43"/>
      <c r="FH644" s="50"/>
      <c r="FI644" s="50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43"/>
      <c r="CF645" s="43"/>
      <c r="CG645" s="43"/>
      <c r="CH645" s="43"/>
      <c r="CI645" s="43"/>
      <c r="CJ645" s="43"/>
      <c r="CK645" s="43"/>
      <c r="CL645" s="43"/>
      <c r="CM645" s="43"/>
      <c r="CN645" s="43"/>
      <c r="CO645" s="43"/>
      <c r="CP645" s="43"/>
      <c r="CQ645" s="43"/>
      <c r="CR645" s="43"/>
      <c r="CS645" s="43"/>
      <c r="CT645" s="43"/>
      <c r="CU645" s="43"/>
      <c r="CV645" s="43"/>
      <c r="CW645" s="43"/>
      <c r="CX645" s="43"/>
      <c r="CY645" s="43"/>
      <c r="CZ645" s="43"/>
      <c r="DA645" s="43"/>
      <c r="DB645" s="43"/>
      <c r="DC645" s="43"/>
      <c r="DD645" s="43"/>
      <c r="DE645" s="43"/>
      <c r="DF645" s="43"/>
      <c r="DG645" s="43"/>
      <c r="DH645" s="43"/>
      <c r="DI645" s="43"/>
      <c r="DJ645" s="43"/>
      <c r="DK645" s="43"/>
      <c r="DL645" s="43"/>
      <c r="DM645" s="43"/>
      <c r="DN645" s="43"/>
      <c r="DO645" s="43"/>
      <c r="DP645" s="43"/>
      <c r="DQ645" s="43"/>
      <c r="DR645" s="43"/>
      <c r="DS645" s="43"/>
      <c r="DT645" s="43"/>
      <c r="DU645" s="43"/>
      <c r="DV645" s="43"/>
      <c r="DW645" s="43"/>
      <c r="DX645" s="43"/>
      <c r="DY645" s="43"/>
      <c r="DZ645" s="43"/>
      <c r="EA645" s="43"/>
      <c r="EB645" s="43"/>
      <c r="EC645" s="43"/>
      <c r="ED645" s="43"/>
      <c r="EE645" s="43"/>
      <c r="EF645" s="43"/>
      <c r="EG645" s="43"/>
      <c r="EH645" s="43"/>
      <c r="EI645" s="43"/>
      <c r="EJ645" s="43"/>
      <c r="EK645" s="43"/>
      <c r="EL645" s="43"/>
      <c r="EM645" s="43"/>
      <c r="EN645" s="43"/>
      <c r="EO645" s="43"/>
      <c r="EP645" s="43"/>
      <c r="EQ645" s="43"/>
      <c r="ER645" s="43"/>
      <c r="ES645" s="43"/>
      <c r="ET645" s="43"/>
      <c r="EU645" s="43"/>
      <c r="EV645" s="43"/>
      <c r="EW645" s="43"/>
      <c r="EX645" s="43"/>
      <c r="EY645" s="43"/>
      <c r="EZ645" s="43"/>
      <c r="FA645" s="43"/>
      <c r="FB645" s="43"/>
      <c r="FC645" s="43"/>
      <c r="FD645" s="43"/>
      <c r="FE645" s="43"/>
      <c r="FF645" s="43"/>
      <c r="FG645" s="43"/>
      <c r="FH645" s="50"/>
      <c r="FI645" s="50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43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43"/>
      <c r="CF646" s="43"/>
      <c r="CG646" s="43"/>
      <c r="CH646" s="43"/>
      <c r="CI646" s="43"/>
      <c r="CJ646" s="43"/>
      <c r="CK646" s="43"/>
      <c r="CL646" s="43"/>
      <c r="CM646" s="43"/>
      <c r="CN646" s="43"/>
      <c r="CO646" s="43"/>
      <c r="CP646" s="43"/>
      <c r="CQ646" s="43"/>
      <c r="CR646" s="43"/>
      <c r="CS646" s="43"/>
      <c r="CT646" s="43"/>
      <c r="CU646" s="43"/>
      <c r="CV646" s="43"/>
      <c r="CW646" s="43"/>
      <c r="CX646" s="43"/>
      <c r="CY646" s="43"/>
      <c r="CZ646" s="43"/>
      <c r="DA646" s="43"/>
      <c r="DB646" s="43"/>
      <c r="DC646" s="43"/>
      <c r="DD646" s="43"/>
      <c r="DE646" s="43"/>
      <c r="DF646" s="43"/>
      <c r="DG646" s="43"/>
      <c r="DH646" s="43"/>
      <c r="DI646" s="43"/>
      <c r="DJ646" s="43"/>
      <c r="DK646" s="43"/>
      <c r="DL646" s="43"/>
      <c r="DM646" s="43"/>
      <c r="DN646" s="43"/>
      <c r="DO646" s="43"/>
      <c r="DP646" s="43"/>
      <c r="DQ646" s="43"/>
      <c r="DR646" s="43"/>
      <c r="DS646" s="43"/>
      <c r="DT646" s="43"/>
      <c r="DU646" s="43"/>
      <c r="DV646" s="43"/>
      <c r="DW646" s="43"/>
      <c r="DX646" s="43"/>
      <c r="DY646" s="43"/>
      <c r="DZ646" s="43"/>
      <c r="EA646" s="43"/>
      <c r="EB646" s="43"/>
      <c r="EC646" s="43"/>
      <c r="ED646" s="43"/>
      <c r="EE646" s="43"/>
      <c r="EF646" s="43"/>
      <c r="EG646" s="43"/>
      <c r="EH646" s="43"/>
      <c r="EI646" s="43"/>
      <c r="EJ646" s="43"/>
      <c r="EK646" s="43"/>
      <c r="EL646" s="43"/>
      <c r="EM646" s="43"/>
      <c r="EN646" s="43"/>
      <c r="EO646" s="43"/>
      <c r="EP646" s="43"/>
      <c r="EQ646" s="43"/>
      <c r="ER646" s="43"/>
      <c r="ES646" s="43"/>
      <c r="ET646" s="43"/>
      <c r="EU646" s="43"/>
      <c r="EV646" s="43"/>
      <c r="EW646" s="43"/>
      <c r="EX646" s="43"/>
      <c r="EY646" s="43"/>
      <c r="EZ646" s="43"/>
      <c r="FA646" s="43"/>
      <c r="FB646" s="43"/>
      <c r="FC646" s="43"/>
      <c r="FD646" s="43"/>
      <c r="FE646" s="43"/>
      <c r="FF646" s="43"/>
      <c r="FG646" s="43"/>
      <c r="FH646" s="50"/>
      <c r="FI646" s="50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43"/>
      <c r="CF647" s="43"/>
      <c r="CG647" s="43"/>
      <c r="CH647" s="43"/>
      <c r="CI647" s="43"/>
      <c r="CJ647" s="43"/>
      <c r="CK647" s="43"/>
      <c r="CL647" s="43"/>
      <c r="CM647" s="43"/>
      <c r="CN647" s="43"/>
      <c r="CO647" s="43"/>
      <c r="CP647" s="43"/>
      <c r="CQ647" s="43"/>
      <c r="CR647" s="43"/>
      <c r="CS647" s="43"/>
      <c r="CT647" s="43"/>
      <c r="CU647" s="43"/>
      <c r="CV647" s="43"/>
      <c r="CW647" s="43"/>
      <c r="CX647" s="43"/>
      <c r="CY647" s="43"/>
      <c r="CZ647" s="43"/>
      <c r="DA647" s="43"/>
      <c r="DB647" s="43"/>
      <c r="DC647" s="43"/>
      <c r="DD647" s="43"/>
      <c r="DE647" s="43"/>
      <c r="DF647" s="43"/>
      <c r="DG647" s="43"/>
      <c r="DH647" s="43"/>
      <c r="DI647" s="43"/>
      <c r="DJ647" s="43"/>
      <c r="DK647" s="43"/>
      <c r="DL647" s="43"/>
      <c r="DM647" s="43"/>
      <c r="DN647" s="43"/>
      <c r="DO647" s="43"/>
      <c r="DP647" s="43"/>
      <c r="DQ647" s="43"/>
      <c r="DR647" s="43"/>
      <c r="DS647" s="43"/>
      <c r="DT647" s="43"/>
      <c r="DU647" s="43"/>
      <c r="DV647" s="43"/>
      <c r="DW647" s="43"/>
      <c r="DX647" s="43"/>
      <c r="DY647" s="43"/>
      <c r="DZ647" s="43"/>
      <c r="EA647" s="43"/>
      <c r="EB647" s="43"/>
      <c r="EC647" s="43"/>
      <c r="ED647" s="43"/>
      <c r="EE647" s="43"/>
      <c r="EF647" s="43"/>
      <c r="EG647" s="43"/>
      <c r="EH647" s="43"/>
      <c r="EI647" s="43"/>
      <c r="EJ647" s="43"/>
      <c r="EK647" s="43"/>
      <c r="EL647" s="43"/>
      <c r="EM647" s="43"/>
      <c r="EN647" s="43"/>
      <c r="EO647" s="43"/>
      <c r="EP647" s="43"/>
      <c r="EQ647" s="43"/>
      <c r="ER647" s="43"/>
      <c r="ES647" s="43"/>
      <c r="ET647" s="43"/>
      <c r="EU647" s="43"/>
      <c r="EV647" s="43"/>
      <c r="EW647" s="43"/>
      <c r="EX647" s="43"/>
      <c r="EY647" s="43"/>
      <c r="EZ647" s="43"/>
      <c r="FA647" s="43"/>
      <c r="FB647" s="43"/>
      <c r="FC647" s="43"/>
      <c r="FD647" s="43"/>
      <c r="FE647" s="43"/>
      <c r="FF647" s="43"/>
      <c r="FG647" s="43"/>
      <c r="FH647" s="50"/>
      <c r="FI647" s="50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43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43"/>
      <c r="CF648" s="43"/>
      <c r="CG648" s="43"/>
      <c r="CH648" s="43"/>
      <c r="CI648" s="43"/>
      <c r="CJ648" s="43"/>
      <c r="CK648" s="43"/>
      <c r="CL648" s="43"/>
      <c r="CM648" s="43"/>
      <c r="CN648" s="43"/>
      <c r="CO648" s="43"/>
      <c r="CP648" s="43"/>
      <c r="CQ648" s="43"/>
      <c r="CR648" s="43"/>
      <c r="CS648" s="43"/>
      <c r="CT648" s="43"/>
      <c r="CU648" s="43"/>
      <c r="CV648" s="43"/>
      <c r="CW648" s="43"/>
      <c r="CX648" s="43"/>
      <c r="CY648" s="43"/>
      <c r="CZ648" s="43"/>
      <c r="DA648" s="43"/>
      <c r="DB648" s="43"/>
      <c r="DC648" s="43"/>
      <c r="DD648" s="43"/>
      <c r="DE648" s="43"/>
      <c r="DF648" s="43"/>
      <c r="DG648" s="43"/>
      <c r="DH648" s="43"/>
      <c r="DI648" s="43"/>
      <c r="DJ648" s="43"/>
      <c r="DK648" s="43"/>
      <c r="DL648" s="43"/>
      <c r="DM648" s="43"/>
      <c r="DN648" s="43"/>
      <c r="DO648" s="43"/>
      <c r="DP648" s="43"/>
      <c r="DQ648" s="43"/>
      <c r="DR648" s="43"/>
      <c r="DS648" s="43"/>
      <c r="DT648" s="43"/>
      <c r="DU648" s="43"/>
      <c r="DV648" s="43"/>
      <c r="DW648" s="43"/>
      <c r="DX648" s="43"/>
      <c r="DY648" s="43"/>
      <c r="DZ648" s="43"/>
      <c r="EA648" s="43"/>
      <c r="EB648" s="43"/>
      <c r="EC648" s="43"/>
      <c r="ED648" s="43"/>
      <c r="EE648" s="43"/>
      <c r="EF648" s="43"/>
      <c r="EG648" s="43"/>
      <c r="EH648" s="43"/>
      <c r="EI648" s="43"/>
      <c r="EJ648" s="43"/>
      <c r="EK648" s="43"/>
      <c r="EL648" s="43"/>
      <c r="EM648" s="43"/>
      <c r="EN648" s="43"/>
      <c r="EO648" s="43"/>
      <c r="EP648" s="43"/>
      <c r="EQ648" s="43"/>
      <c r="ER648" s="43"/>
      <c r="ES648" s="43"/>
      <c r="ET648" s="43"/>
      <c r="EU648" s="43"/>
      <c r="EV648" s="43"/>
      <c r="EW648" s="43"/>
      <c r="EX648" s="43"/>
      <c r="EY648" s="43"/>
      <c r="EZ648" s="43"/>
      <c r="FA648" s="43"/>
      <c r="FB648" s="43"/>
      <c r="FC648" s="43"/>
      <c r="FD648" s="43"/>
      <c r="FE648" s="43"/>
      <c r="FF648" s="43"/>
      <c r="FG648" s="43"/>
      <c r="FH648" s="50"/>
      <c r="FI648" s="50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43"/>
      <c r="CF649" s="43"/>
      <c r="CG649" s="43"/>
      <c r="CH649" s="43"/>
      <c r="CI649" s="43"/>
      <c r="CJ649" s="43"/>
      <c r="CK649" s="43"/>
      <c r="CL649" s="43"/>
      <c r="CM649" s="43"/>
      <c r="CN649" s="43"/>
      <c r="CO649" s="43"/>
      <c r="CP649" s="43"/>
      <c r="CQ649" s="43"/>
      <c r="CR649" s="43"/>
      <c r="CS649" s="43"/>
      <c r="CT649" s="43"/>
      <c r="CU649" s="43"/>
      <c r="CV649" s="43"/>
      <c r="CW649" s="43"/>
      <c r="CX649" s="43"/>
      <c r="CY649" s="43"/>
      <c r="CZ649" s="43"/>
      <c r="DA649" s="43"/>
      <c r="DB649" s="43"/>
      <c r="DC649" s="43"/>
      <c r="DD649" s="43"/>
      <c r="DE649" s="43"/>
      <c r="DF649" s="43"/>
      <c r="DG649" s="43"/>
      <c r="DH649" s="43"/>
      <c r="DI649" s="43"/>
      <c r="DJ649" s="43"/>
      <c r="DK649" s="43"/>
      <c r="DL649" s="43"/>
      <c r="DM649" s="43"/>
      <c r="DN649" s="43"/>
      <c r="DO649" s="43"/>
      <c r="DP649" s="43"/>
      <c r="DQ649" s="43"/>
      <c r="DR649" s="43"/>
      <c r="DS649" s="43"/>
      <c r="DT649" s="43"/>
      <c r="DU649" s="43"/>
      <c r="DV649" s="43"/>
      <c r="DW649" s="43"/>
      <c r="DX649" s="43"/>
      <c r="DY649" s="43"/>
      <c r="DZ649" s="43"/>
      <c r="EA649" s="43"/>
      <c r="EB649" s="43"/>
      <c r="EC649" s="43"/>
      <c r="ED649" s="43"/>
      <c r="EE649" s="43"/>
      <c r="EF649" s="43"/>
      <c r="EG649" s="43"/>
      <c r="EH649" s="43"/>
      <c r="EI649" s="43"/>
      <c r="EJ649" s="43"/>
      <c r="EK649" s="43"/>
      <c r="EL649" s="43"/>
      <c r="EM649" s="43"/>
      <c r="EN649" s="43"/>
      <c r="EO649" s="43"/>
      <c r="EP649" s="43"/>
      <c r="EQ649" s="43"/>
      <c r="ER649" s="43"/>
      <c r="ES649" s="43"/>
      <c r="ET649" s="43"/>
      <c r="EU649" s="43"/>
      <c r="EV649" s="43"/>
      <c r="EW649" s="43"/>
      <c r="EX649" s="43"/>
      <c r="EY649" s="43"/>
      <c r="EZ649" s="43"/>
      <c r="FA649" s="43"/>
      <c r="FB649" s="43"/>
      <c r="FC649" s="43"/>
      <c r="FD649" s="43"/>
      <c r="FE649" s="43"/>
      <c r="FF649" s="43"/>
      <c r="FG649" s="43"/>
      <c r="FH649" s="50"/>
      <c r="FI649" s="50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43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43"/>
      <c r="CF650" s="43"/>
      <c r="CG650" s="43"/>
      <c r="CH650" s="43"/>
      <c r="CI650" s="43"/>
      <c r="CJ650" s="43"/>
      <c r="CK650" s="43"/>
      <c r="CL650" s="43"/>
      <c r="CM650" s="43"/>
      <c r="CN650" s="43"/>
      <c r="CO650" s="43"/>
      <c r="CP650" s="43"/>
      <c r="CQ650" s="43"/>
      <c r="CR650" s="43"/>
      <c r="CS650" s="43"/>
      <c r="CT650" s="43"/>
      <c r="CU650" s="43"/>
      <c r="CV650" s="43"/>
      <c r="CW650" s="43"/>
      <c r="CX650" s="43"/>
      <c r="CY650" s="43"/>
      <c r="CZ650" s="43"/>
      <c r="DA650" s="43"/>
      <c r="DB650" s="43"/>
      <c r="DC650" s="43"/>
      <c r="DD650" s="43"/>
      <c r="DE650" s="43"/>
      <c r="DF650" s="43"/>
      <c r="DG650" s="43"/>
      <c r="DH650" s="43"/>
      <c r="DI650" s="43"/>
      <c r="DJ650" s="43"/>
      <c r="DK650" s="43"/>
      <c r="DL650" s="43"/>
      <c r="DM650" s="43"/>
      <c r="DN650" s="43"/>
      <c r="DO650" s="43"/>
      <c r="DP650" s="43"/>
      <c r="DQ650" s="43"/>
      <c r="DR650" s="43"/>
      <c r="DS650" s="43"/>
      <c r="DT650" s="43"/>
      <c r="DU650" s="43"/>
      <c r="DV650" s="43"/>
      <c r="DW650" s="43"/>
      <c r="DX650" s="43"/>
      <c r="DY650" s="43"/>
      <c r="DZ650" s="43"/>
      <c r="EA650" s="43"/>
      <c r="EB650" s="43"/>
      <c r="EC650" s="43"/>
      <c r="ED650" s="43"/>
      <c r="EE650" s="43"/>
      <c r="EF650" s="43"/>
      <c r="EG650" s="43"/>
      <c r="EH650" s="43"/>
      <c r="EI650" s="43"/>
      <c r="EJ650" s="43"/>
      <c r="EK650" s="43"/>
      <c r="EL650" s="43"/>
      <c r="EM650" s="43"/>
      <c r="EN650" s="43"/>
      <c r="EO650" s="43"/>
      <c r="EP650" s="43"/>
      <c r="EQ650" s="43"/>
      <c r="ER650" s="43"/>
      <c r="ES650" s="43"/>
      <c r="ET650" s="43"/>
      <c r="EU650" s="43"/>
      <c r="EV650" s="43"/>
      <c r="EW650" s="43"/>
      <c r="EX650" s="43"/>
      <c r="EY650" s="43"/>
      <c r="EZ650" s="43"/>
      <c r="FA650" s="43"/>
      <c r="FB650" s="43"/>
      <c r="FC650" s="43"/>
      <c r="FD650" s="43"/>
      <c r="FE650" s="43"/>
      <c r="FF650" s="43"/>
      <c r="FG650" s="43"/>
      <c r="FH650" s="50"/>
      <c r="FI650" s="50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43"/>
      <c r="CF651" s="43"/>
      <c r="CG651" s="43"/>
      <c r="CH651" s="43"/>
      <c r="CI651" s="43"/>
      <c r="CJ651" s="43"/>
      <c r="CK651" s="43"/>
      <c r="CL651" s="43"/>
      <c r="CM651" s="43"/>
      <c r="CN651" s="43"/>
      <c r="CO651" s="43"/>
      <c r="CP651" s="43"/>
      <c r="CQ651" s="43"/>
      <c r="CR651" s="43"/>
      <c r="CS651" s="43"/>
      <c r="CT651" s="43"/>
      <c r="CU651" s="43"/>
      <c r="CV651" s="43"/>
      <c r="CW651" s="43"/>
      <c r="CX651" s="43"/>
      <c r="CY651" s="43"/>
      <c r="CZ651" s="43"/>
      <c r="DA651" s="43"/>
      <c r="DB651" s="43"/>
      <c r="DC651" s="43"/>
      <c r="DD651" s="43"/>
      <c r="DE651" s="43"/>
      <c r="DF651" s="43"/>
      <c r="DG651" s="43"/>
      <c r="DH651" s="43"/>
      <c r="DI651" s="43"/>
      <c r="DJ651" s="43"/>
      <c r="DK651" s="43"/>
      <c r="DL651" s="43"/>
      <c r="DM651" s="43"/>
      <c r="DN651" s="43"/>
      <c r="DO651" s="43"/>
      <c r="DP651" s="43"/>
      <c r="DQ651" s="43"/>
      <c r="DR651" s="43"/>
      <c r="DS651" s="43"/>
      <c r="DT651" s="43"/>
      <c r="DU651" s="43"/>
      <c r="DV651" s="43"/>
      <c r="DW651" s="43"/>
      <c r="DX651" s="43"/>
      <c r="DY651" s="43"/>
      <c r="DZ651" s="43"/>
      <c r="EA651" s="43"/>
      <c r="EB651" s="43"/>
      <c r="EC651" s="43"/>
      <c r="ED651" s="43"/>
      <c r="EE651" s="43"/>
      <c r="EF651" s="43"/>
      <c r="EG651" s="43"/>
      <c r="EH651" s="43"/>
      <c r="EI651" s="43"/>
      <c r="EJ651" s="43"/>
      <c r="EK651" s="43"/>
      <c r="EL651" s="43"/>
      <c r="EM651" s="43"/>
      <c r="EN651" s="43"/>
      <c r="EO651" s="43"/>
      <c r="EP651" s="43"/>
      <c r="EQ651" s="43"/>
      <c r="ER651" s="43"/>
      <c r="ES651" s="43"/>
      <c r="ET651" s="43"/>
      <c r="EU651" s="43"/>
      <c r="EV651" s="43"/>
      <c r="EW651" s="43"/>
      <c r="EX651" s="43"/>
      <c r="EY651" s="43"/>
      <c r="EZ651" s="43"/>
      <c r="FA651" s="43"/>
      <c r="FB651" s="43"/>
      <c r="FC651" s="43"/>
      <c r="FD651" s="43"/>
      <c r="FE651" s="43"/>
      <c r="FF651" s="43"/>
      <c r="FG651" s="43"/>
      <c r="FH651" s="50"/>
      <c r="FI651" s="50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43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43"/>
      <c r="CF652" s="43"/>
      <c r="CG652" s="43"/>
      <c r="CH652" s="43"/>
      <c r="CI652" s="43"/>
      <c r="CJ652" s="43"/>
      <c r="CK652" s="43"/>
      <c r="CL652" s="43"/>
      <c r="CM652" s="43"/>
      <c r="CN652" s="43"/>
      <c r="CO652" s="43"/>
      <c r="CP652" s="43"/>
      <c r="CQ652" s="43"/>
      <c r="CR652" s="43"/>
      <c r="CS652" s="43"/>
      <c r="CT652" s="43"/>
      <c r="CU652" s="43"/>
      <c r="CV652" s="43"/>
      <c r="CW652" s="43"/>
      <c r="CX652" s="43"/>
      <c r="CY652" s="43"/>
      <c r="CZ652" s="43"/>
      <c r="DA652" s="43"/>
      <c r="DB652" s="43"/>
      <c r="DC652" s="43"/>
      <c r="DD652" s="43"/>
      <c r="DE652" s="43"/>
      <c r="DF652" s="43"/>
      <c r="DG652" s="43"/>
      <c r="DH652" s="43"/>
      <c r="DI652" s="43"/>
      <c r="DJ652" s="43"/>
      <c r="DK652" s="43"/>
      <c r="DL652" s="43"/>
      <c r="DM652" s="43"/>
      <c r="DN652" s="43"/>
      <c r="DO652" s="43"/>
      <c r="DP652" s="43"/>
      <c r="DQ652" s="43"/>
      <c r="DR652" s="43"/>
      <c r="DS652" s="43"/>
      <c r="DT652" s="43"/>
      <c r="DU652" s="43"/>
      <c r="DV652" s="43"/>
      <c r="DW652" s="43"/>
      <c r="DX652" s="43"/>
      <c r="DY652" s="43"/>
      <c r="DZ652" s="43"/>
      <c r="EA652" s="43"/>
      <c r="EB652" s="43"/>
      <c r="EC652" s="43"/>
      <c r="ED652" s="43"/>
      <c r="EE652" s="43"/>
      <c r="EF652" s="43"/>
      <c r="EG652" s="43"/>
      <c r="EH652" s="43"/>
      <c r="EI652" s="43"/>
      <c r="EJ652" s="43"/>
      <c r="EK652" s="43"/>
      <c r="EL652" s="43"/>
      <c r="EM652" s="43"/>
      <c r="EN652" s="43"/>
      <c r="EO652" s="43"/>
      <c r="EP652" s="43"/>
      <c r="EQ652" s="43"/>
      <c r="ER652" s="43"/>
      <c r="ES652" s="43"/>
      <c r="ET652" s="43"/>
      <c r="EU652" s="43"/>
      <c r="EV652" s="43"/>
      <c r="EW652" s="43"/>
      <c r="EX652" s="43"/>
      <c r="EY652" s="43"/>
      <c r="EZ652" s="43"/>
      <c r="FA652" s="43"/>
      <c r="FB652" s="43"/>
      <c r="FC652" s="43"/>
      <c r="FD652" s="43"/>
      <c r="FE652" s="43"/>
      <c r="FF652" s="43"/>
      <c r="FG652" s="43"/>
      <c r="FH652" s="50"/>
      <c r="FI652" s="50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43"/>
      <c r="CF653" s="43"/>
      <c r="CG653" s="43"/>
      <c r="CH653" s="43"/>
      <c r="CI653" s="43"/>
      <c r="CJ653" s="43"/>
      <c r="CK653" s="43"/>
      <c r="CL653" s="43"/>
      <c r="CM653" s="43"/>
      <c r="CN653" s="43"/>
      <c r="CO653" s="43"/>
      <c r="CP653" s="43"/>
      <c r="CQ653" s="43"/>
      <c r="CR653" s="43"/>
      <c r="CS653" s="43"/>
      <c r="CT653" s="43"/>
      <c r="CU653" s="43"/>
      <c r="CV653" s="43"/>
      <c r="CW653" s="43"/>
      <c r="CX653" s="43"/>
      <c r="CY653" s="43"/>
      <c r="CZ653" s="43"/>
      <c r="DA653" s="43"/>
      <c r="DB653" s="43"/>
      <c r="DC653" s="43"/>
      <c r="DD653" s="43"/>
      <c r="DE653" s="43"/>
      <c r="DF653" s="43"/>
      <c r="DG653" s="43"/>
      <c r="DH653" s="43"/>
      <c r="DI653" s="43"/>
      <c r="DJ653" s="43"/>
      <c r="DK653" s="43"/>
      <c r="DL653" s="43"/>
      <c r="DM653" s="43"/>
      <c r="DN653" s="43"/>
      <c r="DO653" s="43"/>
      <c r="DP653" s="43"/>
      <c r="DQ653" s="43"/>
      <c r="DR653" s="43"/>
      <c r="DS653" s="43"/>
      <c r="DT653" s="43"/>
      <c r="DU653" s="43"/>
      <c r="DV653" s="43"/>
      <c r="DW653" s="43"/>
      <c r="DX653" s="43"/>
      <c r="DY653" s="43"/>
      <c r="DZ653" s="43"/>
      <c r="EA653" s="43"/>
      <c r="EB653" s="43"/>
      <c r="EC653" s="43"/>
      <c r="ED653" s="43"/>
      <c r="EE653" s="43"/>
      <c r="EF653" s="43"/>
      <c r="EG653" s="43"/>
      <c r="EH653" s="43"/>
      <c r="EI653" s="43"/>
      <c r="EJ653" s="43"/>
      <c r="EK653" s="43"/>
      <c r="EL653" s="43"/>
      <c r="EM653" s="43"/>
      <c r="EN653" s="43"/>
      <c r="EO653" s="43"/>
      <c r="EP653" s="43"/>
      <c r="EQ653" s="43"/>
      <c r="ER653" s="43"/>
      <c r="ES653" s="43"/>
      <c r="ET653" s="43"/>
      <c r="EU653" s="43"/>
      <c r="EV653" s="43"/>
      <c r="EW653" s="43"/>
      <c r="EX653" s="43"/>
      <c r="EY653" s="43"/>
      <c r="EZ653" s="43"/>
      <c r="FA653" s="43"/>
      <c r="FB653" s="43"/>
      <c r="FC653" s="43"/>
      <c r="FD653" s="43"/>
      <c r="FE653" s="43"/>
      <c r="FF653" s="43"/>
      <c r="FG653" s="43"/>
      <c r="FH653" s="50"/>
      <c r="FI653" s="50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43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43"/>
      <c r="CF654" s="43"/>
      <c r="CG654" s="43"/>
      <c r="CH654" s="43"/>
      <c r="CI654" s="43"/>
      <c r="CJ654" s="43"/>
      <c r="CK654" s="43"/>
      <c r="CL654" s="43"/>
      <c r="CM654" s="43"/>
      <c r="CN654" s="43"/>
      <c r="CO654" s="43"/>
      <c r="CP654" s="43"/>
      <c r="CQ654" s="43"/>
      <c r="CR654" s="43"/>
      <c r="CS654" s="43"/>
      <c r="CT654" s="43"/>
      <c r="CU654" s="43"/>
      <c r="CV654" s="43"/>
      <c r="CW654" s="43"/>
      <c r="CX654" s="43"/>
      <c r="CY654" s="43"/>
      <c r="CZ654" s="43"/>
      <c r="DA654" s="43"/>
      <c r="DB654" s="43"/>
      <c r="DC654" s="43"/>
      <c r="DD654" s="43"/>
      <c r="DE654" s="43"/>
      <c r="DF654" s="43"/>
      <c r="DG654" s="43"/>
      <c r="DH654" s="43"/>
      <c r="DI654" s="43"/>
      <c r="DJ654" s="43"/>
      <c r="DK654" s="43"/>
      <c r="DL654" s="43"/>
      <c r="DM654" s="43"/>
      <c r="DN654" s="43"/>
      <c r="DO654" s="43"/>
      <c r="DP654" s="43"/>
      <c r="DQ654" s="43"/>
      <c r="DR654" s="43"/>
      <c r="DS654" s="43"/>
      <c r="DT654" s="43"/>
      <c r="DU654" s="43"/>
      <c r="DV654" s="43"/>
      <c r="DW654" s="43"/>
      <c r="DX654" s="43"/>
      <c r="DY654" s="43"/>
      <c r="DZ654" s="43"/>
      <c r="EA654" s="43"/>
      <c r="EB654" s="43"/>
      <c r="EC654" s="43"/>
      <c r="ED654" s="43"/>
      <c r="EE654" s="43"/>
      <c r="EF654" s="43"/>
      <c r="EG654" s="43"/>
      <c r="EH654" s="43"/>
      <c r="EI654" s="43"/>
      <c r="EJ654" s="43"/>
      <c r="EK654" s="43"/>
      <c r="EL654" s="43"/>
      <c r="EM654" s="43"/>
      <c r="EN654" s="43"/>
      <c r="EO654" s="43"/>
      <c r="EP654" s="43"/>
      <c r="EQ654" s="43"/>
      <c r="ER654" s="43"/>
      <c r="ES654" s="43"/>
      <c r="ET654" s="43"/>
      <c r="EU654" s="43"/>
      <c r="EV654" s="43"/>
      <c r="EW654" s="43"/>
      <c r="EX654" s="43"/>
      <c r="EY654" s="43"/>
      <c r="EZ654" s="43"/>
      <c r="FA654" s="43"/>
      <c r="FB654" s="43"/>
      <c r="FC654" s="43"/>
      <c r="FD654" s="43"/>
      <c r="FE654" s="43"/>
      <c r="FF654" s="43"/>
      <c r="FG654" s="43"/>
      <c r="FH654" s="50"/>
      <c r="FI654" s="50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43"/>
      <c r="CF655" s="43"/>
      <c r="CG655" s="43"/>
      <c r="CH655" s="43"/>
      <c r="CI655" s="43"/>
      <c r="CJ655" s="43"/>
      <c r="CK655" s="43"/>
      <c r="CL655" s="43"/>
      <c r="CM655" s="43"/>
      <c r="CN655" s="43"/>
      <c r="CO655" s="43"/>
      <c r="CP655" s="43"/>
      <c r="CQ655" s="43"/>
      <c r="CR655" s="43"/>
      <c r="CS655" s="43"/>
      <c r="CT655" s="43"/>
      <c r="CU655" s="43"/>
      <c r="CV655" s="43"/>
      <c r="CW655" s="43"/>
      <c r="CX655" s="43"/>
      <c r="CY655" s="43"/>
      <c r="CZ655" s="43"/>
      <c r="DA655" s="43"/>
      <c r="DB655" s="43"/>
      <c r="DC655" s="43"/>
      <c r="DD655" s="43"/>
      <c r="DE655" s="43"/>
      <c r="DF655" s="43"/>
      <c r="DG655" s="43"/>
      <c r="DH655" s="43"/>
      <c r="DI655" s="43"/>
      <c r="DJ655" s="43"/>
      <c r="DK655" s="43"/>
      <c r="DL655" s="43"/>
      <c r="DM655" s="43"/>
      <c r="DN655" s="43"/>
      <c r="DO655" s="43"/>
      <c r="DP655" s="43"/>
      <c r="DQ655" s="43"/>
      <c r="DR655" s="43"/>
      <c r="DS655" s="43"/>
      <c r="DT655" s="43"/>
      <c r="DU655" s="43"/>
      <c r="DV655" s="43"/>
      <c r="DW655" s="43"/>
      <c r="DX655" s="43"/>
      <c r="DY655" s="43"/>
      <c r="DZ655" s="43"/>
      <c r="EA655" s="43"/>
      <c r="EB655" s="43"/>
      <c r="EC655" s="43"/>
      <c r="ED655" s="43"/>
      <c r="EE655" s="43"/>
      <c r="EF655" s="43"/>
      <c r="EG655" s="43"/>
      <c r="EH655" s="43"/>
      <c r="EI655" s="43"/>
      <c r="EJ655" s="43"/>
      <c r="EK655" s="43"/>
      <c r="EL655" s="43"/>
      <c r="EM655" s="43"/>
      <c r="EN655" s="43"/>
      <c r="EO655" s="43"/>
      <c r="EP655" s="43"/>
      <c r="EQ655" s="43"/>
      <c r="ER655" s="43"/>
      <c r="ES655" s="43"/>
      <c r="ET655" s="43"/>
      <c r="EU655" s="43"/>
      <c r="EV655" s="43"/>
      <c r="EW655" s="43"/>
      <c r="EX655" s="43"/>
      <c r="EY655" s="43"/>
      <c r="EZ655" s="43"/>
      <c r="FA655" s="43"/>
      <c r="FB655" s="43"/>
      <c r="FC655" s="43"/>
      <c r="FD655" s="43"/>
      <c r="FE655" s="43"/>
      <c r="FF655" s="43"/>
      <c r="FG655" s="43"/>
      <c r="FH655" s="50"/>
      <c r="FI655" s="50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43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43"/>
      <c r="CF656" s="43"/>
      <c r="CG656" s="43"/>
      <c r="CH656" s="43"/>
      <c r="CI656" s="43"/>
      <c r="CJ656" s="43"/>
      <c r="CK656" s="43"/>
      <c r="CL656" s="43"/>
      <c r="CM656" s="43"/>
      <c r="CN656" s="43"/>
      <c r="CO656" s="43"/>
      <c r="CP656" s="43"/>
      <c r="CQ656" s="43"/>
      <c r="CR656" s="43"/>
      <c r="CS656" s="43"/>
      <c r="CT656" s="43"/>
      <c r="CU656" s="43"/>
      <c r="CV656" s="43"/>
      <c r="CW656" s="43"/>
      <c r="CX656" s="43"/>
      <c r="CY656" s="43"/>
      <c r="CZ656" s="43"/>
      <c r="DA656" s="43"/>
      <c r="DB656" s="43"/>
      <c r="DC656" s="43"/>
      <c r="DD656" s="43"/>
      <c r="DE656" s="43"/>
      <c r="DF656" s="43"/>
      <c r="DG656" s="43"/>
      <c r="DH656" s="43"/>
      <c r="DI656" s="43"/>
      <c r="DJ656" s="43"/>
      <c r="DK656" s="43"/>
      <c r="DL656" s="43"/>
      <c r="DM656" s="43"/>
      <c r="DN656" s="43"/>
      <c r="DO656" s="43"/>
      <c r="DP656" s="43"/>
      <c r="DQ656" s="43"/>
      <c r="DR656" s="43"/>
      <c r="DS656" s="43"/>
      <c r="DT656" s="43"/>
      <c r="DU656" s="43"/>
      <c r="DV656" s="43"/>
      <c r="DW656" s="43"/>
      <c r="DX656" s="43"/>
      <c r="DY656" s="43"/>
      <c r="DZ656" s="43"/>
      <c r="EA656" s="43"/>
      <c r="EB656" s="43"/>
      <c r="EC656" s="43"/>
      <c r="ED656" s="43"/>
      <c r="EE656" s="43"/>
      <c r="EF656" s="43"/>
      <c r="EG656" s="43"/>
      <c r="EH656" s="43"/>
      <c r="EI656" s="43"/>
      <c r="EJ656" s="43"/>
      <c r="EK656" s="43"/>
      <c r="EL656" s="43"/>
      <c r="EM656" s="43"/>
      <c r="EN656" s="43"/>
      <c r="EO656" s="43"/>
      <c r="EP656" s="43"/>
      <c r="EQ656" s="43"/>
      <c r="ER656" s="43"/>
      <c r="ES656" s="43"/>
      <c r="ET656" s="43"/>
      <c r="EU656" s="43"/>
      <c r="EV656" s="43"/>
      <c r="EW656" s="43"/>
      <c r="EX656" s="43"/>
      <c r="EY656" s="43"/>
      <c r="EZ656" s="43"/>
      <c r="FA656" s="43"/>
      <c r="FB656" s="43"/>
      <c r="FC656" s="43"/>
      <c r="FD656" s="43"/>
      <c r="FE656" s="43"/>
      <c r="FF656" s="43"/>
      <c r="FG656" s="43"/>
      <c r="FH656" s="50"/>
      <c r="FI656" s="50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/>
      <c r="CK657" s="43"/>
      <c r="CL657" s="43"/>
      <c r="CM657" s="43"/>
      <c r="CN657" s="43"/>
      <c r="CO657" s="43"/>
      <c r="CP657" s="43"/>
      <c r="CQ657" s="43"/>
      <c r="CR657" s="43"/>
      <c r="CS657" s="43"/>
      <c r="CT657" s="43"/>
      <c r="CU657" s="43"/>
      <c r="CV657" s="43"/>
      <c r="CW657" s="43"/>
      <c r="CX657" s="43"/>
      <c r="CY657" s="43"/>
      <c r="CZ657" s="43"/>
      <c r="DA657" s="43"/>
      <c r="DB657" s="43"/>
      <c r="DC657" s="43"/>
      <c r="DD657" s="43"/>
      <c r="DE657" s="43"/>
      <c r="DF657" s="43"/>
      <c r="DG657" s="43"/>
      <c r="DH657" s="43"/>
      <c r="DI657" s="43"/>
      <c r="DJ657" s="43"/>
      <c r="DK657" s="43"/>
      <c r="DL657" s="43"/>
      <c r="DM657" s="43"/>
      <c r="DN657" s="43"/>
      <c r="DO657" s="43"/>
      <c r="DP657" s="43"/>
      <c r="DQ657" s="43"/>
      <c r="DR657" s="43"/>
      <c r="DS657" s="43"/>
      <c r="DT657" s="43"/>
      <c r="DU657" s="43"/>
      <c r="DV657" s="43"/>
      <c r="DW657" s="43"/>
      <c r="DX657" s="43"/>
      <c r="DY657" s="43"/>
      <c r="DZ657" s="43"/>
      <c r="EA657" s="43"/>
      <c r="EB657" s="43"/>
      <c r="EC657" s="43"/>
      <c r="ED657" s="43"/>
      <c r="EE657" s="43"/>
      <c r="EF657" s="43"/>
      <c r="EG657" s="43"/>
      <c r="EH657" s="43"/>
      <c r="EI657" s="43"/>
      <c r="EJ657" s="43"/>
      <c r="EK657" s="43"/>
      <c r="EL657" s="43"/>
      <c r="EM657" s="43"/>
      <c r="EN657" s="43"/>
      <c r="EO657" s="43"/>
      <c r="EP657" s="43"/>
      <c r="EQ657" s="43"/>
      <c r="ER657" s="43"/>
      <c r="ES657" s="43"/>
      <c r="ET657" s="43"/>
      <c r="EU657" s="43"/>
      <c r="EV657" s="43"/>
      <c r="EW657" s="43"/>
      <c r="EX657" s="43"/>
      <c r="EY657" s="43"/>
      <c r="EZ657" s="43"/>
      <c r="FA657" s="43"/>
      <c r="FB657" s="43"/>
      <c r="FC657" s="43"/>
      <c r="FD657" s="43"/>
      <c r="FE657" s="43"/>
      <c r="FF657" s="43"/>
      <c r="FG657" s="43"/>
      <c r="FH657" s="50"/>
      <c r="FI657" s="50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43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43"/>
      <c r="CF658" s="43"/>
      <c r="CG658" s="43"/>
      <c r="CH658" s="43"/>
      <c r="CI658" s="43"/>
      <c r="CJ658" s="43"/>
      <c r="CK658" s="43"/>
      <c r="CL658" s="43"/>
      <c r="CM658" s="43"/>
      <c r="CN658" s="43"/>
      <c r="CO658" s="43"/>
      <c r="CP658" s="43"/>
      <c r="CQ658" s="43"/>
      <c r="CR658" s="43"/>
      <c r="CS658" s="43"/>
      <c r="CT658" s="43"/>
      <c r="CU658" s="43"/>
      <c r="CV658" s="43"/>
      <c r="CW658" s="43"/>
      <c r="CX658" s="43"/>
      <c r="CY658" s="43"/>
      <c r="CZ658" s="43"/>
      <c r="DA658" s="43"/>
      <c r="DB658" s="43"/>
      <c r="DC658" s="43"/>
      <c r="DD658" s="43"/>
      <c r="DE658" s="43"/>
      <c r="DF658" s="43"/>
      <c r="DG658" s="43"/>
      <c r="DH658" s="43"/>
      <c r="DI658" s="43"/>
      <c r="DJ658" s="43"/>
      <c r="DK658" s="43"/>
      <c r="DL658" s="43"/>
      <c r="DM658" s="43"/>
      <c r="DN658" s="43"/>
      <c r="DO658" s="43"/>
      <c r="DP658" s="43"/>
      <c r="DQ658" s="43"/>
      <c r="DR658" s="43"/>
      <c r="DS658" s="43"/>
      <c r="DT658" s="43"/>
      <c r="DU658" s="43"/>
      <c r="DV658" s="43"/>
      <c r="DW658" s="43"/>
      <c r="DX658" s="43"/>
      <c r="DY658" s="43"/>
      <c r="DZ658" s="43"/>
      <c r="EA658" s="43"/>
      <c r="EB658" s="43"/>
      <c r="EC658" s="43"/>
      <c r="ED658" s="43"/>
      <c r="EE658" s="43"/>
      <c r="EF658" s="43"/>
      <c r="EG658" s="43"/>
      <c r="EH658" s="43"/>
      <c r="EI658" s="43"/>
      <c r="EJ658" s="43"/>
      <c r="EK658" s="43"/>
      <c r="EL658" s="43"/>
      <c r="EM658" s="43"/>
      <c r="EN658" s="43"/>
      <c r="EO658" s="43"/>
      <c r="EP658" s="43"/>
      <c r="EQ658" s="43"/>
      <c r="ER658" s="43"/>
      <c r="ES658" s="43"/>
      <c r="ET658" s="43"/>
      <c r="EU658" s="43"/>
      <c r="EV658" s="43"/>
      <c r="EW658" s="43"/>
      <c r="EX658" s="43"/>
      <c r="EY658" s="43"/>
      <c r="EZ658" s="43"/>
      <c r="FA658" s="43"/>
      <c r="FB658" s="43"/>
      <c r="FC658" s="43"/>
      <c r="FD658" s="43"/>
      <c r="FE658" s="43"/>
      <c r="FF658" s="43"/>
      <c r="FG658" s="43"/>
      <c r="FH658" s="50"/>
      <c r="FI658" s="50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43"/>
      <c r="CF659" s="43"/>
      <c r="CG659" s="43"/>
      <c r="CH659" s="43"/>
      <c r="CI659" s="43"/>
      <c r="CJ659" s="43"/>
      <c r="CK659" s="43"/>
      <c r="CL659" s="43"/>
      <c r="CM659" s="43"/>
      <c r="CN659" s="43"/>
      <c r="CO659" s="43"/>
      <c r="CP659" s="43"/>
      <c r="CQ659" s="43"/>
      <c r="CR659" s="43"/>
      <c r="CS659" s="43"/>
      <c r="CT659" s="43"/>
      <c r="CU659" s="43"/>
      <c r="CV659" s="43"/>
      <c r="CW659" s="43"/>
      <c r="CX659" s="43"/>
      <c r="CY659" s="43"/>
      <c r="CZ659" s="43"/>
      <c r="DA659" s="43"/>
      <c r="DB659" s="43"/>
      <c r="DC659" s="43"/>
      <c r="DD659" s="43"/>
      <c r="DE659" s="43"/>
      <c r="DF659" s="43"/>
      <c r="DG659" s="43"/>
      <c r="DH659" s="43"/>
      <c r="DI659" s="43"/>
      <c r="DJ659" s="43"/>
      <c r="DK659" s="43"/>
      <c r="DL659" s="43"/>
      <c r="DM659" s="43"/>
      <c r="DN659" s="43"/>
      <c r="DO659" s="43"/>
      <c r="DP659" s="43"/>
      <c r="DQ659" s="43"/>
      <c r="DR659" s="43"/>
      <c r="DS659" s="43"/>
      <c r="DT659" s="43"/>
      <c r="DU659" s="43"/>
      <c r="DV659" s="43"/>
      <c r="DW659" s="43"/>
      <c r="DX659" s="43"/>
      <c r="DY659" s="43"/>
      <c r="DZ659" s="43"/>
      <c r="EA659" s="43"/>
      <c r="EB659" s="43"/>
      <c r="EC659" s="43"/>
      <c r="ED659" s="43"/>
      <c r="EE659" s="43"/>
      <c r="EF659" s="43"/>
      <c r="EG659" s="43"/>
      <c r="EH659" s="43"/>
      <c r="EI659" s="43"/>
      <c r="EJ659" s="43"/>
      <c r="EK659" s="43"/>
      <c r="EL659" s="43"/>
      <c r="EM659" s="43"/>
      <c r="EN659" s="43"/>
      <c r="EO659" s="43"/>
      <c r="EP659" s="43"/>
      <c r="EQ659" s="43"/>
      <c r="ER659" s="43"/>
      <c r="ES659" s="43"/>
      <c r="ET659" s="43"/>
      <c r="EU659" s="43"/>
      <c r="EV659" s="43"/>
      <c r="EW659" s="43"/>
      <c r="EX659" s="43"/>
      <c r="EY659" s="43"/>
      <c r="EZ659" s="43"/>
      <c r="FA659" s="43"/>
      <c r="FB659" s="43"/>
      <c r="FC659" s="43"/>
      <c r="FD659" s="43"/>
      <c r="FE659" s="43"/>
      <c r="FF659" s="43"/>
      <c r="FG659" s="43"/>
      <c r="FH659" s="50"/>
      <c r="FI659" s="50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43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43"/>
      <c r="CF660" s="43"/>
      <c r="CG660" s="43"/>
      <c r="CH660" s="43"/>
      <c r="CI660" s="43"/>
      <c r="CJ660" s="43"/>
      <c r="CK660" s="43"/>
      <c r="CL660" s="43"/>
      <c r="CM660" s="43"/>
      <c r="CN660" s="43"/>
      <c r="CO660" s="43"/>
      <c r="CP660" s="43"/>
      <c r="CQ660" s="43"/>
      <c r="CR660" s="43"/>
      <c r="CS660" s="43"/>
      <c r="CT660" s="43"/>
      <c r="CU660" s="43"/>
      <c r="CV660" s="43"/>
      <c r="CW660" s="43"/>
      <c r="CX660" s="43"/>
      <c r="CY660" s="43"/>
      <c r="CZ660" s="43"/>
      <c r="DA660" s="43"/>
      <c r="DB660" s="43"/>
      <c r="DC660" s="43"/>
      <c r="DD660" s="43"/>
      <c r="DE660" s="43"/>
      <c r="DF660" s="43"/>
      <c r="DG660" s="43"/>
      <c r="DH660" s="43"/>
      <c r="DI660" s="43"/>
      <c r="DJ660" s="43"/>
      <c r="DK660" s="43"/>
      <c r="DL660" s="43"/>
      <c r="DM660" s="43"/>
      <c r="DN660" s="43"/>
      <c r="DO660" s="43"/>
      <c r="DP660" s="43"/>
      <c r="DQ660" s="43"/>
      <c r="DR660" s="43"/>
      <c r="DS660" s="43"/>
      <c r="DT660" s="43"/>
      <c r="DU660" s="43"/>
      <c r="DV660" s="43"/>
      <c r="DW660" s="43"/>
      <c r="DX660" s="43"/>
      <c r="DY660" s="43"/>
      <c r="DZ660" s="43"/>
      <c r="EA660" s="43"/>
      <c r="EB660" s="43"/>
      <c r="EC660" s="43"/>
      <c r="ED660" s="43"/>
      <c r="EE660" s="43"/>
      <c r="EF660" s="43"/>
      <c r="EG660" s="43"/>
      <c r="EH660" s="43"/>
      <c r="EI660" s="43"/>
      <c r="EJ660" s="43"/>
      <c r="EK660" s="43"/>
      <c r="EL660" s="43"/>
      <c r="EM660" s="43"/>
      <c r="EN660" s="43"/>
      <c r="EO660" s="43"/>
      <c r="EP660" s="43"/>
      <c r="EQ660" s="43"/>
      <c r="ER660" s="43"/>
      <c r="ES660" s="43"/>
      <c r="ET660" s="43"/>
      <c r="EU660" s="43"/>
      <c r="EV660" s="43"/>
      <c r="EW660" s="43"/>
      <c r="EX660" s="43"/>
      <c r="EY660" s="43"/>
      <c r="EZ660" s="43"/>
      <c r="FA660" s="43"/>
      <c r="FB660" s="43"/>
      <c r="FC660" s="43"/>
      <c r="FD660" s="43"/>
      <c r="FE660" s="43"/>
      <c r="FF660" s="43"/>
      <c r="FG660" s="43"/>
      <c r="FH660" s="50"/>
      <c r="FI660" s="50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43"/>
      <c r="CF661" s="43"/>
      <c r="CG661" s="43"/>
      <c r="CH661" s="43"/>
      <c r="CI661" s="43"/>
      <c r="CJ661" s="43"/>
      <c r="CK661" s="43"/>
      <c r="CL661" s="43"/>
      <c r="CM661" s="43"/>
      <c r="CN661" s="43"/>
      <c r="CO661" s="43"/>
      <c r="CP661" s="43"/>
      <c r="CQ661" s="43"/>
      <c r="CR661" s="43"/>
      <c r="CS661" s="43"/>
      <c r="CT661" s="43"/>
      <c r="CU661" s="43"/>
      <c r="CV661" s="43"/>
      <c r="CW661" s="43"/>
      <c r="CX661" s="43"/>
      <c r="CY661" s="43"/>
      <c r="CZ661" s="43"/>
      <c r="DA661" s="43"/>
      <c r="DB661" s="43"/>
      <c r="DC661" s="43"/>
      <c r="DD661" s="43"/>
      <c r="DE661" s="43"/>
      <c r="DF661" s="43"/>
      <c r="DG661" s="43"/>
      <c r="DH661" s="43"/>
      <c r="DI661" s="43"/>
      <c r="DJ661" s="43"/>
      <c r="DK661" s="43"/>
      <c r="DL661" s="43"/>
      <c r="DM661" s="43"/>
      <c r="DN661" s="43"/>
      <c r="DO661" s="43"/>
      <c r="DP661" s="43"/>
      <c r="DQ661" s="43"/>
      <c r="DR661" s="43"/>
      <c r="DS661" s="43"/>
      <c r="DT661" s="43"/>
      <c r="DU661" s="43"/>
      <c r="DV661" s="43"/>
      <c r="DW661" s="43"/>
      <c r="DX661" s="43"/>
      <c r="DY661" s="43"/>
      <c r="DZ661" s="43"/>
      <c r="EA661" s="43"/>
      <c r="EB661" s="43"/>
      <c r="EC661" s="43"/>
      <c r="ED661" s="43"/>
      <c r="EE661" s="43"/>
      <c r="EF661" s="43"/>
      <c r="EG661" s="43"/>
      <c r="EH661" s="43"/>
      <c r="EI661" s="43"/>
      <c r="EJ661" s="43"/>
      <c r="EK661" s="43"/>
      <c r="EL661" s="43"/>
      <c r="EM661" s="43"/>
      <c r="EN661" s="43"/>
      <c r="EO661" s="43"/>
      <c r="EP661" s="43"/>
      <c r="EQ661" s="43"/>
      <c r="ER661" s="43"/>
      <c r="ES661" s="43"/>
      <c r="ET661" s="43"/>
      <c r="EU661" s="43"/>
      <c r="EV661" s="43"/>
      <c r="EW661" s="43"/>
      <c r="EX661" s="43"/>
      <c r="EY661" s="43"/>
      <c r="EZ661" s="43"/>
      <c r="FA661" s="43"/>
      <c r="FB661" s="43"/>
      <c r="FC661" s="43"/>
      <c r="FD661" s="43"/>
      <c r="FE661" s="43"/>
      <c r="FF661" s="43"/>
      <c r="FG661" s="43"/>
      <c r="FH661" s="50"/>
      <c r="FI661" s="50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  <c r="CS662" s="43"/>
      <c r="CT662" s="43"/>
      <c r="CU662" s="43"/>
      <c r="CV662" s="43"/>
      <c r="CW662" s="43"/>
      <c r="CX662" s="43"/>
      <c r="CY662" s="43"/>
      <c r="CZ662" s="43"/>
      <c r="DA662" s="43"/>
      <c r="DB662" s="43"/>
      <c r="DC662" s="43"/>
      <c r="DD662" s="43"/>
      <c r="DE662" s="43"/>
      <c r="DF662" s="43"/>
      <c r="DG662" s="43"/>
      <c r="DH662" s="43"/>
      <c r="DI662" s="43"/>
      <c r="DJ662" s="43"/>
      <c r="DK662" s="43"/>
      <c r="DL662" s="43"/>
      <c r="DM662" s="43"/>
      <c r="DN662" s="43"/>
      <c r="DO662" s="43"/>
      <c r="DP662" s="43"/>
      <c r="DQ662" s="43"/>
      <c r="DR662" s="43"/>
      <c r="DS662" s="43"/>
      <c r="DT662" s="43"/>
      <c r="DU662" s="43"/>
      <c r="DV662" s="43"/>
      <c r="DW662" s="43"/>
      <c r="DX662" s="43"/>
      <c r="DY662" s="43"/>
      <c r="DZ662" s="43"/>
      <c r="EA662" s="43"/>
      <c r="EB662" s="43"/>
      <c r="EC662" s="43"/>
      <c r="ED662" s="43"/>
      <c r="EE662" s="43"/>
      <c r="EF662" s="43"/>
      <c r="EG662" s="43"/>
      <c r="EH662" s="43"/>
      <c r="EI662" s="43"/>
      <c r="EJ662" s="43"/>
      <c r="EK662" s="43"/>
      <c r="EL662" s="43"/>
      <c r="EM662" s="43"/>
      <c r="EN662" s="43"/>
      <c r="EO662" s="43"/>
      <c r="EP662" s="43"/>
      <c r="EQ662" s="43"/>
      <c r="ER662" s="43"/>
      <c r="ES662" s="43"/>
      <c r="ET662" s="43"/>
      <c r="EU662" s="43"/>
      <c r="EV662" s="43"/>
      <c r="EW662" s="43"/>
      <c r="EX662" s="43"/>
      <c r="EY662" s="43"/>
      <c r="EZ662" s="43"/>
      <c r="FA662" s="43"/>
      <c r="FB662" s="43"/>
      <c r="FC662" s="43"/>
      <c r="FD662" s="43"/>
      <c r="FE662" s="43"/>
      <c r="FF662" s="43"/>
      <c r="FG662" s="43"/>
      <c r="FH662" s="50"/>
      <c r="FI662" s="50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43"/>
      <c r="CF663" s="43"/>
      <c r="CG663" s="43"/>
      <c r="CH663" s="43"/>
      <c r="CI663" s="43"/>
      <c r="CJ663" s="43"/>
      <c r="CK663" s="43"/>
      <c r="CL663" s="43"/>
      <c r="CM663" s="43"/>
      <c r="CN663" s="43"/>
      <c r="CO663" s="43"/>
      <c r="CP663" s="43"/>
      <c r="CQ663" s="43"/>
      <c r="CR663" s="43"/>
      <c r="CS663" s="43"/>
      <c r="CT663" s="43"/>
      <c r="CU663" s="43"/>
      <c r="CV663" s="43"/>
      <c r="CW663" s="43"/>
      <c r="CX663" s="43"/>
      <c r="CY663" s="43"/>
      <c r="CZ663" s="43"/>
      <c r="DA663" s="43"/>
      <c r="DB663" s="43"/>
      <c r="DC663" s="43"/>
      <c r="DD663" s="43"/>
      <c r="DE663" s="43"/>
      <c r="DF663" s="43"/>
      <c r="DG663" s="43"/>
      <c r="DH663" s="43"/>
      <c r="DI663" s="43"/>
      <c r="DJ663" s="43"/>
      <c r="DK663" s="43"/>
      <c r="DL663" s="43"/>
      <c r="DM663" s="43"/>
      <c r="DN663" s="43"/>
      <c r="DO663" s="43"/>
      <c r="DP663" s="43"/>
      <c r="DQ663" s="43"/>
      <c r="DR663" s="43"/>
      <c r="DS663" s="43"/>
      <c r="DT663" s="43"/>
      <c r="DU663" s="43"/>
      <c r="DV663" s="43"/>
      <c r="DW663" s="43"/>
      <c r="DX663" s="43"/>
      <c r="DY663" s="43"/>
      <c r="DZ663" s="43"/>
      <c r="EA663" s="43"/>
      <c r="EB663" s="43"/>
      <c r="EC663" s="43"/>
      <c r="ED663" s="43"/>
      <c r="EE663" s="43"/>
      <c r="EF663" s="43"/>
      <c r="EG663" s="43"/>
      <c r="EH663" s="43"/>
      <c r="EI663" s="43"/>
      <c r="EJ663" s="43"/>
      <c r="EK663" s="43"/>
      <c r="EL663" s="43"/>
      <c r="EM663" s="43"/>
      <c r="EN663" s="43"/>
      <c r="EO663" s="43"/>
      <c r="EP663" s="43"/>
      <c r="EQ663" s="43"/>
      <c r="ER663" s="43"/>
      <c r="ES663" s="43"/>
      <c r="ET663" s="43"/>
      <c r="EU663" s="43"/>
      <c r="EV663" s="43"/>
      <c r="EW663" s="43"/>
      <c r="EX663" s="43"/>
      <c r="EY663" s="43"/>
      <c r="EZ663" s="43"/>
      <c r="FA663" s="43"/>
      <c r="FB663" s="43"/>
      <c r="FC663" s="43"/>
      <c r="FD663" s="43"/>
      <c r="FE663" s="43"/>
      <c r="FF663" s="43"/>
      <c r="FG663" s="43"/>
      <c r="FH663" s="50"/>
      <c r="FI663" s="50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43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43"/>
      <c r="CF664" s="43"/>
      <c r="CG664" s="43"/>
      <c r="CH664" s="43"/>
      <c r="CI664" s="43"/>
      <c r="CJ664" s="43"/>
      <c r="CK664" s="43"/>
      <c r="CL664" s="43"/>
      <c r="CM664" s="43"/>
      <c r="CN664" s="43"/>
      <c r="CO664" s="43"/>
      <c r="CP664" s="43"/>
      <c r="CQ664" s="43"/>
      <c r="CR664" s="43"/>
      <c r="CS664" s="43"/>
      <c r="CT664" s="43"/>
      <c r="CU664" s="43"/>
      <c r="CV664" s="43"/>
      <c r="CW664" s="43"/>
      <c r="CX664" s="43"/>
      <c r="CY664" s="43"/>
      <c r="CZ664" s="43"/>
      <c r="DA664" s="43"/>
      <c r="DB664" s="43"/>
      <c r="DC664" s="43"/>
      <c r="DD664" s="43"/>
      <c r="DE664" s="43"/>
      <c r="DF664" s="43"/>
      <c r="DG664" s="43"/>
      <c r="DH664" s="43"/>
      <c r="DI664" s="43"/>
      <c r="DJ664" s="43"/>
      <c r="DK664" s="43"/>
      <c r="DL664" s="43"/>
      <c r="DM664" s="43"/>
      <c r="DN664" s="43"/>
      <c r="DO664" s="43"/>
      <c r="DP664" s="43"/>
      <c r="DQ664" s="43"/>
      <c r="DR664" s="43"/>
      <c r="DS664" s="43"/>
      <c r="DT664" s="43"/>
      <c r="DU664" s="43"/>
      <c r="DV664" s="43"/>
      <c r="DW664" s="43"/>
      <c r="DX664" s="43"/>
      <c r="DY664" s="43"/>
      <c r="DZ664" s="43"/>
      <c r="EA664" s="43"/>
      <c r="EB664" s="43"/>
      <c r="EC664" s="43"/>
      <c r="ED664" s="43"/>
      <c r="EE664" s="43"/>
      <c r="EF664" s="43"/>
      <c r="EG664" s="43"/>
      <c r="EH664" s="43"/>
      <c r="EI664" s="43"/>
      <c r="EJ664" s="43"/>
      <c r="EK664" s="43"/>
      <c r="EL664" s="43"/>
      <c r="EM664" s="43"/>
      <c r="EN664" s="43"/>
      <c r="EO664" s="43"/>
      <c r="EP664" s="43"/>
      <c r="EQ664" s="43"/>
      <c r="ER664" s="43"/>
      <c r="ES664" s="43"/>
      <c r="ET664" s="43"/>
      <c r="EU664" s="43"/>
      <c r="EV664" s="43"/>
      <c r="EW664" s="43"/>
      <c r="EX664" s="43"/>
      <c r="EY664" s="43"/>
      <c r="EZ664" s="43"/>
      <c r="FA664" s="43"/>
      <c r="FB664" s="43"/>
      <c r="FC664" s="43"/>
      <c r="FD664" s="43"/>
      <c r="FE664" s="43"/>
      <c r="FF664" s="43"/>
      <c r="FG664" s="43"/>
      <c r="FH664" s="50"/>
      <c r="FI664" s="50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  <c r="CS665" s="43"/>
      <c r="CT665" s="43"/>
      <c r="CU665" s="43"/>
      <c r="CV665" s="43"/>
      <c r="CW665" s="43"/>
      <c r="CX665" s="43"/>
      <c r="CY665" s="43"/>
      <c r="CZ665" s="43"/>
      <c r="DA665" s="43"/>
      <c r="DB665" s="43"/>
      <c r="DC665" s="43"/>
      <c r="DD665" s="43"/>
      <c r="DE665" s="43"/>
      <c r="DF665" s="43"/>
      <c r="DG665" s="43"/>
      <c r="DH665" s="43"/>
      <c r="DI665" s="43"/>
      <c r="DJ665" s="43"/>
      <c r="DK665" s="43"/>
      <c r="DL665" s="43"/>
      <c r="DM665" s="43"/>
      <c r="DN665" s="43"/>
      <c r="DO665" s="43"/>
      <c r="DP665" s="43"/>
      <c r="DQ665" s="43"/>
      <c r="DR665" s="43"/>
      <c r="DS665" s="43"/>
      <c r="DT665" s="43"/>
      <c r="DU665" s="43"/>
      <c r="DV665" s="43"/>
      <c r="DW665" s="43"/>
      <c r="DX665" s="43"/>
      <c r="DY665" s="43"/>
      <c r="DZ665" s="43"/>
      <c r="EA665" s="43"/>
      <c r="EB665" s="43"/>
      <c r="EC665" s="43"/>
      <c r="ED665" s="43"/>
      <c r="EE665" s="43"/>
      <c r="EF665" s="43"/>
      <c r="EG665" s="43"/>
      <c r="EH665" s="43"/>
      <c r="EI665" s="43"/>
      <c r="EJ665" s="43"/>
      <c r="EK665" s="43"/>
      <c r="EL665" s="43"/>
      <c r="EM665" s="43"/>
      <c r="EN665" s="43"/>
      <c r="EO665" s="43"/>
      <c r="EP665" s="43"/>
      <c r="EQ665" s="43"/>
      <c r="ER665" s="43"/>
      <c r="ES665" s="43"/>
      <c r="ET665" s="43"/>
      <c r="EU665" s="43"/>
      <c r="EV665" s="43"/>
      <c r="EW665" s="43"/>
      <c r="EX665" s="43"/>
      <c r="EY665" s="43"/>
      <c r="EZ665" s="43"/>
      <c r="FA665" s="43"/>
      <c r="FB665" s="43"/>
      <c r="FC665" s="43"/>
      <c r="FD665" s="43"/>
      <c r="FE665" s="43"/>
      <c r="FF665" s="43"/>
      <c r="FG665" s="43"/>
      <c r="FH665" s="50"/>
      <c r="FI665" s="50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43"/>
      <c r="CF666" s="43"/>
      <c r="CG666" s="43"/>
      <c r="CH666" s="43"/>
      <c r="CI666" s="43"/>
      <c r="CJ666" s="43"/>
      <c r="CK666" s="43"/>
      <c r="CL666" s="43"/>
      <c r="CM666" s="43"/>
      <c r="CN666" s="43"/>
      <c r="CO666" s="43"/>
      <c r="CP666" s="43"/>
      <c r="CQ666" s="43"/>
      <c r="CR666" s="43"/>
      <c r="CS666" s="43"/>
      <c r="CT666" s="43"/>
      <c r="CU666" s="43"/>
      <c r="CV666" s="43"/>
      <c r="CW666" s="43"/>
      <c r="CX666" s="43"/>
      <c r="CY666" s="43"/>
      <c r="CZ666" s="43"/>
      <c r="DA666" s="43"/>
      <c r="DB666" s="43"/>
      <c r="DC666" s="43"/>
      <c r="DD666" s="43"/>
      <c r="DE666" s="43"/>
      <c r="DF666" s="43"/>
      <c r="DG666" s="43"/>
      <c r="DH666" s="43"/>
      <c r="DI666" s="43"/>
      <c r="DJ666" s="43"/>
      <c r="DK666" s="43"/>
      <c r="DL666" s="43"/>
      <c r="DM666" s="43"/>
      <c r="DN666" s="43"/>
      <c r="DO666" s="43"/>
      <c r="DP666" s="43"/>
      <c r="DQ666" s="43"/>
      <c r="DR666" s="43"/>
      <c r="DS666" s="43"/>
      <c r="DT666" s="43"/>
      <c r="DU666" s="43"/>
      <c r="DV666" s="43"/>
      <c r="DW666" s="43"/>
      <c r="DX666" s="43"/>
      <c r="DY666" s="43"/>
      <c r="DZ666" s="43"/>
      <c r="EA666" s="43"/>
      <c r="EB666" s="43"/>
      <c r="EC666" s="43"/>
      <c r="ED666" s="43"/>
      <c r="EE666" s="43"/>
      <c r="EF666" s="43"/>
      <c r="EG666" s="43"/>
      <c r="EH666" s="43"/>
      <c r="EI666" s="43"/>
      <c r="EJ666" s="43"/>
      <c r="EK666" s="43"/>
      <c r="EL666" s="43"/>
      <c r="EM666" s="43"/>
      <c r="EN666" s="43"/>
      <c r="EO666" s="43"/>
      <c r="EP666" s="43"/>
      <c r="EQ666" s="43"/>
      <c r="ER666" s="43"/>
      <c r="ES666" s="43"/>
      <c r="ET666" s="43"/>
      <c r="EU666" s="43"/>
      <c r="EV666" s="43"/>
      <c r="EW666" s="43"/>
      <c r="EX666" s="43"/>
      <c r="EY666" s="43"/>
      <c r="EZ666" s="43"/>
      <c r="FA666" s="43"/>
      <c r="FB666" s="43"/>
      <c r="FC666" s="43"/>
      <c r="FD666" s="43"/>
      <c r="FE666" s="43"/>
      <c r="FF666" s="43"/>
      <c r="FG666" s="43"/>
      <c r="FH666" s="50"/>
      <c r="FI666" s="50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43"/>
      <c r="CF667" s="43"/>
      <c r="CG667" s="43"/>
      <c r="CH667" s="43"/>
      <c r="CI667" s="43"/>
      <c r="CJ667" s="43"/>
      <c r="CK667" s="43"/>
      <c r="CL667" s="43"/>
      <c r="CM667" s="43"/>
      <c r="CN667" s="43"/>
      <c r="CO667" s="43"/>
      <c r="CP667" s="43"/>
      <c r="CQ667" s="43"/>
      <c r="CR667" s="43"/>
      <c r="CS667" s="43"/>
      <c r="CT667" s="43"/>
      <c r="CU667" s="43"/>
      <c r="CV667" s="43"/>
      <c r="CW667" s="43"/>
      <c r="CX667" s="43"/>
      <c r="CY667" s="43"/>
      <c r="CZ667" s="43"/>
      <c r="DA667" s="43"/>
      <c r="DB667" s="43"/>
      <c r="DC667" s="43"/>
      <c r="DD667" s="43"/>
      <c r="DE667" s="43"/>
      <c r="DF667" s="43"/>
      <c r="DG667" s="43"/>
      <c r="DH667" s="43"/>
      <c r="DI667" s="43"/>
      <c r="DJ667" s="43"/>
      <c r="DK667" s="43"/>
      <c r="DL667" s="43"/>
      <c r="DM667" s="43"/>
      <c r="DN667" s="43"/>
      <c r="DO667" s="43"/>
      <c r="DP667" s="43"/>
      <c r="DQ667" s="43"/>
      <c r="DR667" s="43"/>
      <c r="DS667" s="43"/>
      <c r="DT667" s="43"/>
      <c r="DU667" s="43"/>
      <c r="DV667" s="43"/>
      <c r="DW667" s="43"/>
      <c r="DX667" s="43"/>
      <c r="DY667" s="43"/>
      <c r="DZ667" s="43"/>
      <c r="EA667" s="43"/>
      <c r="EB667" s="43"/>
      <c r="EC667" s="43"/>
      <c r="ED667" s="43"/>
      <c r="EE667" s="43"/>
      <c r="EF667" s="43"/>
      <c r="EG667" s="43"/>
      <c r="EH667" s="43"/>
      <c r="EI667" s="43"/>
      <c r="EJ667" s="43"/>
      <c r="EK667" s="43"/>
      <c r="EL667" s="43"/>
      <c r="EM667" s="43"/>
      <c r="EN667" s="43"/>
      <c r="EO667" s="43"/>
      <c r="EP667" s="43"/>
      <c r="EQ667" s="43"/>
      <c r="ER667" s="43"/>
      <c r="ES667" s="43"/>
      <c r="ET667" s="43"/>
      <c r="EU667" s="43"/>
      <c r="EV667" s="43"/>
      <c r="EW667" s="43"/>
      <c r="EX667" s="43"/>
      <c r="EY667" s="43"/>
      <c r="EZ667" s="43"/>
      <c r="FA667" s="43"/>
      <c r="FB667" s="43"/>
      <c r="FC667" s="43"/>
      <c r="FD667" s="43"/>
      <c r="FE667" s="43"/>
      <c r="FF667" s="43"/>
      <c r="FG667" s="43"/>
      <c r="FH667" s="50"/>
      <c r="FI667" s="50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43"/>
      <c r="CF668" s="43"/>
      <c r="CG668" s="43"/>
      <c r="CH668" s="43"/>
      <c r="CI668" s="43"/>
      <c r="CJ668" s="43"/>
      <c r="CK668" s="43"/>
      <c r="CL668" s="43"/>
      <c r="CM668" s="43"/>
      <c r="CN668" s="43"/>
      <c r="CO668" s="43"/>
      <c r="CP668" s="43"/>
      <c r="CQ668" s="43"/>
      <c r="CR668" s="43"/>
      <c r="CS668" s="43"/>
      <c r="CT668" s="43"/>
      <c r="CU668" s="43"/>
      <c r="CV668" s="43"/>
      <c r="CW668" s="43"/>
      <c r="CX668" s="43"/>
      <c r="CY668" s="43"/>
      <c r="CZ668" s="43"/>
      <c r="DA668" s="43"/>
      <c r="DB668" s="43"/>
      <c r="DC668" s="43"/>
      <c r="DD668" s="43"/>
      <c r="DE668" s="43"/>
      <c r="DF668" s="43"/>
      <c r="DG668" s="43"/>
      <c r="DH668" s="43"/>
      <c r="DI668" s="43"/>
      <c r="DJ668" s="43"/>
      <c r="DK668" s="43"/>
      <c r="DL668" s="43"/>
      <c r="DM668" s="43"/>
      <c r="DN668" s="43"/>
      <c r="DO668" s="43"/>
      <c r="DP668" s="43"/>
      <c r="DQ668" s="43"/>
      <c r="DR668" s="43"/>
      <c r="DS668" s="43"/>
      <c r="DT668" s="43"/>
      <c r="DU668" s="43"/>
      <c r="DV668" s="43"/>
      <c r="DW668" s="43"/>
      <c r="DX668" s="43"/>
      <c r="DY668" s="43"/>
      <c r="DZ668" s="43"/>
      <c r="EA668" s="43"/>
      <c r="EB668" s="43"/>
      <c r="EC668" s="43"/>
      <c r="ED668" s="43"/>
      <c r="EE668" s="43"/>
      <c r="EF668" s="43"/>
      <c r="EG668" s="43"/>
      <c r="EH668" s="43"/>
      <c r="EI668" s="43"/>
      <c r="EJ668" s="43"/>
      <c r="EK668" s="43"/>
      <c r="EL668" s="43"/>
      <c r="EM668" s="43"/>
      <c r="EN668" s="43"/>
      <c r="EO668" s="43"/>
      <c r="EP668" s="43"/>
      <c r="EQ668" s="43"/>
      <c r="ER668" s="43"/>
      <c r="ES668" s="43"/>
      <c r="ET668" s="43"/>
      <c r="EU668" s="43"/>
      <c r="EV668" s="43"/>
      <c r="EW668" s="43"/>
      <c r="EX668" s="43"/>
      <c r="EY668" s="43"/>
      <c r="EZ668" s="43"/>
      <c r="FA668" s="43"/>
      <c r="FB668" s="43"/>
      <c r="FC668" s="43"/>
      <c r="FD668" s="43"/>
      <c r="FE668" s="43"/>
      <c r="FF668" s="43"/>
      <c r="FG668" s="43"/>
      <c r="FH668" s="50"/>
      <c r="FI668" s="50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43"/>
      <c r="CF669" s="43"/>
      <c r="CG669" s="43"/>
      <c r="CH669" s="43"/>
      <c r="CI669" s="43"/>
      <c r="CJ669" s="43"/>
      <c r="CK669" s="43"/>
      <c r="CL669" s="43"/>
      <c r="CM669" s="43"/>
      <c r="CN669" s="43"/>
      <c r="CO669" s="43"/>
      <c r="CP669" s="43"/>
      <c r="CQ669" s="43"/>
      <c r="CR669" s="43"/>
      <c r="CS669" s="43"/>
      <c r="CT669" s="43"/>
      <c r="CU669" s="43"/>
      <c r="CV669" s="43"/>
      <c r="CW669" s="43"/>
      <c r="CX669" s="43"/>
      <c r="CY669" s="43"/>
      <c r="CZ669" s="43"/>
      <c r="DA669" s="43"/>
      <c r="DB669" s="43"/>
      <c r="DC669" s="43"/>
      <c r="DD669" s="43"/>
      <c r="DE669" s="43"/>
      <c r="DF669" s="43"/>
      <c r="DG669" s="43"/>
      <c r="DH669" s="43"/>
      <c r="DI669" s="43"/>
      <c r="DJ669" s="43"/>
      <c r="DK669" s="43"/>
      <c r="DL669" s="43"/>
      <c r="DM669" s="43"/>
      <c r="DN669" s="43"/>
      <c r="DO669" s="43"/>
      <c r="DP669" s="43"/>
      <c r="DQ669" s="43"/>
      <c r="DR669" s="43"/>
      <c r="DS669" s="43"/>
      <c r="DT669" s="43"/>
      <c r="DU669" s="43"/>
      <c r="DV669" s="43"/>
      <c r="DW669" s="43"/>
      <c r="DX669" s="43"/>
      <c r="DY669" s="43"/>
      <c r="DZ669" s="43"/>
      <c r="EA669" s="43"/>
      <c r="EB669" s="43"/>
      <c r="EC669" s="43"/>
      <c r="ED669" s="43"/>
      <c r="EE669" s="43"/>
      <c r="EF669" s="43"/>
      <c r="EG669" s="43"/>
      <c r="EH669" s="43"/>
      <c r="EI669" s="43"/>
      <c r="EJ669" s="43"/>
      <c r="EK669" s="43"/>
      <c r="EL669" s="43"/>
      <c r="EM669" s="43"/>
      <c r="EN669" s="43"/>
      <c r="EO669" s="43"/>
      <c r="EP669" s="43"/>
      <c r="EQ669" s="43"/>
      <c r="ER669" s="43"/>
      <c r="ES669" s="43"/>
      <c r="ET669" s="43"/>
      <c r="EU669" s="43"/>
      <c r="EV669" s="43"/>
      <c r="EW669" s="43"/>
      <c r="EX669" s="43"/>
      <c r="EY669" s="43"/>
      <c r="EZ669" s="43"/>
      <c r="FA669" s="43"/>
      <c r="FB669" s="43"/>
      <c r="FC669" s="43"/>
      <c r="FD669" s="43"/>
      <c r="FE669" s="43"/>
      <c r="FF669" s="43"/>
      <c r="FG669" s="43"/>
      <c r="FH669" s="50"/>
      <c r="FI669" s="50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43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43"/>
      <c r="CF670" s="43"/>
      <c r="CG670" s="43"/>
      <c r="CH670" s="43"/>
      <c r="CI670" s="43"/>
      <c r="CJ670" s="43"/>
      <c r="CK670" s="43"/>
      <c r="CL670" s="43"/>
      <c r="CM670" s="43"/>
      <c r="CN670" s="43"/>
      <c r="CO670" s="43"/>
      <c r="CP670" s="43"/>
      <c r="CQ670" s="43"/>
      <c r="CR670" s="43"/>
      <c r="CS670" s="43"/>
      <c r="CT670" s="43"/>
      <c r="CU670" s="43"/>
      <c r="CV670" s="43"/>
      <c r="CW670" s="43"/>
      <c r="CX670" s="43"/>
      <c r="CY670" s="43"/>
      <c r="CZ670" s="43"/>
      <c r="DA670" s="43"/>
      <c r="DB670" s="43"/>
      <c r="DC670" s="43"/>
      <c r="DD670" s="43"/>
      <c r="DE670" s="43"/>
      <c r="DF670" s="43"/>
      <c r="DG670" s="43"/>
      <c r="DH670" s="43"/>
      <c r="DI670" s="43"/>
      <c r="DJ670" s="43"/>
      <c r="DK670" s="43"/>
      <c r="DL670" s="43"/>
      <c r="DM670" s="43"/>
      <c r="DN670" s="43"/>
      <c r="DO670" s="43"/>
      <c r="DP670" s="43"/>
      <c r="DQ670" s="43"/>
      <c r="DR670" s="43"/>
      <c r="DS670" s="43"/>
      <c r="DT670" s="43"/>
      <c r="DU670" s="43"/>
      <c r="DV670" s="43"/>
      <c r="DW670" s="43"/>
      <c r="DX670" s="43"/>
      <c r="DY670" s="43"/>
      <c r="DZ670" s="43"/>
      <c r="EA670" s="43"/>
      <c r="EB670" s="43"/>
      <c r="EC670" s="43"/>
      <c r="ED670" s="43"/>
      <c r="EE670" s="43"/>
      <c r="EF670" s="43"/>
      <c r="EG670" s="43"/>
      <c r="EH670" s="43"/>
      <c r="EI670" s="43"/>
      <c r="EJ670" s="43"/>
      <c r="EK670" s="43"/>
      <c r="EL670" s="43"/>
      <c r="EM670" s="43"/>
      <c r="EN670" s="43"/>
      <c r="EO670" s="43"/>
      <c r="EP670" s="43"/>
      <c r="EQ670" s="43"/>
      <c r="ER670" s="43"/>
      <c r="ES670" s="43"/>
      <c r="ET670" s="43"/>
      <c r="EU670" s="43"/>
      <c r="EV670" s="43"/>
      <c r="EW670" s="43"/>
      <c r="EX670" s="43"/>
      <c r="EY670" s="43"/>
      <c r="EZ670" s="43"/>
      <c r="FA670" s="43"/>
      <c r="FB670" s="43"/>
      <c r="FC670" s="43"/>
      <c r="FD670" s="43"/>
      <c r="FE670" s="43"/>
      <c r="FF670" s="43"/>
      <c r="FG670" s="43"/>
      <c r="FH670" s="50"/>
      <c r="FI670" s="50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43"/>
      <c r="CF671" s="43"/>
      <c r="CG671" s="43"/>
      <c r="CH671" s="43"/>
      <c r="CI671" s="43"/>
      <c r="CJ671" s="43"/>
      <c r="CK671" s="43"/>
      <c r="CL671" s="43"/>
      <c r="CM671" s="43"/>
      <c r="CN671" s="43"/>
      <c r="CO671" s="43"/>
      <c r="CP671" s="43"/>
      <c r="CQ671" s="43"/>
      <c r="CR671" s="43"/>
      <c r="CS671" s="43"/>
      <c r="CT671" s="43"/>
      <c r="CU671" s="43"/>
      <c r="CV671" s="43"/>
      <c r="CW671" s="43"/>
      <c r="CX671" s="43"/>
      <c r="CY671" s="43"/>
      <c r="CZ671" s="43"/>
      <c r="DA671" s="43"/>
      <c r="DB671" s="43"/>
      <c r="DC671" s="43"/>
      <c r="DD671" s="43"/>
      <c r="DE671" s="43"/>
      <c r="DF671" s="43"/>
      <c r="DG671" s="43"/>
      <c r="DH671" s="43"/>
      <c r="DI671" s="43"/>
      <c r="DJ671" s="43"/>
      <c r="DK671" s="43"/>
      <c r="DL671" s="43"/>
      <c r="DM671" s="43"/>
      <c r="DN671" s="43"/>
      <c r="DO671" s="43"/>
      <c r="DP671" s="43"/>
      <c r="DQ671" s="43"/>
      <c r="DR671" s="43"/>
      <c r="DS671" s="43"/>
      <c r="DT671" s="43"/>
      <c r="DU671" s="43"/>
      <c r="DV671" s="43"/>
      <c r="DW671" s="43"/>
      <c r="DX671" s="43"/>
      <c r="DY671" s="43"/>
      <c r="DZ671" s="43"/>
      <c r="EA671" s="43"/>
      <c r="EB671" s="43"/>
      <c r="EC671" s="43"/>
      <c r="ED671" s="43"/>
      <c r="EE671" s="43"/>
      <c r="EF671" s="43"/>
      <c r="EG671" s="43"/>
      <c r="EH671" s="43"/>
      <c r="EI671" s="43"/>
      <c r="EJ671" s="43"/>
      <c r="EK671" s="43"/>
      <c r="EL671" s="43"/>
      <c r="EM671" s="43"/>
      <c r="EN671" s="43"/>
      <c r="EO671" s="43"/>
      <c r="EP671" s="43"/>
      <c r="EQ671" s="43"/>
      <c r="ER671" s="43"/>
      <c r="ES671" s="43"/>
      <c r="ET671" s="43"/>
      <c r="EU671" s="43"/>
      <c r="EV671" s="43"/>
      <c r="EW671" s="43"/>
      <c r="EX671" s="43"/>
      <c r="EY671" s="43"/>
      <c r="EZ671" s="43"/>
      <c r="FA671" s="43"/>
      <c r="FB671" s="43"/>
      <c r="FC671" s="43"/>
      <c r="FD671" s="43"/>
      <c r="FE671" s="43"/>
      <c r="FF671" s="43"/>
      <c r="FG671" s="43"/>
      <c r="FH671" s="50"/>
      <c r="FI671" s="50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43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43"/>
      <c r="CF672" s="43"/>
      <c r="CG672" s="43"/>
      <c r="CH672" s="43"/>
      <c r="CI672" s="43"/>
      <c r="CJ672" s="43"/>
      <c r="CK672" s="43"/>
      <c r="CL672" s="43"/>
      <c r="CM672" s="43"/>
      <c r="CN672" s="43"/>
      <c r="CO672" s="43"/>
      <c r="CP672" s="43"/>
      <c r="CQ672" s="43"/>
      <c r="CR672" s="43"/>
      <c r="CS672" s="43"/>
      <c r="CT672" s="43"/>
      <c r="CU672" s="43"/>
      <c r="CV672" s="43"/>
      <c r="CW672" s="43"/>
      <c r="CX672" s="43"/>
      <c r="CY672" s="43"/>
      <c r="CZ672" s="43"/>
      <c r="DA672" s="43"/>
      <c r="DB672" s="43"/>
      <c r="DC672" s="43"/>
      <c r="DD672" s="43"/>
      <c r="DE672" s="43"/>
      <c r="DF672" s="43"/>
      <c r="DG672" s="43"/>
      <c r="DH672" s="43"/>
      <c r="DI672" s="43"/>
      <c r="DJ672" s="43"/>
      <c r="DK672" s="43"/>
      <c r="DL672" s="43"/>
      <c r="DM672" s="43"/>
      <c r="DN672" s="43"/>
      <c r="DO672" s="43"/>
      <c r="DP672" s="43"/>
      <c r="DQ672" s="43"/>
      <c r="DR672" s="43"/>
      <c r="DS672" s="43"/>
      <c r="DT672" s="43"/>
      <c r="DU672" s="43"/>
      <c r="DV672" s="43"/>
      <c r="DW672" s="43"/>
      <c r="DX672" s="43"/>
      <c r="DY672" s="43"/>
      <c r="DZ672" s="43"/>
      <c r="EA672" s="43"/>
      <c r="EB672" s="43"/>
      <c r="EC672" s="43"/>
      <c r="ED672" s="43"/>
      <c r="EE672" s="43"/>
      <c r="EF672" s="43"/>
      <c r="EG672" s="43"/>
      <c r="EH672" s="43"/>
      <c r="EI672" s="43"/>
      <c r="EJ672" s="43"/>
      <c r="EK672" s="43"/>
      <c r="EL672" s="43"/>
      <c r="EM672" s="43"/>
      <c r="EN672" s="43"/>
      <c r="EO672" s="43"/>
      <c r="EP672" s="43"/>
      <c r="EQ672" s="43"/>
      <c r="ER672" s="43"/>
      <c r="ES672" s="43"/>
      <c r="ET672" s="43"/>
      <c r="EU672" s="43"/>
      <c r="EV672" s="43"/>
      <c r="EW672" s="43"/>
      <c r="EX672" s="43"/>
      <c r="EY672" s="43"/>
      <c r="EZ672" s="43"/>
      <c r="FA672" s="43"/>
      <c r="FB672" s="43"/>
      <c r="FC672" s="43"/>
      <c r="FD672" s="43"/>
      <c r="FE672" s="43"/>
      <c r="FF672" s="43"/>
      <c r="FG672" s="43"/>
      <c r="FH672" s="50"/>
      <c r="FI672" s="50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  <c r="CS673" s="43"/>
      <c r="CT673" s="43"/>
      <c r="CU673" s="43"/>
      <c r="CV673" s="43"/>
      <c r="CW673" s="43"/>
      <c r="CX673" s="43"/>
      <c r="CY673" s="43"/>
      <c r="CZ673" s="43"/>
      <c r="DA673" s="43"/>
      <c r="DB673" s="43"/>
      <c r="DC673" s="43"/>
      <c r="DD673" s="43"/>
      <c r="DE673" s="43"/>
      <c r="DF673" s="43"/>
      <c r="DG673" s="43"/>
      <c r="DH673" s="43"/>
      <c r="DI673" s="43"/>
      <c r="DJ673" s="43"/>
      <c r="DK673" s="43"/>
      <c r="DL673" s="43"/>
      <c r="DM673" s="43"/>
      <c r="DN673" s="43"/>
      <c r="DO673" s="43"/>
      <c r="DP673" s="43"/>
      <c r="DQ673" s="43"/>
      <c r="DR673" s="43"/>
      <c r="DS673" s="43"/>
      <c r="DT673" s="43"/>
      <c r="DU673" s="43"/>
      <c r="DV673" s="43"/>
      <c r="DW673" s="43"/>
      <c r="DX673" s="43"/>
      <c r="DY673" s="43"/>
      <c r="DZ673" s="43"/>
      <c r="EA673" s="43"/>
      <c r="EB673" s="43"/>
      <c r="EC673" s="43"/>
      <c r="ED673" s="43"/>
      <c r="EE673" s="43"/>
      <c r="EF673" s="43"/>
      <c r="EG673" s="43"/>
      <c r="EH673" s="43"/>
      <c r="EI673" s="43"/>
      <c r="EJ673" s="43"/>
      <c r="EK673" s="43"/>
      <c r="EL673" s="43"/>
      <c r="EM673" s="43"/>
      <c r="EN673" s="43"/>
      <c r="EO673" s="43"/>
      <c r="EP673" s="43"/>
      <c r="EQ673" s="43"/>
      <c r="ER673" s="43"/>
      <c r="ES673" s="43"/>
      <c r="ET673" s="43"/>
      <c r="EU673" s="43"/>
      <c r="EV673" s="43"/>
      <c r="EW673" s="43"/>
      <c r="EX673" s="43"/>
      <c r="EY673" s="43"/>
      <c r="EZ673" s="43"/>
      <c r="FA673" s="43"/>
      <c r="FB673" s="43"/>
      <c r="FC673" s="43"/>
      <c r="FD673" s="43"/>
      <c r="FE673" s="43"/>
      <c r="FF673" s="43"/>
      <c r="FG673" s="43"/>
      <c r="FH673" s="50"/>
      <c r="FI673" s="50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  <c r="CV674" s="43"/>
      <c r="CW674" s="43"/>
      <c r="CX674" s="43"/>
      <c r="CY674" s="43"/>
      <c r="CZ674" s="43"/>
      <c r="DA674" s="43"/>
      <c r="DB674" s="43"/>
      <c r="DC674" s="43"/>
      <c r="DD674" s="43"/>
      <c r="DE674" s="43"/>
      <c r="DF674" s="43"/>
      <c r="DG674" s="43"/>
      <c r="DH674" s="43"/>
      <c r="DI674" s="43"/>
      <c r="DJ674" s="43"/>
      <c r="DK674" s="43"/>
      <c r="DL674" s="43"/>
      <c r="DM674" s="43"/>
      <c r="DN674" s="43"/>
      <c r="DO674" s="43"/>
      <c r="DP674" s="43"/>
      <c r="DQ674" s="43"/>
      <c r="DR674" s="43"/>
      <c r="DS674" s="43"/>
      <c r="DT674" s="43"/>
      <c r="DU674" s="43"/>
      <c r="DV674" s="43"/>
      <c r="DW674" s="43"/>
      <c r="DX674" s="43"/>
      <c r="DY674" s="43"/>
      <c r="DZ674" s="43"/>
      <c r="EA674" s="43"/>
      <c r="EB674" s="43"/>
      <c r="EC674" s="43"/>
      <c r="ED674" s="43"/>
      <c r="EE674" s="43"/>
      <c r="EF674" s="43"/>
      <c r="EG674" s="43"/>
      <c r="EH674" s="43"/>
      <c r="EI674" s="43"/>
      <c r="EJ674" s="43"/>
      <c r="EK674" s="43"/>
      <c r="EL674" s="43"/>
      <c r="EM674" s="43"/>
      <c r="EN674" s="43"/>
      <c r="EO674" s="43"/>
      <c r="EP674" s="43"/>
      <c r="EQ674" s="43"/>
      <c r="ER674" s="43"/>
      <c r="ES674" s="43"/>
      <c r="ET674" s="43"/>
      <c r="EU674" s="43"/>
      <c r="EV674" s="43"/>
      <c r="EW674" s="43"/>
      <c r="EX674" s="43"/>
      <c r="EY674" s="43"/>
      <c r="EZ674" s="43"/>
      <c r="FA674" s="43"/>
      <c r="FB674" s="43"/>
      <c r="FC674" s="43"/>
      <c r="FD674" s="43"/>
      <c r="FE674" s="43"/>
      <c r="FF674" s="43"/>
      <c r="FG674" s="43"/>
      <c r="FH674" s="50"/>
      <c r="FI674" s="50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43"/>
      <c r="CF675" s="43"/>
      <c r="CG675" s="43"/>
      <c r="CH675" s="43"/>
      <c r="CI675" s="43"/>
      <c r="CJ675" s="43"/>
      <c r="CK675" s="43"/>
      <c r="CL675" s="43"/>
      <c r="CM675" s="43"/>
      <c r="CN675" s="43"/>
      <c r="CO675" s="43"/>
      <c r="CP675" s="43"/>
      <c r="CQ675" s="43"/>
      <c r="CR675" s="43"/>
      <c r="CS675" s="43"/>
      <c r="CT675" s="43"/>
      <c r="CU675" s="43"/>
      <c r="CV675" s="43"/>
      <c r="CW675" s="43"/>
      <c r="CX675" s="43"/>
      <c r="CY675" s="43"/>
      <c r="CZ675" s="43"/>
      <c r="DA675" s="43"/>
      <c r="DB675" s="43"/>
      <c r="DC675" s="43"/>
      <c r="DD675" s="43"/>
      <c r="DE675" s="43"/>
      <c r="DF675" s="43"/>
      <c r="DG675" s="43"/>
      <c r="DH675" s="43"/>
      <c r="DI675" s="43"/>
      <c r="DJ675" s="43"/>
      <c r="DK675" s="43"/>
      <c r="DL675" s="43"/>
      <c r="DM675" s="43"/>
      <c r="DN675" s="43"/>
      <c r="DO675" s="43"/>
      <c r="DP675" s="43"/>
      <c r="DQ675" s="43"/>
      <c r="DR675" s="43"/>
      <c r="DS675" s="43"/>
      <c r="DT675" s="43"/>
      <c r="DU675" s="43"/>
      <c r="DV675" s="43"/>
      <c r="DW675" s="43"/>
      <c r="DX675" s="43"/>
      <c r="DY675" s="43"/>
      <c r="DZ675" s="43"/>
      <c r="EA675" s="43"/>
      <c r="EB675" s="43"/>
      <c r="EC675" s="43"/>
      <c r="ED675" s="43"/>
      <c r="EE675" s="43"/>
      <c r="EF675" s="43"/>
      <c r="EG675" s="43"/>
      <c r="EH675" s="43"/>
      <c r="EI675" s="43"/>
      <c r="EJ675" s="43"/>
      <c r="EK675" s="43"/>
      <c r="EL675" s="43"/>
      <c r="EM675" s="43"/>
      <c r="EN675" s="43"/>
      <c r="EO675" s="43"/>
      <c r="EP675" s="43"/>
      <c r="EQ675" s="43"/>
      <c r="ER675" s="43"/>
      <c r="ES675" s="43"/>
      <c r="ET675" s="43"/>
      <c r="EU675" s="43"/>
      <c r="EV675" s="43"/>
      <c r="EW675" s="43"/>
      <c r="EX675" s="43"/>
      <c r="EY675" s="43"/>
      <c r="EZ675" s="43"/>
      <c r="FA675" s="43"/>
      <c r="FB675" s="43"/>
      <c r="FC675" s="43"/>
      <c r="FD675" s="43"/>
      <c r="FE675" s="43"/>
      <c r="FF675" s="43"/>
      <c r="FG675" s="43"/>
      <c r="FH675" s="50"/>
      <c r="FI675" s="50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43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43"/>
      <c r="CF676" s="43"/>
      <c r="CG676" s="43"/>
      <c r="CH676" s="43"/>
      <c r="CI676" s="43"/>
      <c r="CJ676" s="43"/>
      <c r="CK676" s="43"/>
      <c r="CL676" s="43"/>
      <c r="CM676" s="43"/>
      <c r="CN676" s="43"/>
      <c r="CO676" s="43"/>
      <c r="CP676" s="43"/>
      <c r="CQ676" s="43"/>
      <c r="CR676" s="43"/>
      <c r="CS676" s="43"/>
      <c r="CT676" s="43"/>
      <c r="CU676" s="43"/>
      <c r="CV676" s="43"/>
      <c r="CW676" s="43"/>
      <c r="CX676" s="43"/>
      <c r="CY676" s="43"/>
      <c r="CZ676" s="43"/>
      <c r="DA676" s="43"/>
      <c r="DB676" s="43"/>
      <c r="DC676" s="43"/>
      <c r="DD676" s="43"/>
      <c r="DE676" s="43"/>
      <c r="DF676" s="43"/>
      <c r="DG676" s="43"/>
      <c r="DH676" s="43"/>
      <c r="DI676" s="43"/>
      <c r="DJ676" s="43"/>
      <c r="DK676" s="43"/>
      <c r="DL676" s="43"/>
      <c r="DM676" s="43"/>
      <c r="DN676" s="43"/>
      <c r="DO676" s="43"/>
      <c r="DP676" s="43"/>
      <c r="DQ676" s="43"/>
      <c r="DR676" s="43"/>
      <c r="DS676" s="43"/>
      <c r="DT676" s="43"/>
      <c r="DU676" s="43"/>
      <c r="DV676" s="43"/>
      <c r="DW676" s="43"/>
      <c r="DX676" s="43"/>
      <c r="DY676" s="43"/>
      <c r="DZ676" s="43"/>
      <c r="EA676" s="43"/>
      <c r="EB676" s="43"/>
      <c r="EC676" s="43"/>
      <c r="ED676" s="43"/>
      <c r="EE676" s="43"/>
      <c r="EF676" s="43"/>
      <c r="EG676" s="43"/>
      <c r="EH676" s="43"/>
      <c r="EI676" s="43"/>
      <c r="EJ676" s="43"/>
      <c r="EK676" s="43"/>
      <c r="EL676" s="43"/>
      <c r="EM676" s="43"/>
      <c r="EN676" s="43"/>
      <c r="EO676" s="43"/>
      <c r="EP676" s="43"/>
      <c r="EQ676" s="43"/>
      <c r="ER676" s="43"/>
      <c r="ES676" s="43"/>
      <c r="ET676" s="43"/>
      <c r="EU676" s="43"/>
      <c r="EV676" s="43"/>
      <c r="EW676" s="43"/>
      <c r="EX676" s="43"/>
      <c r="EY676" s="43"/>
      <c r="EZ676" s="43"/>
      <c r="FA676" s="43"/>
      <c r="FB676" s="43"/>
      <c r="FC676" s="43"/>
      <c r="FD676" s="43"/>
      <c r="FE676" s="43"/>
      <c r="FF676" s="43"/>
      <c r="FG676" s="43"/>
      <c r="FH676" s="50"/>
      <c r="FI676" s="50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  <c r="CS677" s="43"/>
      <c r="CT677" s="43"/>
      <c r="CU677" s="43"/>
      <c r="CV677" s="43"/>
      <c r="CW677" s="43"/>
      <c r="CX677" s="43"/>
      <c r="CY677" s="43"/>
      <c r="CZ677" s="43"/>
      <c r="DA677" s="43"/>
      <c r="DB677" s="43"/>
      <c r="DC677" s="43"/>
      <c r="DD677" s="43"/>
      <c r="DE677" s="43"/>
      <c r="DF677" s="43"/>
      <c r="DG677" s="43"/>
      <c r="DH677" s="43"/>
      <c r="DI677" s="43"/>
      <c r="DJ677" s="43"/>
      <c r="DK677" s="43"/>
      <c r="DL677" s="43"/>
      <c r="DM677" s="43"/>
      <c r="DN677" s="43"/>
      <c r="DO677" s="43"/>
      <c r="DP677" s="43"/>
      <c r="DQ677" s="43"/>
      <c r="DR677" s="43"/>
      <c r="DS677" s="43"/>
      <c r="DT677" s="43"/>
      <c r="DU677" s="43"/>
      <c r="DV677" s="43"/>
      <c r="DW677" s="43"/>
      <c r="DX677" s="43"/>
      <c r="DY677" s="43"/>
      <c r="DZ677" s="43"/>
      <c r="EA677" s="43"/>
      <c r="EB677" s="43"/>
      <c r="EC677" s="43"/>
      <c r="ED677" s="43"/>
      <c r="EE677" s="43"/>
      <c r="EF677" s="43"/>
      <c r="EG677" s="43"/>
      <c r="EH677" s="43"/>
      <c r="EI677" s="43"/>
      <c r="EJ677" s="43"/>
      <c r="EK677" s="43"/>
      <c r="EL677" s="43"/>
      <c r="EM677" s="43"/>
      <c r="EN677" s="43"/>
      <c r="EO677" s="43"/>
      <c r="EP677" s="43"/>
      <c r="EQ677" s="43"/>
      <c r="ER677" s="43"/>
      <c r="ES677" s="43"/>
      <c r="ET677" s="43"/>
      <c r="EU677" s="43"/>
      <c r="EV677" s="43"/>
      <c r="EW677" s="43"/>
      <c r="EX677" s="43"/>
      <c r="EY677" s="43"/>
      <c r="EZ677" s="43"/>
      <c r="FA677" s="43"/>
      <c r="FB677" s="43"/>
      <c r="FC677" s="43"/>
      <c r="FD677" s="43"/>
      <c r="FE677" s="43"/>
      <c r="FF677" s="43"/>
      <c r="FG677" s="43"/>
      <c r="FH677" s="50"/>
      <c r="FI677" s="50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43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43"/>
      <c r="CF678" s="43"/>
      <c r="CG678" s="43"/>
      <c r="CH678" s="43"/>
      <c r="CI678" s="43"/>
      <c r="CJ678" s="43"/>
      <c r="CK678" s="43"/>
      <c r="CL678" s="43"/>
      <c r="CM678" s="43"/>
      <c r="CN678" s="43"/>
      <c r="CO678" s="43"/>
      <c r="CP678" s="43"/>
      <c r="CQ678" s="43"/>
      <c r="CR678" s="43"/>
      <c r="CS678" s="43"/>
      <c r="CT678" s="43"/>
      <c r="CU678" s="43"/>
      <c r="CV678" s="43"/>
      <c r="CW678" s="43"/>
      <c r="CX678" s="43"/>
      <c r="CY678" s="43"/>
      <c r="CZ678" s="43"/>
      <c r="DA678" s="43"/>
      <c r="DB678" s="43"/>
      <c r="DC678" s="43"/>
      <c r="DD678" s="43"/>
      <c r="DE678" s="43"/>
      <c r="DF678" s="43"/>
      <c r="DG678" s="43"/>
      <c r="DH678" s="43"/>
      <c r="DI678" s="43"/>
      <c r="DJ678" s="43"/>
      <c r="DK678" s="43"/>
      <c r="DL678" s="43"/>
      <c r="DM678" s="43"/>
      <c r="DN678" s="43"/>
      <c r="DO678" s="43"/>
      <c r="DP678" s="43"/>
      <c r="DQ678" s="43"/>
      <c r="DR678" s="43"/>
      <c r="DS678" s="43"/>
      <c r="DT678" s="43"/>
      <c r="DU678" s="43"/>
      <c r="DV678" s="43"/>
      <c r="DW678" s="43"/>
      <c r="DX678" s="43"/>
      <c r="DY678" s="43"/>
      <c r="DZ678" s="43"/>
      <c r="EA678" s="43"/>
      <c r="EB678" s="43"/>
      <c r="EC678" s="43"/>
      <c r="ED678" s="43"/>
      <c r="EE678" s="43"/>
      <c r="EF678" s="43"/>
      <c r="EG678" s="43"/>
      <c r="EH678" s="43"/>
      <c r="EI678" s="43"/>
      <c r="EJ678" s="43"/>
      <c r="EK678" s="43"/>
      <c r="EL678" s="43"/>
      <c r="EM678" s="43"/>
      <c r="EN678" s="43"/>
      <c r="EO678" s="43"/>
      <c r="EP678" s="43"/>
      <c r="EQ678" s="43"/>
      <c r="ER678" s="43"/>
      <c r="ES678" s="43"/>
      <c r="ET678" s="43"/>
      <c r="EU678" s="43"/>
      <c r="EV678" s="43"/>
      <c r="EW678" s="43"/>
      <c r="EX678" s="43"/>
      <c r="EY678" s="43"/>
      <c r="EZ678" s="43"/>
      <c r="FA678" s="43"/>
      <c r="FB678" s="43"/>
      <c r="FC678" s="43"/>
      <c r="FD678" s="43"/>
      <c r="FE678" s="43"/>
      <c r="FF678" s="43"/>
      <c r="FG678" s="43"/>
      <c r="FH678" s="50"/>
      <c r="FI678" s="50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43"/>
      <c r="CF679" s="43"/>
      <c r="CG679" s="43"/>
      <c r="CH679" s="43"/>
      <c r="CI679" s="43"/>
      <c r="CJ679" s="43"/>
      <c r="CK679" s="43"/>
      <c r="CL679" s="43"/>
      <c r="CM679" s="43"/>
      <c r="CN679" s="43"/>
      <c r="CO679" s="43"/>
      <c r="CP679" s="43"/>
      <c r="CQ679" s="43"/>
      <c r="CR679" s="43"/>
      <c r="CS679" s="43"/>
      <c r="CT679" s="43"/>
      <c r="CU679" s="43"/>
      <c r="CV679" s="43"/>
      <c r="CW679" s="43"/>
      <c r="CX679" s="43"/>
      <c r="CY679" s="43"/>
      <c r="CZ679" s="43"/>
      <c r="DA679" s="43"/>
      <c r="DB679" s="43"/>
      <c r="DC679" s="43"/>
      <c r="DD679" s="43"/>
      <c r="DE679" s="43"/>
      <c r="DF679" s="43"/>
      <c r="DG679" s="43"/>
      <c r="DH679" s="43"/>
      <c r="DI679" s="43"/>
      <c r="DJ679" s="43"/>
      <c r="DK679" s="43"/>
      <c r="DL679" s="43"/>
      <c r="DM679" s="43"/>
      <c r="DN679" s="43"/>
      <c r="DO679" s="43"/>
      <c r="DP679" s="43"/>
      <c r="DQ679" s="43"/>
      <c r="DR679" s="43"/>
      <c r="DS679" s="43"/>
      <c r="DT679" s="43"/>
      <c r="DU679" s="43"/>
      <c r="DV679" s="43"/>
      <c r="DW679" s="43"/>
      <c r="DX679" s="43"/>
      <c r="DY679" s="43"/>
      <c r="DZ679" s="43"/>
      <c r="EA679" s="43"/>
      <c r="EB679" s="43"/>
      <c r="EC679" s="43"/>
      <c r="ED679" s="43"/>
      <c r="EE679" s="43"/>
      <c r="EF679" s="43"/>
      <c r="EG679" s="43"/>
      <c r="EH679" s="43"/>
      <c r="EI679" s="43"/>
      <c r="EJ679" s="43"/>
      <c r="EK679" s="43"/>
      <c r="EL679" s="43"/>
      <c r="EM679" s="43"/>
      <c r="EN679" s="43"/>
      <c r="EO679" s="43"/>
      <c r="EP679" s="43"/>
      <c r="EQ679" s="43"/>
      <c r="ER679" s="43"/>
      <c r="ES679" s="43"/>
      <c r="ET679" s="43"/>
      <c r="EU679" s="43"/>
      <c r="EV679" s="43"/>
      <c r="EW679" s="43"/>
      <c r="EX679" s="43"/>
      <c r="EY679" s="43"/>
      <c r="EZ679" s="43"/>
      <c r="FA679" s="43"/>
      <c r="FB679" s="43"/>
      <c r="FC679" s="43"/>
      <c r="FD679" s="43"/>
      <c r="FE679" s="43"/>
      <c r="FF679" s="43"/>
      <c r="FG679" s="43"/>
      <c r="FH679" s="50"/>
      <c r="FI679" s="50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  <c r="CS680" s="43"/>
      <c r="CT680" s="43"/>
      <c r="CU680" s="43"/>
      <c r="CV680" s="43"/>
      <c r="CW680" s="43"/>
      <c r="CX680" s="43"/>
      <c r="CY680" s="43"/>
      <c r="CZ680" s="43"/>
      <c r="DA680" s="43"/>
      <c r="DB680" s="43"/>
      <c r="DC680" s="43"/>
      <c r="DD680" s="43"/>
      <c r="DE680" s="43"/>
      <c r="DF680" s="43"/>
      <c r="DG680" s="43"/>
      <c r="DH680" s="43"/>
      <c r="DI680" s="43"/>
      <c r="DJ680" s="43"/>
      <c r="DK680" s="43"/>
      <c r="DL680" s="43"/>
      <c r="DM680" s="43"/>
      <c r="DN680" s="43"/>
      <c r="DO680" s="43"/>
      <c r="DP680" s="43"/>
      <c r="DQ680" s="43"/>
      <c r="DR680" s="43"/>
      <c r="DS680" s="43"/>
      <c r="DT680" s="43"/>
      <c r="DU680" s="43"/>
      <c r="DV680" s="43"/>
      <c r="DW680" s="43"/>
      <c r="DX680" s="43"/>
      <c r="DY680" s="43"/>
      <c r="DZ680" s="43"/>
      <c r="EA680" s="43"/>
      <c r="EB680" s="43"/>
      <c r="EC680" s="43"/>
      <c r="ED680" s="43"/>
      <c r="EE680" s="43"/>
      <c r="EF680" s="43"/>
      <c r="EG680" s="43"/>
      <c r="EH680" s="43"/>
      <c r="EI680" s="43"/>
      <c r="EJ680" s="43"/>
      <c r="EK680" s="43"/>
      <c r="EL680" s="43"/>
      <c r="EM680" s="43"/>
      <c r="EN680" s="43"/>
      <c r="EO680" s="43"/>
      <c r="EP680" s="43"/>
      <c r="EQ680" s="43"/>
      <c r="ER680" s="43"/>
      <c r="ES680" s="43"/>
      <c r="ET680" s="43"/>
      <c r="EU680" s="43"/>
      <c r="EV680" s="43"/>
      <c r="EW680" s="43"/>
      <c r="EX680" s="43"/>
      <c r="EY680" s="43"/>
      <c r="EZ680" s="43"/>
      <c r="FA680" s="43"/>
      <c r="FB680" s="43"/>
      <c r="FC680" s="43"/>
      <c r="FD680" s="43"/>
      <c r="FE680" s="43"/>
      <c r="FF680" s="43"/>
      <c r="FG680" s="43"/>
      <c r="FH680" s="50"/>
      <c r="FI680" s="50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43"/>
      <c r="CF681" s="43"/>
      <c r="CG681" s="43"/>
      <c r="CH681" s="43"/>
      <c r="CI681" s="43"/>
      <c r="CJ681" s="43"/>
      <c r="CK681" s="43"/>
      <c r="CL681" s="43"/>
      <c r="CM681" s="43"/>
      <c r="CN681" s="43"/>
      <c r="CO681" s="43"/>
      <c r="CP681" s="43"/>
      <c r="CQ681" s="43"/>
      <c r="CR681" s="43"/>
      <c r="CS681" s="43"/>
      <c r="CT681" s="43"/>
      <c r="CU681" s="43"/>
      <c r="CV681" s="43"/>
      <c r="CW681" s="43"/>
      <c r="CX681" s="43"/>
      <c r="CY681" s="43"/>
      <c r="CZ681" s="43"/>
      <c r="DA681" s="43"/>
      <c r="DB681" s="43"/>
      <c r="DC681" s="43"/>
      <c r="DD681" s="43"/>
      <c r="DE681" s="43"/>
      <c r="DF681" s="43"/>
      <c r="DG681" s="43"/>
      <c r="DH681" s="43"/>
      <c r="DI681" s="43"/>
      <c r="DJ681" s="43"/>
      <c r="DK681" s="43"/>
      <c r="DL681" s="43"/>
      <c r="DM681" s="43"/>
      <c r="DN681" s="43"/>
      <c r="DO681" s="43"/>
      <c r="DP681" s="43"/>
      <c r="DQ681" s="43"/>
      <c r="DR681" s="43"/>
      <c r="DS681" s="43"/>
      <c r="DT681" s="43"/>
      <c r="DU681" s="43"/>
      <c r="DV681" s="43"/>
      <c r="DW681" s="43"/>
      <c r="DX681" s="43"/>
      <c r="DY681" s="43"/>
      <c r="DZ681" s="43"/>
      <c r="EA681" s="43"/>
      <c r="EB681" s="43"/>
      <c r="EC681" s="43"/>
      <c r="ED681" s="43"/>
      <c r="EE681" s="43"/>
      <c r="EF681" s="43"/>
      <c r="EG681" s="43"/>
      <c r="EH681" s="43"/>
      <c r="EI681" s="43"/>
      <c r="EJ681" s="43"/>
      <c r="EK681" s="43"/>
      <c r="EL681" s="43"/>
      <c r="EM681" s="43"/>
      <c r="EN681" s="43"/>
      <c r="EO681" s="43"/>
      <c r="EP681" s="43"/>
      <c r="EQ681" s="43"/>
      <c r="ER681" s="43"/>
      <c r="ES681" s="43"/>
      <c r="ET681" s="43"/>
      <c r="EU681" s="43"/>
      <c r="EV681" s="43"/>
      <c r="EW681" s="43"/>
      <c r="EX681" s="43"/>
      <c r="EY681" s="43"/>
      <c r="EZ681" s="43"/>
      <c r="FA681" s="43"/>
      <c r="FB681" s="43"/>
      <c r="FC681" s="43"/>
      <c r="FD681" s="43"/>
      <c r="FE681" s="43"/>
      <c r="FF681" s="43"/>
      <c r="FG681" s="43"/>
      <c r="FH681" s="50"/>
      <c r="FI681" s="50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43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43"/>
      <c r="CF682" s="43"/>
      <c r="CG682" s="43"/>
      <c r="CH682" s="43"/>
      <c r="CI682" s="43"/>
      <c r="CJ682" s="43"/>
      <c r="CK682" s="43"/>
      <c r="CL682" s="43"/>
      <c r="CM682" s="43"/>
      <c r="CN682" s="43"/>
      <c r="CO682" s="43"/>
      <c r="CP682" s="43"/>
      <c r="CQ682" s="43"/>
      <c r="CR682" s="43"/>
      <c r="CS682" s="43"/>
      <c r="CT682" s="43"/>
      <c r="CU682" s="43"/>
      <c r="CV682" s="43"/>
      <c r="CW682" s="43"/>
      <c r="CX682" s="43"/>
      <c r="CY682" s="43"/>
      <c r="CZ682" s="43"/>
      <c r="DA682" s="43"/>
      <c r="DB682" s="43"/>
      <c r="DC682" s="43"/>
      <c r="DD682" s="43"/>
      <c r="DE682" s="43"/>
      <c r="DF682" s="43"/>
      <c r="DG682" s="43"/>
      <c r="DH682" s="43"/>
      <c r="DI682" s="43"/>
      <c r="DJ682" s="43"/>
      <c r="DK682" s="43"/>
      <c r="DL682" s="43"/>
      <c r="DM682" s="43"/>
      <c r="DN682" s="43"/>
      <c r="DO682" s="43"/>
      <c r="DP682" s="43"/>
      <c r="DQ682" s="43"/>
      <c r="DR682" s="43"/>
      <c r="DS682" s="43"/>
      <c r="DT682" s="43"/>
      <c r="DU682" s="43"/>
      <c r="DV682" s="43"/>
      <c r="DW682" s="43"/>
      <c r="DX682" s="43"/>
      <c r="DY682" s="43"/>
      <c r="DZ682" s="43"/>
      <c r="EA682" s="43"/>
      <c r="EB682" s="43"/>
      <c r="EC682" s="43"/>
      <c r="ED682" s="43"/>
      <c r="EE682" s="43"/>
      <c r="EF682" s="43"/>
      <c r="EG682" s="43"/>
      <c r="EH682" s="43"/>
      <c r="EI682" s="43"/>
      <c r="EJ682" s="43"/>
      <c r="EK682" s="43"/>
      <c r="EL682" s="43"/>
      <c r="EM682" s="43"/>
      <c r="EN682" s="43"/>
      <c r="EO682" s="43"/>
      <c r="EP682" s="43"/>
      <c r="EQ682" s="43"/>
      <c r="ER682" s="43"/>
      <c r="ES682" s="43"/>
      <c r="ET682" s="43"/>
      <c r="EU682" s="43"/>
      <c r="EV682" s="43"/>
      <c r="EW682" s="43"/>
      <c r="EX682" s="43"/>
      <c r="EY682" s="43"/>
      <c r="EZ682" s="43"/>
      <c r="FA682" s="43"/>
      <c r="FB682" s="43"/>
      <c r="FC682" s="43"/>
      <c r="FD682" s="43"/>
      <c r="FE682" s="43"/>
      <c r="FF682" s="43"/>
      <c r="FG682" s="43"/>
      <c r="FH682" s="50"/>
      <c r="FI682" s="50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  <c r="CS683" s="43"/>
      <c r="CT683" s="43"/>
      <c r="CU683" s="43"/>
      <c r="CV683" s="43"/>
      <c r="CW683" s="43"/>
      <c r="CX683" s="43"/>
      <c r="CY683" s="43"/>
      <c r="CZ683" s="43"/>
      <c r="DA683" s="43"/>
      <c r="DB683" s="43"/>
      <c r="DC683" s="43"/>
      <c r="DD683" s="43"/>
      <c r="DE683" s="43"/>
      <c r="DF683" s="43"/>
      <c r="DG683" s="43"/>
      <c r="DH683" s="43"/>
      <c r="DI683" s="43"/>
      <c r="DJ683" s="43"/>
      <c r="DK683" s="43"/>
      <c r="DL683" s="43"/>
      <c r="DM683" s="43"/>
      <c r="DN683" s="43"/>
      <c r="DO683" s="43"/>
      <c r="DP683" s="43"/>
      <c r="DQ683" s="43"/>
      <c r="DR683" s="43"/>
      <c r="DS683" s="43"/>
      <c r="DT683" s="43"/>
      <c r="DU683" s="43"/>
      <c r="DV683" s="43"/>
      <c r="DW683" s="43"/>
      <c r="DX683" s="43"/>
      <c r="DY683" s="43"/>
      <c r="DZ683" s="43"/>
      <c r="EA683" s="43"/>
      <c r="EB683" s="43"/>
      <c r="EC683" s="43"/>
      <c r="ED683" s="43"/>
      <c r="EE683" s="43"/>
      <c r="EF683" s="43"/>
      <c r="EG683" s="43"/>
      <c r="EH683" s="43"/>
      <c r="EI683" s="43"/>
      <c r="EJ683" s="43"/>
      <c r="EK683" s="43"/>
      <c r="EL683" s="43"/>
      <c r="EM683" s="43"/>
      <c r="EN683" s="43"/>
      <c r="EO683" s="43"/>
      <c r="EP683" s="43"/>
      <c r="EQ683" s="43"/>
      <c r="ER683" s="43"/>
      <c r="ES683" s="43"/>
      <c r="ET683" s="43"/>
      <c r="EU683" s="43"/>
      <c r="EV683" s="43"/>
      <c r="EW683" s="43"/>
      <c r="EX683" s="43"/>
      <c r="EY683" s="43"/>
      <c r="EZ683" s="43"/>
      <c r="FA683" s="43"/>
      <c r="FB683" s="43"/>
      <c r="FC683" s="43"/>
      <c r="FD683" s="43"/>
      <c r="FE683" s="43"/>
      <c r="FF683" s="43"/>
      <c r="FG683" s="43"/>
      <c r="FH683" s="50"/>
      <c r="FI683" s="50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43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43"/>
      <c r="CF684" s="43"/>
      <c r="CG684" s="43"/>
      <c r="CH684" s="43"/>
      <c r="CI684" s="43"/>
      <c r="CJ684" s="43"/>
      <c r="CK684" s="43"/>
      <c r="CL684" s="43"/>
      <c r="CM684" s="43"/>
      <c r="CN684" s="43"/>
      <c r="CO684" s="43"/>
      <c r="CP684" s="43"/>
      <c r="CQ684" s="43"/>
      <c r="CR684" s="43"/>
      <c r="CS684" s="43"/>
      <c r="CT684" s="43"/>
      <c r="CU684" s="43"/>
      <c r="CV684" s="43"/>
      <c r="CW684" s="43"/>
      <c r="CX684" s="43"/>
      <c r="CY684" s="43"/>
      <c r="CZ684" s="43"/>
      <c r="DA684" s="43"/>
      <c r="DB684" s="43"/>
      <c r="DC684" s="43"/>
      <c r="DD684" s="43"/>
      <c r="DE684" s="43"/>
      <c r="DF684" s="43"/>
      <c r="DG684" s="43"/>
      <c r="DH684" s="43"/>
      <c r="DI684" s="43"/>
      <c r="DJ684" s="43"/>
      <c r="DK684" s="43"/>
      <c r="DL684" s="43"/>
      <c r="DM684" s="43"/>
      <c r="DN684" s="43"/>
      <c r="DO684" s="43"/>
      <c r="DP684" s="43"/>
      <c r="DQ684" s="43"/>
      <c r="DR684" s="43"/>
      <c r="DS684" s="43"/>
      <c r="DT684" s="43"/>
      <c r="DU684" s="43"/>
      <c r="DV684" s="43"/>
      <c r="DW684" s="43"/>
      <c r="DX684" s="43"/>
      <c r="DY684" s="43"/>
      <c r="DZ684" s="43"/>
      <c r="EA684" s="43"/>
      <c r="EB684" s="43"/>
      <c r="EC684" s="43"/>
      <c r="ED684" s="43"/>
      <c r="EE684" s="43"/>
      <c r="EF684" s="43"/>
      <c r="EG684" s="43"/>
      <c r="EH684" s="43"/>
      <c r="EI684" s="43"/>
      <c r="EJ684" s="43"/>
      <c r="EK684" s="43"/>
      <c r="EL684" s="43"/>
      <c r="EM684" s="43"/>
      <c r="EN684" s="43"/>
      <c r="EO684" s="43"/>
      <c r="EP684" s="43"/>
      <c r="EQ684" s="43"/>
      <c r="ER684" s="43"/>
      <c r="ES684" s="43"/>
      <c r="ET684" s="43"/>
      <c r="EU684" s="43"/>
      <c r="EV684" s="43"/>
      <c r="EW684" s="43"/>
      <c r="EX684" s="43"/>
      <c r="EY684" s="43"/>
      <c r="EZ684" s="43"/>
      <c r="FA684" s="43"/>
      <c r="FB684" s="43"/>
      <c r="FC684" s="43"/>
      <c r="FD684" s="43"/>
      <c r="FE684" s="43"/>
      <c r="FF684" s="43"/>
      <c r="FG684" s="43"/>
      <c r="FH684" s="50"/>
      <c r="FI684" s="50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43"/>
      <c r="CF685" s="43"/>
      <c r="CG685" s="43"/>
      <c r="CH685" s="43"/>
      <c r="CI685" s="43"/>
      <c r="CJ685" s="43"/>
      <c r="CK685" s="43"/>
      <c r="CL685" s="43"/>
      <c r="CM685" s="43"/>
      <c r="CN685" s="43"/>
      <c r="CO685" s="43"/>
      <c r="CP685" s="43"/>
      <c r="CQ685" s="43"/>
      <c r="CR685" s="43"/>
      <c r="CS685" s="43"/>
      <c r="CT685" s="43"/>
      <c r="CU685" s="43"/>
      <c r="CV685" s="43"/>
      <c r="CW685" s="43"/>
      <c r="CX685" s="43"/>
      <c r="CY685" s="43"/>
      <c r="CZ685" s="43"/>
      <c r="DA685" s="43"/>
      <c r="DB685" s="43"/>
      <c r="DC685" s="43"/>
      <c r="DD685" s="43"/>
      <c r="DE685" s="43"/>
      <c r="DF685" s="43"/>
      <c r="DG685" s="43"/>
      <c r="DH685" s="43"/>
      <c r="DI685" s="43"/>
      <c r="DJ685" s="43"/>
      <c r="DK685" s="43"/>
      <c r="DL685" s="43"/>
      <c r="DM685" s="43"/>
      <c r="DN685" s="43"/>
      <c r="DO685" s="43"/>
      <c r="DP685" s="43"/>
      <c r="DQ685" s="43"/>
      <c r="DR685" s="43"/>
      <c r="DS685" s="43"/>
      <c r="DT685" s="43"/>
      <c r="DU685" s="43"/>
      <c r="DV685" s="43"/>
      <c r="DW685" s="43"/>
      <c r="DX685" s="43"/>
      <c r="DY685" s="43"/>
      <c r="DZ685" s="43"/>
      <c r="EA685" s="43"/>
      <c r="EB685" s="43"/>
      <c r="EC685" s="43"/>
      <c r="ED685" s="43"/>
      <c r="EE685" s="43"/>
      <c r="EF685" s="43"/>
      <c r="EG685" s="43"/>
      <c r="EH685" s="43"/>
      <c r="EI685" s="43"/>
      <c r="EJ685" s="43"/>
      <c r="EK685" s="43"/>
      <c r="EL685" s="43"/>
      <c r="EM685" s="43"/>
      <c r="EN685" s="43"/>
      <c r="EO685" s="43"/>
      <c r="EP685" s="43"/>
      <c r="EQ685" s="43"/>
      <c r="ER685" s="43"/>
      <c r="ES685" s="43"/>
      <c r="ET685" s="43"/>
      <c r="EU685" s="43"/>
      <c r="EV685" s="43"/>
      <c r="EW685" s="43"/>
      <c r="EX685" s="43"/>
      <c r="EY685" s="43"/>
      <c r="EZ685" s="43"/>
      <c r="FA685" s="43"/>
      <c r="FB685" s="43"/>
      <c r="FC685" s="43"/>
      <c r="FD685" s="43"/>
      <c r="FE685" s="43"/>
      <c r="FF685" s="43"/>
      <c r="FG685" s="43"/>
      <c r="FH685" s="50"/>
      <c r="FI685" s="50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  <c r="CS686" s="43"/>
      <c r="CT686" s="43"/>
      <c r="CU686" s="43"/>
      <c r="CV686" s="43"/>
      <c r="CW686" s="43"/>
      <c r="CX686" s="43"/>
      <c r="CY686" s="43"/>
      <c r="CZ686" s="43"/>
      <c r="DA686" s="43"/>
      <c r="DB686" s="43"/>
      <c r="DC686" s="43"/>
      <c r="DD686" s="43"/>
      <c r="DE686" s="43"/>
      <c r="DF686" s="43"/>
      <c r="DG686" s="43"/>
      <c r="DH686" s="43"/>
      <c r="DI686" s="43"/>
      <c r="DJ686" s="43"/>
      <c r="DK686" s="43"/>
      <c r="DL686" s="43"/>
      <c r="DM686" s="43"/>
      <c r="DN686" s="43"/>
      <c r="DO686" s="43"/>
      <c r="DP686" s="43"/>
      <c r="DQ686" s="43"/>
      <c r="DR686" s="43"/>
      <c r="DS686" s="43"/>
      <c r="DT686" s="43"/>
      <c r="DU686" s="43"/>
      <c r="DV686" s="43"/>
      <c r="DW686" s="43"/>
      <c r="DX686" s="43"/>
      <c r="DY686" s="43"/>
      <c r="DZ686" s="43"/>
      <c r="EA686" s="43"/>
      <c r="EB686" s="43"/>
      <c r="EC686" s="43"/>
      <c r="ED686" s="43"/>
      <c r="EE686" s="43"/>
      <c r="EF686" s="43"/>
      <c r="EG686" s="43"/>
      <c r="EH686" s="43"/>
      <c r="EI686" s="43"/>
      <c r="EJ686" s="43"/>
      <c r="EK686" s="43"/>
      <c r="EL686" s="43"/>
      <c r="EM686" s="43"/>
      <c r="EN686" s="43"/>
      <c r="EO686" s="43"/>
      <c r="EP686" s="43"/>
      <c r="EQ686" s="43"/>
      <c r="ER686" s="43"/>
      <c r="ES686" s="43"/>
      <c r="ET686" s="43"/>
      <c r="EU686" s="43"/>
      <c r="EV686" s="43"/>
      <c r="EW686" s="43"/>
      <c r="EX686" s="43"/>
      <c r="EY686" s="43"/>
      <c r="EZ686" s="43"/>
      <c r="FA686" s="43"/>
      <c r="FB686" s="43"/>
      <c r="FC686" s="43"/>
      <c r="FD686" s="43"/>
      <c r="FE686" s="43"/>
      <c r="FF686" s="43"/>
      <c r="FG686" s="43"/>
      <c r="FH686" s="50"/>
      <c r="FI686" s="50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43"/>
      <c r="CF687" s="43"/>
      <c r="CG687" s="43"/>
      <c r="CH687" s="43"/>
      <c r="CI687" s="43"/>
      <c r="CJ687" s="43"/>
      <c r="CK687" s="43"/>
      <c r="CL687" s="43"/>
      <c r="CM687" s="43"/>
      <c r="CN687" s="43"/>
      <c r="CO687" s="43"/>
      <c r="CP687" s="43"/>
      <c r="CQ687" s="43"/>
      <c r="CR687" s="43"/>
      <c r="CS687" s="43"/>
      <c r="CT687" s="43"/>
      <c r="CU687" s="43"/>
      <c r="CV687" s="43"/>
      <c r="CW687" s="43"/>
      <c r="CX687" s="43"/>
      <c r="CY687" s="43"/>
      <c r="CZ687" s="43"/>
      <c r="DA687" s="43"/>
      <c r="DB687" s="43"/>
      <c r="DC687" s="43"/>
      <c r="DD687" s="43"/>
      <c r="DE687" s="43"/>
      <c r="DF687" s="43"/>
      <c r="DG687" s="43"/>
      <c r="DH687" s="43"/>
      <c r="DI687" s="43"/>
      <c r="DJ687" s="43"/>
      <c r="DK687" s="43"/>
      <c r="DL687" s="43"/>
      <c r="DM687" s="43"/>
      <c r="DN687" s="43"/>
      <c r="DO687" s="43"/>
      <c r="DP687" s="43"/>
      <c r="DQ687" s="43"/>
      <c r="DR687" s="43"/>
      <c r="DS687" s="43"/>
      <c r="DT687" s="43"/>
      <c r="DU687" s="43"/>
      <c r="DV687" s="43"/>
      <c r="DW687" s="43"/>
      <c r="DX687" s="43"/>
      <c r="DY687" s="43"/>
      <c r="DZ687" s="43"/>
      <c r="EA687" s="43"/>
      <c r="EB687" s="43"/>
      <c r="EC687" s="43"/>
      <c r="ED687" s="43"/>
      <c r="EE687" s="43"/>
      <c r="EF687" s="43"/>
      <c r="EG687" s="43"/>
      <c r="EH687" s="43"/>
      <c r="EI687" s="43"/>
      <c r="EJ687" s="43"/>
      <c r="EK687" s="43"/>
      <c r="EL687" s="43"/>
      <c r="EM687" s="43"/>
      <c r="EN687" s="43"/>
      <c r="EO687" s="43"/>
      <c r="EP687" s="43"/>
      <c r="EQ687" s="43"/>
      <c r="ER687" s="43"/>
      <c r="ES687" s="43"/>
      <c r="ET687" s="43"/>
      <c r="EU687" s="43"/>
      <c r="EV687" s="43"/>
      <c r="EW687" s="43"/>
      <c r="EX687" s="43"/>
      <c r="EY687" s="43"/>
      <c r="EZ687" s="43"/>
      <c r="FA687" s="43"/>
      <c r="FB687" s="43"/>
      <c r="FC687" s="43"/>
      <c r="FD687" s="43"/>
      <c r="FE687" s="43"/>
      <c r="FF687" s="43"/>
      <c r="FG687" s="43"/>
      <c r="FH687" s="50"/>
      <c r="FI687" s="50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43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43"/>
      <c r="CF688" s="43"/>
      <c r="CG688" s="43"/>
      <c r="CH688" s="43"/>
      <c r="CI688" s="43"/>
      <c r="CJ688" s="43"/>
      <c r="CK688" s="43"/>
      <c r="CL688" s="43"/>
      <c r="CM688" s="43"/>
      <c r="CN688" s="43"/>
      <c r="CO688" s="43"/>
      <c r="CP688" s="43"/>
      <c r="CQ688" s="43"/>
      <c r="CR688" s="43"/>
      <c r="CS688" s="43"/>
      <c r="CT688" s="43"/>
      <c r="CU688" s="43"/>
      <c r="CV688" s="43"/>
      <c r="CW688" s="43"/>
      <c r="CX688" s="43"/>
      <c r="CY688" s="43"/>
      <c r="CZ688" s="43"/>
      <c r="DA688" s="43"/>
      <c r="DB688" s="43"/>
      <c r="DC688" s="43"/>
      <c r="DD688" s="43"/>
      <c r="DE688" s="43"/>
      <c r="DF688" s="43"/>
      <c r="DG688" s="43"/>
      <c r="DH688" s="43"/>
      <c r="DI688" s="43"/>
      <c r="DJ688" s="43"/>
      <c r="DK688" s="43"/>
      <c r="DL688" s="43"/>
      <c r="DM688" s="43"/>
      <c r="DN688" s="43"/>
      <c r="DO688" s="43"/>
      <c r="DP688" s="43"/>
      <c r="DQ688" s="43"/>
      <c r="DR688" s="43"/>
      <c r="DS688" s="43"/>
      <c r="DT688" s="43"/>
      <c r="DU688" s="43"/>
      <c r="DV688" s="43"/>
      <c r="DW688" s="43"/>
      <c r="DX688" s="43"/>
      <c r="DY688" s="43"/>
      <c r="DZ688" s="43"/>
      <c r="EA688" s="43"/>
      <c r="EB688" s="43"/>
      <c r="EC688" s="43"/>
      <c r="ED688" s="43"/>
      <c r="EE688" s="43"/>
      <c r="EF688" s="43"/>
      <c r="EG688" s="43"/>
      <c r="EH688" s="43"/>
      <c r="EI688" s="43"/>
      <c r="EJ688" s="43"/>
      <c r="EK688" s="43"/>
      <c r="EL688" s="43"/>
      <c r="EM688" s="43"/>
      <c r="EN688" s="43"/>
      <c r="EO688" s="43"/>
      <c r="EP688" s="43"/>
      <c r="EQ688" s="43"/>
      <c r="ER688" s="43"/>
      <c r="ES688" s="43"/>
      <c r="ET688" s="43"/>
      <c r="EU688" s="43"/>
      <c r="EV688" s="43"/>
      <c r="EW688" s="43"/>
      <c r="EX688" s="43"/>
      <c r="EY688" s="43"/>
      <c r="EZ688" s="43"/>
      <c r="FA688" s="43"/>
      <c r="FB688" s="43"/>
      <c r="FC688" s="43"/>
      <c r="FD688" s="43"/>
      <c r="FE688" s="43"/>
      <c r="FF688" s="43"/>
      <c r="FG688" s="43"/>
      <c r="FH688" s="50"/>
      <c r="FI688" s="50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  <c r="CS689" s="43"/>
      <c r="CT689" s="43"/>
      <c r="CU689" s="43"/>
      <c r="CV689" s="43"/>
      <c r="CW689" s="43"/>
      <c r="CX689" s="43"/>
      <c r="CY689" s="43"/>
      <c r="CZ689" s="43"/>
      <c r="DA689" s="43"/>
      <c r="DB689" s="43"/>
      <c r="DC689" s="43"/>
      <c r="DD689" s="43"/>
      <c r="DE689" s="43"/>
      <c r="DF689" s="43"/>
      <c r="DG689" s="43"/>
      <c r="DH689" s="43"/>
      <c r="DI689" s="43"/>
      <c r="DJ689" s="43"/>
      <c r="DK689" s="43"/>
      <c r="DL689" s="43"/>
      <c r="DM689" s="43"/>
      <c r="DN689" s="43"/>
      <c r="DO689" s="43"/>
      <c r="DP689" s="43"/>
      <c r="DQ689" s="43"/>
      <c r="DR689" s="43"/>
      <c r="DS689" s="43"/>
      <c r="DT689" s="43"/>
      <c r="DU689" s="43"/>
      <c r="DV689" s="43"/>
      <c r="DW689" s="43"/>
      <c r="DX689" s="43"/>
      <c r="DY689" s="43"/>
      <c r="DZ689" s="43"/>
      <c r="EA689" s="43"/>
      <c r="EB689" s="43"/>
      <c r="EC689" s="43"/>
      <c r="ED689" s="43"/>
      <c r="EE689" s="43"/>
      <c r="EF689" s="43"/>
      <c r="EG689" s="43"/>
      <c r="EH689" s="43"/>
      <c r="EI689" s="43"/>
      <c r="EJ689" s="43"/>
      <c r="EK689" s="43"/>
      <c r="EL689" s="43"/>
      <c r="EM689" s="43"/>
      <c r="EN689" s="43"/>
      <c r="EO689" s="43"/>
      <c r="EP689" s="43"/>
      <c r="EQ689" s="43"/>
      <c r="ER689" s="43"/>
      <c r="ES689" s="43"/>
      <c r="ET689" s="43"/>
      <c r="EU689" s="43"/>
      <c r="EV689" s="43"/>
      <c r="EW689" s="43"/>
      <c r="EX689" s="43"/>
      <c r="EY689" s="43"/>
      <c r="EZ689" s="43"/>
      <c r="FA689" s="43"/>
      <c r="FB689" s="43"/>
      <c r="FC689" s="43"/>
      <c r="FD689" s="43"/>
      <c r="FE689" s="43"/>
      <c r="FF689" s="43"/>
      <c r="FG689" s="43"/>
      <c r="FH689" s="50"/>
      <c r="FI689" s="50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43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43"/>
      <c r="CF690" s="43"/>
      <c r="CG690" s="43"/>
      <c r="CH690" s="43"/>
      <c r="CI690" s="43"/>
      <c r="CJ690" s="43"/>
      <c r="CK690" s="43"/>
      <c r="CL690" s="43"/>
      <c r="CM690" s="43"/>
      <c r="CN690" s="43"/>
      <c r="CO690" s="43"/>
      <c r="CP690" s="43"/>
      <c r="CQ690" s="43"/>
      <c r="CR690" s="43"/>
      <c r="CS690" s="43"/>
      <c r="CT690" s="43"/>
      <c r="CU690" s="43"/>
      <c r="CV690" s="43"/>
      <c r="CW690" s="43"/>
      <c r="CX690" s="43"/>
      <c r="CY690" s="43"/>
      <c r="CZ690" s="43"/>
      <c r="DA690" s="43"/>
      <c r="DB690" s="43"/>
      <c r="DC690" s="43"/>
      <c r="DD690" s="43"/>
      <c r="DE690" s="43"/>
      <c r="DF690" s="43"/>
      <c r="DG690" s="43"/>
      <c r="DH690" s="43"/>
      <c r="DI690" s="43"/>
      <c r="DJ690" s="43"/>
      <c r="DK690" s="43"/>
      <c r="DL690" s="43"/>
      <c r="DM690" s="43"/>
      <c r="DN690" s="43"/>
      <c r="DO690" s="43"/>
      <c r="DP690" s="43"/>
      <c r="DQ690" s="43"/>
      <c r="DR690" s="43"/>
      <c r="DS690" s="43"/>
      <c r="DT690" s="43"/>
      <c r="DU690" s="43"/>
      <c r="DV690" s="43"/>
      <c r="DW690" s="43"/>
      <c r="DX690" s="43"/>
      <c r="DY690" s="43"/>
      <c r="DZ690" s="43"/>
      <c r="EA690" s="43"/>
      <c r="EB690" s="43"/>
      <c r="EC690" s="43"/>
      <c r="ED690" s="43"/>
      <c r="EE690" s="43"/>
      <c r="EF690" s="43"/>
      <c r="EG690" s="43"/>
      <c r="EH690" s="43"/>
      <c r="EI690" s="43"/>
      <c r="EJ690" s="43"/>
      <c r="EK690" s="43"/>
      <c r="EL690" s="43"/>
      <c r="EM690" s="43"/>
      <c r="EN690" s="43"/>
      <c r="EO690" s="43"/>
      <c r="EP690" s="43"/>
      <c r="EQ690" s="43"/>
      <c r="ER690" s="43"/>
      <c r="ES690" s="43"/>
      <c r="ET690" s="43"/>
      <c r="EU690" s="43"/>
      <c r="EV690" s="43"/>
      <c r="EW690" s="43"/>
      <c r="EX690" s="43"/>
      <c r="EY690" s="43"/>
      <c r="EZ690" s="43"/>
      <c r="FA690" s="43"/>
      <c r="FB690" s="43"/>
      <c r="FC690" s="43"/>
      <c r="FD690" s="43"/>
      <c r="FE690" s="43"/>
      <c r="FF690" s="43"/>
      <c r="FG690" s="43"/>
      <c r="FH690" s="50"/>
      <c r="FI690" s="50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43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43"/>
      <c r="CF691" s="43"/>
      <c r="CG691" s="43"/>
      <c r="CH691" s="43"/>
      <c r="CI691" s="43"/>
      <c r="CJ691" s="43"/>
      <c r="CK691" s="43"/>
      <c r="CL691" s="43"/>
      <c r="CM691" s="43"/>
      <c r="CN691" s="43"/>
      <c r="CO691" s="43"/>
      <c r="CP691" s="43"/>
      <c r="CQ691" s="43"/>
      <c r="CR691" s="43"/>
      <c r="CS691" s="43"/>
      <c r="CT691" s="43"/>
      <c r="CU691" s="43"/>
      <c r="CV691" s="43"/>
      <c r="CW691" s="43"/>
      <c r="CX691" s="43"/>
      <c r="CY691" s="43"/>
      <c r="CZ691" s="43"/>
      <c r="DA691" s="43"/>
      <c r="DB691" s="43"/>
      <c r="DC691" s="43"/>
      <c r="DD691" s="43"/>
      <c r="DE691" s="43"/>
      <c r="DF691" s="43"/>
      <c r="DG691" s="43"/>
      <c r="DH691" s="43"/>
      <c r="DI691" s="43"/>
      <c r="DJ691" s="43"/>
      <c r="DK691" s="43"/>
      <c r="DL691" s="43"/>
      <c r="DM691" s="43"/>
      <c r="DN691" s="43"/>
      <c r="DO691" s="43"/>
      <c r="DP691" s="43"/>
      <c r="DQ691" s="43"/>
      <c r="DR691" s="43"/>
      <c r="DS691" s="43"/>
      <c r="DT691" s="43"/>
      <c r="DU691" s="43"/>
      <c r="DV691" s="43"/>
      <c r="DW691" s="43"/>
      <c r="DX691" s="43"/>
      <c r="DY691" s="43"/>
      <c r="DZ691" s="43"/>
      <c r="EA691" s="43"/>
      <c r="EB691" s="43"/>
      <c r="EC691" s="43"/>
      <c r="ED691" s="43"/>
      <c r="EE691" s="43"/>
      <c r="EF691" s="43"/>
      <c r="EG691" s="43"/>
      <c r="EH691" s="43"/>
      <c r="EI691" s="43"/>
      <c r="EJ691" s="43"/>
      <c r="EK691" s="43"/>
      <c r="EL691" s="43"/>
      <c r="EM691" s="43"/>
      <c r="EN691" s="43"/>
      <c r="EO691" s="43"/>
      <c r="EP691" s="43"/>
      <c r="EQ691" s="43"/>
      <c r="ER691" s="43"/>
      <c r="ES691" s="43"/>
      <c r="ET691" s="43"/>
      <c r="EU691" s="43"/>
      <c r="EV691" s="43"/>
      <c r="EW691" s="43"/>
      <c r="EX691" s="43"/>
      <c r="EY691" s="43"/>
      <c r="EZ691" s="43"/>
      <c r="FA691" s="43"/>
      <c r="FB691" s="43"/>
      <c r="FC691" s="43"/>
      <c r="FD691" s="43"/>
      <c r="FE691" s="43"/>
      <c r="FF691" s="43"/>
      <c r="FG691" s="43"/>
      <c r="FH691" s="50"/>
      <c r="FI691" s="50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  <c r="CS692" s="43"/>
      <c r="CT692" s="43"/>
      <c r="CU692" s="43"/>
      <c r="CV692" s="43"/>
      <c r="CW692" s="43"/>
      <c r="CX692" s="43"/>
      <c r="CY692" s="43"/>
      <c r="CZ692" s="43"/>
      <c r="DA692" s="43"/>
      <c r="DB692" s="43"/>
      <c r="DC692" s="43"/>
      <c r="DD692" s="43"/>
      <c r="DE692" s="43"/>
      <c r="DF692" s="43"/>
      <c r="DG692" s="43"/>
      <c r="DH692" s="43"/>
      <c r="DI692" s="43"/>
      <c r="DJ692" s="43"/>
      <c r="DK692" s="43"/>
      <c r="DL692" s="43"/>
      <c r="DM692" s="43"/>
      <c r="DN692" s="43"/>
      <c r="DO692" s="43"/>
      <c r="DP692" s="43"/>
      <c r="DQ692" s="43"/>
      <c r="DR692" s="43"/>
      <c r="DS692" s="43"/>
      <c r="DT692" s="43"/>
      <c r="DU692" s="43"/>
      <c r="DV692" s="43"/>
      <c r="DW692" s="43"/>
      <c r="DX692" s="43"/>
      <c r="DY692" s="43"/>
      <c r="DZ692" s="43"/>
      <c r="EA692" s="43"/>
      <c r="EB692" s="43"/>
      <c r="EC692" s="43"/>
      <c r="ED692" s="43"/>
      <c r="EE692" s="43"/>
      <c r="EF692" s="43"/>
      <c r="EG692" s="43"/>
      <c r="EH692" s="43"/>
      <c r="EI692" s="43"/>
      <c r="EJ692" s="43"/>
      <c r="EK692" s="43"/>
      <c r="EL692" s="43"/>
      <c r="EM692" s="43"/>
      <c r="EN692" s="43"/>
      <c r="EO692" s="43"/>
      <c r="EP692" s="43"/>
      <c r="EQ692" s="43"/>
      <c r="ER692" s="43"/>
      <c r="ES692" s="43"/>
      <c r="ET692" s="43"/>
      <c r="EU692" s="43"/>
      <c r="EV692" s="43"/>
      <c r="EW692" s="43"/>
      <c r="EX692" s="43"/>
      <c r="EY692" s="43"/>
      <c r="EZ692" s="43"/>
      <c r="FA692" s="43"/>
      <c r="FB692" s="43"/>
      <c r="FC692" s="43"/>
      <c r="FD692" s="43"/>
      <c r="FE692" s="43"/>
      <c r="FF692" s="43"/>
      <c r="FG692" s="43"/>
      <c r="FH692" s="50"/>
      <c r="FI692" s="50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43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43"/>
      <c r="CF693" s="43"/>
      <c r="CG693" s="43"/>
      <c r="CH693" s="43"/>
      <c r="CI693" s="43"/>
      <c r="CJ693" s="43"/>
      <c r="CK693" s="43"/>
      <c r="CL693" s="43"/>
      <c r="CM693" s="43"/>
      <c r="CN693" s="43"/>
      <c r="CO693" s="43"/>
      <c r="CP693" s="43"/>
      <c r="CQ693" s="43"/>
      <c r="CR693" s="43"/>
      <c r="CS693" s="43"/>
      <c r="CT693" s="43"/>
      <c r="CU693" s="43"/>
      <c r="CV693" s="43"/>
      <c r="CW693" s="43"/>
      <c r="CX693" s="43"/>
      <c r="CY693" s="43"/>
      <c r="CZ693" s="43"/>
      <c r="DA693" s="43"/>
      <c r="DB693" s="43"/>
      <c r="DC693" s="43"/>
      <c r="DD693" s="43"/>
      <c r="DE693" s="43"/>
      <c r="DF693" s="43"/>
      <c r="DG693" s="43"/>
      <c r="DH693" s="43"/>
      <c r="DI693" s="43"/>
      <c r="DJ693" s="43"/>
      <c r="DK693" s="43"/>
      <c r="DL693" s="43"/>
      <c r="DM693" s="43"/>
      <c r="DN693" s="43"/>
      <c r="DO693" s="43"/>
      <c r="DP693" s="43"/>
      <c r="DQ693" s="43"/>
      <c r="DR693" s="43"/>
      <c r="DS693" s="43"/>
      <c r="DT693" s="43"/>
      <c r="DU693" s="43"/>
      <c r="DV693" s="43"/>
      <c r="DW693" s="43"/>
      <c r="DX693" s="43"/>
      <c r="DY693" s="43"/>
      <c r="DZ693" s="43"/>
      <c r="EA693" s="43"/>
      <c r="EB693" s="43"/>
      <c r="EC693" s="43"/>
      <c r="ED693" s="43"/>
      <c r="EE693" s="43"/>
      <c r="EF693" s="43"/>
      <c r="EG693" s="43"/>
      <c r="EH693" s="43"/>
      <c r="EI693" s="43"/>
      <c r="EJ693" s="43"/>
      <c r="EK693" s="43"/>
      <c r="EL693" s="43"/>
      <c r="EM693" s="43"/>
      <c r="EN693" s="43"/>
      <c r="EO693" s="43"/>
      <c r="EP693" s="43"/>
      <c r="EQ693" s="43"/>
      <c r="ER693" s="43"/>
      <c r="ES693" s="43"/>
      <c r="ET693" s="43"/>
      <c r="EU693" s="43"/>
      <c r="EV693" s="43"/>
      <c r="EW693" s="43"/>
      <c r="EX693" s="43"/>
      <c r="EY693" s="43"/>
      <c r="EZ693" s="43"/>
      <c r="FA693" s="43"/>
      <c r="FB693" s="43"/>
      <c r="FC693" s="43"/>
      <c r="FD693" s="43"/>
      <c r="FE693" s="43"/>
      <c r="FF693" s="43"/>
      <c r="FG693" s="43"/>
      <c r="FH693" s="50"/>
      <c r="FI693" s="50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43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43"/>
      <c r="CF694" s="43"/>
      <c r="CG694" s="43"/>
      <c r="CH694" s="43"/>
      <c r="CI694" s="43"/>
      <c r="CJ694" s="43"/>
      <c r="CK694" s="43"/>
      <c r="CL694" s="43"/>
      <c r="CM694" s="43"/>
      <c r="CN694" s="43"/>
      <c r="CO694" s="43"/>
      <c r="CP694" s="43"/>
      <c r="CQ694" s="43"/>
      <c r="CR694" s="43"/>
      <c r="CS694" s="43"/>
      <c r="CT694" s="43"/>
      <c r="CU694" s="43"/>
      <c r="CV694" s="43"/>
      <c r="CW694" s="43"/>
      <c r="CX694" s="43"/>
      <c r="CY694" s="43"/>
      <c r="CZ694" s="43"/>
      <c r="DA694" s="43"/>
      <c r="DB694" s="43"/>
      <c r="DC694" s="43"/>
      <c r="DD694" s="43"/>
      <c r="DE694" s="43"/>
      <c r="DF694" s="43"/>
      <c r="DG694" s="43"/>
      <c r="DH694" s="43"/>
      <c r="DI694" s="43"/>
      <c r="DJ694" s="43"/>
      <c r="DK694" s="43"/>
      <c r="DL694" s="43"/>
      <c r="DM694" s="43"/>
      <c r="DN694" s="43"/>
      <c r="DO694" s="43"/>
      <c r="DP694" s="43"/>
      <c r="DQ694" s="43"/>
      <c r="DR694" s="43"/>
      <c r="DS694" s="43"/>
      <c r="DT694" s="43"/>
      <c r="DU694" s="43"/>
      <c r="DV694" s="43"/>
      <c r="DW694" s="43"/>
      <c r="DX694" s="43"/>
      <c r="DY694" s="43"/>
      <c r="DZ694" s="43"/>
      <c r="EA694" s="43"/>
      <c r="EB694" s="43"/>
      <c r="EC694" s="43"/>
      <c r="ED694" s="43"/>
      <c r="EE694" s="43"/>
      <c r="EF694" s="43"/>
      <c r="EG694" s="43"/>
      <c r="EH694" s="43"/>
      <c r="EI694" s="43"/>
      <c r="EJ694" s="43"/>
      <c r="EK694" s="43"/>
      <c r="EL694" s="43"/>
      <c r="EM694" s="43"/>
      <c r="EN694" s="43"/>
      <c r="EO694" s="43"/>
      <c r="EP694" s="43"/>
      <c r="EQ694" s="43"/>
      <c r="ER694" s="43"/>
      <c r="ES694" s="43"/>
      <c r="ET694" s="43"/>
      <c r="EU694" s="43"/>
      <c r="EV694" s="43"/>
      <c r="EW694" s="43"/>
      <c r="EX694" s="43"/>
      <c r="EY694" s="43"/>
      <c r="EZ694" s="43"/>
      <c r="FA694" s="43"/>
      <c r="FB694" s="43"/>
      <c r="FC694" s="43"/>
      <c r="FD694" s="43"/>
      <c r="FE694" s="43"/>
      <c r="FF694" s="43"/>
      <c r="FG694" s="43"/>
      <c r="FH694" s="50"/>
      <c r="FI694" s="50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/>
      <c r="CK695" s="43"/>
      <c r="CL695" s="43"/>
      <c r="CM695" s="43"/>
      <c r="CN695" s="43"/>
      <c r="CO695" s="43"/>
      <c r="CP695" s="43"/>
      <c r="CQ695" s="43"/>
      <c r="CR695" s="43"/>
      <c r="CS695" s="43"/>
      <c r="CT695" s="43"/>
      <c r="CU695" s="43"/>
      <c r="CV695" s="43"/>
      <c r="CW695" s="43"/>
      <c r="CX695" s="43"/>
      <c r="CY695" s="43"/>
      <c r="CZ695" s="43"/>
      <c r="DA695" s="43"/>
      <c r="DB695" s="43"/>
      <c r="DC695" s="43"/>
      <c r="DD695" s="43"/>
      <c r="DE695" s="43"/>
      <c r="DF695" s="43"/>
      <c r="DG695" s="43"/>
      <c r="DH695" s="43"/>
      <c r="DI695" s="43"/>
      <c r="DJ695" s="43"/>
      <c r="DK695" s="43"/>
      <c r="DL695" s="43"/>
      <c r="DM695" s="43"/>
      <c r="DN695" s="43"/>
      <c r="DO695" s="43"/>
      <c r="DP695" s="43"/>
      <c r="DQ695" s="43"/>
      <c r="DR695" s="43"/>
      <c r="DS695" s="43"/>
      <c r="DT695" s="43"/>
      <c r="DU695" s="43"/>
      <c r="DV695" s="43"/>
      <c r="DW695" s="43"/>
      <c r="DX695" s="43"/>
      <c r="DY695" s="43"/>
      <c r="DZ695" s="43"/>
      <c r="EA695" s="43"/>
      <c r="EB695" s="43"/>
      <c r="EC695" s="43"/>
      <c r="ED695" s="43"/>
      <c r="EE695" s="43"/>
      <c r="EF695" s="43"/>
      <c r="EG695" s="43"/>
      <c r="EH695" s="43"/>
      <c r="EI695" s="43"/>
      <c r="EJ695" s="43"/>
      <c r="EK695" s="43"/>
      <c r="EL695" s="43"/>
      <c r="EM695" s="43"/>
      <c r="EN695" s="43"/>
      <c r="EO695" s="43"/>
      <c r="EP695" s="43"/>
      <c r="EQ695" s="43"/>
      <c r="ER695" s="43"/>
      <c r="ES695" s="43"/>
      <c r="ET695" s="43"/>
      <c r="EU695" s="43"/>
      <c r="EV695" s="43"/>
      <c r="EW695" s="43"/>
      <c r="EX695" s="43"/>
      <c r="EY695" s="43"/>
      <c r="EZ695" s="43"/>
      <c r="FA695" s="43"/>
      <c r="FB695" s="43"/>
      <c r="FC695" s="43"/>
      <c r="FD695" s="43"/>
      <c r="FE695" s="43"/>
      <c r="FF695" s="43"/>
      <c r="FG695" s="43"/>
      <c r="FH695" s="50"/>
      <c r="FI695" s="50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43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43"/>
      <c r="CF696" s="43"/>
      <c r="CG696" s="43"/>
      <c r="CH696" s="43"/>
      <c r="CI696" s="43"/>
      <c r="CJ696" s="43"/>
      <c r="CK696" s="43"/>
      <c r="CL696" s="43"/>
      <c r="CM696" s="43"/>
      <c r="CN696" s="43"/>
      <c r="CO696" s="43"/>
      <c r="CP696" s="43"/>
      <c r="CQ696" s="43"/>
      <c r="CR696" s="43"/>
      <c r="CS696" s="43"/>
      <c r="CT696" s="43"/>
      <c r="CU696" s="43"/>
      <c r="CV696" s="43"/>
      <c r="CW696" s="43"/>
      <c r="CX696" s="43"/>
      <c r="CY696" s="43"/>
      <c r="CZ696" s="43"/>
      <c r="DA696" s="43"/>
      <c r="DB696" s="43"/>
      <c r="DC696" s="43"/>
      <c r="DD696" s="43"/>
      <c r="DE696" s="43"/>
      <c r="DF696" s="43"/>
      <c r="DG696" s="43"/>
      <c r="DH696" s="43"/>
      <c r="DI696" s="43"/>
      <c r="DJ696" s="43"/>
      <c r="DK696" s="43"/>
      <c r="DL696" s="43"/>
      <c r="DM696" s="43"/>
      <c r="DN696" s="43"/>
      <c r="DO696" s="43"/>
      <c r="DP696" s="43"/>
      <c r="DQ696" s="43"/>
      <c r="DR696" s="43"/>
      <c r="DS696" s="43"/>
      <c r="DT696" s="43"/>
      <c r="DU696" s="43"/>
      <c r="DV696" s="43"/>
      <c r="DW696" s="43"/>
      <c r="DX696" s="43"/>
      <c r="DY696" s="43"/>
      <c r="DZ696" s="43"/>
      <c r="EA696" s="43"/>
      <c r="EB696" s="43"/>
      <c r="EC696" s="43"/>
      <c r="ED696" s="43"/>
      <c r="EE696" s="43"/>
      <c r="EF696" s="43"/>
      <c r="EG696" s="43"/>
      <c r="EH696" s="43"/>
      <c r="EI696" s="43"/>
      <c r="EJ696" s="43"/>
      <c r="EK696" s="43"/>
      <c r="EL696" s="43"/>
      <c r="EM696" s="43"/>
      <c r="EN696" s="43"/>
      <c r="EO696" s="43"/>
      <c r="EP696" s="43"/>
      <c r="EQ696" s="43"/>
      <c r="ER696" s="43"/>
      <c r="ES696" s="43"/>
      <c r="ET696" s="43"/>
      <c r="EU696" s="43"/>
      <c r="EV696" s="43"/>
      <c r="EW696" s="43"/>
      <c r="EX696" s="43"/>
      <c r="EY696" s="43"/>
      <c r="EZ696" s="43"/>
      <c r="FA696" s="43"/>
      <c r="FB696" s="43"/>
      <c r="FC696" s="43"/>
      <c r="FD696" s="43"/>
      <c r="FE696" s="43"/>
      <c r="FF696" s="43"/>
      <c r="FG696" s="43"/>
      <c r="FH696" s="50"/>
      <c r="FI696" s="50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43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43"/>
      <c r="CF697" s="43"/>
      <c r="CG697" s="43"/>
      <c r="CH697" s="43"/>
      <c r="CI697" s="43"/>
      <c r="CJ697" s="43"/>
      <c r="CK697" s="43"/>
      <c r="CL697" s="43"/>
      <c r="CM697" s="43"/>
      <c r="CN697" s="43"/>
      <c r="CO697" s="43"/>
      <c r="CP697" s="43"/>
      <c r="CQ697" s="43"/>
      <c r="CR697" s="43"/>
      <c r="CS697" s="43"/>
      <c r="CT697" s="43"/>
      <c r="CU697" s="43"/>
      <c r="CV697" s="43"/>
      <c r="CW697" s="43"/>
      <c r="CX697" s="43"/>
      <c r="CY697" s="43"/>
      <c r="CZ697" s="43"/>
      <c r="DA697" s="43"/>
      <c r="DB697" s="43"/>
      <c r="DC697" s="43"/>
      <c r="DD697" s="43"/>
      <c r="DE697" s="43"/>
      <c r="DF697" s="43"/>
      <c r="DG697" s="43"/>
      <c r="DH697" s="43"/>
      <c r="DI697" s="43"/>
      <c r="DJ697" s="43"/>
      <c r="DK697" s="43"/>
      <c r="DL697" s="43"/>
      <c r="DM697" s="43"/>
      <c r="DN697" s="43"/>
      <c r="DO697" s="43"/>
      <c r="DP697" s="43"/>
      <c r="DQ697" s="43"/>
      <c r="DR697" s="43"/>
      <c r="DS697" s="43"/>
      <c r="DT697" s="43"/>
      <c r="DU697" s="43"/>
      <c r="DV697" s="43"/>
      <c r="DW697" s="43"/>
      <c r="DX697" s="43"/>
      <c r="DY697" s="43"/>
      <c r="DZ697" s="43"/>
      <c r="EA697" s="43"/>
      <c r="EB697" s="43"/>
      <c r="EC697" s="43"/>
      <c r="ED697" s="43"/>
      <c r="EE697" s="43"/>
      <c r="EF697" s="43"/>
      <c r="EG697" s="43"/>
      <c r="EH697" s="43"/>
      <c r="EI697" s="43"/>
      <c r="EJ697" s="43"/>
      <c r="EK697" s="43"/>
      <c r="EL697" s="43"/>
      <c r="EM697" s="43"/>
      <c r="EN697" s="43"/>
      <c r="EO697" s="43"/>
      <c r="EP697" s="43"/>
      <c r="EQ697" s="43"/>
      <c r="ER697" s="43"/>
      <c r="ES697" s="43"/>
      <c r="ET697" s="43"/>
      <c r="EU697" s="43"/>
      <c r="EV697" s="43"/>
      <c r="EW697" s="43"/>
      <c r="EX697" s="43"/>
      <c r="EY697" s="43"/>
      <c r="EZ697" s="43"/>
      <c r="FA697" s="43"/>
      <c r="FB697" s="43"/>
      <c r="FC697" s="43"/>
      <c r="FD697" s="43"/>
      <c r="FE697" s="43"/>
      <c r="FF697" s="43"/>
      <c r="FG697" s="43"/>
      <c r="FH697" s="50"/>
      <c r="FI697" s="50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/>
      <c r="CK698" s="43"/>
      <c r="CL698" s="43"/>
      <c r="CM698" s="43"/>
      <c r="CN698" s="43"/>
      <c r="CO698" s="43"/>
      <c r="CP698" s="43"/>
      <c r="CQ698" s="43"/>
      <c r="CR698" s="43"/>
      <c r="CS698" s="43"/>
      <c r="CT698" s="43"/>
      <c r="CU698" s="43"/>
      <c r="CV698" s="43"/>
      <c r="CW698" s="43"/>
      <c r="CX698" s="43"/>
      <c r="CY698" s="43"/>
      <c r="CZ698" s="43"/>
      <c r="DA698" s="43"/>
      <c r="DB698" s="43"/>
      <c r="DC698" s="43"/>
      <c r="DD698" s="43"/>
      <c r="DE698" s="43"/>
      <c r="DF698" s="43"/>
      <c r="DG698" s="43"/>
      <c r="DH698" s="43"/>
      <c r="DI698" s="43"/>
      <c r="DJ698" s="43"/>
      <c r="DK698" s="43"/>
      <c r="DL698" s="43"/>
      <c r="DM698" s="43"/>
      <c r="DN698" s="43"/>
      <c r="DO698" s="43"/>
      <c r="DP698" s="43"/>
      <c r="DQ698" s="43"/>
      <c r="DR698" s="43"/>
      <c r="DS698" s="43"/>
      <c r="DT698" s="43"/>
      <c r="DU698" s="43"/>
      <c r="DV698" s="43"/>
      <c r="DW698" s="43"/>
      <c r="DX698" s="43"/>
      <c r="DY698" s="43"/>
      <c r="DZ698" s="43"/>
      <c r="EA698" s="43"/>
      <c r="EB698" s="43"/>
      <c r="EC698" s="43"/>
      <c r="ED698" s="43"/>
      <c r="EE698" s="43"/>
      <c r="EF698" s="43"/>
      <c r="EG698" s="43"/>
      <c r="EH698" s="43"/>
      <c r="EI698" s="43"/>
      <c r="EJ698" s="43"/>
      <c r="EK698" s="43"/>
      <c r="EL698" s="43"/>
      <c r="EM698" s="43"/>
      <c r="EN698" s="43"/>
      <c r="EO698" s="43"/>
      <c r="EP698" s="43"/>
      <c r="EQ698" s="43"/>
      <c r="ER698" s="43"/>
      <c r="ES698" s="43"/>
      <c r="ET698" s="43"/>
      <c r="EU698" s="43"/>
      <c r="EV698" s="43"/>
      <c r="EW698" s="43"/>
      <c r="EX698" s="43"/>
      <c r="EY698" s="43"/>
      <c r="EZ698" s="43"/>
      <c r="FA698" s="43"/>
      <c r="FB698" s="43"/>
      <c r="FC698" s="43"/>
      <c r="FD698" s="43"/>
      <c r="FE698" s="43"/>
      <c r="FF698" s="43"/>
      <c r="FG698" s="43"/>
      <c r="FH698" s="50"/>
      <c r="FI698" s="50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43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43"/>
      <c r="CF699" s="43"/>
      <c r="CG699" s="43"/>
      <c r="CH699" s="43"/>
      <c r="CI699" s="43"/>
      <c r="CJ699" s="43"/>
      <c r="CK699" s="43"/>
      <c r="CL699" s="43"/>
      <c r="CM699" s="43"/>
      <c r="CN699" s="43"/>
      <c r="CO699" s="43"/>
      <c r="CP699" s="43"/>
      <c r="CQ699" s="43"/>
      <c r="CR699" s="43"/>
      <c r="CS699" s="43"/>
      <c r="CT699" s="43"/>
      <c r="CU699" s="43"/>
      <c r="CV699" s="43"/>
      <c r="CW699" s="43"/>
      <c r="CX699" s="43"/>
      <c r="CY699" s="43"/>
      <c r="CZ699" s="43"/>
      <c r="DA699" s="43"/>
      <c r="DB699" s="43"/>
      <c r="DC699" s="43"/>
      <c r="DD699" s="43"/>
      <c r="DE699" s="43"/>
      <c r="DF699" s="43"/>
      <c r="DG699" s="43"/>
      <c r="DH699" s="43"/>
      <c r="DI699" s="43"/>
      <c r="DJ699" s="43"/>
      <c r="DK699" s="43"/>
      <c r="DL699" s="43"/>
      <c r="DM699" s="43"/>
      <c r="DN699" s="43"/>
      <c r="DO699" s="43"/>
      <c r="DP699" s="43"/>
      <c r="DQ699" s="43"/>
      <c r="DR699" s="43"/>
      <c r="DS699" s="43"/>
      <c r="DT699" s="43"/>
      <c r="DU699" s="43"/>
      <c r="DV699" s="43"/>
      <c r="DW699" s="43"/>
      <c r="DX699" s="43"/>
      <c r="DY699" s="43"/>
      <c r="DZ699" s="43"/>
      <c r="EA699" s="43"/>
      <c r="EB699" s="43"/>
      <c r="EC699" s="43"/>
      <c r="ED699" s="43"/>
      <c r="EE699" s="43"/>
      <c r="EF699" s="43"/>
      <c r="EG699" s="43"/>
      <c r="EH699" s="43"/>
      <c r="EI699" s="43"/>
      <c r="EJ699" s="43"/>
      <c r="EK699" s="43"/>
      <c r="EL699" s="43"/>
      <c r="EM699" s="43"/>
      <c r="EN699" s="43"/>
      <c r="EO699" s="43"/>
      <c r="EP699" s="43"/>
      <c r="EQ699" s="43"/>
      <c r="ER699" s="43"/>
      <c r="ES699" s="43"/>
      <c r="ET699" s="43"/>
      <c r="EU699" s="43"/>
      <c r="EV699" s="43"/>
      <c r="EW699" s="43"/>
      <c r="EX699" s="43"/>
      <c r="EY699" s="43"/>
      <c r="EZ699" s="43"/>
      <c r="FA699" s="43"/>
      <c r="FB699" s="43"/>
      <c r="FC699" s="43"/>
      <c r="FD699" s="43"/>
      <c r="FE699" s="43"/>
      <c r="FF699" s="43"/>
      <c r="FG699" s="43"/>
      <c r="FH699" s="50"/>
      <c r="FI699" s="50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43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43"/>
      <c r="CF700" s="43"/>
      <c r="CG700" s="43"/>
      <c r="CH700" s="43"/>
      <c r="CI700" s="43"/>
      <c r="CJ700" s="43"/>
      <c r="CK700" s="43"/>
      <c r="CL700" s="43"/>
      <c r="CM700" s="43"/>
      <c r="CN700" s="43"/>
      <c r="CO700" s="43"/>
      <c r="CP700" s="43"/>
      <c r="CQ700" s="43"/>
      <c r="CR700" s="43"/>
      <c r="CS700" s="43"/>
      <c r="CT700" s="43"/>
      <c r="CU700" s="43"/>
      <c r="CV700" s="43"/>
      <c r="CW700" s="43"/>
      <c r="CX700" s="43"/>
      <c r="CY700" s="43"/>
      <c r="CZ700" s="43"/>
      <c r="DA700" s="43"/>
      <c r="DB700" s="43"/>
      <c r="DC700" s="43"/>
      <c r="DD700" s="43"/>
      <c r="DE700" s="43"/>
      <c r="DF700" s="43"/>
      <c r="DG700" s="43"/>
      <c r="DH700" s="43"/>
      <c r="DI700" s="43"/>
      <c r="DJ700" s="43"/>
      <c r="DK700" s="43"/>
      <c r="DL700" s="43"/>
      <c r="DM700" s="43"/>
      <c r="DN700" s="43"/>
      <c r="DO700" s="43"/>
      <c r="DP700" s="43"/>
      <c r="DQ700" s="43"/>
      <c r="DR700" s="43"/>
      <c r="DS700" s="43"/>
      <c r="DT700" s="43"/>
      <c r="DU700" s="43"/>
      <c r="DV700" s="43"/>
      <c r="DW700" s="43"/>
      <c r="DX700" s="43"/>
      <c r="DY700" s="43"/>
      <c r="DZ700" s="43"/>
      <c r="EA700" s="43"/>
      <c r="EB700" s="43"/>
      <c r="EC700" s="43"/>
      <c r="ED700" s="43"/>
      <c r="EE700" s="43"/>
      <c r="EF700" s="43"/>
      <c r="EG700" s="43"/>
      <c r="EH700" s="43"/>
      <c r="EI700" s="43"/>
      <c r="EJ700" s="43"/>
      <c r="EK700" s="43"/>
      <c r="EL700" s="43"/>
      <c r="EM700" s="43"/>
      <c r="EN700" s="43"/>
      <c r="EO700" s="43"/>
      <c r="EP700" s="43"/>
      <c r="EQ700" s="43"/>
      <c r="ER700" s="43"/>
      <c r="ES700" s="43"/>
      <c r="ET700" s="43"/>
      <c r="EU700" s="43"/>
      <c r="EV700" s="43"/>
      <c r="EW700" s="43"/>
      <c r="EX700" s="43"/>
      <c r="EY700" s="43"/>
      <c r="EZ700" s="43"/>
      <c r="FA700" s="43"/>
      <c r="FB700" s="43"/>
      <c r="FC700" s="43"/>
      <c r="FD700" s="43"/>
      <c r="FE700" s="43"/>
      <c r="FF700" s="43"/>
      <c r="FG700" s="43"/>
      <c r="FH700" s="50"/>
      <c r="FI700" s="50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/>
      <c r="CK701" s="43"/>
      <c r="CL701" s="43"/>
      <c r="CM701" s="43"/>
      <c r="CN701" s="43"/>
      <c r="CO701" s="43"/>
      <c r="CP701" s="43"/>
      <c r="CQ701" s="43"/>
      <c r="CR701" s="43"/>
      <c r="CS701" s="43"/>
      <c r="CT701" s="43"/>
      <c r="CU701" s="43"/>
      <c r="CV701" s="43"/>
      <c r="CW701" s="43"/>
      <c r="CX701" s="43"/>
      <c r="CY701" s="43"/>
      <c r="CZ701" s="43"/>
      <c r="DA701" s="43"/>
      <c r="DB701" s="43"/>
      <c r="DC701" s="43"/>
      <c r="DD701" s="43"/>
      <c r="DE701" s="43"/>
      <c r="DF701" s="43"/>
      <c r="DG701" s="43"/>
      <c r="DH701" s="43"/>
      <c r="DI701" s="43"/>
      <c r="DJ701" s="43"/>
      <c r="DK701" s="43"/>
      <c r="DL701" s="43"/>
      <c r="DM701" s="43"/>
      <c r="DN701" s="43"/>
      <c r="DO701" s="43"/>
      <c r="DP701" s="43"/>
      <c r="DQ701" s="43"/>
      <c r="DR701" s="43"/>
      <c r="DS701" s="43"/>
      <c r="DT701" s="43"/>
      <c r="DU701" s="43"/>
      <c r="DV701" s="43"/>
      <c r="DW701" s="43"/>
      <c r="DX701" s="43"/>
      <c r="DY701" s="43"/>
      <c r="DZ701" s="43"/>
      <c r="EA701" s="43"/>
      <c r="EB701" s="43"/>
      <c r="EC701" s="43"/>
      <c r="ED701" s="43"/>
      <c r="EE701" s="43"/>
      <c r="EF701" s="43"/>
      <c r="EG701" s="43"/>
      <c r="EH701" s="43"/>
      <c r="EI701" s="43"/>
      <c r="EJ701" s="43"/>
      <c r="EK701" s="43"/>
      <c r="EL701" s="43"/>
      <c r="EM701" s="43"/>
      <c r="EN701" s="43"/>
      <c r="EO701" s="43"/>
      <c r="EP701" s="43"/>
      <c r="EQ701" s="43"/>
      <c r="ER701" s="43"/>
      <c r="ES701" s="43"/>
      <c r="ET701" s="43"/>
      <c r="EU701" s="43"/>
      <c r="EV701" s="43"/>
      <c r="EW701" s="43"/>
      <c r="EX701" s="43"/>
      <c r="EY701" s="43"/>
      <c r="EZ701" s="43"/>
      <c r="FA701" s="43"/>
      <c r="FB701" s="43"/>
      <c r="FC701" s="43"/>
      <c r="FD701" s="43"/>
      <c r="FE701" s="43"/>
      <c r="FF701" s="43"/>
      <c r="FG701" s="43"/>
      <c r="FH701" s="50"/>
      <c r="FI701" s="50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43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43"/>
      <c r="CF702" s="43"/>
      <c r="CG702" s="43"/>
      <c r="CH702" s="43"/>
      <c r="CI702" s="43"/>
      <c r="CJ702" s="43"/>
      <c r="CK702" s="43"/>
      <c r="CL702" s="43"/>
      <c r="CM702" s="43"/>
      <c r="CN702" s="43"/>
      <c r="CO702" s="43"/>
      <c r="CP702" s="43"/>
      <c r="CQ702" s="43"/>
      <c r="CR702" s="43"/>
      <c r="CS702" s="43"/>
      <c r="CT702" s="43"/>
      <c r="CU702" s="43"/>
      <c r="CV702" s="43"/>
      <c r="CW702" s="43"/>
      <c r="CX702" s="43"/>
      <c r="CY702" s="43"/>
      <c r="CZ702" s="43"/>
      <c r="DA702" s="43"/>
      <c r="DB702" s="43"/>
      <c r="DC702" s="43"/>
      <c r="DD702" s="43"/>
      <c r="DE702" s="43"/>
      <c r="DF702" s="43"/>
      <c r="DG702" s="43"/>
      <c r="DH702" s="43"/>
      <c r="DI702" s="43"/>
      <c r="DJ702" s="43"/>
      <c r="DK702" s="43"/>
      <c r="DL702" s="43"/>
      <c r="DM702" s="43"/>
      <c r="DN702" s="43"/>
      <c r="DO702" s="43"/>
      <c r="DP702" s="43"/>
      <c r="DQ702" s="43"/>
      <c r="DR702" s="43"/>
      <c r="DS702" s="43"/>
      <c r="DT702" s="43"/>
      <c r="DU702" s="43"/>
      <c r="DV702" s="43"/>
      <c r="DW702" s="43"/>
      <c r="DX702" s="43"/>
      <c r="DY702" s="43"/>
      <c r="DZ702" s="43"/>
      <c r="EA702" s="43"/>
      <c r="EB702" s="43"/>
      <c r="EC702" s="43"/>
      <c r="ED702" s="43"/>
      <c r="EE702" s="43"/>
      <c r="EF702" s="43"/>
      <c r="EG702" s="43"/>
      <c r="EH702" s="43"/>
      <c r="EI702" s="43"/>
      <c r="EJ702" s="43"/>
      <c r="EK702" s="43"/>
      <c r="EL702" s="43"/>
      <c r="EM702" s="43"/>
      <c r="EN702" s="43"/>
      <c r="EO702" s="43"/>
      <c r="EP702" s="43"/>
      <c r="EQ702" s="43"/>
      <c r="ER702" s="43"/>
      <c r="ES702" s="43"/>
      <c r="ET702" s="43"/>
      <c r="EU702" s="43"/>
      <c r="EV702" s="43"/>
      <c r="EW702" s="43"/>
      <c r="EX702" s="43"/>
      <c r="EY702" s="43"/>
      <c r="EZ702" s="43"/>
      <c r="FA702" s="43"/>
      <c r="FB702" s="43"/>
      <c r="FC702" s="43"/>
      <c r="FD702" s="43"/>
      <c r="FE702" s="43"/>
      <c r="FF702" s="43"/>
      <c r="FG702" s="43"/>
      <c r="FH702" s="50"/>
      <c r="FI702" s="50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43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43"/>
      <c r="CF703" s="43"/>
      <c r="CG703" s="43"/>
      <c r="CH703" s="43"/>
      <c r="CI703" s="43"/>
      <c r="CJ703" s="43"/>
      <c r="CK703" s="43"/>
      <c r="CL703" s="43"/>
      <c r="CM703" s="43"/>
      <c r="CN703" s="43"/>
      <c r="CO703" s="43"/>
      <c r="CP703" s="43"/>
      <c r="CQ703" s="43"/>
      <c r="CR703" s="43"/>
      <c r="CS703" s="43"/>
      <c r="CT703" s="43"/>
      <c r="CU703" s="43"/>
      <c r="CV703" s="43"/>
      <c r="CW703" s="43"/>
      <c r="CX703" s="43"/>
      <c r="CY703" s="43"/>
      <c r="CZ703" s="43"/>
      <c r="DA703" s="43"/>
      <c r="DB703" s="43"/>
      <c r="DC703" s="43"/>
      <c r="DD703" s="43"/>
      <c r="DE703" s="43"/>
      <c r="DF703" s="43"/>
      <c r="DG703" s="43"/>
      <c r="DH703" s="43"/>
      <c r="DI703" s="43"/>
      <c r="DJ703" s="43"/>
      <c r="DK703" s="43"/>
      <c r="DL703" s="43"/>
      <c r="DM703" s="43"/>
      <c r="DN703" s="43"/>
      <c r="DO703" s="43"/>
      <c r="DP703" s="43"/>
      <c r="DQ703" s="43"/>
      <c r="DR703" s="43"/>
      <c r="DS703" s="43"/>
      <c r="DT703" s="43"/>
      <c r="DU703" s="43"/>
      <c r="DV703" s="43"/>
      <c r="DW703" s="43"/>
      <c r="DX703" s="43"/>
      <c r="DY703" s="43"/>
      <c r="DZ703" s="43"/>
      <c r="EA703" s="43"/>
      <c r="EB703" s="43"/>
      <c r="EC703" s="43"/>
      <c r="ED703" s="43"/>
      <c r="EE703" s="43"/>
      <c r="EF703" s="43"/>
      <c r="EG703" s="43"/>
      <c r="EH703" s="43"/>
      <c r="EI703" s="43"/>
      <c r="EJ703" s="43"/>
      <c r="EK703" s="43"/>
      <c r="EL703" s="43"/>
      <c r="EM703" s="43"/>
      <c r="EN703" s="43"/>
      <c r="EO703" s="43"/>
      <c r="EP703" s="43"/>
      <c r="EQ703" s="43"/>
      <c r="ER703" s="43"/>
      <c r="ES703" s="43"/>
      <c r="ET703" s="43"/>
      <c r="EU703" s="43"/>
      <c r="EV703" s="43"/>
      <c r="EW703" s="43"/>
      <c r="EX703" s="43"/>
      <c r="EY703" s="43"/>
      <c r="EZ703" s="43"/>
      <c r="FA703" s="43"/>
      <c r="FB703" s="43"/>
      <c r="FC703" s="43"/>
      <c r="FD703" s="43"/>
      <c r="FE703" s="43"/>
      <c r="FF703" s="43"/>
      <c r="FG703" s="43"/>
      <c r="FH703" s="50"/>
      <c r="FI703" s="50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  <c r="CS704" s="43"/>
      <c r="CT704" s="43"/>
      <c r="CU704" s="43"/>
      <c r="CV704" s="43"/>
      <c r="CW704" s="43"/>
      <c r="CX704" s="43"/>
      <c r="CY704" s="43"/>
      <c r="CZ704" s="43"/>
      <c r="DA704" s="43"/>
      <c r="DB704" s="43"/>
      <c r="DC704" s="43"/>
      <c r="DD704" s="43"/>
      <c r="DE704" s="43"/>
      <c r="DF704" s="43"/>
      <c r="DG704" s="43"/>
      <c r="DH704" s="43"/>
      <c r="DI704" s="43"/>
      <c r="DJ704" s="43"/>
      <c r="DK704" s="43"/>
      <c r="DL704" s="43"/>
      <c r="DM704" s="43"/>
      <c r="DN704" s="43"/>
      <c r="DO704" s="43"/>
      <c r="DP704" s="43"/>
      <c r="DQ704" s="43"/>
      <c r="DR704" s="43"/>
      <c r="DS704" s="43"/>
      <c r="DT704" s="43"/>
      <c r="DU704" s="43"/>
      <c r="DV704" s="43"/>
      <c r="DW704" s="43"/>
      <c r="DX704" s="43"/>
      <c r="DY704" s="43"/>
      <c r="DZ704" s="43"/>
      <c r="EA704" s="43"/>
      <c r="EB704" s="43"/>
      <c r="EC704" s="43"/>
      <c r="ED704" s="43"/>
      <c r="EE704" s="43"/>
      <c r="EF704" s="43"/>
      <c r="EG704" s="43"/>
      <c r="EH704" s="43"/>
      <c r="EI704" s="43"/>
      <c r="EJ704" s="43"/>
      <c r="EK704" s="43"/>
      <c r="EL704" s="43"/>
      <c r="EM704" s="43"/>
      <c r="EN704" s="43"/>
      <c r="EO704" s="43"/>
      <c r="EP704" s="43"/>
      <c r="EQ704" s="43"/>
      <c r="ER704" s="43"/>
      <c r="ES704" s="43"/>
      <c r="ET704" s="43"/>
      <c r="EU704" s="43"/>
      <c r="EV704" s="43"/>
      <c r="EW704" s="43"/>
      <c r="EX704" s="43"/>
      <c r="EY704" s="43"/>
      <c r="EZ704" s="43"/>
      <c r="FA704" s="43"/>
      <c r="FB704" s="43"/>
      <c r="FC704" s="43"/>
      <c r="FD704" s="43"/>
      <c r="FE704" s="43"/>
      <c r="FF704" s="43"/>
      <c r="FG704" s="43"/>
      <c r="FH704" s="50"/>
      <c r="FI704" s="50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43"/>
      <c r="CH705" s="43"/>
      <c r="CI705" s="43"/>
      <c r="CJ705" s="43"/>
      <c r="CK705" s="43"/>
      <c r="CL705" s="43"/>
      <c r="CM705" s="43"/>
      <c r="CN705" s="43"/>
      <c r="CO705" s="43"/>
      <c r="CP705" s="43"/>
      <c r="CQ705" s="43"/>
      <c r="CR705" s="43"/>
      <c r="CS705" s="43"/>
      <c r="CT705" s="43"/>
      <c r="CU705" s="43"/>
      <c r="CV705" s="43"/>
      <c r="CW705" s="43"/>
      <c r="CX705" s="43"/>
      <c r="CY705" s="43"/>
      <c r="CZ705" s="43"/>
      <c r="DA705" s="43"/>
      <c r="DB705" s="43"/>
      <c r="DC705" s="43"/>
      <c r="DD705" s="43"/>
      <c r="DE705" s="43"/>
      <c r="DF705" s="43"/>
      <c r="DG705" s="43"/>
      <c r="DH705" s="43"/>
      <c r="DI705" s="43"/>
      <c r="DJ705" s="43"/>
      <c r="DK705" s="43"/>
      <c r="DL705" s="43"/>
      <c r="DM705" s="43"/>
      <c r="DN705" s="43"/>
      <c r="DO705" s="43"/>
      <c r="DP705" s="43"/>
      <c r="DQ705" s="43"/>
      <c r="DR705" s="43"/>
      <c r="DS705" s="43"/>
      <c r="DT705" s="43"/>
      <c r="DU705" s="43"/>
      <c r="DV705" s="43"/>
      <c r="DW705" s="43"/>
      <c r="DX705" s="43"/>
      <c r="DY705" s="43"/>
      <c r="DZ705" s="43"/>
      <c r="EA705" s="43"/>
      <c r="EB705" s="43"/>
      <c r="EC705" s="43"/>
      <c r="ED705" s="43"/>
      <c r="EE705" s="43"/>
      <c r="EF705" s="43"/>
      <c r="EG705" s="43"/>
      <c r="EH705" s="43"/>
      <c r="EI705" s="43"/>
      <c r="EJ705" s="43"/>
      <c r="EK705" s="43"/>
      <c r="EL705" s="43"/>
      <c r="EM705" s="43"/>
      <c r="EN705" s="43"/>
      <c r="EO705" s="43"/>
      <c r="EP705" s="43"/>
      <c r="EQ705" s="43"/>
      <c r="ER705" s="43"/>
      <c r="ES705" s="43"/>
      <c r="ET705" s="43"/>
      <c r="EU705" s="43"/>
      <c r="EV705" s="43"/>
      <c r="EW705" s="43"/>
      <c r="EX705" s="43"/>
      <c r="EY705" s="43"/>
      <c r="EZ705" s="43"/>
      <c r="FA705" s="43"/>
      <c r="FB705" s="43"/>
      <c r="FC705" s="43"/>
      <c r="FD705" s="43"/>
      <c r="FE705" s="43"/>
      <c r="FF705" s="43"/>
      <c r="FG705" s="43"/>
      <c r="FH705" s="50"/>
      <c r="FI705" s="50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43"/>
      <c r="CF706" s="43"/>
      <c r="CG706" s="43"/>
      <c r="CH706" s="43"/>
      <c r="CI706" s="43"/>
      <c r="CJ706" s="43"/>
      <c r="CK706" s="43"/>
      <c r="CL706" s="43"/>
      <c r="CM706" s="43"/>
      <c r="CN706" s="43"/>
      <c r="CO706" s="43"/>
      <c r="CP706" s="43"/>
      <c r="CQ706" s="43"/>
      <c r="CR706" s="43"/>
      <c r="CS706" s="43"/>
      <c r="CT706" s="43"/>
      <c r="CU706" s="43"/>
      <c r="CV706" s="43"/>
      <c r="CW706" s="43"/>
      <c r="CX706" s="43"/>
      <c r="CY706" s="43"/>
      <c r="CZ706" s="43"/>
      <c r="DA706" s="43"/>
      <c r="DB706" s="43"/>
      <c r="DC706" s="43"/>
      <c r="DD706" s="43"/>
      <c r="DE706" s="43"/>
      <c r="DF706" s="43"/>
      <c r="DG706" s="43"/>
      <c r="DH706" s="43"/>
      <c r="DI706" s="43"/>
      <c r="DJ706" s="43"/>
      <c r="DK706" s="43"/>
      <c r="DL706" s="43"/>
      <c r="DM706" s="43"/>
      <c r="DN706" s="43"/>
      <c r="DO706" s="43"/>
      <c r="DP706" s="43"/>
      <c r="DQ706" s="43"/>
      <c r="DR706" s="43"/>
      <c r="DS706" s="43"/>
      <c r="DT706" s="43"/>
      <c r="DU706" s="43"/>
      <c r="DV706" s="43"/>
      <c r="DW706" s="43"/>
      <c r="DX706" s="43"/>
      <c r="DY706" s="43"/>
      <c r="DZ706" s="43"/>
      <c r="EA706" s="43"/>
      <c r="EB706" s="43"/>
      <c r="EC706" s="43"/>
      <c r="ED706" s="43"/>
      <c r="EE706" s="43"/>
      <c r="EF706" s="43"/>
      <c r="EG706" s="43"/>
      <c r="EH706" s="43"/>
      <c r="EI706" s="43"/>
      <c r="EJ706" s="43"/>
      <c r="EK706" s="43"/>
      <c r="EL706" s="43"/>
      <c r="EM706" s="43"/>
      <c r="EN706" s="43"/>
      <c r="EO706" s="43"/>
      <c r="EP706" s="43"/>
      <c r="EQ706" s="43"/>
      <c r="ER706" s="43"/>
      <c r="ES706" s="43"/>
      <c r="ET706" s="43"/>
      <c r="EU706" s="43"/>
      <c r="EV706" s="43"/>
      <c r="EW706" s="43"/>
      <c r="EX706" s="43"/>
      <c r="EY706" s="43"/>
      <c r="EZ706" s="43"/>
      <c r="FA706" s="43"/>
      <c r="FB706" s="43"/>
      <c r="FC706" s="43"/>
      <c r="FD706" s="43"/>
      <c r="FE706" s="43"/>
      <c r="FF706" s="43"/>
      <c r="FG706" s="43"/>
      <c r="FH706" s="50"/>
      <c r="FI706" s="50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  <c r="CS707" s="43"/>
      <c r="CT707" s="43"/>
      <c r="CU707" s="43"/>
      <c r="CV707" s="43"/>
      <c r="CW707" s="43"/>
      <c r="CX707" s="43"/>
      <c r="CY707" s="43"/>
      <c r="CZ707" s="43"/>
      <c r="DA707" s="43"/>
      <c r="DB707" s="43"/>
      <c r="DC707" s="43"/>
      <c r="DD707" s="43"/>
      <c r="DE707" s="43"/>
      <c r="DF707" s="43"/>
      <c r="DG707" s="43"/>
      <c r="DH707" s="43"/>
      <c r="DI707" s="43"/>
      <c r="DJ707" s="43"/>
      <c r="DK707" s="43"/>
      <c r="DL707" s="43"/>
      <c r="DM707" s="43"/>
      <c r="DN707" s="43"/>
      <c r="DO707" s="43"/>
      <c r="DP707" s="43"/>
      <c r="DQ707" s="43"/>
      <c r="DR707" s="43"/>
      <c r="DS707" s="43"/>
      <c r="DT707" s="43"/>
      <c r="DU707" s="43"/>
      <c r="DV707" s="43"/>
      <c r="DW707" s="43"/>
      <c r="DX707" s="43"/>
      <c r="DY707" s="43"/>
      <c r="DZ707" s="43"/>
      <c r="EA707" s="43"/>
      <c r="EB707" s="43"/>
      <c r="EC707" s="43"/>
      <c r="ED707" s="43"/>
      <c r="EE707" s="43"/>
      <c r="EF707" s="43"/>
      <c r="EG707" s="43"/>
      <c r="EH707" s="43"/>
      <c r="EI707" s="43"/>
      <c r="EJ707" s="43"/>
      <c r="EK707" s="43"/>
      <c r="EL707" s="43"/>
      <c r="EM707" s="43"/>
      <c r="EN707" s="43"/>
      <c r="EO707" s="43"/>
      <c r="EP707" s="43"/>
      <c r="EQ707" s="43"/>
      <c r="ER707" s="43"/>
      <c r="ES707" s="43"/>
      <c r="ET707" s="43"/>
      <c r="EU707" s="43"/>
      <c r="EV707" s="43"/>
      <c r="EW707" s="43"/>
      <c r="EX707" s="43"/>
      <c r="EY707" s="43"/>
      <c r="EZ707" s="43"/>
      <c r="FA707" s="43"/>
      <c r="FB707" s="43"/>
      <c r="FC707" s="43"/>
      <c r="FD707" s="43"/>
      <c r="FE707" s="43"/>
      <c r="FF707" s="43"/>
      <c r="FG707" s="43"/>
      <c r="FH707" s="50"/>
      <c r="FI707" s="50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43"/>
      <c r="CH708" s="43"/>
      <c r="CI708" s="43"/>
      <c r="CJ708" s="43"/>
      <c r="CK708" s="43"/>
      <c r="CL708" s="43"/>
      <c r="CM708" s="43"/>
      <c r="CN708" s="43"/>
      <c r="CO708" s="43"/>
      <c r="CP708" s="43"/>
      <c r="CQ708" s="43"/>
      <c r="CR708" s="43"/>
      <c r="CS708" s="43"/>
      <c r="CT708" s="43"/>
      <c r="CU708" s="43"/>
      <c r="CV708" s="43"/>
      <c r="CW708" s="43"/>
      <c r="CX708" s="43"/>
      <c r="CY708" s="43"/>
      <c r="CZ708" s="43"/>
      <c r="DA708" s="43"/>
      <c r="DB708" s="43"/>
      <c r="DC708" s="43"/>
      <c r="DD708" s="43"/>
      <c r="DE708" s="43"/>
      <c r="DF708" s="43"/>
      <c r="DG708" s="43"/>
      <c r="DH708" s="43"/>
      <c r="DI708" s="43"/>
      <c r="DJ708" s="43"/>
      <c r="DK708" s="43"/>
      <c r="DL708" s="43"/>
      <c r="DM708" s="43"/>
      <c r="DN708" s="43"/>
      <c r="DO708" s="43"/>
      <c r="DP708" s="43"/>
      <c r="DQ708" s="43"/>
      <c r="DR708" s="43"/>
      <c r="DS708" s="43"/>
      <c r="DT708" s="43"/>
      <c r="DU708" s="43"/>
      <c r="DV708" s="43"/>
      <c r="DW708" s="43"/>
      <c r="DX708" s="43"/>
      <c r="DY708" s="43"/>
      <c r="DZ708" s="43"/>
      <c r="EA708" s="43"/>
      <c r="EB708" s="43"/>
      <c r="EC708" s="43"/>
      <c r="ED708" s="43"/>
      <c r="EE708" s="43"/>
      <c r="EF708" s="43"/>
      <c r="EG708" s="43"/>
      <c r="EH708" s="43"/>
      <c r="EI708" s="43"/>
      <c r="EJ708" s="43"/>
      <c r="EK708" s="43"/>
      <c r="EL708" s="43"/>
      <c r="EM708" s="43"/>
      <c r="EN708" s="43"/>
      <c r="EO708" s="43"/>
      <c r="EP708" s="43"/>
      <c r="EQ708" s="43"/>
      <c r="ER708" s="43"/>
      <c r="ES708" s="43"/>
      <c r="ET708" s="43"/>
      <c r="EU708" s="43"/>
      <c r="EV708" s="43"/>
      <c r="EW708" s="43"/>
      <c r="EX708" s="43"/>
      <c r="EY708" s="43"/>
      <c r="EZ708" s="43"/>
      <c r="FA708" s="43"/>
      <c r="FB708" s="43"/>
      <c r="FC708" s="43"/>
      <c r="FD708" s="43"/>
      <c r="FE708" s="43"/>
      <c r="FF708" s="43"/>
      <c r="FG708" s="43"/>
      <c r="FH708" s="50"/>
      <c r="FI708" s="50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43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43"/>
      <c r="CF709" s="43"/>
      <c r="CG709" s="43"/>
      <c r="CH709" s="43"/>
      <c r="CI709" s="43"/>
      <c r="CJ709" s="43"/>
      <c r="CK709" s="43"/>
      <c r="CL709" s="43"/>
      <c r="CM709" s="43"/>
      <c r="CN709" s="43"/>
      <c r="CO709" s="43"/>
      <c r="CP709" s="43"/>
      <c r="CQ709" s="43"/>
      <c r="CR709" s="43"/>
      <c r="CS709" s="43"/>
      <c r="CT709" s="43"/>
      <c r="CU709" s="43"/>
      <c r="CV709" s="43"/>
      <c r="CW709" s="43"/>
      <c r="CX709" s="43"/>
      <c r="CY709" s="43"/>
      <c r="CZ709" s="43"/>
      <c r="DA709" s="43"/>
      <c r="DB709" s="43"/>
      <c r="DC709" s="43"/>
      <c r="DD709" s="43"/>
      <c r="DE709" s="43"/>
      <c r="DF709" s="43"/>
      <c r="DG709" s="43"/>
      <c r="DH709" s="43"/>
      <c r="DI709" s="43"/>
      <c r="DJ709" s="43"/>
      <c r="DK709" s="43"/>
      <c r="DL709" s="43"/>
      <c r="DM709" s="43"/>
      <c r="DN709" s="43"/>
      <c r="DO709" s="43"/>
      <c r="DP709" s="43"/>
      <c r="DQ709" s="43"/>
      <c r="DR709" s="43"/>
      <c r="DS709" s="43"/>
      <c r="DT709" s="43"/>
      <c r="DU709" s="43"/>
      <c r="DV709" s="43"/>
      <c r="DW709" s="43"/>
      <c r="DX709" s="43"/>
      <c r="DY709" s="43"/>
      <c r="DZ709" s="43"/>
      <c r="EA709" s="43"/>
      <c r="EB709" s="43"/>
      <c r="EC709" s="43"/>
      <c r="ED709" s="43"/>
      <c r="EE709" s="43"/>
      <c r="EF709" s="43"/>
      <c r="EG709" s="43"/>
      <c r="EH709" s="43"/>
      <c r="EI709" s="43"/>
      <c r="EJ709" s="43"/>
      <c r="EK709" s="43"/>
      <c r="EL709" s="43"/>
      <c r="EM709" s="43"/>
      <c r="EN709" s="43"/>
      <c r="EO709" s="43"/>
      <c r="EP709" s="43"/>
      <c r="EQ709" s="43"/>
      <c r="ER709" s="43"/>
      <c r="ES709" s="43"/>
      <c r="ET709" s="43"/>
      <c r="EU709" s="43"/>
      <c r="EV709" s="43"/>
      <c r="EW709" s="43"/>
      <c r="EX709" s="43"/>
      <c r="EY709" s="43"/>
      <c r="EZ709" s="43"/>
      <c r="FA709" s="43"/>
      <c r="FB709" s="43"/>
      <c r="FC709" s="43"/>
      <c r="FD709" s="43"/>
      <c r="FE709" s="43"/>
      <c r="FF709" s="43"/>
      <c r="FG709" s="43"/>
      <c r="FH709" s="50"/>
      <c r="FI709" s="50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  <c r="CS710" s="43"/>
      <c r="CT710" s="43"/>
      <c r="CU710" s="43"/>
      <c r="CV710" s="43"/>
      <c r="CW710" s="43"/>
      <c r="CX710" s="43"/>
      <c r="CY710" s="43"/>
      <c r="CZ710" s="43"/>
      <c r="DA710" s="43"/>
      <c r="DB710" s="43"/>
      <c r="DC710" s="43"/>
      <c r="DD710" s="43"/>
      <c r="DE710" s="43"/>
      <c r="DF710" s="43"/>
      <c r="DG710" s="43"/>
      <c r="DH710" s="43"/>
      <c r="DI710" s="43"/>
      <c r="DJ710" s="43"/>
      <c r="DK710" s="43"/>
      <c r="DL710" s="43"/>
      <c r="DM710" s="43"/>
      <c r="DN710" s="43"/>
      <c r="DO710" s="43"/>
      <c r="DP710" s="43"/>
      <c r="DQ710" s="43"/>
      <c r="DR710" s="43"/>
      <c r="DS710" s="43"/>
      <c r="DT710" s="43"/>
      <c r="DU710" s="43"/>
      <c r="DV710" s="43"/>
      <c r="DW710" s="43"/>
      <c r="DX710" s="43"/>
      <c r="DY710" s="43"/>
      <c r="DZ710" s="43"/>
      <c r="EA710" s="43"/>
      <c r="EB710" s="43"/>
      <c r="EC710" s="43"/>
      <c r="ED710" s="43"/>
      <c r="EE710" s="43"/>
      <c r="EF710" s="43"/>
      <c r="EG710" s="43"/>
      <c r="EH710" s="43"/>
      <c r="EI710" s="43"/>
      <c r="EJ710" s="43"/>
      <c r="EK710" s="43"/>
      <c r="EL710" s="43"/>
      <c r="EM710" s="43"/>
      <c r="EN710" s="43"/>
      <c r="EO710" s="43"/>
      <c r="EP710" s="43"/>
      <c r="EQ710" s="43"/>
      <c r="ER710" s="43"/>
      <c r="ES710" s="43"/>
      <c r="ET710" s="43"/>
      <c r="EU710" s="43"/>
      <c r="EV710" s="43"/>
      <c r="EW710" s="43"/>
      <c r="EX710" s="43"/>
      <c r="EY710" s="43"/>
      <c r="EZ710" s="43"/>
      <c r="FA710" s="43"/>
      <c r="FB710" s="43"/>
      <c r="FC710" s="43"/>
      <c r="FD710" s="43"/>
      <c r="FE710" s="43"/>
      <c r="FF710" s="43"/>
      <c r="FG710" s="43"/>
      <c r="FH710" s="50"/>
      <c r="FI710" s="50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43"/>
      <c r="CF711" s="43"/>
      <c r="CG711" s="43"/>
      <c r="CH711" s="43"/>
      <c r="CI711" s="43"/>
      <c r="CJ711" s="43"/>
      <c r="CK711" s="43"/>
      <c r="CL711" s="43"/>
      <c r="CM711" s="43"/>
      <c r="CN711" s="43"/>
      <c r="CO711" s="43"/>
      <c r="CP711" s="43"/>
      <c r="CQ711" s="43"/>
      <c r="CR711" s="43"/>
      <c r="CS711" s="43"/>
      <c r="CT711" s="43"/>
      <c r="CU711" s="43"/>
      <c r="CV711" s="43"/>
      <c r="CW711" s="43"/>
      <c r="CX711" s="43"/>
      <c r="CY711" s="43"/>
      <c r="CZ711" s="43"/>
      <c r="DA711" s="43"/>
      <c r="DB711" s="43"/>
      <c r="DC711" s="43"/>
      <c r="DD711" s="43"/>
      <c r="DE711" s="43"/>
      <c r="DF711" s="43"/>
      <c r="DG711" s="43"/>
      <c r="DH711" s="43"/>
      <c r="DI711" s="43"/>
      <c r="DJ711" s="43"/>
      <c r="DK711" s="43"/>
      <c r="DL711" s="43"/>
      <c r="DM711" s="43"/>
      <c r="DN711" s="43"/>
      <c r="DO711" s="43"/>
      <c r="DP711" s="43"/>
      <c r="DQ711" s="43"/>
      <c r="DR711" s="43"/>
      <c r="DS711" s="43"/>
      <c r="DT711" s="43"/>
      <c r="DU711" s="43"/>
      <c r="DV711" s="43"/>
      <c r="DW711" s="43"/>
      <c r="DX711" s="43"/>
      <c r="DY711" s="43"/>
      <c r="DZ711" s="43"/>
      <c r="EA711" s="43"/>
      <c r="EB711" s="43"/>
      <c r="EC711" s="43"/>
      <c r="ED711" s="43"/>
      <c r="EE711" s="43"/>
      <c r="EF711" s="43"/>
      <c r="EG711" s="43"/>
      <c r="EH711" s="43"/>
      <c r="EI711" s="43"/>
      <c r="EJ711" s="43"/>
      <c r="EK711" s="43"/>
      <c r="EL711" s="43"/>
      <c r="EM711" s="43"/>
      <c r="EN711" s="43"/>
      <c r="EO711" s="43"/>
      <c r="EP711" s="43"/>
      <c r="EQ711" s="43"/>
      <c r="ER711" s="43"/>
      <c r="ES711" s="43"/>
      <c r="ET711" s="43"/>
      <c r="EU711" s="43"/>
      <c r="EV711" s="43"/>
      <c r="EW711" s="43"/>
      <c r="EX711" s="43"/>
      <c r="EY711" s="43"/>
      <c r="EZ711" s="43"/>
      <c r="FA711" s="43"/>
      <c r="FB711" s="43"/>
      <c r="FC711" s="43"/>
      <c r="FD711" s="43"/>
      <c r="FE711" s="43"/>
      <c r="FF711" s="43"/>
      <c r="FG711" s="43"/>
      <c r="FH711" s="50"/>
      <c r="FI711" s="50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43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43"/>
      <c r="CF712" s="43"/>
      <c r="CG712" s="43"/>
      <c r="CH712" s="43"/>
      <c r="CI712" s="43"/>
      <c r="CJ712" s="43"/>
      <c r="CK712" s="43"/>
      <c r="CL712" s="43"/>
      <c r="CM712" s="43"/>
      <c r="CN712" s="43"/>
      <c r="CO712" s="43"/>
      <c r="CP712" s="43"/>
      <c r="CQ712" s="43"/>
      <c r="CR712" s="43"/>
      <c r="CS712" s="43"/>
      <c r="CT712" s="43"/>
      <c r="CU712" s="43"/>
      <c r="CV712" s="43"/>
      <c r="CW712" s="43"/>
      <c r="CX712" s="43"/>
      <c r="CY712" s="43"/>
      <c r="CZ712" s="43"/>
      <c r="DA712" s="43"/>
      <c r="DB712" s="43"/>
      <c r="DC712" s="43"/>
      <c r="DD712" s="43"/>
      <c r="DE712" s="43"/>
      <c r="DF712" s="43"/>
      <c r="DG712" s="43"/>
      <c r="DH712" s="43"/>
      <c r="DI712" s="43"/>
      <c r="DJ712" s="43"/>
      <c r="DK712" s="43"/>
      <c r="DL712" s="43"/>
      <c r="DM712" s="43"/>
      <c r="DN712" s="43"/>
      <c r="DO712" s="43"/>
      <c r="DP712" s="43"/>
      <c r="DQ712" s="43"/>
      <c r="DR712" s="43"/>
      <c r="DS712" s="43"/>
      <c r="DT712" s="43"/>
      <c r="DU712" s="43"/>
      <c r="DV712" s="43"/>
      <c r="DW712" s="43"/>
      <c r="DX712" s="43"/>
      <c r="DY712" s="43"/>
      <c r="DZ712" s="43"/>
      <c r="EA712" s="43"/>
      <c r="EB712" s="43"/>
      <c r="EC712" s="43"/>
      <c r="ED712" s="43"/>
      <c r="EE712" s="43"/>
      <c r="EF712" s="43"/>
      <c r="EG712" s="43"/>
      <c r="EH712" s="43"/>
      <c r="EI712" s="43"/>
      <c r="EJ712" s="43"/>
      <c r="EK712" s="43"/>
      <c r="EL712" s="43"/>
      <c r="EM712" s="43"/>
      <c r="EN712" s="43"/>
      <c r="EO712" s="43"/>
      <c r="EP712" s="43"/>
      <c r="EQ712" s="43"/>
      <c r="ER712" s="43"/>
      <c r="ES712" s="43"/>
      <c r="ET712" s="43"/>
      <c r="EU712" s="43"/>
      <c r="EV712" s="43"/>
      <c r="EW712" s="43"/>
      <c r="EX712" s="43"/>
      <c r="EY712" s="43"/>
      <c r="EZ712" s="43"/>
      <c r="FA712" s="43"/>
      <c r="FB712" s="43"/>
      <c r="FC712" s="43"/>
      <c r="FD712" s="43"/>
      <c r="FE712" s="43"/>
      <c r="FF712" s="43"/>
      <c r="FG712" s="43"/>
      <c r="FH712" s="50"/>
      <c r="FI712" s="50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43"/>
      <c r="CF713" s="43"/>
      <c r="CG713" s="43"/>
      <c r="CH713" s="43"/>
      <c r="CI713" s="43"/>
      <c r="CJ713" s="43"/>
      <c r="CK713" s="43"/>
      <c r="CL713" s="43"/>
      <c r="CM713" s="43"/>
      <c r="CN713" s="43"/>
      <c r="CO713" s="43"/>
      <c r="CP713" s="43"/>
      <c r="CQ713" s="43"/>
      <c r="CR713" s="43"/>
      <c r="CS713" s="43"/>
      <c r="CT713" s="43"/>
      <c r="CU713" s="43"/>
      <c r="CV713" s="43"/>
      <c r="CW713" s="43"/>
      <c r="CX713" s="43"/>
      <c r="CY713" s="43"/>
      <c r="CZ713" s="43"/>
      <c r="DA713" s="43"/>
      <c r="DB713" s="43"/>
      <c r="DC713" s="43"/>
      <c r="DD713" s="43"/>
      <c r="DE713" s="43"/>
      <c r="DF713" s="43"/>
      <c r="DG713" s="43"/>
      <c r="DH713" s="43"/>
      <c r="DI713" s="43"/>
      <c r="DJ713" s="43"/>
      <c r="DK713" s="43"/>
      <c r="DL713" s="43"/>
      <c r="DM713" s="43"/>
      <c r="DN713" s="43"/>
      <c r="DO713" s="43"/>
      <c r="DP713" s="43"/>
      <c r="DQ713" s="43"/>
      <c r="DR713" s="43"/>
      <c r="DS713" s="43"/>
      <c r="DT713" s="43"/>
      <c r="DU713" s="43"/>
      <c r="DV713" s="43"/>
      <c r="DW713" s="43"/>
      <c r="DX713" s="43"/>
      <c r="DY713" s="43"/>
      <c r="DZ713" s="43"/>
      <c r="EA713" s="43"/>
      <c r="EB713" s="43"/>
      <c r="EC713" s="43"/>
      <c r="ED713" s="43"/>
      <c r="EE713" s="43"/>
      <c r="EF713" s="43"/>
      <c r="EG713" s="43"/>
      <c r="EH713" s="43"/>
      <c r="EI713" s="43"/>
      <c r="EJ713" s="43"/>
      <c r="EK713" s="43"/>
      <c r="EL713" s="43"/>
      <c r="EM713" s="43"/>
      <c r="EN713" s="43"/>
      <c r="EO713" s="43"/>
      <c r="EP713" s="43"/>
      <c r="EQ713" s="43"/>
      <c r="ER713" s="43"/>
      <c r="ES713" s="43"/>
      <c r="ET713" s="43"/>
      <c r="EU713" s="43"/>
      <c r="EV713" s="43"/>
      <c r="EW713" s="43"/>
      <c r="EX713" s="43"/>
      <c r="EY713" s="43"/>
      <c r="EZ713" s="43"/>
      <c r="FA713" s="43"/>
      <c r="FB713" s="43"/>
      <c r="FC713" s="43"/>
      <c r="FD713" s="43"/>
      <c r="FE713" s="43"/>
      <c r="FF713" s="43"/>
      <c r="FG713" s="43"/>
      <c r="FH713" s="50"/>
      <c r="FI713" s="50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43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43"/>
      <c r="CF714" s="43"/>
      <c r="CG714" s="43"/>
      <c r="CH714" s="43"/>
      <c r="CI714" s="43"/>
      <c r="CJ714" s="43"/>
      <c r="CK714" s="43"/>
      <c r="CL714" s="43"/>
      <c r="CM714" s="43"/>
      <c r="CN714" s="43"/>
      <c r="CO714" s="43"/>
      <c r="CP714" s="43"/>
      <c r="CQ714" s="43"/>
      <c r="CR714" s="43"/>
      <c r="CS714" s="43"/>
      <c r="CT714" s="43"/>
      <c r="CU714" s="43"/>
      <c r="CV714" s="43"/>
      <c r="CW714" s="43"/>
      <c r="CX714" s="43"/>
      <c r="CY714" s="43"/>
      <c r="CZ714" s="43"/>
      <c r="DA714" s="43"/>
      <c r="DB714" s="43"/>
      <c r="DC714" s="43"/>
      <c r="DD714" s="43"/>
      <c r="DE714" s="43"/>
      <c r="DF714" s="43"/>
      <c r="DG714" s="43"/>
      <c r="DH714" s="43"/>
      <c r="DI714" s="43"/>
      <c r="DJ714" s="43"/>
      <c r="DK714" s="43"/>
      <c r="DL714" s="43"/>
      <c r="DM714" s="43"/>
      <c r="DN714" s="43"/>
      <c r="DO714" s="43"/>
      <c r="DP714" s="43"/>
      <c r="DQ714" s="43"/>
      <c r="DR714" s="43"/>
      <c r="DS714" s="43"/>
      <c r="DT714" s="43"/>
      <c r="DU714" s="43"/>
      <c r="DV714" s="43"/>
      <c r="DW714" s="43"/>
      <c r="DX714" s="43"/>
      <c r="DY714" s="43"/>
      <c r="DZ714" s="43"/>
      <c r="EA714" s="43"/>
      <c r="EB714" s="43"/>
      <c r="EC714" s="43"/>
      <c r="ED714" s="43"/>
      <c r="EE714" s="43"/>
      <c r="EF714" s="43"/>
      <c r="EG714" s="43"/>
      <c r="EH714" s="43"/>
      <c r="EI714" s="43"/>
      <c r="EJ714" s="43"/>
      <c r="EK714" s="43"/>
      <c r="EL714" s="43"/>
      <c r="EM714" s="43"/>
      <c r="EN714" s="43"/>
      <c r="EO714" s="43"/>
      <c r="EP714" s="43"/>
      <c r="EQ714" s="43"/>
      <c r="ER714" s="43"/>
      <c r="ES714" s="43"/>
      <c r="ET714" s="43"/>
      <c r="EU714" s="43"/>
      <c r="EV714" s="43"/>
      <c r="EW714" s="43"/>
      <c r="EX714" s="43"/>
      <c r="EY714" s="43"/>
      <c r="EZ714" s="43"/>
      <c r="FA714" s="43"/>
      <c r="FB714" s="43"/>
      <c r="FC714" s="43"/>
      <c r="FD714" s="43"/>
      <c r="FE714" s="43"/>
      <c r="FF714" s="43"/>
      <c r="FG714" s="43"/>
      <c r="FH714" s="50"/>
      <c r="FI714" s="50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43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43"/>
      <c r="CF715" s="43"/>
      <c r="CG715" s="43"/>
      <c r="CH715" s="43"/>
      <c r="CI715" s="43"/>
      <c r="CJ715" s="43"/>
      <c r="CK715" s="43"/>
      <c r="CL715" s="43"/>
      <c r="CM715" s="43"/>
      <c r="CN715" s="43"/>
      <c r="CO715" s="43"/>
      <c r="CP715" s="43"/>
      <c r="CQ715" s="43"/>
      <c r="CR715" s="43"/>
      <c r="CS715" s="43"/>
      <c r="CT715" s="43"/>
      <c r="CU715" s="43"/>
      <c r="CV715" s="43"/>
      <c r="CW715" s="43"/>
      <c r="CX715" s="43"/>
      <c r="CY715" s="43"/>
      <c r="CZ715" s="43"/>
      <c r="DA715" s="43"/>
      <c r="DB715" s="43"/>
      <c r="DC715" s="43"/>
      <c r="DD715" s="43"/>
      <c r="DE715" s="43"/>
      <c r="DF715" s="43"/>
      <c r="DG715" s="43"/>
      <c r="DH715" s="43"/>
      <c r="DI715" s="43"/>
      <c r="DJ715" s="43"/>
      <c r="DK715" s="43"/>
      <c r="DL715" s="43"/>
      <c r="DM715" s="43"/>
      <c r="DN715" s="43"/>
      <c r="DO715" s="43"/>
      <c r="DP715" s="43"/>
      <c r="DQ715" s="43"/>
      <c r="DR715" s="43"/>
      <c r="DS715" s="43"/>
      <c r="DT715" s="43"/>
      <c r="DU715" s="43"/>
      <c r="DV715" s="43"/>
      <c r="DW715" s="43"/>
      <c r="DX715" s="43"/>
      <c r="DY715" s="43"/>
      <c r="DZ715" s="43"/>
      <c r="EA715" s="43"/>
      <c r="EB715" s="43"/>
      <c r="EC715" s="43"/>
      <c r="ED715" s="43"/>
      <c r="EE715" s="43"/>
      <c r="EF715" s="43"/>
      <c r="EG715" s="43"/>
      <c r="EH715" s="43"/>
      <c r="EI715" s="43"/>
      <c r="EJ715" s="43"/>
      <c r="EK715" s="43"/>
      <c r="EL715" s="43"/>
      <c r="EM715" s="43"/>
      <c r="EN715" s="43"/>
      <c r="EO715" s="43"/>
      <c r="EP715" s="43"/>
      <c r="EQ715" s="43"/>
      <c r="ER715" s="43"/>
      <c r="ES715" s="43"/>
      <c r="ET715" s="43"/>
      <c r="EU715" s="43"/>
      <c r="EV715" s="43"/>
      <c r="EW715" s="43"/>
      <c r="EX715" s="43"/>
      <c r="EY715" s="43"/>
      <c r="EZ715" s="43"/>
      <c r="FA715" s="43"/>
      <c r="FB715" s="43"/>
      <c r="FC715" s="43"/>
      <c r="FD715" s="43"/>
      <c r="FE715" s="43"/>
      <c r="FF715" s="43"/>
      <c r="FG715" s="43"/>
      <c r="FH715" s="50"/>
      <c r="FI715" s="50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43"/>
      <c r="CF716" s="43"/>
      <c r="CG716" s="43"/>
      <c r="CH716" s="43"/>
      <c r="CI716" s="43"/>
      <c r="CJ716" s="43"/>
      <c r="CK716" s="43"/>
      <c r="CL716" s="43"/>
      <c r="CM716" s="43"/>
      <c r="CN716" s="43"/>
      <c r="CO716" s="43"/>
      <c r="CP716" s="43"/>
      <c r="CQ716" s="43"/>
      <c r="CR716" s="43"/>
      <c r="CS716" s="43"/>
      <c r="CT716" s="43"/>
      <c r="CU716" s="43"/>
      <c r="CV716" s="43"/>
      <c r="CW716" s="43"/>
      <c r="CX716" s="43"/>
      <c r="CY716" s="43"/>
      <c r="CZ716" s="43"/>
      <c r="DA716" s="43"/>
      <c r="DB716" s="43"/>
      <c r="DC716" s="43"/>
      <c r="DD716" s="43"/>
      <c r="DE716" s="43"/>
      <c r="DF716" s="43"/>
      <c r="DG716" s="43"/>
      <c r="DH716" s="43"/>
      <c r="DI716" s="43"/>
      <c r="DJ716" s="43"/>
      <c r="DK716" s="43"/>
      <c r="DL716" s="43"/>
      <c r="DM716" s="43"/>
      <c r="DN716" s="43"/>
      <c r="DO716" s="43"/>
      <c r="DP716" s="43"/>
      <c r="DQ716" s="43"/>
      <c r="DR716" s="43"/>
      <c r="DS716" s="43"/>
      <c r="DT716" s="43"/>
      <c r="DU716" s="43"/>
      <c r="DV716" s="43"/>
      <c r="DW716" s="43"/>
      <c r="DX716" s="43"/>
      <c r="DY716" s="43"/>
      <c r="DZ716" s="43"/>
      <c r="EA716" s="43"/>
      <c r="EB716" s="43"/>
      <c r="EC716" s="43"/>
      <c r="ED716" s="43"/>
      <c r="EE716" s="43"/>
      <c r="EF716" s="43"/>
      <c r="EG716" s="43"/>
      <c r="EH716" s="43"/>
      <c r="EI716" s="43"/>
      <c r="EJ716" s="43"/>
      <c r="EK716" s="43"/>
      <c r="EL716" s="43"/>
      <c r="EM716" s="43"/>
      <c r="EN716" s="43"/>
      <c r="EO716" s="43"/>
      <c r="EP716" s="43"/>
      <c r="EQ716" s="43"/>
      <c r="ER716" s="43"/>
      <c r="ES716" s="43"/>
      <c r="ET716" s="43"/>
      <c r="EU716" s="43"/>
      <c r="EV716" s="43"/>
      <c r="EW716" s="43"/>
      <c r="EX716" s="43"/>
      <c r="EY716" s="43"/>
      <c r="EZ716" s="43"/>
      <c r="FA716" s="43"/>
      <c r="FB716" s="43"/>
      <c r="FC716" s="43"/>
      <c r="FD716" s="43"/>
      <c r="FE716" s="43"/>
      <c r="FF716" s="43"/>
      <c r="FG716" s="43"/>
      <c r="FH716" s="50"/>
      <c r="FI716" s="50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43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43"/>
      <c r="CF717" s="43"/>
      <c r="CG717" s="43"/>
      <c r="CH717" s="43"/>
      <c r="CI717" s="43"/>
      <c r="CJ717" s="43"/>
      <c r="CK717" s="43"/>
      <c r="CL717" s="43"/>
      <c r="CM717" s="43"/>
      <c r="CN717" s="43"/>
      <c r="CO717" s="43"/>
      <c r="CP717" s="43"/>
      <c r="CQ717" s="43"/>
      <c r="CR717" s="43"/>
      <c r="CS717" s="43"/>
      <c r="CT717" s="43"/>
      <c r="CU717" s="43"/>
      <c r="CV717" s="43"/>
      <c r="CW717" s="43"/>
      <c r="CX717" s="43"/>
      <c r="CY717" s="43"/>
      <c r="CZ717" s="43"/>
      <c r="DA717" s="43"/>
      <c r="DB717" s="43"/>
      <c r="DC717" s="43"/>
      <c r="DD717" s="43"/>
      <c r="DE717" s="43"/>
      <c r="DF717" s="43"/>
      <c r="DG717" s="43"/>
      <c r="DH717" s="43"/>
      <c r="DI717" s="43"/>
      <c r="DJ717" s="43"/>
      <c r="DK717" s="43"/>
      <c r="DL717" s="43"/>
      <c r="DM717" s="43"/>
      <c r="DN717" s="43"/>
      <c r="DO717" s="43"/>
      <c r="DP717" s="43"/>
      <c r="DQ717" s="43"/>
      <c r="DR717" s="43"/>
      <c r="DS717" s="43"/>
      <c r="DT717" s="43"/>
      <c r="DU717" s="43"/>
      <c r="DV717" s="43"/>
      <c r="DW717" s="43"/>
      <c r="DX717" s="43"/>
      <c r="DY717" s="43"/>
      <c r="DZ717" s="43"/>
      <c r="EA717" s="43"/>
      <c r="EB717" s="43"/>
      <c r="EC717" s="43"/>
      <c r="ED717" s="43"/>
      <c r="EE717" s="43"/>
      <c r="EF717" s="43"/>
      <c r="EG717" s="43"/>
      <c r="EH717" s="43"/>
      <c r="EI717" s="43"/>
      <c r="EJ717" s="43"/>
      <c r="EK717" s="43"/>
      <c r="EL717" s="43"/>
      <c r="EM717" s="43"/>
      <c r="EN717" s="43"/>
      <c r="EO717" s="43"/>
      <c r="EP717" s="43"/>
      <c r="EQ717" s="43"/>
      <c r="ER717" s="43"/>
      <c r="ES717" s="43"/>
      <c r="ET717" s="43"/>
      <c r="EU717" s="43"/>
      <c r="EV717" s="43"/>
      <c r="EW717" s="43"/>
      <c r="EX717" s="43"/>
      <c r="EY717" s="43"/>
      <c r="EZ717" s="43"/>
      <c r="FA717" s="43"/>
      <c r="FB717" s="43"/>
      <c r="FC717" s="43"/>
      <c r="FD717" s="43"/>
      <c r="FE717" s="43"/>
      <c r="FF717" s="43"/>
      <c r="FG717" s="43"/>
      <c r="FH717" s="50"/>
      <c r="FI717" s="50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43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43"/>
      <c r="CF718" s="43"/>
      <c r="CG718" s="43"/>
      <c r="CH718" s="43"/>
      <c r="CI718" s="43"/>
      <c r="CJ718" s="43"/>
      <c r="CK718" s="43"/>
      <c r="CL718" s="43"/>
      <c r="CM718" s="43"/>
      <c r="CN718" s="43"/>
      <c r="CO718" s="43"/>
      <c r="CP718" s="43"/>
      <c r="CQ718" s="43"/>
      <c r="CR718" s="43"/>
      <c r="CS718" s="43"/>
      <c r="CT718" s="43"/>
      <c r="CU718" s="43"/>
      <c r="CV718" s="43"/>
      <c r="CW718" s="43"/>
      <c r="CX718" s="43"/>
      <c r="CY718" s="43"/>
      <c r="CZ718" s="43"/>
      <c r="DA718" s="43"/>
      <c r="DB718" s="43"/>
      <c r="DC718" s="43"/>
      <c r="DD718" s="43"/>
      <c r="DE718" s="43"/>
      <c r="DF718" s="43"/>
      <c r="DG718" s="43"/>
      <c r="DH718" s="43"/>
      <c r="DI718" s="43"/>
      <c r="DJ718" s="43"/>
      <c r="DK718" s="43"/>
      <c r="DL718" s="43"/>
      <c r="DM718" s="43"/>
      <c r="DN718" s="43"/>
      <c r="DO718" s="43"/>
      <c r="DP718" s="43"/>
      <c r="DQ718" s="43"/>
      <c r="DR718" s="43"/>
      <c r="DS718" s="43"/>
      <c r="DT718" s="43"/>
      <c r="DU718" s="43"/>
      <c r="DV718" s="43"/>
      <c r="DW718" s="43"/>
      <c r="DX718" s="43"/>
      <c r="DY718" s="43"/>
      <c r="DZ718" s="43"/>
      <c r="EA718" s="43"/>
      <c r="EB718" s="43"/>
      <c r="EC718" s="43"/>
      <c r="ED718" s="43"/>
      <c r="EE718" s="43"/>
      <c r="EF718" s="43"/>
      <c r="EG718" s="43"/>
      <c r="EH718" s="43"/>
      <c r="EI718" s="43"/>
      <c r="EJ718" s="43"/>
      <c r="EK718" s="43"/>
      <c r="EL718" s="43"/>
      <c r="EM718" s="43"/>
      <c r="EN718" s="43"/>
      <c r="EO718" s="43"/>
      <c r="EP718" s="43"/>
      <c r="EQ718" s="43"/>
      <c r="ER718" s="43"/>
      <c r="ES718" s="43"/>
      <c r="ET718" s="43"/>
      <c r="EU718" s="43"/>
      <c r="EV718" s="43"/>
      <c r="EW718" s="43"/>
      <c r="EX718" s="43"/>
      <c r="EY718" s="43"/>
      <c r="EZ718" s="43"/>
      <c r="FA718" s="43"/>
      <c r="FB718" s="43"/>
      <c r="FC718" s="43"/>
      <c r="FD718" s="43"/>
      <c r="FE718" s="43"/>
      <c r="FF718" s="43"/>
      <c r="FG718" s="43"/>
      <c r="FH718" s="50"/>
      <c r="FI718" s="50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  <c r="CS719" s="43"/>
      <c r="CT719" s="43"/>
      <c r="CU719" s="43"/>
      <c r="CV719" s="43"/>
      <c r="CW719" s="43"/>
      <c r="CX719" s="43"/>
      <c r="CY719" s="43"/>
      <c r="CZ719" s="43"/>
      <c r="DA719" s="43"/>
      <c r="DB719" s="43"/>
      <c r="DC719" s="43"/>
      <c r="DD719" s="43"/>
      <c r="DE719" s="43"/>
      <c r="DF719" s="43"/>
      <c r="DG719" s="43"/>
      <c r="DH719" s="43"/>
      <c r="DI719" s="43"/>
      <c r="DJ719" s="43"/>
      <c r="DK719" s="43"/>
      <c r="DL719" s="43"/>
      <c r="DM719" s="43"/>
      <c r="DN719" s="43"/>
      <c r="DO719" s="43"/>
      <c r="DP719" s="43"/>
      <c r="DQ719" s="43"/>
      <c r="DR719" s="43"/>
      <c r="DS719" s="43"/>
      <c r="DT719" s="43"/>
      <c r="DU719" s="43"/>
      <c r="DV719" s="43"/>
      <c r="DW719" s="43"/>
      <c r="DX719" s="43"/>
      <c r="DY719" s="43"/>
      <c r="DZ719" s="43"/>
      <c r="EA719" s="43"/>
      <c r="EB719" s="43"/>
      <c r="EC719" s="43"/>
      <c r="ED719" s="43"/>
      <c r="EE719" s="43"/>
      <c r="EF719" s="43"/>
      <c r="EG719" s="43"/>
      <c r="EH719" s="43"/>
      <c r="EI719" s="43"/>
      <c r="EJ719" s="43"/>
      <c r="EK719" s="43"/>
      <c r="EL719" s="43"/>
      <c r="EM719" s="43"/>
      <c r="EN719" s="43"/>
      <c r="EO719" s="43"/>
      <c r="EP719" s="43"/>
      <c r="EQ719" s="43"/>
      <c r="ER719" s="43"/>
      <c r="ES719" s="43"/>
      <c r="ET719" s="43"/>
      <c r="EU719" s="43"/>
      <c r="EV719" s="43"/>
      <c r="EW719" s="43"/>
      <c r="EX719" s="43"/>
      <c r="EY719" s="43"/>
      <c r="EZ719" s="43"/>
      <c r="FA719" s="43"/>
      <c r="FB719" s="43"/>
      <c r="FC719" s="43"/>
      <c r="FD719" s="43"/>
      <c r="FE719" s="43"/>
      <c r="FF719" s="43"/>
      <c r="FG719" s="43"/>
      <c r="FH719" s="50"/>
      <c r="FI719" s="50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43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43"/>
      <c r="CF720" s="43"/>
      <c r="CG720" s="43"/>
      <c r="CH720" s="43"/>
      <c r="CI720" s="43"/>
      <c r="CJ720" s="43"/>
      <c r="CK720" s="43"/>
      <c r="CL720" s="43"/>
      <c r="CM720" s="43"/>
      <c r="CN720" s="43"/>
      <c r="CO720" s="43"/>
      <c r="CP720" s="43"/>
      <c r="CQ720" s="43"/>
      <c r="CR720" s="43"/>
      <c r="CS720" s="43"/>
      <c r="CT720" s="43"/>
      <c r="CU720" s="43"/>
      <c r="CV720" s="43"/>
      <c r="CW720" s="43"/>
      <c r="CX720" s="43"/>
      <c r="CY720" s="43"/>
      <c r="CZ720" s="43"/>
      <c r="DA720" s="43"/>
      <c r="DB720" s="43"/>
      <c r="DC720" s="43"/>
      <c r="DD720" s="43"/>
      <c r="DE720" s="43"/>
      <c r="DF720" s="43"/>
      <c r="DG720" s="43"/>
      <c r="DH720" s="43"/>
      <c r="DI720" s="43"/>
      <c r="DJ720" s="43"/>
      <c r="DK720" s="43"/>
      <c r="DL720" s="43"/>
      <c r="DM720" s="43"/>
      <c r="DN720" s="43"/>
      <c r="DO720" s="43"/>
      <c r="DP720" s="43"/>
      <c r="DQ720" s="43"/>
      <c r="DR720" s="43"/>
      <c r="DS720" s="43"/>
      <c r="DT720" s="43"/>
      <c r="DU720" s="43"/>
      <c r="DV720" s="43"/>
      <c r="DW720" s="43"/>
      <c r="DX720" s="43"/>
      <c r="DY720" s="43"/>
      <c r="DZ720" s="43"/>
      <c r="EA720" s="43"/>
      <c r="EB720" s="43"/>
      <c r="EC720" s="43"/>
      <c r="ED720" s="43"/>
      <c r="EE720" s="43"/>
      <c r="EF720" s="43"/>
      <c r="EG720" s="43"/>
      <c r="EH720" s="43"/>
      <c r="EI720" s="43"/>
      <c r="EJ720" s="43"/>
      <c r="EK720" s="43"/>
      <c r="EL720" s="43"/>
      <c r="EM720" s="43"/>
      <c r="EN720" s="43"/>
      <c r="EO720" s="43"/>
      <c r="EP720" s="43"/>
      <c r="EQ720" s="43"/>
      <c r="ER720" s="43"/>
      <c r="ES720" s="43"/>
      <c r="ET720" s="43"/>
      <c r="EU720" s="43"/>
      <c r="EV720" s="43"/>
      <c r="EW720" s="43"/>
      <c r="EX720" s="43"/>
      <c r="EY720" s="43"/>
      <c r="EZ720" s="43"/>
      <c r="FA720" s="43"/>
      <c r="FB720" s="43"/>
      <c r="FC720" s="43"/>
      <c r="FD720" s="43"/>
      <c r="FE720" s="43"/>
      <c r="FF720" s="43"/>
      <c r="FG720" s="43"/>
      <c r="FH720" s="50"/>
      <c r="FI720" s="50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43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43"/>
      <c r="CF721" s="43"/>
      <c r="CG721" s="43"/>
      <c r="CH721" s="43"/>
      <c r="CI721" s="43"/>
      <c r="CJ721" s="43"/>
      <c r="CK721" s="43"/>
      <c r="CL721" s="43"/>
      <c r="CM721" s="43"/>
      <c r="CN721" s="43"/>
      <c r="CO721" s="43"/>
      <c r="CP721" s="43"/>
      <c r="CQ721" s="43"/>
      <c r="CR721" s="43"/>
      <c r="CS721" s="43"/>
      <c r="CT721" s="43"/>
      <c r="CU721" s="43"/>
      <c r="CV721" s="43"/>
      <c r="CW721" s="43"/>
      <c r="CX721" s="43"/>
      <c r="CY721" s="43"/>
      <c r="CZ721" s="43"/>
      <c r="DA721" s="43"/>
      <c r="DB721" s="43"/>
      <c r="DC721" s="43"/>
      <c r="DD721" s="43"/>
      <c r="DE721" s="43"/>
      <c r="DF721" s="43"/>
      <c r="DG721" s="43"/>
      <c r="DH721" s="43"/>
      <c r="DI721" s="43"/>
      <c r="DJ721" s="43"/>
      <c r="DK721" s="43"/>
      <c r="DL721" s="43"/>
      <c r="DM721" s="43"/>
      <c r="DN721" s="43"/>
      <c r="DO721" s="43"/>
      <c r="DP721" s="43"/>
      <c r="DQ721" s="43"/>
      <c r="DR721" s="43"/>
      <c r="DS721" s="43"/>
      <c r="DT721" s="43"/>
      <c r="DU721" s="43"/>
      <c r="DV721" s="43"/>
      <c r="DW721" s="43"/>
      <c r="DX721" s="43"/>
      <c r="DY721" s="43"/>
      <c r="DZ721" s="43"/>
      <c r="EA721" s="43"/>
      <c r="EB721" s="43"/>
      <c r="EC721" s="43"/>
      <c r="ED721" s="43"/>
      <c r="EE721" s="43"/>
      <c r="EF721" s="43"/>
      <c r="EG721" s="43"/>
      <c r="EH721" s="43"/>
      <c r="EI721" s="43"/>
      <c r="EJ721" s="43"/>
      <c r="EK721" s="43"/>
      <c r="EL721" s="43"/>
      <c r="EM721" s="43"/>
      <c r="EN721" s="43"/>
      <c r="EO721" s="43"/>
      <c r="EP721" s="43"/>
      <c r="EQ721" s="43"/>
      <c r="ER721" s="43"/>
      <c r="ES721" s="43"/>
      <c r="ET721" s="43"/>
      <c r="EU721" s="43"/>
      <c r="EV721" s="43"/>
      <c r="EW721" s="43"/>
      <c r="EX721" s="43"/>
      <c r="EY721" s="43"/>
      <c r="EZ721" s="43"/>
      <c r="FA721" s="43"/>
      <c r="FB721" s="43"/>
      <c r="FC721" s="43"/>
      <c r="FD721" s="43"/>
      <c r="FE721" s="43"/>
      <c r="FF721" s="43"/>
      <c r="FG721" s="43"/>
      <c r="FH721" s="50"/>
      <c r="FI721" s="50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  <c r="CS722" s="43"/>
      <c r="CT722" s="43"/>
      <c r="CU722" s="43"/>
      <c r="CV722" s="43"/>
      <c r="CW722" s="43"/>
      <c r="CX722" s="43"/>
      <c r="CY722" s="43"/>
      <c r="CZ722" s="43"/>
      <c r="DA722" s="43"/>
      <c r="DB722" s="43"/>
      <c r="DC722" s="43"/>
      <c r="DD722" s="43"/>
      <c r="DE722" s="43"/>
      <c r="DF722" s="43"/>
      <c r="DG722" s="43"/>
      <c r="DH722" s="43"/>
      <c r="DI722" s="43"/>
      <c r="DJ722" s="43"/>
      <c r="DK722" s="43"/>
      <c r="DL722" s="43"/>
      <c r="DM722" s="43"/>
      <c r="DN722" s="43"/>
      <c r="DO722" s="43"/>
      <c r="DP722" s="43"/>
      <c r="DQ722" s="43"/>
      <c r="DR722" s="43"/>
      <c r="DS722" s="43"/>
      <c r="DT722" s="43"/>
      <c r="DU722" s="43"/>
      <c r="DV722" s="43"/>
      <c r="DW722" s="43"/>
      <c r="DX722" s="43"/>
      <c r="DY722" s="43"/>
      <c r="DZ722" s="43"/>
      <c r="EA722" s="43"/>
      <c r="EB722" s="43"/>
      <c r="EC722" s="43"/>
      <c r="ED722" s="43"/>
      <c r="EE722" s="43"/>
      <c r="EF722" s="43"/>
      <c r="EG722" s="43"/>
      <c r="EH722" s="43"/>
      <c r="EI722" s="43"/>
      <c r="EJ722" s="43"/>
      <c r="EK722" s="43"/>
      <c r="EL722" s="43"/>
      <c r="EM722" s="43"/>
      <c r="EN722" s="43"/>
      <c r="EO722" s="43"/>
      <c r="EP722" s="43"/>
      <c r="EQ722" s="43"/>
      <c r="ER722" s="43"/>
      <c r="ES722" s="43"/>
      <c r="ET722" s="43"/>
      <c r="EU722" s="43"/>
      <c r="EV722" s="43"/>
      <c r="EW722" s="43"/>
      <c r="EX722" s="43"/>
      <c r="EY722" s="43"/>
      <c r="EZ722" s="43"/>
      <c r="FA722" s="43"/>
      <c r="FB722" s="43"/>
      <c r="FC722" s="43"/>
      <c r="FD722" s="43"/>
      <c r="FE722" s="43"/>
      <c r="FF722" s="43"/>
      <c r="FG722" s="43"/>
      <c r="FH722" s="50"/>
      <c r="FI722" s="50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43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43"/>
      <c r="CF723" s="43"/>
      <c r="CG723" s="43"/>
      <c r="CH723" s="43"/>
      <c r="CI723" s="43"/>
      <c r="CJ723" s="43"/>
      <c r="CK723" s="43"/>
      <c r="CL723" s="43"/>
      <c r="CM723" s="43"/>
      <c r="CN723" s="43"/>
      <c r="CO723" s="43"/>
      <c r="CP723" s="43"/>
      <c r="CQ723" s="43"/>
      <c r="CR723" s="43"/>
      <c r="CS723" s="43"/>
      <c r="CT723" s="43"/>
      <c r="CU723" s="43"/>
      <c r="CV723" s="43"/>
      <c r="CW723" s="43"/>
      <c r="CX723" s="43"/>
      <c r="CY723" s="43"/>
      <c r="CZ723" s="43"/>
      <c r="DA723" s="43"/>
      <c r="DB723" s="43"/>
      <c r="DC723" s="43"/>
      <c r="DD723" s="43"/>
      <c r="DE723" s="43"/>
      <c r="DF723" s="43"/>
      <c r="DG723" s="43"/>
      <c r="DH723" s="43"/>
      <c r="DI723" s="43"/>
      <c r="DJ723" s="43"/>
      <c r="DK723" s="43"/>
      <c r="DL723" s="43"/>
      <c r="DM723" s="43"/>
      <c r="DN723" s="43"/>
      <c r="DO723" s="43"/>
      <c r="DP723" s="43"/>
      <c r="DQ723" s="43"/>
      <c r="DR723" s="43"/>
      <c r="DS723" s="43"/>
      <c r="DT723" s="43"/>
      <c r="DU723" s="43"/>
      <c r="DV723" s="43"/>
      <c r="DW723" s="43"/>
      <c r="DX723" s="43"/>
      <c r="DY723" s="43"/>
      <c r="DZ723" s="43"/>
      <c r="EA723" s="43"/>
      <c r="EB723" s="43"/>
      <c r="EC723" s="43"/>
      <c r="ED723" s="43"/>
      <c r="EE723" s="43"/>
      <c r="EF723" s="43"/>
      <c r="EG723" s="43"/>
      <c r="EH723" s="43"/>
      <c r="EI723" s="43"/>
      <c r="EJ723" s="43"/>
      <c r="EK723" s="43"/>
      <c r="EL723" s="43"/>
      <c r="EM723" s="43"/>
      <c r="EN723" s="43"/>
      <c r="EO723" s="43"/>
      <c r="EP723" s="43"/>
      <c r="EQ723" s="43"/>
      <c r="ER723" s="43"/>
      <c r="ES723" s="43"/>
      <c r="ET723" s="43"/>
      <c r="EU723" s="43"/>
      <c r="EV723" s="43"/>
      <c r="EW723" s="43"/>
      <c r="EX723" s="43"/>
      <c r="EY723" s="43"/>
      <c r="EZ723" s="43"/>
      <c r="FA723" s="43"/>
      <c r="FB723" s="43"/>
      <c r="FC723" s="43"/>
      <c r="FD723" s="43"/>
      <c r="FE723" s="43"/>
      <c r="FF723" s="43"/>
      <c r="FG723" s="43"/>
      <c r="FH723" s="50"/>
      <c r="FI723" s="50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43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43"/>
      <c r="CF724" s="43"/>
      <c r="CG724" s="43"/>
      <c r="CH724" s="43"/>
      <c r="CI724" s="43"/>
      <c r="CJ724" s="43"/>
      <c r="CK724" s="43"/>
      <c r="CL724" s="43"/>
      <c r="CM724" s="43"/>
      <c r="CN724" s="43"/>
      <c r="CO724" s="43"/>
      <c r="CP724" s="43"/>
      <c r="CQ724" s="43"/>
      <c r="CR724" s="43"/>
      <c r="CS724" s="43"/>
      <c r="CT724" s="43"/>
      <c r="CU724" s="43"/>
      <c r="CV724" s="43"/>
      <c r="CW724" s="43"/>
      <c r="CX724" s="43"/>
      <c r="CY724" s="43"/>
      <c r="CZ724" s="43"/>
      <c r="DA724" s="43"/>
      <c r="DB724" s="43"/>
      <c r="DC724" s="43"/>
      <c r="DD724" s="43"/>
      <c r="DE724" s="43"/>
      <c r="DF724" s="43"/>
      <c r="DG724" s="43"/>
      <c r="DH724" s="43"/>
      <c r="DI724" s="43"/>
      <c r="DJ724" s="43"/>
      <c r="DK724" s="43"/>
      <c r="DL724" s="43"/>
      <c r="DM724" s="43"/>
      <c r="DN724" s="43"/>
      <c r="DO724" s="43"/>
      <c r="DP724" s="43"/>
      <c r="DQ724" s="43"/>
      <c r="DR724" s="43"/>
      <c r="DS724" s="43"/>
      <c r="DT724" s="43"/>
      <c r="DU724" s="43"/>
      <c r="DV724" s="43"/>
      <c r="DW724" s="43"/>
      <c r="DX724" s="43"/>
      <c r="DY724" s="43"/>
      <c r="DZ724" s="43"/>
      <c r="EA724" s="43"/>
      <c r="EB724" s="43"/>
      <c r="EC724" s="43"/>
      <c r="ED724" s="43"/>
      <c r="EE724" s="43"/>
      <c r="EF724" s="43"/>
      <c r="EG724" s="43"/>
      <c r="EH724" s="43"/>
      <c r="EI724" s="43"/>
      <c r="EJ724" s="43"/>
      <c r="EK724" s="43"/>
      <c r="EL724" s="43"/>
      <c r="EM724" s="43"/>
      <c r="EN724" s="43"/>
      <c r="EO724" s="43"/>
      <c r="EP724" s="43"/>
      <c r="EQ724" s="43"/>
      <c r="ER724" s="43"/>
      <c r="ES724" s="43"/>
      <c r="ET724" s="43"/>
      <c r="EU724" s="43"/>
      <c r="EV724" s="43"/>
      <c r="EW724" s="43"/>
      <c r="EX724" s="43"/>
      <c r="EY724" s="43"/>
      <c r="EZ724" s="43"/>
      <c r="FA724" s="43"/>
      <c r="FB724" s="43"/>
      <c r="FC724" s="43"/>
      <c r="FD724" s="43"/>
      <c r="FE724" s="43"/>
      <c r="FF724" s="43"/>
      <c r="FG724" s="43"/>
      <c r="FH724" s="50"/>
      <c r="FI724" s="50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43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43"/>
      <c r="CF725" s="43"/>
      <c r="CG725" s="43"/>
      <c r="CH725" s="43"/>
      <c r="CI725" s="43"/>
      <c r="CJ725" s="43"/>
      <c r="CK725" s="43"/>
      <c r="CL725" s="43"/>
      <c r="CM725" s="43"/>
      <c r="CN725" s="43"/>
      <c r="CO725" s="43"/>
      <c r="CP725" s="43"/>
      <c r="CQ725" s="43"/>
      <c r="CR725" s="43"/>
      <c r="CS725" s="43"/>
      <c r="CT725" s="43"/>
      <c r="CU725" s="43"/>
      <c r="CV725" s="43"/>
      <c r="CW725" s="43"/>
      <c r="CX725" s="43"/>
      <c r="CY725" s="43"/>
      <c r="CZ725" s="43"/>
      <c r="DA725" s="43"/>
      <c r="DB725" s="43"/>
      <c r="DC725" s="43"/>
      <c r="DD725" s="43"/>
      <c r="DE725" s="43"/>
      <c r="DF725" s="43"/>
      <c r="DG725" s="43"/>
      <c r="DH725" s="43"/>
      <c r="DI725" s="43"/>
      <c r="DJ725" s="43"/>
      <c r="DK725" s="43"/>
      <c r="DL725" s="43"/>
      <c r="DM725" s="43"/>
      <c r="DN725" s="43"/>
      <c r="DO725" s="43"/>
      <c r="DP725" s="43"/>
      <c r="DQ725" s="43"/>
      <c r="DR725" s="43"/>
      <c r="DS725" s="43"/>
      <c r="DT725" s="43"/>
      <c r="DU725" s="43"/>
      <c r="DV725" s="43"/>
      <c r="DW725" s="43"/>
      <c r="DX725" s="43"/>
      <c r="DY725" s="43"/>
      <c r="DZ725" s="43"/>
      <c r="EA725" s="43"/>
      <c r="EB725" s="43"/>
      <c r="EC725" s="43"/>
      <c r="ED725" s="43"/>
      <c r="EE725" s="43"/>
      <c r="EF725" s="43"/>
      <c r="EG725" s="43"/>
      <c r="EH725" s="43"/>
      <c r="EI725" s="43"/>
      <c r="EJ725" s="43"/>
      <c r="EK725" s="43"/>
      <c r="EL725" s="43"/>
      <c r="EM725" s="43"/>
      <c r="EN725" s="43"/>
      <c r="EO725" s="43"/>
      <c r="EP725" s="43"/>
      <c r="EQ725" s="43"/>
      <c r="ER725" s="43"/>
      <c r="ES725" s="43"/>
      <c r="ET725" s="43"/>
      <c r="EU725" s="43"/>
      <c r="EV725" s="43"/>
      <c r="EW725" s="43"/>
      <c r="EX725" s="43"/>
      <c r="EY725" s="43"/>
      <c r="EZ725" s="43"/>
      <c r="FA725" s="43"/>
      <c r="FB725" s="43"/>
      <c r="FC725" s="43"/>
      <c r="FD725" s="43"/>
      <c r="FE725" s="43"/>
      <c r="FF725" s="43"/>
      <c r="FG725" s="43"/>
      <c r="FH725" s="50"/>
      <c r="FI725" s="50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43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43"/>
      <c r="CF726" s="43"/>
      <c r="CG726" s="43"/>
      <c r="CH726" s="43"/>
      <c r="CI726" s="43"/>
      <c r="CJ726" s="43"/>
      <c r="CK726" s="43"/>
      <c r="CL726" s="43"/>
      <c r="CM726" s="43"/>
      <c r="CN726" s="43"/>
      <c r="CO726" s="43"/>
      <c r="CP726" s="43"/>
      <c r="CQ726" s="43"/>
      <c r="CR726" s="43"/>
      <c r="CS726" s="43"/>
      <c r="CT726" s="43"/>
      <c r="CU726" s="43"/>
      <c r="CV726" s="43"/>
      <c r="CW726" s="43"/>
      <c r="CX726" s="43"/>
      <c r="CY726" s="43"/>
      <c r="CZ726" s="43"/>
      <c r="DA726" s="43"/>
      <c r="DB726" s="43"/>
      <c r="DC726" s="43"/>
      <c r="DD726" s="43"/>
      <c r="DE726" s="43"/>
      <c r="DF726" s="43"/>
      <c r="DG726" s="43"/>
      <c r="DH726" s="43"/>
      <c r="DI726" s="43"/>
      <c r="DJ726" s="43"/>
      <c r="DK726" s="43"/>
      <c r="DL726" s="43"/>
      <c r="DM726" s="43"/>
      <c r="DN726" s="43"/>
      <c r="DO726" s="43"/>
      <c r="DP726" s="43"/>
      <c r="DQ726" s="43"/>
      <c r="DR726" s="43"/>
      <c r="DS726" s="43"/>
      <c r="DT726" s="43"/>
      <c r="DU726" s="43"/>
      <c r="DV726" s="43"/>
      <c r="DW726" s="43"/>
      <c r="DX726" s="43"/>
      <c r="DY726" s="43"/>
      <c r="DZ726" s="43"/>
      <c r="EA726" s="43"/>
      <c r="EB726" s="43"/>
      <c r="EC726" s="43"/>
      <c r="ED726" s="43"/>
      <c r="EE726" s="43"/>
      <c r="EF726" s="43"/>
      <c r="EG726" s="43"/>
      <c r="EH726" s="43"/>
      <c r="EI726" s="43"/>
      <c r="EJ726" s="43"/>
      <c r="EK726" s="43"/>
      <c r="EL726" s="43"/>
      <c r="EM726" s="43"/>
      <c r="EN726" s="43"/>
      <c r="EO726" s="43"/>
      <c r="EP726" s="43"/>
      <c r="EQ726" s="43"/>
      <c r="ER726" s="43"/>
      <c r="ES726" s="43"/>
      <c r="ET726" s="43"/>
      <c r="EU726" s="43"/>
      <c r="EV726" s="43"/>
      <c r="EW726" s="43"/>
      <c r="EX726" s="43"/>
      <c r="EY726" s="43"/>
      <c r="EZ726" s="43"/>
      <c r="FA726" s="43"/>
      <c r="FB726" s="43"/>
      <c r="FC726" s="43"/>
      <c r="FD726" s="43"/>
      <c r="FE726" s="43"/>
      <c r="FF726" s="43"/>
      <c r="FG726" s="43"/>
      <c r="FH726" s="50"/>
      <c r="FI726" s="50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43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43"/>
      <c r="CF727" s="43"/>
      <c r="CG727" s="43"/>
      <c r="CH727" s="43"/>
      <c r="CI727" s="43"/>
      <c r="CJ727" s="43"/>
      <c r="CK727" s="43"/>
      <c r="CL727" s="43"/>
      <c r="CM727" s="43"/>
      <c r="CN727" s="43"/>
      <c r="CO727" s="43"/>
      <c r="CP727" s="43"/>
      <c r="CQ727" s="43"/>
      <c r="CR727" s="43"/>
      <c r="CS727" s="43"/>
      <c r="CT727" s="43"/>
      <c r="CU727" s="43"/>
      <c r="CV727" s="43"/>
      <c r="CW727" s="43"/>
      <c r="CX727" s="43"/>
      <c r="CY727" s="43"/>
      <c r="CZ727" s="43"/>
      <c r="DA727" s="43"/>
      <c r="DB727" s="43"/>
      <c r="DC727" s="43"/>
      <c r="DD727" s="43"/>
      <c r="DE727" s="43"/>
      <c r="DF727" s="43"/>
      <c r="DG727" s="43"/>
      <c r="DH727" s="43"/>
      <c r="DI727" s="43"/>
      <c r="DJ727" s="43"/>
      <c r="DK727" s="43"/>
      <c r="DL727" s="43"/>
      <c r="DM727" s="43"/>
      <c r="DN727" s="43"/>
      <c r="DO727" s="43"/>
      <c r="DP727" s="43"/>
      <c r="DQ727" s="43"/>
      <c r="DR727" s="43"/>
      <c r="DS727" s="43"/>
      <c r="DT727" s="43"/>
      <c r="DU727" s="43"/>
      <c r="DV727" s="43"/>
      <c r="DW727" s="43"/>
      <c r="DX727" s="43"/>
      <c r="DY727" s="43"/>
      <c r="DZ727" s="43"/>
      <c r="EA727" s="43"/>
      <c r="EB727" s="43"/>
      <c r="EC727" s="43"/>
      <c r="ED727" s="43"/>
      <c r="EE727" s="43"/>
      <c r="EF727" s="43"/>
      <c r="EG727" s="43"/>
      <c r="EH727" s="43"/>
      <c r="EI727" s="43"/>
      <c r="EJ727" s="43"/>
      <c r="EK727" s="43"/>
      <c r="EL727" s="43"/>
      <c r="EM727" s="43"/>
      <c r="EN727" s="43"/>
      <c r="EO727" s="43"/>
      <c r="EP727" s="43"/>
      <c r="EQ727" s="43"/>
      <c r="ER727" s="43"/>
      <c r="ES727" s="43"/>
      <c r="ET727" s="43"/>
      <c r="EU727" s="43"/>
      <c r="EV727" s="43"/>
      <c r="EW727" s="43"/>
      <c r="EX727" s="43"/>
      <c r="EY727" s="43"/>
      <c r="EZ727" s="43"/>
      <c r="FA727" s="43"/>
      <c r="FB727" s="43"/>
      <c r="FC727" s="43"/>
      <c r="FD727" s="43"/>
      <c r="FE727" s="43"/>
      <c r="FF727" s="43"/>
      <c r="FG727" s="43"/>
      <c r="FH727" s="50"/>
      <c r="FI727" s="50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43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43"/>
      <c r="CF728" s="43"/>
      <c r="CG728" s="43"/>
      <c r="CH728" s="43"/>
      <c r="CI728" s="43"/>
      <c r="CJ728" s="43"/>
      <c r="CK728" s="43"/>
      <c r="CL728" s="43"/>
      <c r="CM728" s="43"/>
      <c r="CN728" s="43"/>
      <c r="CO728" s="43"/>
      <c r="CP728" s="43"/>
      <c r="CQ728" s="43"/>
      <c r="CR728" s="43"/>
      <c r="CS728" s="43"/>
      <c r="CT728" s="43"/>
      <c r="CU728" s="43"/>
      <c r="CV728" s="43"/>
      <c r="CW728" s="43"/>
      <c r="CX728" s="43"/>
      <c r="CY728" s="43"/>
      <c r="CZ728" s="43"/>
      <c r="DA728" s="43"/>
      <c r="DB728" s="43"/>
      <c r="DC728" s="43"/>
      <c r="DD728" s="43"/>
      <c r="DE728" s="43"/>
      <c r="DF728" s="43"/>
      <c r="DG728" s="43"/>
      <c r="DH728" s="43"/>
      <c r="DI728" s="43"/>
      <c r="DJ728" s="43"/>
      <c r="DK728" s="43"/>
      <c r="DL728" s="43"/>
      <c r="DM728" s="43"/>
      <c r="DN728" s="43"/>
      <c r="DO728" s="43"/>
      <c r="DP728" s="43"/>
      <c r="DQ728" s="43"/>
      <c r="DR728" s="43"/>
      <c r="DS728" s="43"/>
      <c r="DT728" s="43"/>
      <c r="DU728" s="43"/>
      <c r="DV728" s="43"/>
      <c r="DW728" s="43"/>
      <c r="DX728" s="43"/>
      <c r="DY728" s="43"/>
      <c r="DZ728" s="43"/>
      <c r="EA728" s="43"/>
      <c r="EB728" s="43"/>
      <c r="EC728" s="43"/>
      <c r="ED728" s="43"/>
      <c r="EE728" s="43"/>
      <c r="EF728" s="43"/>
      <c r="EG728" s="43"/>
      <c r="EH728" s="43"/>
      <c r="EI728" s="43"/>
      <c r="EJ728" s="43"/>
      <c r="EK728" s="43"/>
      <c r="EL728" s="43"/>
      <c r="EM728" s="43"/>
      <c r="EN728" s="43"/>
      <c r="EO728" s="43"/>
      <c r="EP728" s="43"/>
      <c r="EQ728" s="43"/>
      <c r="ER728" s="43"/>
      <c r="ES728" s="43"/>
      <c r="ET728" s="43"/>
      <c r="EU728" s="43"/>
      <c r="EV728" s="43"/>
      <c r="EW728" s="43"/>
      <c r="EX728" s="43"/>
      <c r="EY728" s="43"/>
      <c r="EZ728" s="43"/>
      <c r="FA728" s="43"/>
      <c r="FB728" s="43"/>
      <c r="FC728" s="43"/>
      <c r="FD728" s="43"/>
      <c r="FE728" s="43"/>
      <c r="FF728" s="43"/>
      <c r="FG728" s="43"/>
      <c r="FH728" s="50"/>
      <c r="FI728" s="50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43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43"/>
      <c r="CF729" s="43"/>
      <c r="CG729" s="43"/>
      <c r="CH729" s="43"/>
      <c r="CI729" s="43"/>
      <c r="CJ729" s="43"/>
      <c r="CK729" s="43"/>
      <c r="CL729" s="43"/>
      <c r="CM729" s="43"/>
      <c r="CN729" s="43"/>
      <c r="CO729" s="43"/>
      <c r="CP729" s="43"/>
      <c r="CQ729" s="43"/>
      <c r="CR729" s="43"/>
      <c r="CS729" s="43"/>
      <c r="CT729" s="43"/>
      <c r="CU729" s="43"/>
      <c r="CV729" s="43"/>
      <c r="CW729" s="43"/>
      <c r="CX729" s="43"/>
      <c r="CY729" s="43"/>
      <c r="CZ729" s="43"/>
      <c r="DA729" s="43"/>
      <c r="DB729" s="43"/>
      <c r="DC729" s="43"/>
      <c r="DD729" s="43"/>
      <c r="DE729" s="43"/>
      <c r="DF729" s="43"/>
      <c r="DG729" s="43"/>
      <c r="DH729" s="43"/>
      <c r="DI729" s="43"/>
      <c r="DJ729" s="43"/>
      <c r="DK729" s="43"/>
      <c r="DL729" s="43"/>
      <c r="DM729" s="43"/>
      <c r="DN729" s="43"/>
      <c r="DO729" s="43"/>
      <c r="DP729" s="43"/>
      <c r="DQ729" s="43"/>
      <c r="DR729" s="43"/>
      <c r="DS729" s="43"/>
      <c r="DT729" s="43"/>
      <c r="DU729" s="43"/>
      <c r="DV729" s="43"/>
      <c r="DW729" s="43"/>
      <c r="DX729" s="43"/>
      <c r="DY729" s="43"/>
      <c r="DZ729" s="43"/>
      <c r="EA729" s="43"/>
      <c r="EB729" s="43"/>
      <c r="EC729" s="43"/>
      <c r="ED729" s="43"/>
      <c r="EE729" s="43"/>
      <c r="EF729" s="43"/>
      <c r="EG729" s="43"/>
      <c r="EH729" s="43"/>
      <c r="EI729" s="43"/>
      <c r="EJ729" s="43"/>
      <c r="EK729" s="43"/>
      <c r="EL729" s="43"/>
      <c r="EM729" s="43"/>
      <c r="EN729" s="43"/>
      <c r="EO729" s="43"/>
      <c r="EP729" s="43"/>
      <c r="EQ729" s="43"/>
      <c r="ER729" s="43"/>
      <c r="ES729" s="43"/>
      <c r="ET729" s="43"/>
      <c r="EU729" s="43"/>
      <c r="EV729" s="43"/>
      <c r="EW729" s="43"/>
      <c r="EX729" s="43"/>
      <c r="EY729" s="43"/>
      <c r="EZ729" s="43"/>
      <c r="FA729" s="43"/>
      <c r="FB729" s="43"/>
      <c r="FC729" s="43"/>
      <c r="FD729" s="43"/>
      <c r="FE729" s="43"/>
      <c r="FF729" s="43"/>
      <c r="FG729" s="43"/>
      <c r="FH729" s="50"/>
      <c r="FI729" s="50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43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43"/>
      <c r="CF730" s="43"/>
      <c r="CG730" s="43"/>
      <c r="CH730" s="43"/>
      <c r="CI730" s="43"/>
      <c r="CJ730" s="43"/>
      <c r="CK730" s="43"/>
      <c r="CL730" s="43"/>
      <c r="CM730" s="43"/>
      <c r="CN730" s="43"/>
      <c r="CO730" s="43"/>
      <c r="CP730" s="43"/>
      <c r="CQ730" s="43"/>
      <c r="CR730" s="43"/>
      <c r="CS730" s="43"/>
      <c r="CT730" s="43"/>
      <c r="CU730" s="43"/>
      <c r="CV730" s="43"/>
      <c r="CW730" s="43"/>
      <c r="CX730" s="43"/>
      <c r="CY730" s="43"/>
      <c r="CZ730" s="43"/>
      <c r="DA730" s="43"/>
      <c r="DB730" s="43"/>
      <c r="DC730" s="43"/>
      <c r="DD730" s="43"/>
      <c r="DE730" s="43"/>
      <c r="DF730" s="43"/>
      <c r="DG730" s="43"/>
      <c r="DH730" s="43"/>
      <c r="DI730" s="43"/>
      <c r="DJ730" s="43"/>
      <c r="DK730" s="43"/>
      <c r="DL730" s="43"/>
      <c r="DM730" s="43"/>
      <c r="DN730" s="43"/>
      <c r="DO730" s="43"/>
      <c r="DP730" s="43"/>
      <c r="DQ730" s="43"/>
      <c r="DR730" s="43"/>
      <c r="DS730" s="43"/>
      <c r="DT730" s="43"/>
      <c r="DU730" s="43"/>
      <c r="DV730" s="43"/>
      <c r="DW730" s="43"/>
      <c r="DX730" s="43"/>
      <c r="DY730" s="43"/>
      <c r="DZ730" s="43"/>
      <c r="EA730" s="43"/>
      <c r="EB730" s="43"/>
      <c r="EC730" s="43"/>
      <c r="ED730" s="43"/>
      <c r="EE730" s="43"/>
      <c r="EF730" s="43"/>
      <c r="EG730" s="43"/>
      <c r="EH730" s="43"/>
      <c r="EI730" s="43"/>
      <c r="EJ730" s="43"/>
      <c r="EK730" s="43"/>
      <c r="EL730" s="43"/>
      <c r="EM730" s="43"/>
      <c r="EN730" s="43"/>
      <c r="EO730" s="43"/>
      <c r="EP730" s="43"/>
      <c r="EQ730" s="43"/>
      <c r="ER730" s="43"/>
      <c r="ES730" s="43"/>
      <c r="ET730" s="43"/>
      <c r="EU730" s="43"/>
      <c r="EV730" s="43"/>
      <c r="EW730" s="43"/>
      <c r="EX730" s="43"/>
      <c r="EY730" s="43"/>
      <c r="EZ730" s="43"/>
      <c r="FA730" s="43"/>
      <c r="FB730" s="43"/>
      <c r="FC730" s="43"/>
      <c r="FD730" s="43"/>
      <c r="FE730" s="43"/>
      <c r="FF730" s="43"/>
      <c r="FG730" s="43"/>
      <c r="FH730" s="50"/>
      <c r="FI730" s="50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43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43"/>
      <c r="CF731" s="43"/>
      <c r="CG731" s="43"/>
      <c r="CH731" s="43"/>
      <c r="CI731" s="43"/>
      <c r="CJ731" s="43"/>
      <c r="CK731" s="43"/>
      <c r="CL731" s="43"/>
      <c r="CM731" s="43"/>
      <c r="CN731" s="43"/>
      <c r="CO731" s="43"/>
      <c r="CP731" s="43"/>
      <c r="CQ731" s="43"/>
      <c r="CR731" s="43"/>
      <c r="CS731" s="43"/>
      <c r="CT731" s="43"/>
      <c r="CU731" s="43"/>
      <c r="CV731" s="43"/>
      <c r="CW731" s="43"/>
      <c r="CX731" s="43"/>
      <c r="CY731" s="43"/>
      <c r="CZ731" s="43"/>
      <c r="DA731" s="43"/>
      <c r="DB731" s="43"/>
      <c r="DC731" s="43"/>
      <c r="DD731" s="43"/>
      <c r="DE731" s="43"/>
      <c r="DF731" s="43"/>
      <c r="DG731" s="43"/>
      <c r="DH731" s="43"/>
      <c r="DI731" s="43"/>
      <c r="DJ731" s="43"/>
      <c r="DK731" s="43"/>
      <c r="DL731" s="43"/>
      <c r="DM731" s="43"/>
      <c r="DN731" s="43"/>
      <c r="DO731" s="43"/>
      <c r="DP731" s="43"/>
      <c r="DQ731" s="43"/>
      <c r="DR731" s="43"/>
      <c r="DS731" s="43"/>
      <c r="DT731" s="43"/>
      <c r="DU731" s="43"/>
      <c r="DV731" s="43"/>
      <c r="DW731" s="43"/>
      <c r="DX731" s="43"/>
      <c r="DY731" s="43"/>
      <c r="DZ731" s="43"/>
      <c r="EA731" s="43"/>
      <c r="EB731" s="43"/>
      <c r="EC731" s="43"/>
      <c r="ED731" s="43"/>
      <c r="EE731" s="43"/>
      <c r="EF731" s="43"/>
      <c r="EG731" s="43"/>
      <c r="EH731" s="43"/>
      <c r="EI731" s="43"/>
      <c r="EJ731" s="43"/>
      <c r="EK731" s="43"/>
      <c r="EL731" s="43"/>
      <c r="EM731" s="43"/>
      <c r="EN731" s="43"/>
      <c r="EO731" s="43"/>
      <c r="EP731" s="43"/>
      <c r="EQ731" s="43"/>
      <c r="ER731" s="43"/>
      <c r="ES731" s="43"/>
      <c r="ET731" s="43"/>
      <c r="EU731" s="43"/>
      <c r="EV731" s="43"/>
      <c r="EW731" s="43"/>
      <c r="EX731" s="43"/>
      <c r="EY731" s="43"/>
      <c r="EZ731" s="43"/>
      <c r="FA731" s="43"/>
      <c r="FB731" s="43"/>
      <c r="FC731" s="43"/>
      <c r="FD731" s="43"/>
      <c r="FE731" s="43"/>
      <c r="FF731" s="43"/>
      <c r="FG731" s="43"/>
      <c r="FH731" s="50"/>
      <c r="FI731" s="50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43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43"/>
      <c r="CF732" s="43"/>
      <c r="CG732" s="43"/>
      <c r="CH732" s="43"/>
      <c r="CI732" s="43"/>
      <c r="CJ732" s="43"/>
      <c r="CK732" s="43"/>
      <c r="CL732" s="43"/>
      <c r="CM732" s="43"/>
      <c r="CN732" s="43"/>
      <c r="CO732" s="43"/>
      <c r="CP732" s="43"/>
      <c r="CQ732" s="43"/>
      <c r="CR732" s="43"/>
      <c r="CS732" s="43"/>
      <c r="CT732" s="43"/>
      <c r="CU732" s="43"/>
      <c r="CV732" s="43"/>
      <c r="CW732" s="43"/>
      <c r="CX732" s="43"/>
      <c r="CY732" s="43"/>
      <c r="CZ732" s="43"/>
      <c r="DA732" s="43"/>
      <c r="DB732" s="43"/>
      <c r="DC732" s="43"/>
      <c r="DD732" s="43"/>
      <c r="DE732" s="43"/>
      <c r="DF732" s="43"/>
      <c r="DG732" s="43"/>
      <c r="DH732" s="43"/>
      <c r="DI732" s="43"/>
      <c r="DJ732" s="43"/>
      <c r="DK732" s="43"/>
      <c r="DL732" s="43"/>
      <c r="DM732" s="43"/>
      <c r="DN732" s="43"/>
      <c r="DO732" s="43"/>
      <c r="DP732" s="43"/>
      <c r="DQ732" s="43"/>
      <c r="DR732" s="43"/>
      <c r="DS732" s="43"/>
      <c r="DT732" s="43"/>
      <c r="DU732" s="43"/>
      <c r="DV732" s="43"/>
      <c r="DW732" s="43"/>
      <c r="DX732" s="43"/>
      <c r="DY732" s="43"/>
      <c r="DZ732" s="43"/>
      <c r="EA732" s="43"/>
      <c r="EB732" s="43"/>
      <c r="EC732" s="43"/>
      <c r="ED732" s="43"/>
      <c r="EE732" s="43"/>
      <c r="EF732" s="43"/>
      <c r="EG732" s="43"/>
      <c r="EH732" s="43"/>
      <c r="EI732" s="43"/>
      <c r="EJ732" s="43"/>
      <c r="EK732" s="43"/>
      <c r="EL732" s="43"/>
      <c r="EM732" s="43"/>
      <c r="EN732" s="43"/>
      <c r="EO732" s="43"/>
      <c r="EP732" s="43"/>
      <c r="EQ732" s="43"/>
      <c r="ER732" s="43"/>
      <c r="ES732" s="43"/>
      <c r="ET732" s="43"/>
      <c r="EU732" s="43"/>
      <c r="EV732" s="43"/>
      <c r="EW732" s="43"/>
      <c r="EX732" s="43"/>
      <c r="EY732" s="43"/>
      <c r="EZ732" s="43"/>
      <c r="FA732" s="43"/>
      <c r="FB732" s="43"/>
      <c r="FC732" s="43"/>
      <c r="FD732" s="43"/>
      <c r="FE732" s="43"/>
      <c r="FF732" s="43"/>
      <c r="FG732" s="43"/>
      <c r="FH732" s="50"/>
      <c r="FI732" s="50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43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43"/>
      <c r="CF733" s="43"/>
      <c r="CG733" s="43"/>
      <c r="CH733" s="43"/>
      <c r="CI733" s="43"/>
      <c r="CJ733" s="43"/>
      <c r="CK733" s="43"/>
      <c r="CL733" s="43"/>
      <c r="CM733" s="43"/>
      <c r="CN733" s="43"/>
      <c r="CO733" s="43"/>
      <c r="CP733" s="43"/>
      <c r="CQ733" s="43"/>
      <c r="CR733" s="43"/>
      <c r="CS733" s="43"/>
      <c r="CT733" s="43"/>
      <c r="CU733" s="43"/>
      <c r="CV733" s="43"/>
      <c r="CW733" s="43"/>
      <c r="CX733" s="43"/>
      <c r="CY733" s="43"/>
      <c r="CZ733" s="43"/>
      <c r="DA733" s="43"/>
      <c r="DB733" s="43"/>
      <c r="DC733" s="43"/>
      <c r="DD733" s="43"/>
      <c r="DE733" s="43"/>
      <c r="DF733" s="43"/>
      <c r="DG733" s="43"/>
      <c r="DH733" s="43"/>
      <c r="DI733" s="43"/>
      <c r="DJ733" s="43"/>
      <c r="DK733" s="43"/>
      <c r="DL733" s="43"/>
      <c r="DM733" s="43"/>
      <c r="DN733" s="43"/>
      <c r="DO733" s="43"/>
      <c r="DP733" s="43"/>
      <c r="DQ733" s="43"/>
      <c r="DR733" s="43"/>
      <c r="DS733" s="43"/>
      <c r="DT733" s="43"/>
      <c r="DU733" s="43"/>
      <c r="DV733" s="43"/>
      <c r="DW733" s="43"/>
      <c r="DX733" s="43"/>
      <c r="DY733" s="43"/>
      <c r="DZ733" s="43"/>
      <c r="EA733" s="43"/>
      <c r="EB733" s="43"/>
      <c r="EC733" s="43"/>
      <c r="ED733" s="43"/>
      <c r="EE733" s="43"/>
      <c r="EF733" s="43"/>
      <c r="EG733" s="43"/>
      <c r="EH733" s="43"/>
      <c r="EI733" s="43"/>
      <c r="EJ733" s="43"/>
      <c r="EK733" s="43"/>
      <c r="EL733" s="43"/>
      <c r="EM733" s="43"/>
      <c r="EN733" s="43"/>
      <c r="EO733" s="43"/>
      <c r="EP733" s="43"/>
      <c r="EQ733" s="43"/>
      <c r="ER733" s="43"/>
      <c r="ES733" s="43"/>
      <c r="ET733" s="43"/>
      <c r="EU733" s="43"/>
      <c r="EV733" s="43"/>
      <c r="EW733" s="43"/>
      <c r="EX733" s="43"/>
      <c r="EY733" s="43"/>
      <c r="EZ733" s="43"/>
      <c r="FA733" s="43"/>
      <c r="FB733" s="43"/>
      <c r="FC733" s="43"/>
      <c r="FD733" s="43"/>
      <c r="FE733" s="43"/>
      <c r="FF733" s="43"/>
      <c r="FG733" s="43"/>
      <c r="FH733" s="50"/>
      <c r="FI733" s="50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  <c r="CS734" s="43"/>
      <c r="CT734" s="43"/>
      <c r="CU734" s="43"/>
      <c r="CV734" s="43"/>
      <c r="CW734" s="43"/>
      <c r="CX734" s="43"/>
      <c r="CY734" s="43"/>
      <c r="CZ734" s="43"/>
      <c r="DA734" s="43"/>
      <c r="DB734" s="43"/>
      <c r="DC734" s="43"/>
      <c r="DD734" s="43"/>
      <c r="DE734" s="43"/>
      <c r="DF734" s="43"/>
      <c r="DG734" s="43"/>
      <c r="DH734" s="43"/>
      <c r="DI734" s="43"/>
      <c r="DJ734" s="43"/>
      <c r="DK734" s="43"/>
      <c r="DL734" s="43"/>
      <c r="DM734" s="43"/>
      <c r="DN734" s="43"/>
      <c r="DO734" s="43"/>
      <c r="DP734" s="43"/>
      <c r="DQ734" s="43"/>
      <c r="DR734" s="43"/>
      <c r="DS734" s="43"/>
      <c r="DT734" s="43"/>
      <c r="DU734" s="43"/>
      <c r="DV734" s="43"/>
      <c r="DW734" s="43"/>
      <c r="DX734" s="43"/>
      <c r="DY734" s="43"/>
      <c r="DZ734" s="43"/>
      <c r="EA734" s="43"/>
      <c r="EB734" s="43"/>
      <c r="EC734" s="43"/>
      <c r="ED734" s="43"/>
      <c r="EE734" s="43"/>
      <c r="EF734" s="43"/>
      <c r="EG734" s="43"/>
      <c r="EH734" s="43"/>
      <c r="EI734" s="43"/>
      <c r="EJ734" s="43"/>
      <c r="EK734" s="43"/>
      <c r="EL734" s="43"/>
      <c r="EM734" s="43"/>
      <c r="EN734" s="43"/>
      <c r="EO734" s="43"/>
      <c r="EP734" s="43"/>
      <c r="EQ734" s="43"/>
      <c r="ER734" s="43"/>
      <c r="ES734" s="43"/>
      <c r="ET734" s="43"/>
      <c r="EU734" s="43"/>
      <c r="EV734" s="43"/>
      <c r="EW734" s="43"/>
      <c r="EX734" s="43"/>
      <c r="EY734" s="43"/>
      <c r="EZ734" s="43"/>
      <c r="FA734" s="43"/>
      <c r="FB734" s="43"/>
      <c r="FC734" s="43"/>
      <c r="FD734" s="43"/>
      <c r="FE734" s="43"/>
      <c r="FF734" s="43"/>
      <c r="FG734" s="43"/>
      <c r="FH734" s="50"/>
      <c r="FI734" s="50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43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43"/>
      <c r="CF735" s="43"/>
      <c r="CG735" s="43"/>
      <c r="CH735" s="43"/>
      <c r="CI735" s="43"/>
      <c r="CJ735" s="43"/>
      <c r="CK735" s="43"/>
      <c r="CL735" s="43"/>
      <c r="CM735" s="43"/>
      <c r="CN735" s="43"/>
      <c r="CO735" s="43"/>
      <c r="CP735" s="43"/>
      <c r="CQ735" s="43"/>
      <c r="CR735" s="43"/>
      <c r="CS735" s="43"/>
      <c r="CT735" s="43"/>
      <c r="CU735" s="43"/>
      <c r="CV735" s="43"/>
      <c r="CW735" s="43"/>
      <c r="CX735" s="43"/>
      <c r="CY735" s="43"/>
      <c r="CZ735" s="43"/>
      <c r="DA735" s="43"/>
      <c r="DB735" s="43"/>
      <c r="DC735" s="43"/>
      <c r="DD735" s="43"/>
      <c r="DE735" s="43"/>
      <c r="DF735" s="43"/>
      <c r="DG735" s="43"/>
      <c r="DH735" s="43"/>
      <c r="DI735" s="43"/>
      <c r="DJ735" s="43"/>
      <c r="DK735" s="43"/>
      <c r="DL735" s="43"/>
      <c r="DM735" s="43"/>
      <c r="DN735" s="43"/>
      <c r="DO735" s="43"/>
      <c r="DP735" s="43"/>
      <c r="DQ735" s="43"/>
      <c r="DR735" s="43"/>
      <c r="DS735" s="43"/>
      <c r="DT735" s="43"/>
      <c r="DU735" s="43"/>
      <c r="DV735" s="43"/>
      <c r="DW735" s="43"/>
      <c r="DX735" s="43"/>
      <c r="DY735" s="43"/>
      <c r="DZ735" s="43"/>
      <c r="EA735" s="43"/>
      <c r="EB735" s="43"/>
      <c r="EC735" s="43"/>
      <c r="ED735" s="43"/>
      <c r="EE735" s="43"/>
      <c r="EF735" s="43"/>
      <c r="EG735" s="43"/>
      <c r="EH735" s="43"/>
      <c r="EI735" s="43"/>
      <c r="EJ735" s="43"/>
      <c r="EK735" s="43"/>
      <c r="EL735" s="43"/>
      <c r="EM735" s="43"/>
      <c r="EN735" s="43"/>
      <c r="EO735" s="43"/>
      <c r="EP735" s="43"/>
      <c r="EQ735" s="43"/>
      <c r="ER735" s="43"/>
      <c r="ES735" s="43"/>
      <c r="ET735" s="43"/>
      <c r="EU735" s="43"/>
      <c r="EV735" s="43"/>
      <c r="EW735" s="43"/>
      <c r="EX735" s="43"/>
      <c r="EY735" s="43"/>
      <c r="EZ735" s="43"/>
      <c r="FA735" s="43"/>
      <c r="FB735" s="43"/>
      <c r="FC735" s="43"/>
      <c r="FD735" s="43"/>
      <c r="FE735" s="43"/>
      <c r="FF735" s="43"/>
      <c r="FG735" s="43"/>
      <c r="FH735" s="50"/>
      <c r="FI735" s="50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43"/>
      <c r="CF736" s="43"/>
      <c r="CG736" s="43"/>
      <c r="CH736" s="43"/>
      <c r="CI736" s="43"/>
      <c r="CJ736" s="43"/>
      <c r="CK736" s="43"/>
      <c r="CL736" s="43"/>
      <c r="CM736" s="43"/>
      <c r="CN736" s="43"/>
      <c r="CO736" s="43"/>
      <c r="CP736" s="43"/>
      <c r="CQ736" s="43"/>
      <c r="CR736" s="43"/>
      <c r="CS736" s="43"/>
      <c r="CT736" s="43"/>
      <c r="CU736" s="43"/>
      <c r="CV736" s="43"/>
      <c r="CW736" s="43"/>
      <c r="CX736" s="43"/>
      <c r="CY736" s="43"/>
      <c r="CZ736" s="43"/>
      <c r="DA736" s="43"/>
      <c r="DB736" s="43"/>
      <c r="DC736" s="43"/>
      <c r="DD736" s="43"/>
      <c r="DE736" s="43"/>
      <c r="DF736" s="43"/>
      <c r="DG736" s="43"/>
      <c r="DH736" s="43"/>
      <c r="DI736" s="43"/>
      <c r="DJ736" s="43"/>
      <c r="DK736" s="43"/>
      <c r="DL736" s="43"/>
      <c r="DM736" s="43"/>
      <c r="DN736" s="43"/>
      <c r="DO736" s="43"/>
      <c r="DP736" s="43"/>
      <c r="DQ736" s="43"/>
      <c r="DR736" s="43"/>
      <c r="DS736" s="43"/>
      <c r="DT736" s="43"/>
      <c r="DU736" s="43"/>
      <c r="DV736" s="43"/>
      <c r="DW736" s="43"/>
      <c r="DX736" s="43"/>
      <c r="DY736" s="43"/>
      <c r="DZ736" s="43"/>
      <c r="EA736" s="43"/>
      <c r="EB736" s="43"/>
      <c r="EC736" s="43"/>
      <c r="ED736" s="43"/>
      <c r="EE736" s="43"/>
      <c r="EF736" s="43"/>
      <c r="EG736" s="43"/>
      <c r="EH736" s="43"/>
      <c r="EI736" s="43"/>
      <c r="EJ736" s="43"/>
      <c r="EK736" s="43"/>
      <c r="EL736" s="43"/>
      <c r="EM736" s="43"/>
      <c r="EN736" s="43"/>
      <c r="EO736" s="43"/>
      <c r="EP736" s="43"/>
      <c r="EQ736" s="43"/>
      <c r="ER736" s="43"/>
      <c r="ES736" s="43"/>
      <c r="ET736" s="43"/>
      <c r="EU736" s="43"/>
      <c r="EV736" s="43"/>
      <c r="EW736" s="43"/>
      <c r="EX736" s="43"/>
      <c r="EY736" s="43"/>
      <c r="EZ736" s="43"/>
      <c r="FA736" s="43"/>
      <c r="FB736" s="43"/>
      <c r="FC736" s="43"/>
      <c r="FD736" s="43"/>
      <c r="FE736" s="43"/>
      <c r="FF736" s="43"/>
      <c r="FG736" s="43"/>
      <c r="FH736" s="50"/>
      <c r="FI736" s="50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  <c r="CV737" s="43"/>
      <c r="CW737" s="43"/>
      <c r="CX737" s="43"/>
      <c r="CY737" s="43"/>
      <c r="CZ737" s="43"/>
      <c r="DA737" s="43"/>
      <c r="DB737" s="43"/>
      <c r="DC737" s="43"/>
      <c r="DD737" s="43"/>
      <c r="DE737" s="43"/>
      <c r="DF737" s="43"/>
      <c r="DG737" s="43"/>
      <c r="DH737" s="43"/>
      <c r="DI737" s="43"/>
      <c r="DJ737" s="43"/>
      <c r="DK737" s="43"/>
      <c r="DL737" s="43"/>
      <c r="DM737" s="43"/>
      <c r="DN737" s="43"/>
      <c r="DO737" s="43"/>
      <c r="DP737" s="43"/>
      <c r="DQ737" s="43"/>
      <c r="DR737" s="43"/>
      <c r="DS737" s="43"/>
      <c r="DT737" s="43"/>
      <c r="DU737" s="43"/>
      <c r="DV737" s="43"/>
      <c r="DW737" s="43"/>
      <c r="DX737" s="43"/>
      <c r="DY737" s="43"/>
      <c r="DZ737" s="43"/>
      <c r="EA737" s="43"/>
      <c r="EB737" s="43"/>
      <c r="EC737" s="43"/>
      <c r="ED737" s="43"/>
      <c r="EE737" s="43"/>
      <c r="EF737" s="43"/>
      <c r="EG737" s="43"/>
      <c r="EH737" s="43"/>
      <c r="EI737" s="43"/>
      <c r="EJ737" s="43"/>
      <c r="EK737" s="43"/>
      <c r="EL737" s="43"/>
      <c r="EM737" s="43"/>
      <c r="EN737" s="43"/>
      <c r="EO737" s="43"/>
      <c r="EP737" s="43"/>
      <c r="EQ737" s="43"/>
      <c r="ER737" s="43"/>
      <c r="ES737" s="43"/>
      <c r="ET737" s="43"/>
      <c r="EU737" s="43"/>
      <c r="EV737" s="43"/>
      <c r="EW737" s="43"/>
      <c r="EX737" s="43"/>
      <c r="EY737" s="43"/>
      <c r="EZ737" s="43"/>
      <c r="FA737" s="43"/>
      <c r="FB737" s="43"/>
      <c r="FC737" s="43"/>
      <c r="FD737" s="43"/>
      <c r="FE737" s="43"/>
      <c r="FF737" s="43"/>
      <c r="FG737" s="43"/>
      <c r="FH737" s="50"/>
      <c r="FI737" s="50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43"/>
      <c r="BJ738" s="43"/>
      <c r="BK738" s="43"/>
      <c r="BL738" s="43"/>
      <c r="BM738" s="43"/>
      <c r="BN738" s="43"/>
      <c r="BO738" s="43"/>
      <c r="BP738" s="43"/>
      <c r="BQ738" s="43"/>
      <c r="BR738" s="43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43"/>
      <c r="CF738" s="43"/>
      <c r="CG738" s="43"/>
      <c r="CH738" s="43"/>
      <c r="CI738" s="43"/>
      <c r="CJ738" s="43"/>
      <c r="CK738" s="43"/>
      <c r="CL738" s="43"/>
      <c r="CM738" s="43"/>
      <c r="CN738" s="43"/>
      <c r="CO738" s="43"/>
      <c r="CP738" s="43"/>
      <c r="CQ738" s="43"/>
      <c r="CR738" s="43"/>
      <c r="CS738" s="43"/>
      <c r="CT738" s="43"/>
      <c r="CU738" s="43"/>
      <c r="CV738" s="43"/>
      <c r="CW738" s="43"/>
      <c r="CX738" s="43"/>
      <c r="CY738" s="43"/>
      <c r="CZ738" s="43"/>
      <c r="DA738" s="43"/>
      <c r="DB738" s="43"/>
      <c r="DC738" s="43"/>
      <c r="DD738" s="43"/>
      <c r="DE738" s="43"/>
      <c r="DF738" s="43"/>
      <c r="DG738" s="43"/>
      <c r="DH738" s="43"/>
      <c r="DI738" s="43"/>
      <c r="DJ738" s="43"/>
      <c r="DK738" s="43"/>
      <c r="DL738" s="43"/>
      <c r="DM738" s="43"/>
      <c r="DN738" s="43"/>
      <c r="DO738" s="43"/>
      <c r="DP738" s="43"/>
      <c r="DQ738" s="43"/>
      <c r="DR738" s="43"/>
      <c r="DS738" s="43"/>
      <c r="DT738" s="43"/>
      <c r="DU738" s="43"/>
      <c r="DV738" s="43"/>
      <c r="DW738" s="43"/>
      <c r="DX738" s="43"/>
      <c r="DY738" s="43"/>
      <c r="DZ738" s="43"/>
      <c r="EA738" s="43"/>
      <c r="EB738" s="43"/>
      <c r="EC738" s="43"/>
      <c r="ED738" s="43"/>
      <c r="EE738" s="43"/>
      <c r="EF738" s="43"/>
      <c r="EG738" s="43"/>
      <c r="EH738" s="43"/>
      <c r="EI738" s="43"/>
      <c r="EJ738" s="43"/>
      <c r="EK738" s="43"/>
      <c r="EL738" s="43"/>
      <c r="EM738" s="43"/>
      <c r="EN738" s="43"/>
      <c r="EO738" s="43"/>
      <c r="EP738" s="43"/>
      <c r="EQ738" s="43"/>
      <c r="ER738" s="43"/>
      <c r="ES738" s="43"/>
      <c r="ET738" s="43"/>
      <c r="EU738" s="43"/>
      <c r="EV738" s="43"/>
      <c r="EW738" s="43"/>
      <c r="EX738" s="43"/>
      <c r="EY738" s="43"/>
      <c r="EZ738" s="43"/>
      <c r="FA738" s="43"/>
      <c r="FB738" s="43"/>
      <c r="FC738" s="43"/>
      <c r="FD738" s="43"/>
      <c r="FE738" s="43"/>
      <c r="FF738" s="43"/>
      <c r="FG738" s="43"/>
      <c r="FH738" s="50"/>
      <c r="FI738" s="50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43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43"/>
      <c r="CF739" s="43"/>
      <c r="CG739" s="43"/>
      <c r="CH739" s="43"/>
      <c r="CI739" s="43"/>
      <c r="CJ739" s="43"/>
      <c r="CK739" s="43"/>
      <c r="CL739" s="43"/>
      <c r="CM739" s="43"/>
      <c r="CN739" s="43"/>
      <c r="CO739" s="43"/>
      <c r="CP739" s="43"/>
      <c r="CQ739" s="43"/>
      <c r="CR739" s="43"/>
      <c r="CS739" s="43"/>
      <c r="CT739" s="43"/>
      <c r="CU739" s="43"/>
      <c r="CV739" s="43"/>
      <c r="CW739" s="43"/>
      <c r="CX739" s="43"/>
      <c r="CY739" s="43"/>
      <c r="CZ739" s="43"/>
      <c r="DA739" s="43"/>
      <c r="DB739" s="43"/>
      <c r="DC739" s="43"/>
      <c r="DD739" s="43"/>
      <c r="DE739" s="43"/>
      <c r="DF739" s="43"/>
      <c r="DG739" s="43"/>
      <c r="DH739" s="43"/>
      <c r="DI739" s="43"/>
      <c r="DJ739" s="43"/>
      <c r="DK739" s="43"/>
      <c r="DL739" s="43"/>
      <c r="DM739" s="43"/>
      <c r="DN739" s="43"/>
      <c r="DO739" s="43"/>
      <c r="DP739" s="43"/>
      <c r="DQ739" s="43"/>
      <c r="DR739" s="43"/>
      <c r="DS739" s="43"/>
      <c r="DT739" s="43"/>
      <c r="DU739" s="43"/>
      <c r="DV739" s="43"/>
      <c r="DW739" s="43"/>
      <c r="DX739" s="43"/>
      <c r="DY739" s="43"/>
      <c r="DZ739" s="43"/>
      <c r="EA739" s="43"/>
      <c r="EB739" s="43"/>
      <c r="EC739" s="43"/>
      <c r="ED739" s="43"/>
      <c r="EE739" s="43"/>
      <c r="EF739" s="43"/>
      <c r="EG739" s="43"/>
      <c r="EH739" s="43"/>
      <c r="EI739" s="43"/>
      <c r="EJ739" s="43"/>
      <c r="EK739" s="43"/>
      <c r="EL739" s="43"/>
      <c r="EM739" s="43"/>
      <c r="EN739" s="43"/>
      <c r="EO739" s="43"/>
      <c r="EP739" s="43"/>
      <c r="EQ739" s="43"/>
      <c r="ER739" s="43"/>
      <c r="ES739" s="43"/>
      <c r="ET739" s="43"/>
      <c r="EU739" s="43"/>
      <c r="EV739" s="43"/>
      <c r="EW739" s="43"/>
      <c r="EX739" s="43"/>
      <c r="EY739" s="43"/>
      <c r="EZ739" s="43"/>
      <c r="FA739" s="43"/>
      <c r="FB739" s="43"/>
      <c r="FC739" s="43"/>
      <c r="FD739" s="43"/>
      <c r="FE739" s="43"/>
      <c r="FF739" s="43"/>
      <c r="FG739" s="43"/>
      <c r="FH739" s="50"/>
      <c r="FI739" s="50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  <c r="CS740" s="43"/>
      <c r="CT740" s="43"/>
      <c r="CU740" s="43"/>
      <c r="CV740" s="43"/>
      <c r="CW740" s="43"/>
      <c r="CX740" s="43"/>
      <c r="CY740" s="43"/>
      <c r="CZ740" s="43"/>
      <c r="DA740" s="43"/>
      <c r="DB740" s="43"/>
      <c r="DC740" s="43"/>
      <c r="DD740" s="43"/>
      <c r="DE740" s="43"/>
      <c r="DF740" s="43"/>
      <c r="DG740" s="43"/>
      <c r="DH740" s="43"/>
      <c r="DI740" s="43"/>
      <c r="DJ740" s="43"/>
      <c r="DK740" s="43"/>
      <c r="DL740" s="43"/>
      <c r="DM740" s="43"/>
      <c r="DN740" s="43"/>
      <c r="DO740" s="43"/>
      <c r="DP740" s="43"/>
      <c r="DQ740" s="43"/>
      <c r="DR740" s="43"/>
      <c r="DS740" s="43"/>
      <c r="DT740" s="43"/>
      <c r="DU740" s="43"/>
      <c r="DV740" s="43"/>
      <c r="DW740" s="43"/>
      <c r="DX740" s="43"/>
      <c r="DY740" s="43"/>
      <c r="DZ740" s="43"/>
      <c r="EA740" s="43"/>
      <c r="EB740" s="43"/>
      <c r="EC740" s="43"/>
      <c r="ED740" s="43"/>
      <c r="EE740" s="43"/>
      <c r="EF740" s="43"/>
      <c r="EG740" s="43"/>
      <c r="EH740" s="43"/>
      <c r="EI740" s="43"/>
      <c r="EJ740" s="43"/>
      <c r="EK740" s="43"/>
      <c r="EL740" s="43"/>
      <c r="EM740" s="43"/>
      <c r="EN740" s="43"/>
      <c r="EO740" s="43"/>
      <c r="EP740" s="43"/>
      <c r="EQ740" s="43"/>
      <c r="ER740" s="43"/>
      <c r="ES740" s="43"/>
      <c r="ET740" s="43"/>
      <c r="EU740" s="43"/>
      <c r="EV740" s="43"/>
      <c r="EW740" s="43"/>
      <c r="EX740" s="43"/>
      <c r="EY740" s="43"/>
      <c r="EZ740" s="43"/>
      <c r="FA740" s="43"/>
      <c r="FB740" s="43"/>
      <c r="FC740" s="43"/>
      <c r="FD740" s="43"/>
      <c r="FE740" s="43"/>
      <c r="FF740" s="43"/>
      <c r="FG740" s="43"/>
      <c r="FH740" s="50"/>
      <c r="FI740" s="50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43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43"/>
      <c r="CF741" s="43"/>
      <c r="CG741" s="43"/>
      <c r="CH741" s="43"/>
      <c r="CI741" s="43"/>
      <c r="CJ741" s="43"/>
      <c r="CK741" s="43"/>
      <c r="CL741" s="43"/>
      <c r="CM741" s="43"/>
      <c r="CN741" s="43"/>
      <c r="CO741" s="43"/>
      <c r="CP741" s="43"/>
      <c r="CQ741" s="43"/>
      <c r="CR741" s="43"/>
      <c r="CS741" s="43"/>
      <c r="CT741" s="43"/>
      <c r="CU741" s="43"/>
      <c r="CV741" s="43"/>
      <c r="CW741" s="43"/>
      <c r="CX741" s="43"/>
      <c r="CY741" s="43"/>
      <c r="CZ741" s="43"/>
      <c r="DA741" s="43"/>
      <c r="DB741" s="43"/>
      <c r="DC741" s="43"/>
      <c r="DD741" s="43"/>
      <c r="DE741" s="43"/>
      <c r="DF741" s="43"/>
      <c r="DG741" s="43"/>
      <c r="DH741" s="43"/>
      <c r="DI741" s="43"/>
      <c r="DJ741" s="43"/>
      <c r="DK741" s="43"/>
      <c r="DL741" s="43"/>
      <c r="DM741" s="43"/>
      <c r="DN741" s="43"/>
      <c r="DO741" s="43"/>
      <c r="DP741" s="43"/>
      <c r="DQ741" s="43"/>
      <c r="DR741" s="43"/>
      <c r="DS741" s="43"/>
      <c r="DT741" s="43"/>
      <c r="DU741" s="43"/>
      <c r="DV741" s="43"/>
      <c r="DW741" s="43"/>
      <c r="DX741" s="43"/>
      <c r="DY741" s="43"/>
      <c r="DZ741" s="43"/>
      <c r="EA741" s="43"/>
      <c r="EB741" s="43"/>
      <c r="EC741" s="43"/>
      <c r="ED741" s="43"/>
      <c r="EE741" s="43"/>
      <c r="EF741" s="43"/>
      <c r="EG741" s="43"/>
      <c r="EH741" s="43"/>
      <c r="EI741" s="43"/>
      <c r="EJ741" s="43"/>
      <c r="EK741" s="43"/>
      <c r="EL741" s="43"/>
      <c r="EM741" s="43"/>
      <c r="EN741" s="43"/>
      <c r="EO741" s="43"/>
      <c r="EP741" s="43"/>
      <c r="EQ741" s="43"/>
      <c r="ER741" s="43"/>
      <c r="ES741" s="43"/>
      <c r="ET741" s="43"/>
      <c r="EU741" s="43"/>
      <c r="EV741" s="43"/>
      <c r="EW741" s="43"/>
      <c r="EX741" s="43"/>
      <c r="EY741" s="43"/>
      <c r="EZ741" s="43"/>
      <c r="FA741" s="43"/>
      <c r="FB741" s="43"/>
      <c r="FC741" s="43"/>
      <c r="FD741" s="43"/>
      <c r="FE741" s="43"/>
      <c r="FF741" s="43"/>
      <c r="FG741" s="43"/>
      <c r="FH741" s="50"/>
      <c r="FI741" s="50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43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43"/>
      <c r="CF742" s="43"/>
      <c r="CG742" s="43"/>
      <c r="CH742" s="43"/>
      <c r="CI742" s="43"/>
      <c r="CJ742" s="43"/>
      <c r="CK742" s="43"/>
      <c r="CL742" s="43"/>
      <c r="CM742" s="43"/>
      <c r="CN742" s="43"/>
      <c r="CO742" s="43"/>
      <c r="CP742" s="43"/>
      <c r="CQ742" s="43"/>
      <c r="CR742" s="43"/>
      <c r="CS742" s="43"/>
      <c r="CT742" s="43"/>
      <c r="CU742" s="43"/>
      <c r="CV742" s="43"/>
      <c r="CW742" s="43"/>
      <c r="CX742" s="43"/>
      <c r="CY742" s="43"/>
      <c r="CZ742" s="43"/>
      <c r="DA742" s="43"/>
      <c r="DB742" s="43"/>
      <c r="DC742" s="43"/>
      <c r="DD742" s="43"/>
      <c r="DE742" s="43"/>
      <c r="DF742" s="43"/>
      <c r="DG742" s="43"/>
      <c r="DH742" s="43"/>
      <c r="DI742" s="43"/>
      <c r="DJ742" s="43"/>
      <c r="DK742" s="43"/>
      <c r="DL742" s="43"/>
      <c r="DM742" s="43"/>
      <c r="DN742" s="43"/>
      <c r="DO742" s="43"/>
      <c r="DP742" s="43"/>
      <c r="DQ742" s="43"/>
      <c r="DR742" s="43"/>
      <c r="DS742" s="43"/>
      <c r="DT742" s="43"/>
      <c r="DU742" s="43"/>
      <c r="DV742" s="43"/>
      <c r="DW742" s="43"/>
      <c r="DX742" s="43"/>
      <c r="DY742" s="43"/>
      <c r="DZ742" s="43"/>
      <c r="EA742" s="43"/>
      <c r="EB742" s="43"/>
      <c r="EC742" s="43"/>
      <c r="ED742" s="43"/>
      <c r="EE742" s="43"/>
      <c r="EF742" s="43"/>
      <c r="EG742" s="43"/>
      <c r="EH742" s="43"/>
      <c r="EI742" s="43"/>
      <c r="EJ742" s="43"/>
      <c r="EK742" s="43"/>
      <c r="EL742" s="43"/>
      <c r="EM742" s="43"/>
      <c r="EN742" s="43"/>
      <c r="EO742" s="43"/>
      <c r="EP742" s="43"/>
      <c r="EQ742" s="43"/>
      <c r="ER742" s="43"/>
      <c r="ES742" s="43"/>
      <c r="ET742" s="43"/>
      <c r="EU742" s="43"/>
      <c r="EV742" s="43"/>
      <c r="EW742" s="43"/>
      <c r="EX742" s="43"/>
      <c r="EY742" s="43"/>
      <c r="EZ742" s="43"/>
      <c r="FA742" s="43"/>
      <c r="FB742" s="43"/>
      <c r="FC742" s="43"/>
      <c r="FD742" s="43"/>
      <c r="FE742" s="43"/>
      <c r="FF742" s="43"/>
      <c r="FG742" s="43"/>
      <c r="FH742" s="50"/>
      <c r="FI742" s="50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43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43"/>
      <c r="CF743" s="43"/>
      <c r="CG743" s="43"/>
      <c r="CH743" s="43"/>
      <c r="CI743" s="43"/>
      <c r="CJ743" s="43"/>
      <c r="CK743" s="43"/>
      <c r="CL743" s="43"/>
      <c r="CM743" s="43"/>
      <c r="CN743" s="43"/>
      <c r="CO743" s="43"/>
      <c r="CP743" s="43"/>
      <c r="CQ743" s="43"/>
      <c r="CR743" s="43"/>
      <c r="CS743" s="43"/>
      <c r="CT743" s="43"/>
      <c r="CU743" s="43"/>
      <c r="CV743" s="43"/>
      <c r="CW743" s="43"/>
      <c r="CX743" s="43"/>
      <c r="CY743" s="43"/>
      <c r="CZ743" s="43"/>
      <c r="DA743" s="43"/>
      <c r="DB743" s="43"/>
      <c r="DC743" s="43"/>
      <c r="DD743" s="43"/>
      <c r="DE743" s="43"/>
      <c r="DF743" s="43"/>
      <c r="DG743" s="43"/>
      <c r="DH743" s="43"/>
      <c r="DI743" s="43"/>
      <c r="DJ743" s="43"/>
      <c r="DK743" s="43"/>
      <c r="DL743" s="43"/>
      <c r="DM743" s="43"/>
      <c r="DN743" s="43"/>
      <c r="DO743" s="43"/>
      <c r="DP743" s="43"/>
      <c r="DQ743" s="43"/>
      <c r="DR743" s="43"/>
      <c r="DS743" s="43"/>
      <c r="DT743" s="43"/>
      <c r="DU743" s="43"/>
      <c r="DV743" s="43"/>
      <c r="DW743" s="43"/>
      <c r="DX743" s="43"/>
      <c r="DY743" s="43"/>
      <c r="DZ743" s="43"/>
      <c r="EA743" s="43"/>
      <c r="EB743" s="43"/>
      <c r="EC743" s="43"/>
      <c r="ED743" s="43"/>
      <c r="EE743" s="43"/>
      <c r="EF743" s="43"/>
      <c r="EG743" s="43"/>
      <c r="EH743" s="43"/>
      <c r="EI743" s="43"/>
      <c r="EJ743" s="43"/>
      <c r="EK743" s="43"/>
      <c r="EL743" s="43"/>
      <c r="EM743" s="43"/>
      <c r="EN743" s="43"/>
      <c r="EO743" s="43"/>
      <c r="EP743" s="43"/>
      <c r="EQ743" s="43"/>
      <c r="ER743" s="43"/>
      <c r="ES743" s="43"/>
      <c r="ET743" s="43"/>
      <c r="EU743" s="43"/>
      <c r="EV743" s="43"/>
      <c r="EW743" s="43"/>
      <c r="EX743" s="43"/>
      <c r="EY743" s="43"/>
      <c r="EZ743" s="43"/>
      <c r="FA743" s="43"/>
      <c r="FB743" s="43"/>
      <c r="FC743" s="43"/>
      <c r="FD743" s="43"/>
      <c r="FE743" s="43"/>
      <c r="FF743" s="43"/>
      <c r="FG743" s="43"/>
      <c r="FH743" s="50"/>
      <c r="FI743" s="50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43"/>
      <c r="BJ744" s="43"/>
      <c r="BK744" s="43"/>
      <c r="BL744" s="43"/>
      <c r="BM744" s="43"/>
      <c r="BN744" s="43"/>
      <c r="BO744" s="43"/>
      <c r="BP744" s="43"/>
      <c r="BQ744" s="43"/>
      <c r="BR744" s="43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43"/>
      <c r="CF744" s="43"/>
      <c r="CG744" s="43"/>
      <c r="CH744" s="43"/>
      <c r="CI744" s="43"/>
      <c r="CJ744" s="43"/>
      <c r="CK744" s="43"/>
      <c r="CL744" s="43"/>
      <c r="CM744" s="43"/>
      <c r="CN744" s="43"/>
      <c r="CO744" s="43"/>
      <c r="CP744" s="43"/>
      <c r="CQ744" s="43"/>
      <c r="CR744" s="43"/>
      <c r="CS744" s="43"/>
      <c r="CT744" s="43"/>
      <c r="CU744" s="43"/>
      <c r="CV744" s="43"/>
      <c r="CW744" s="43"/>
      <c r="CX744" s="43"/>
      <c r="CY744" s="43"/>
      <c r="CZ744" s="43"/>
      <c r="DA744" s="43"/>
      <c r="DB744" s="43"/>
      <c r="DC744" s="43"/>
      <c r="DD744" s="43"/>
      <c r="DE744" s="43"/>
      <c r="DF744" s="43"/>
      <c r="DG744" s="43"/>
      <c r="DH744" s="43"/>
      <c r="DI744" s="43"/>
      <c r="DJ744" s="43"/>
      <c r="DK744" s="43"/>
      <c r="DL744" s="43"/>
      <c r="DM744" s="43"/>
      <c r="DN744" s="43"/>
      <c r="DO744" s="43"/>
      <c r="DP744" s="43"/>
      <c r="DQ744" s="43"/>
      <c r="DR744" s="43"/>
      <c r="DS744" s="43"/>
      <c r="DT744" s="43"/>
      <c r="DU744" s="43"/>
      <c r="DV744" s="43"/>
      <c r="DW744" s="43"/>
      <c r="DX744" s="43"/>
      <c r="DY744" s="43"/>
      <c r="DZ744" s="43"/>
      <c r="EA744" s="43"/>
      <c r="EB744" s="43"/>
      <c r="EC744" s="43"/>
      <c r="ED744" s="43"/>
      <c r="EE744" s="43"/>
      <c r="EF744" s="43"/>
      <c r="EG744" s="43"/>
      <c r="EH744" s="43"/>
      <c r="EI744" s="43"/>
      <c r="EJ744" s="43"/>
      <c r="EK744" s="43"/>
      <c r="EL744" s="43"/>
      <c r="EM744" s="43"/>
      <c r="EN744" s="43"/>
      <c r="EO744" s="43"/>
      <c r="EP744" s="43"/>
      <c r="EQ744" s="43"/>
      <c r="ER744" s="43"/>
      <c r="ES744" s="43"/>
      <c r="ET744" s="43"/>
      <c r="EU744" s="43"/>
      <c r="EV744" s="43"/>
      <c r="EW744" s="43"/>
      <c r="EX744" s="43"/>
      <c r="EY744" s="43"/>
      <c r="EZ744" s="43"/>
      <c r="FA744" s="43"/>
      <c r="FB744" s="43"/>
      <c r="FC744" s="43"/>
      <c r="FD744" s="43"/>
      <c r="FE744" s="43"/>
      <c r="FF744" s="43"/>
      <c r="FG744" s="43"/>
      <c r="FH744" s="50"/>
      <c r="FI744" s="50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  <c r="BL745" s="43"/>
      <c r="BM745" s="43"/>
      <c r="BN745" s="43"/>
      <c r="BO745" s="43"/>
      <c r="BP745" s="43"/>
      <c r="BQ745" s="43"/>
      <c r="BR745" s="43"/>
      <c r="BS745" s="43"/>
      <c r="BT745" s="43"/>
      <c r="BU745" s="43"/>
      <c r="BV745" s="43"/>
      <c r="BW745" s="43"/>
      <c r="BX745" s="43"/>
      <c r="BY745" s="43"/>
      <c r="BZ745" s="43"/>
      <c r="CA745" s="43"/>
      <c r="CB745" s="43"/>
      <c r="CC745" s="43"/>
      <c r="CD745" s="43"/>
      <c r="CE745" s="43"/>
      <c r="CF745" s="43"/>
      <c r="CG745" s="43"/>
      <c r="CH745" s="43"/>
      <c r="CI745" s="43"/>
      <c r="CJ745" s="43"/>
      <c r="CK745" s="43"/>
      <c r="CL745" s="43"/>
      <c r="CM745" s="43"/>
      <c r="CN745" s="43"/>
      <c r="CO745" s="43"/>
      <c r="CP745" s="43"/>
      <c r="CQ745" s="43"/>
      <c r="CR745" s="43"/>
      <c r="CS745" s="43"/>
      <c r="CT745" s="43"/>
      <c r="CU745" s="43"/>
      <c r="CV745" s="43"/>
      <c r="CW745" s="43"/>
      <c r="CX745" s="43"/>
      <c r="CY745" s="43"/>
      <c r="CZ745" s="43"/>
      <c r="DA745" s="43"/>
      <c r="DB745" s="43"/>
      <c r="DC745" s="43"/>
      <c r="DD745" s="43"/>
      <c r="DE745" s="43"/>
      <c r="DF745" s="43"/>
      <c r="DG745" s="43"/>
      <c r="DH745" s="43"/>
      <c r="DI745" s="43"/>
      <c r="DJ745" s="43"/>
      <c r="DK745" s="43"/>
      <c r="DL745" s="43"/>
      <c r="DM745" s="43"/>
      <c r="DN745" s="43"/>
      <c r="DO745" s="43"/>
      <c r="DP745" s="43"/>
      <c r="DQ745" s="43"/>
      <c r="DR745" s="43"/>
      <c r="DS745" s="43"/>
      <c r="DT745" s="43"/>
      <c r="DU745" s="43"/>
      <c r="DV745" s="43"/>
      <c r="DW745" s="43"/>
      <c r="DX745" s="43"/>
      <c r="DY745" s="43"/>
      <c r="DZ745" s="43"/>
      <c r="EA745" s="43"/>
      <c r="EB745" s="43"/>
      <c r="EC745" s="43"/>
      <c r="ED745" s="43"/>
      <c r="EE745" s="43"/>
      <c r="EF745" s="43"/>
      <c r="EG745" s="43"/>
      <c r="EH745" s="43"/>
      <c r="EI745" s="43"/>
      <c r="EJ745" s="43"/>
      <c r="EK745" s="43"/>
      <c r="EL745" s="43"/>
      <c r="EM745" s="43"/>
      <c r="EN745" s="43"/>
      <c r="EO745" s="43"/>
      <c r="EP745" s="43"/>
      <c r="EQ745" s="43"/>
      <c r="ER745" s="43"/>
      <c r="ES745" s="43"/>
      <c r="ET745" s="43"/>
      <c r="EU745" s="43"/>
      <c r="EV745" s="43"/>
      <c r="EW745" s="43"/>
      <c r="EX745" s="43"/>
      <c r="EY745" s="43"/>
      <c r="EZ745" s="43"/>
      <c r="FA745" s="43"/>
      <c r="FB745" s="43"/>
      <c r="FC745" s="43"/>
      <c r="FD745" s="43"/>
      <c r="FE745" s="43"/>
      <c r="FF745" s="43"/>
      <c r="FG745" s="43"/>
      <c r="FH745" s="50"/>
      <c r="FI745" s="50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43"/>
      <c r="CF746" s="43"/>
      <c r="CG746" s="43"/>
      <c r="CH746" s="43"/>
      <c r="CI746" s="43"/>
      <c r="CJ746" s="43"/>
      <c r="CK746" s="43"/>
      <c r="CL746" s="43"/>
      <c r="CM746" s="43"/>
      <c r="CN746" s="43"/>
      <c r="CO746" s="43"/>
      <c r="CP746" s="43"/>
      <c r="CQ746" s="43"/>
      <c r="CR746" s="43"/>
      <c r="CS746" s="43"/>
      <c r="CT746" s="43"/>
      <c r="CU746" s="43"/>
      <c r="CV746" s="43"/>
      <c r="CW746" s="43"/>
      <c r="CX746" s="43"/>
      <c r="CY746" s="43"/>
      <c r="CZ746" s="43"/>
      <c r="DA746" s="43"/>
      <c r="DB746" s="43"/>
      <c r="DC746" s="43"/>
      <c r="DD746" s="43"/>
      <c r="DE746" s="43"/>
      <c r="DF746" s="43"/>
      <c r="DG746" s="43"/>
      <c r="DH746" s="43"/>
      <c r="DI746" s="43"/>
      <c r="DJ746" s="43"/>
      <c r="DK746" s="43"/>
      <c r="DL746" s="43"/>
      <c r="DM746" s="43"/>
      <c r="DN746" s="43"/>
      <c r="DO746" s="43"/>
      <c r="DP746" s="43"/>
      <c r="DQ746" s="43"/>
      <c r="DR746" s="43"/>
      <c r="DS746" s="43"/>
      <c r="DT746" s="43"/>
      <c r="DU746" s="43"/>
      <c r="DV746" s="43"/>
      <c r="DW746" s="43"/>
      <c r="DX746" s="43"/>
      <c r="DY746" s="43"/>
      <c r="DZ746" s="43"/>
      <c r="EA746" s="43"/>
      <c r="EB746" s="43"/>
      <c r="EC746" s="43"/>
      <c r="ED746" s="43"/>
      <c r="EE746" s="43"/>
      <c r="EF746" s="43"/>
      <c r="EG746" s="43"/>
      <c r="EH746" s="43"/>
      <c r="EI746" s="43"/>
      <c r="EJ746" s="43"/>
      <c r="EK746" s="43"/>
      <c r="EL746" s="43"/>
      <c r="EM746" s="43"/>
      <c r="EN746" s="43"/>
      <c r="EO746" s="43"/>
      <c r="EP746" s="43"/>
      <c r="EQ746" s="43"/>
      <c r="ER746" s="43"/>
      <c r="ES746" s="43"/>
      <c r="ET746" s="43"/>
      <c r="EU746" s="43"/>
      <c r="EV746" s="43"/>
      <c r="EW746" s="43"/>
      <c r="EX746" s="43"/>
      <c r="EY746" s="43"/>
      <c r="EZ746" s="43"/>
      <c r="FA746" s="43"/>
      <c r="FB746" s="43"/>
      <c r="FC746" s="43"/>
      <c r="FD746" s="43"/>
      <c r="FE746" s="43"/>
      <c r="FF746" s="43"/>
      <c r="FG746" s="43"/>
      <c r="FH746" s="50"/>
      <c r="FI746" s="50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3"/>
      <c r="BQ747" s="43"/>
      <c r="BR747" s="43"/>
      <c r="BS747" s="43"/>
      <c r="BT747" s="43"/>
      <c r="BU747" s="43"/>
      <c r="BV747" s="43"/>
      <c r="BW747" s="43"/>
      <c r="BX747" s="43"/>
      <c r="BY747" s="43"/>
      <c r="BZ747" s="43"/>
      <c r="CA747" s="43"/>
      <c r="CB747" s="43"/>
      <c r="CC747" s="43"/>
      <c r="CD747" s="43"/>
      <c r="CE747" s="43"/>
      <c r="CF747" s="43"/>
      <c r="CG747" s="43"/>
      <c r="CH747" s="43"/>
      <c r="CI747" s="43"/>
      <c r="CJ747" s="43"/>
      <c r="CK747" s="43"/>
      <c r="CL747" s="43"/>
      <c r="CM747" s="43"/>
      <c r="CN747" s="43"/>
      <c r="CO747" s="43"/>
      <c r="CP747" s="43"/>
      <c r="CQ747" s="43"/>
      <c r="CR747" s="43"/>
      <c r="CS747" s="43"/>
      <c r="CT747" s="43"/>
      <c r="CU747" s="43"/>
      <c r="CV747" s="43"/>
      <c r="CW747" s="43"/>
      <c r="CX747" s="43"/>
      <c r="CY747" s="43"/>
      <c r="CZ747" s="43"/>
      <c r="DA747" s="43"/>
      <c r="DB747" s="43"/>
      <c r="DC747" s="43"/>
      <c r="DD747" s="43"/>
      <c r="DE747" s="43"/>
      <c r="DF747" s="43"/>
      <c r="DG747" s="43"/>
      <c r="DH747" s="43"/>
      <c r="DI747" s="43"/>
      <c r="DJ747" s="43"/>
      <c r="DK747" s="43"/>
      <c r="DL747" s="43"/>
      <c r="DM747" s="43"/>
      <c r="DN747" s="43"/>
      <c r="DO747" s="43"/>
      <c r="DP747" s="43"/>
      <c r="DQ747" s="43"/>
      <c r="DR747" s="43"/>
      <c r="DS747" s="43"/>
      <c r="DT747" s="43"/>
      <c r="DU747" s="43"/>
      <c r="DV747" s="43"/>
      <c r="DW747" s="43"/>
      <c r="DX747" s="43"/>
      <c r="DY747" s="43"/>
      <c r="DZ747" s="43"/>
      <c r="EA747" s="43"/>
      <c r="EB747" s="43"/>
      <c r="EC747" s="43"/>
      <c r="ED747" s="43"/>
      <c r="EE747" s="43"/>
      <c r="EF747" s="43"/>
      <c r="EG747" s="43"/>
      <c r="EH747" s="43"/>
      <c r="EI747" s="43"/>
      <c r="EJ747" s="43"/>
      <c r="EK747" s="43"/>
      <c r="EL747" s="43"/>
      <c r="EM747" s="43"/>
      <c r="EN747" s="43"/>
      <c r="EO747" s="43"/>
      <c r="EP747" s="43"/>
      <c r="EQ747" s="43"/>
      <c r="ER747" s="43"/>
      <c r="ES747" s="43"/>
      <c r="ET747" s="43"/>
      <c r="EU747" s="43"/>
      <c r="EV747" s="43"/>
      <c r="EW747" s="43"/>
      <c r="EX747" s="43"/>
      <c r="EY747" s="43"/>
      <c r="EZ747" s="43"/>
      <c r="FA747" s="43"/>
      <c r="FB747" s="43"/>
      <c r="FC747" s="43"/>
      <c r="FD747" s="43"/>
      <c r="FE747" s="43"/>
      <c r="FF747" s="43"/>
      <c r="FG747" s="43"/>
      <c r="FH747" s="50"/>
      <c r="FI747" s="50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/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3"/>
      <c r="CA748" s="43"/>
      <c r="CB748" s="43"/>
      <c r="CC748" s="43"/>
      <c r="CD748" s="43"/>
      <c r="CE748" s="43"/>
      <c r="CF748" s="43"/>
      <c r="CG748" s="43"/>
      <c r="CH748" s="43"/>
      <c r="CI748" s="43"/>
      <c r="CJ748" s="43"/>
      <c r="CK748" s="43"/>
      <c r="CL748" s="43"/>
      <c r="CM748" s="43"/>
      <c r="CN748" s="43"/>
      <c r="CO748" s="43"/>
      <c r="CP748" s="43"/>
      <c r="CQ748" s="43"/>
      <c r="CR748" s="43"/>
      <c r="CS748" s="43"/>
      <c r="CT748" s="43"/>
      <c r="CU748" s="43"/>
      <c r="CV748" s="43"/>
      <c r="CW748" s="43"/>
      <c r="CX748" s="43"/>
      <c r="CY748" s="43"/>
      <c r="CZ748" s="43"/>
      <c r="DA748" s="43"/>
      <c r="DB748" s="43"/>
      <c r="DC748" s="43"/>
      <c r="DD748" s="43"/>
      <c r="DE748" s="43"/>
      <c r="DF748" s="43"/>
      <c r="DG748" s="43"/>
      <c r="DH748" s="43"/>
      <c r="DI748" s="43"/>
      <c r="DJ748" s="43"/>
      <c r="DK748" s="43"/>
      <c r="DL748" s="43"/>
      <c r="DM748" s="43"/>
      <c r="DN748" s="43"/>
      <c r="DO748" s="43"/>
      <c r="DP748" s="43"/>
      <c r="DQ748" s="43"/>
      <c r="DR748" s="43"/>
      <c r="DS748" s="43"/>
      <c r="DT748" s="43"/>
      <c r="DU748" s="43"/>
      <c r="DV748" s="43"/>
      <c r="DW748" s="43"/>
      <c r="DX748" s="43"/>
      <c r="DY748" s="43"/>
      <c r="DZ748" s="43"/>
      <c r="EA748" s="43"/>
      <c r="EB748" s="43"/>
      <c r="EC748" s="43"/>
      <c r="ED748" s="43"/>
      <c r="EE748" s="43"/>
      <c r="EF748" s="43"/>
      <c r="EG748" s="43"/>
      <c r="EH748" s="43"/>
      <c r="EI748" s="43"/>
      <c r="EJ748" s="43"/>
      <c r="EK748" s="43"/>
      <c r="EL748" s="43"/>
      <c r="EM748" s="43"/>
      <c r="EN748" s="43"/>
      <c r="EO748" s="43"/>
      <c r="EP748" s="43"/>
      <c r="EQ748" s="43"/>
      <c r="ER748" s="43"/>
      <c r="ES748" s="43"/>
      <c r="ET748" s="43"/>
      <c r="EU748" s="43"/>
      <c r="EV748" s="43"/>
      <c r="EW748" s="43"/>
      <c r="EX748" s="43"/>
      <c r="EY748" s="43"/>
      <c r="EZ748" s="43"/>
      <c r="FA748" s="43"/>
      <c r="FB748" s="43"/>
      <c r="FC748" s="43"/>
      <c r="FD748" s="43"/>
      <c r="FE748" s="43"/>
      <c r="FF748" s="43"/>
      <c r="FG748" s="43"/>
      <c r="FH748" s="50"/>
      <c r="FI748" s="50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43"/>
      <c r="BJ749" s="43"/>
      <c r="BK749" s="43"/>
      <c r="BL749" s="43"/>
      <c r="BM749" s="43"/>
      <c r="BN749" s="43"/>
      <c r="BO749" s="43"/>
      <c r="BP749" s="43"/>
      <c r="BQ749" s="43"/>
      <c r="BR749" s="43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43"/>
      <c r="CF749" s="43"/>
      <c r="CG749" s="43"/>
      <c r="CH749" s="43"/>
      <c r="CI749" s="43"/>
      <c r="CJ749" s="43"/>
      <c r="CK749" s="43"/>
      <c r="CL749" s="43"/>
      <c r="CM749" s="43"/>
      <c r="CN749" s="43"/>
      <c r="CO749" s="43"/>
      <c r="CP749" s="43"/>
      <c r="CQ749" s="43"/>
      <c r="CR749" s="43"/>
      <c r="CS749" s="43"/>
      <c r="CT749" s="43"/>
      <c r="CU749" s="43"/>
      <c r="CV749" s="43"/>
      <c r="CW749" s="43"/>
      <c r="CX749" s="43"/>
      <c r="CY749" s="43"/>
      <c r="CZ749" s="43"/>
      <c r="DA749" s="43"/>
      <c r="DB749" s="43"/>
      <c r="DC749" s="43"/>
      <c r="DD749" s="43"/>
      <c r="DE749" s="43"/>
      <c r="DF749" s="43"/>
      <c r="DG749" s="43"/>
      <c r="DH749" s="43"/>
      <c r="DI749" s="43"/>
      <c r="DJ749" s="43"/>
      <c r="DK749" s="43"/>
      <c r="DL749" s="43"/>
      <c r="DM749" s="43"/>
      <c r="DN749" s="43"/>
      <c r="DO749" s="43"/>
      <c r="DP749" s="43"/>
      <c r="DQ749" s="43"/>
      <c r="DR749" s="43"/>
      <c r="DS749" s="43"/>
      <c r="DT749" s="43"/>
      <c r="DU749" s="43"/>
      <c r="DV749" s="43"/>
      <c r="DW749" s="43"/>
      <c r="DX749" s="43"/>
      <c r="DY749" s="43"/>
      <c r="DZ749" s="43"/>
      <c r="EA749" s="43"/>
      <c r="EB749" s="43"/>
      <c r="EC749" s="43"/>
      <c r="ED749" s="43"/>
      <c r="EE749" s="43"/>
      <c r="EF749" s="43"/>
      <c r="EG749" s="43"/>
      <c r="EH749" s="43"/>
      <c r="EI749" s="43"/>
      <c r="EJ749" s="43"/>
      <c r="EK749" s="43"/>
      <c r="EL749" s="43"/>
      <c r="EM749" s="43"/>
      <c r="EN749" s="43"/>
      <c r="EO749" s="43"/>
      <c r="EP749" s="43"/>
      <c r="EQ749" s="43"/>
      <c r="ER749" s="43"/>
      <c r="ES749" s="43"/>
      <c r="ET749" s="43"/>
      <c r="EU749" s="43"/>
      <c r="EV749" s="43"/>
      <c r="EW749" s="43"/>
      <c r="EX749" s="43"/>
      <c r="EY749" s="43"/>
      <c r="EZ749" s="43"/>
      <c r="FA749" s="43"/>
      <c r="FB749" s="43"/>
      <c r="FC749" s="43"/>
      <c r="FD749" s="43"/>
      <c r="FE749" s="43"/>
      <c r="FF749" s="43"/>
      <c r="FG749" s="43"/>
      <c r="FH749" s="50"/>
      <c r="FI749" s="50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43"/>
      <c r="BJ750" s="43"/>
      <c r="BK750" s="43"/>
      <c r="BL750" s="43"/>
      <c r="BM750" s="43"/>
      <c r="BN750" s="43"/>
      <c r="BO750" s="43"/>
      <c r="BP750" s="43"/>
      <c r="BQ750" s="43"/>
      <c r="BR750" s="43"/>
      <c r="BS750" s="43"/>
      <c r="BT750" s="43"/>
      <c r="BU750" s="43"/>
      <c r="BV750" s="43"/>
      <c r="BW750" s="43"/>
      <c r="BX750" s="43"/>
      <c r="BY750" s="43"/>
      <c r="BZ750" s="43"/>
      <c r="CA750" s="43"/>
      <c r="CB750" s="43"/>
      <c r="CC750" s="43"/>
      <c r="CD750" s="43"/>
      <c r="CE750" s="43"/>
      <c r="CF750" s="43"/>
      <c r="CG750" s="43"/>
      <c r="CH750" s="43"/>
      <c r="CI750" s="43"/>
      <c r="CJ750" s="43"/>
      <c r="CK750" s="43"/>
      <c r="CL750" s="43"/>
      <c r="CM750" s="43"/>
      <c r="CN750" s="43"/>
      <c r="CO750" s="43"/>
      <c r="CP750" s="43"/>
      <c r="CQ750" s="43"/>
      <c r="CR750" s="43"/>
      <c r="CS750" s="43"/>
      <c r="CT750" s="43"/>
      <c r="CU750" s="43"/>
      <c r="CV750" s="43"/>
      <c r="CW750" s="43"/>
      <c r="CX750" s="43"/>
      <c r="CY750" s="43"/>
      <c r="CZ750" s="43"/>
      <c r="DA750" s="43"/>
      <c r="DB750" s="43"/>
      <c r="DC750" s="43"/>
      <c r="DD750" s="43"/>
      <c r="DE750" s="43"/>
      <c r="DF750" s="43"/>
      <c r="DG750" s="43"/>
      <c r="DH750" s="43"/>
      <c r="DI750" s="43"/>
      <c r="DJ750" s="43"/>
      <c r="DK750" s="43"/>
      <c r="DL750" s="43"/>
      <c r="DM750" s="43"/>
      <c r="DN750" s="43"/>
      <c r="DO750" s="43"/>
      <c r="DP750" s="43"/>
      <c r="DQ750" s="43"/>
      <c r="DR750" s="43"/>
      <c r="DS750" s="43"/>
      <c r="DT750" s="43"/>
      <c r="DU750" s="43"/>
      <c r="DV750" s="43"/>
      <c r="DW750" s="43"/>
      <c r="DX750" s="43"/>
      <c r="DY750" s="43"/>
      <c r="DZ750" s="43"/>
      <c r="EA750" s="43"/>
      <c r="EB750" s="43"/>
      <c r="EC750" s="43"/>
      <c r="ED750" s="43"/>
      <c r="EE750" s="43"/>
      <c r="EF750" s="43"/>
      <c r="EG750" s="43"/>
      <c r="EH750" s="43"/>
      <c r="EI750" s="43"/>
      <c r="EJ750" s="43"/>
      <c r="EK750" s="43"/>
      <c r="EL750" s="43"/>
      <c r="EM750" s="43"/>
      <c r="EN750" s="43"/>
      <c r="EO750" s="43"/>
      <c r="EP750" s="43"/>
      <c r="EQ750" s="43"/>
      <c r="ER750" s="43"/>
      <c r="ES750" s="43"/>
      <c r="ET750" s="43"/>
      <c r="EU750" s="43"/>
      <c r="EV750" s="43"/>
      <c r="EW750" s="43"/>
      <c r="EX750" s="43"/>
      <c r="EY750" s="43"/>
      <c r="EZ750" s="43"/>
      <c r="FA750" s="43"/>
      <c r="FB750" s="43"/>
      <c r="FC750" s="43"/>
      <c r="FD750" s="43"/>
      <c r="FE750" s="43"/>
      <c r="FF750" s="43"/>
      <c r="FG750" s="43"/>
      <c r="FH750" s="50"/>
      <c r="FI750" s="50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  <c r="AX751" s="43"/>
      <c r="AY751" s="43"/>
      <c r="AZ751" s="43"/>
      <c r="BA751" s="43"/>
      <c r="BB751" s="43"/>
      <c r="BC751" s="43"/>
      <c r="BD751" s="43"/>
      <c r="BE751" s="43"/>
      <c r="BF751" s="43"/>
      <c r="BG751" s="43"/>
      <c r="BH751" s="43"/>
      <c r="BI751" s="43"/>
      <c r="BJ751" s="43"/>
      <c r="BK751" s="43"/>
      <c r="BL751" s="43"/>
      <c r="BM751" s="43"/>
      <c r="BN751" s="43"/>
      <c r="BO751" s="43"/>
      <c r="BP751" s="43"/>
      <c r="BQ751" s="43"/>
      <c r="BR751" s="43"/>
      <c r="BS751" s="43"/>
      <c r="BT751" s="43"/>
      <c r="BU751" s="43"/>
      <c r="BV751" s="43"/>
      <c r="BW751" s="43"/>
      <c r="BX751" s="43"/>
      <c r="BY751" s="43"/>
      <c r="BZ751" s="43"/>
      <c r="CA751" s="43"/>
      <c r="CB751" s="43"/>
      <c r="CC751" s="43"/>
      <c r="CD751" s="43"/>
      <c r="CE751" s="43"/>
      <c r="CF751" s="43"/>
      <c r="CG751" s="43"/>
      <c r="CH751" s="43"/>
      <c r="CI751" s="43"/>
      <c r="CJ751" s="43"/>
      <c r="CK751" s="43"/>
      <c r="CL751" s="43"/>
      <c r="CM751" s="43"/>
      <c r="CN751" s="43"/>
      <c r="CO751" s="43"/>
      <c r="CP751" s="43"/>
      <c r="CQ751" s="43"/>
      <c r="CR751" s="43"/>
      <c r="CS751" s="43"/>
      <c r="CT751" s="43"/>
      <c r="CU751" s="43"/>
      <c r="CV751" s="43"/>
      <c r="CW751" s="43"/>
      <c r="CX751" s="43"/>
      <c r="CY751" s="43"/>
      <c r="CZ751" s="43"/>
      <c r="DA751" s="43"/>
      <c r="DB751" s="43"/>
      <c r="DC751" s="43"/>
      <c r="DD751" s="43"/>
      <c r="DE751" s="43"/>
      <c r="DF751" s="43"/>
      <c r="DG751" s="43"/>
      <c r="DH751" s="43"/>
      <c r="DI751" s="43"/>
      <c r="DJ751" s="43"/>
      <c r="DK751" s="43"/>
      <c r="DL751" s="43"/>
      <c r="DM751" s="43"/>
      <c r="DN751" s="43"/>
      <c r="DO751" s="43"/>
      <c r="DP751" s="43"/>
      <c r="DQ751" s="43"/>
      <c r="DR751" s="43"/>
      <c r="DS751" s="43"/>
      <c r="DT751" s="43"/>
      <c r="DU751" s="43"/>
      <c r="DV751" s="43"/>
      <c r="DW751" s="43"/>
      <c r="DX751" s="43"/>
      <c r="DY751" s="43"/>
      <c r="DZ751" s="43"/>
      <c r="EA751" s="43"/>
      <c r="EB751" s="43"/>
      <c r="EC751" s="43"/>
      <c r="ED751" s="43"/>
      <c r="EE751" s="43"/>
      <c r="EF751" s="43"/>
      <c r="EG751" s="43"/>
      <c r="EH751" s="43"/>
      <c r="EI751" s="43"/>
      <c r="EJ751" s="43"/>
      <c r="EK751" s="43"/>
      <c r="EL751" s="43"/>
      <c r="EM751" s="43"/>
      <c r="EN751" s="43"/>
      <c r="EO751" s="43"/>
      <c r="EP751" s="43"/>
      <c r="EQ751" s="43"/>
      <c r="ER751" s="43"/>
      <c r="ES751" s="43"/>
      <c r="ET751" s="43"/>
      <c r="EU751" s="43"/>
      <c r="EV751" s="43"/>
      <c r="EW751" s="43"/>
      <c r="EX751" s="43"/>
      <c r="EY751" s="43"/>
      <c r="EZ751" s="43"/>
      <c r="FA751" s="43"/>
      <c r="FB751" s="43"/>
      <c r="FC751" s="43"/>
      <c r="FD751" s="43"/>
      <c r="FE751" s="43"/>
      <c r="FF751" s="43"/>
      <c r="FG751" s="43"/>
      <c r="FH751" s="50"/>
      <c r="FI751" s="50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  <c r="AX752" s="43"/>
      <c r="AY752" s="43"/>
      <c r="AZ752" s="43"/>
      <c r="BA752" s="43"/>
      <c r="BB752" s="43"/>
      <c r="BC752" s="43"/>
      <c r="BD752" s="43"/>
      <c r="BE752" s="43"/>
      <c r="BF752" s="43"/>
      <c r="BG752" s="43"/>
      <c r="BH752" s="43"/>
      <c r="BI752" s="43"/>
      <c r="BJ752" s="43"/>
      <c r="BK752" s="43"/>
      <c r="BL752" s="43"/>
      <c r="BM752" s="43"/>
      <c r="BN752" s="43"/>
      <c r="BO752" s="43"/>
      <c r="BP752" s="43"/>
      <c r="BQ752" s="43"/>
      <c r="BR752" s="43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43"/>
      <c r="CF752" s="43"/>
      <c r="CG752" s="43"/>
      <c r="CH752" s="43"/>
      <c r="CI752" s="43"/>
      <c r="CJ752" s="43"/>
      <c r="CK752" s="43"/>
      <c r="CL752" s="43"/>
      <c r="CM752" s="43"/>
      <c r="CN752" s="43"/>
      <c r="CO752" s="43"/>
      <c r="CP752" s="43"/>
      <c r="CQ752" s="43"/>
      <c r="CR752" s="43"/>
      <c r="CS752" s="43"/>
      <c r="CT752" s="43"/>
      <c r="CU752" s="43"/>
      <c r="CV752" s="43"/>
      <c r="CW752" s="43"/>
      <c r="CX752" s="43"/>
      <c r="CY752" s="43"/>
      <c r="CZ752" s="43"/>
      <c r="DA752" s="43"/>
      <c r="DB752" s="43"/>
      <c r="DC752" s="43"/>
      <c r="DD752" s="43"/>
      <c r="DE752" s="43"/>
      <c r="DF752" s="43"/>
      <c r="DG752" s="43"/>
      <c r="DH752" s="43"/>
      <c r="DI752" s="43"/>
      <c r="DJ752" s="43"/>
      <c r="DK752" s="43"/>
      <c r="DL752" s="43"/>
      <c r="DM752" s="43"/>
      <c r="DN752" s="43"/>
      <c r="DO752" s="43"/>
      <c r="DP752" s="43"/>
      <c r="DQ752" s="43"/>
      <c r="DR752" s="43"/>
      <c r="DS752" s="43"/>
      <c r="DT752" s="43"/>
      <c r="DU752" s="43"/>
      <c r="DV752" s="43"/>
      <c r="DW752" s="43"/>
      <c r="DX752" s="43"/>
      <c r="DY752" s="43"/>
      <c r="DZ752" s="43"/>
      <c r="EA752" s="43"/>
      <c r="EB752" s="43"/>
      <c r="EC752" s="43"/>
      <c r="ED752" s="43"/>
      <c r="EE752" s="43"/>
      <c r="EF752" s="43"/>
      <c r="EG752" s="43"/>
      <c r="EH752" s="43"/>
      <c r="EI752" s="43"/>
      <c r="EJ752" s="43"/>
      <c r="EK752" s="43"/>
      <c r="EL752" s="43"/>
      <c r="EM752" s="43"/>
      <c r="EN752" s="43"/>
      <c r="EO752" s="43"/>
      <c r="EP752" s="43"/>
      <c r="EQ752" s="43"/>
      <c r="ER752" s="43"/>
      <c r="ES752" s="43"/>
      <c r="ET752" s="43"/>
      <c r="EU752" s="43"/>
      <c r="EV752" s="43"/>
      <c r="EW752" s="43"/>
      <c r="EX752" s="43"/>
      <c r="EY752" s="43"/>
      <c r="EZ752" s="43"/>
      <c r="FA752" s="43"/>
      <c r="FB752" s="43"/>
      <c r="FC752" s="43"/>
      <c r="FD752" s="43"/>
      <c r="FE752" s="43"/>
      <c r="FF752" s="43"/>
      <c r="FG752" s="43"/>
      <c r="FH752" s="50"/>
      <c r="FI752" s="50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  <c r="AX753" s="43"/>
      <c r="AY753" s="43"/>
      <c r="AZ753" s="43"/>
      <c r="BA753" s="43"/>
      <c r="BB753" s="43"/>
      <c r="BC753" s="43"/>
      <c r="BD753" s="43"/>
      <c r="BE753" s="43"/>
      <c r="BF753" s="43"/>
      <c r="BG753" s="43"/>
      <c r="BH753" s="43"/>
      <c r="BI753" s="43"/>
      <c r="BJ753" s="43"/>
      <c r="BK753" s="43"/>
      <c r="BL753" s="43"/>
      <c r="BM753" s="43"/>
      <c r="BN753" s="43"/>
      <c r="BO753" s="43"/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3"/>
      <c r="CA753" s="43"/>
      <c r="CB753" s="43"/>
      <c r="CC753" s="43"/>
      <c r="CD753" s="43"/>
      <c r="CE753" s="43"/>
      <c r="CF753" s="43"/>
      <c r="CG753" s="43"/>
      <c r="CH753" s="43"/>
      <c r="CI753" s="43"/>
      <c r="CJ753" s="43"/>
      <c r="CK753" s="43"/>
      <c r="CL753" s="43"/>
      <c r="CM753" s="43"/>
      <c r="CN753" s="43"/>
      <c r="CO753" s="43"/>
      <c r="CP753" s="43"/>
      <c r="CQ753" s="43"/>
      <c r="CR753" s="43"/>
      <c r="CS753" s="43"/>
      <c r="CT753" s="43"/>
      <c r="CU753" s="43"/>
      <c r="CV753" s="43"/>
      <c r="CW753" s="43"/>
      <c r="CX753" s="43"/>
      <c r="CY753" s="43"/>
      <c r="CZ753" s="43"/>
      <c r="DA753" s="43"/>
      <c r="DB753" s="43"/>
      <c r="DC753" s="43"/>
      <c r="DD753" s="43"/>
      <c r="DE753" s="43"/>
      <c r="DF753" s="43"/>
      <c r="DG753" s="43"/>
      <c r="DH753" s="43"/>
      <c r="DI753" s="43"/>
      <c r="DJ753" s="43"/>
      <c r="DK753" s="43"/>
      <c r="DL753" s="43"/>
      <c r="DM753" s="43"/>
      <c r="DN753" s="43"/>
      <c r="DO753" s="43"/>
      <c r="DP753" s="43"/>
      <c r="DQ753" s="43"/>
      <c r="DR753" s="43"/>
      <c r="DS753" s="43"/>
      <c r="DT753" s="43"/>
      <c r="DU753" s="43"/>
      <c r="DV753" s="43"/>
      <c r="DW753" s="43"/>
      <c r="DX753" s="43"/>
      <c r="DY753" s="43"/>
      <c r="DZ753" s="43"/>
      <c r="EA753" s="43"/>
      <c r="EB753" s="43"/>
      <c r="EC753" s="43"/>
      <c r="ED753" s="43"/>
      <c r="EE753" s="43"/>
      <c r="EF753" s="43"/>
      <c r="EG753" s="43"/>
      <c r="EH753" s="43"/>
      <c r="EI753" s="43"/>
      <c r="EJ753" s="43"/>
      <c r="EK753" s="43"/>
      <c r="EL753" s="43"/>
      <c r="EM753" s="43"/>
      <c r="EN753" s="43"/>
      <c r="EO753" s="43"/>
      <c r="EP753" s="43"/>
      <c r="EQ753" s="43"/>
      <c r="ER753" s="43"/>
      <c r="ES753" s="43"/>
      <c r="ET753" s="43"/>
      <c r="EU753" s="43"/>
      <c r="EV753" s="43"/>
      <c r="EW753" s="43"/>
      <c r="EX753" s="43"/>
      <c r="EY753" s="43"/>
      <c r="EZ753" s="43"/>
      <c r="FA753" s="43"/>
      <c r="FB753" s="43"/>
      <c r="FC753" s="43"/>
      <c r="FD753" s="43"/>
      <c r="FE753" s="43"/>
      <c r="FF753" s="43"/>
      <c r="FG753" s="43"/>
      <c r="FH753" s="50"/>
      <c r="FI753" s="50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  <c r="AX754" s="43"/>
      <c r="AY754" s="43"/>
      <c r="AZ754" s="43"/>
      <c r="BA754" s="43"/>
      <c r="BB754" s="43"/>
      <c r="BC754" s="43"/>
      <c r="BD754" s="43"/>
      <c r="BE754" s="43"/>
      <c r="BF754" s="43"/>
      <c r="BG754" s="43"/>
      <c r="BH754" s="43"/>
      <c r="BI754" s="43"/>
      <c r="BJ754" s="43"/>
      <c r="BK754" s="43"/>
      <c r="BL754" s="43"/>
      <c r="BM754" s="43"/>
      <c r="BN754" s="43"/>
      <c r="BO754" s="43"/>
      <c r="BP754" s="43"/>
      <c r="BQ754" s="43"/>
      <c r="BR754" s="43"/>
      <c r="BS754" s="43"/>
      <c r="BT754" s="43"/>
      <c r="BU754" s="43"/>
      <c r="BV754" s="43"/>
      <c r="BW754" s="43"/>
      <c r="BX754" s="43"/>
      <c r="BY754" s="43"/>
      <c r="BZ754" s="43"/>
      <c r="CA754" s="43"/>
      <c r="CB754" s="43"/>
      <c r="CC754" s="43"/>
      <c r="CD754" s="43"/>
      <c r="CE754" s="43"/>
      <c r="CF754" s="43"/>
      <c r="CG754" s="43"/>
      <c r="CH754" s="43"/>
      <c r="CI754" s="43"/>
      <c r="CJ754" s="43"/>
      <c r="CK754" s="43"/>
      <c r="CL754" s="43"/>
      <c r="CM754" s="43"/>
      <c r="CN754" s="43"/>
      <c r="CO754" s="43"/>
      <c r="CP754" s="43"/>
      <c r="CQ754" s="43"/>
      <c r="CR754" s="43"/>
      <c r="CS754" s="43"/>
      <c r="CT754" s="43"/>
      <c r="CU754" s="43"/>
      <c r="CV754" s="43"/>
      <c r="CW754" s="43"/>
      <c r="CX754" s="43"/>
      <c r="CY754" s="43"/>
      <c r="CZ754" s="43"/>
      <c r="DA754" s="43"/>
      <c r="DB754" s="43"/>
      <c r="DC754" s="43"/>
      <c r="DD754" s="43"/>
      <c r="DE754" s="43"/>
      <c r="DF754" s="43"/>
      <c r="DG754" s="43"/>
      <c r="DH754" s="43"/>
      <c r="DI754" s="43"/>
      <c r="DJ754" s="43"/>
      <c r="DK754" s="43"/>
      <c r="DL754" s="43"/>
      <c r="DM754" s="43"/>
      <c r="DN754" s="43"/>
      <c r="DO754" s="43"/>
      <c r="DP754" s="43"/>
      <c r="DQ754" s="43"/>
      <c r="DR754" s="43"/>
      <c r="DS754" s="43"/>
      <c r="DT754" s="43"/>
      <c r="DU754" s="43"/>
      <c r="DV754" s="43"/>
      <c r="DW754" s="43"/>
      <c r="DX754" s="43"/>
      <c r="DY754" s="43"/>
      <c r="DZ754" s="43"/>
      <c r="EA754" s="43"/>
      <c r="EB754" s="43"/>
      <c r="EC754" s="43"/>
      <c r="ED754" s="43"/>
      <c r="EE754" s="43"/>
      <c r="EF754" s="43"/>
      <c r="EG754" s="43"/>
      <c r="EH754" s="43"/>
      <c r="EI754" s="43"/>
      <c r="EJ754" s="43"/>
      <c r="EK754" s="43"/>
      <c r="EL754" s="43"/>
      <c r="EM754" s="43"/>
      <c r="EN754" s="43"/>
      <c r="EO754" s="43"/>
      <c r="EP754" s="43"/>
      <c r="EQ754" s="43"/>
      <c r="ER754" s="43"/>
      <c r="ES754" s="43"/>
      <c r="ET754" s="43"/>
      <c r="EU754" s="43"/>
      <c r="EV754" s="43"/>
      <c r="EW754" s="43"/>
      <c r="EX754" s="43"/>
      <c r="EY754" s="43"/>
      <c r="EZ754" s="43"/>
      <c r="FA754" s="43"/>
      <c r="FB754" s="43"/>
      <c r="FC754" s="43"/>
      <c r="FD754" s="43"/>
      <c r="FE754" s="43"/>
      <c r="FF754" s="43"/>
      <c r="FG754" s="43"/>
      <c r="FH754" s="50"/>
      <c r="FI754" s="50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  <c r="AX755" s="43"/>
      <c r="AY755" s="43"/>
      <c r="AZ755" s="43"/>
      <c r="BA755" s="43"/>
      <c r="BB755" s="43"/>
      <c r="BC755" s="43"/>
      <c r="BD755" s="43"/>
      <c r="BE755" s="43"/>
      <c r="BF755" s="43"/>
      <c r="BG755" s="43"/>
      <c r="BH755" s="43"/>
      <c r="BI755" s="43"/>
      <c r="BJ755" s="43"/>
      <c r="BK755" s="43"/>
      <c r="BL755" s="43"/>
      <c r="BM755" s="43"/>
      <c r="BN755" s="43"/>
      <c r="BO755" s="43"/>
      <c r="BP755" s="43"/>
      <c r="BQ755" s="43"/>
      <c r="BR755" s="43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43"/>
      <c r="CF755" s="43"/>
      <c r="CG755" s="43"/>
      <c r="CH755" s="43"/>
      <c r="CI755" s="43"/>
      <c r="CJ755" s="43"/>
      <c r="CK755" s="43"/>
      <c r="CL755" s="43"/>
      <c r="CM755" s="43"/>
      <c r="CN755" s="43"/>
      <c r="CO755" s="43"/>
      <c r="CP755" s="43"/>
      <c r="CQ755" s="43"/>
      <c r="CR755" s="43"/>
      <c r="CS755" s="43"/>
      <c r="CT755" s="43"/>
      <c r="CU755" s="43"/>
      <c r="CV755" s="43"/>
      <c r="CW755" s="43"/>
      <c r="CX755" s="43"/>
      <c r="CY755" s="43"/>
      <c r="CZ755" s="43"/>
      <c r="DA755" s="43"/>
      <c r="DB755" s="43"/>
      <c r="DC755" s="43"/>
      <c r="DD755" s="43"/>
      <c r="DE755" s="43"/>
      <c r="DF755" s="43"/>
      <c r="DG755" s="43"/>
      <c r="DH755" s="43"/>
      <c r="DI755" s="43"/>
      <c r="DJ755" s="43"/>
      <c r="DK755" s="43"/>
      <c r="DL755" s="43"/>
      <c r="DM755" s="43"/>
      <c r="DN755" s="43"/>
      <c r="DO755" s="43"/>
      <c r="DP755" s="43"/>
      <c r="DQ755" s="43"/>
      <c r="DR755" s="43"/>
      <c r="DS755" s="43"/>
      <c r="DT755" s="43"/>
      <c r="DU755" s="43"/>
      <c r="DV755" s="43"/>
      <c r="DW755" s="43"/>
      <c r="DX755" s="43"/>
      <c r="DY755" s="43"/>
      <c r="DZ755" s="43"/>
      <c r="EA755" s="43"/>
      <c r="EB755" s="43"/>
      <c r="EC755" s="43"/>
      <c r="ED755" s="43"/>
      <c r="EE755" s="43"/>
      <c r="EF755" s="43"/>
      <c r="EG755" s="43"/>
      <c r="EH755" s="43"/>
      <c r="EI755" s="43"/>
      <c r="EJ755" s="43"/>
      <c r="EK755" s="43"/>
      <c r="EL755" s="43"/>
      <c r="EM755" s="43"/>
      <c r="EN755" s="43"/>
      <c r="EO755" s="43"/>
      <c r="EP755" s="43"/>
      <c r="EQ755" s="43"/>
      <c r="ER755" s="43"/>
      <c r="ES755" s="43"/>
      <c r="ET755" s="43"/>
      <c r="EU755" s="43"/>
      <c r="EV755" s="43"/>
      <c r="EW755" s="43"/>
      <c r="EX755" s="43"/>
      <c r="EY755" s="43"/>
      <c r="EZ755" s="43"/>
      <c r="FA755" s="43"/>
      <c r="FB755" s="43"/>
      <c r="FC755" s="43"/>
      <c r="FD755" s="43"/>
      <c r="FE755" s="43"/>
      <c r="FF755" s="43"/>
      <c r="FG755" s="43"/>
      <c r="FH755" s="50"/>
      <c r="FI755" s="50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  <c r="AX756" s="43"/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43"/>
      <c r="BJ756" s="43"/>
      <c r="BK756" s="43"/>
      <c r="BL756" s="43"/>
      <c r="BM756" s="43"/>
      <c r="BN756" s="43"/>
      <c r="BO756" s="43"/>
      <c r="BP756" s="43"/>
      <c r="BQ756" s="43"/>
      <c r="BR756" s="43"/>
      <c r="BS756" s="43"/>
      <c r="BT756" s="43"/>
      <c r="BU756" s="43"/>
      <c r="BV756" s="43"/>
      <c r="BW756" s="43"/>
      <c r="BX756" s="43"/>
      <c r="BY756" s="43"/>
      <c r="BZ756" s="43"/>
      <c r="CA756" s="43"/>
      <c r="CB756" s="43"/>
      <c r="CC756" s="43"/>
      <c r="CD756" s="43"/>
      <c r="CE756" s="43"/>
      <c r="CF756" s="43"/>
      <c r="CG756" s="43"/>
      <c r="CH756" s="43"/>
      <c r="CI756" s="43"/>
      <c r="CJ756" s="43"/>
      <c r="CK756" s="43"/>
      <c r="CL756" s="43"/>
      <c r="CM756" s="43"/>
      <c r="CN756" s="43"/>
      <c r="CO756" s="43"/>
      <c r="CP756" s="43"/>
      <c r="CQ756" s="43"/>
      <c r="CR756" s="43"/>
      <c r="CS756" s="43"/>
      <c r="CT756" s="43"/>
      <c r="CU756" s="43"/>
      <c r="CV756" s="43"/>
      <c r="CW756" s="43"/>
      <c r="CX756" s="43"/>
      <c r="CY756" s="43"/>
      <c r="CZ756" s="43"/>
      <c r="DA756" s="43"/>
      <c r="DB756" s="43"/>
      <c r="DC756" s="43"/>
      <c r="DD756" s="43"/>
      <c r="DE756" s="43"/>
      <c r="DF756" s="43"/>
      <c r="DG756" s="43"/>
      <c r="DH756" s="43"/>
      <c r="DI756" s="43"/>
      <c r="DJ756" s="43"/>
      <c r="DK756" s="43"/>
      <c r="DL756" s="43"/>
      <c r="DM756" s="43"/>
      <c r="DN756" s="43"/>
      <c r="DO756" s="43"/>
      <c r="DP756" s="43"/>
      <c r="DQ756" s="43"/>
      <c r="DR756" s="43"/>
      <c r="DS756" s="43"/>
      <c r="DT756" s="43"/>
      <c r="DU756" s="43"/>
      <c r="DV756" s="43"/>
      <c r="DW756" s="43"/>
      <c r="DX756" s="43"/>
      <c r="DY756" s="43"/>
      <c r="DZ756" s="43"/>
      <c r="EA756" s="43"/>
      <c r="EB756" s="43"/>
      <c r="EC756" s="43"/>
      <c r="ED756" s="43"/>
      <c r="EE756" s="43"/>
      <c r="EF756" s="43"/>
      <c r="EG756" s="43"/>
      <c r="EH756" s="43"/>
      <c r="EI756" s="43"/>
      <c r="EJ756" s="43"/>
      <c r="EK756" s="43"/>
      <c r="EL756" s="43"/>
      <c r="EM756" s="43"/>
      <c r="EN756" s="43"/>
      <c r="EO756" s="43"/>
      <c r="EP756" s="43"/>
      <c r="EQ756" s="43"/>
      <c r="ER756" s="43"/>
      <c r="ES756" s="43"/>
      <c r="ET756" s="43"/>
      <c r="EU756" s="43"/>
      <c r="EV756" s="43"/>
      <c r="EW756" s="43"/>
      <c r="EX756" s="43"/>
      <c r="EY756" s="43"/>
      <c r="EZ756" s="43"/>
      <c r="FA756" s="43"/>
      <c r="FB756" s="43"/>
      <c r="FC756" s="43"/>
      <c r="FD756" s="43"/>
      <c r="FE756" s="43"/>
      <c r="FF756" s="43"/>
      <c r="FG756" s="43"/>
      <c r="FH756" s="50"/>
      <c r="FI756" s="50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  <c r="AX757" s="43"/>
      <c r="AY757" s="43"/>
      <c r="AZ757" s="43"/>
      <c r="BA757" s="43"/>
      <c r="BB757" s="43"/>
      <c r="BC757" s="43"/>
      <c r="BD757" s="43"/>
      <c r="BE757" s="43"/>
      <c r="BF757" s="43"/>
      <c r="BG757" s="43"/>
      <c r="BH757" s="43"/>
      <c r="BI757" s="43"/>
      <c r="BJ757" s="43"/>
      <c r="BK757" s="43"/>
      <c r="BL757" s="43"/>
      <c r="BM757" s="43"/>
      <c r="BN757" s="43"/>
      <c r="BO757" s="43"/>
      <c r="BP757" s="43"/>
      <c r="BQ757" s="43"/>
      <c r="BR757" s="43"/>
      <c r="BS757" s="43"/>
      <c r="BT757" s="43"/>
      <c r="BU757" s="43"/>
      <c r="BV757" s="43"/>
      <c r="BW757" s="43"/>
      <c r="BX757" s="43"/>
      <c r="BY757" s="43"/>
      <c r="BZ757" s="43"/>
      <c r="CA757" s="43"/>
      <c r="CB757" s="43"/>
      <c r="CC757" s="43"/>
      <c r="CD757" s="43"/>
      <c r="CE757" s="43"/>
      <c r="CF757" s="43"/>
      <c r="CG757" s="43"/>
      <c r="CH757" s="43"/>
      <c r="CI757" s="43"/>
      <c r="CJ757" s="43"/>
      <c r="CK757" s="43"/>
      <c r="CL757" s="43"/>
      <c r="CM757" s="43"/>
      <c r="CN757" s="43"/>
      <c r="CO757" s="43"/>
      <c r="CP757" s="43"/>
      <c r="CQ757" s="43"/>
      <c r="CR757" s="43"/>
      <c r="CS757" s="43"/>
      <c r="CT757" s="43"/>
      <c r="CU757" s="43"/>
      <c r="CV757" s="43"/>
      <c r="CW757" s="43"/>
      <c r="CX757" s="43"/>
      <c r="CY757" s="43"/>
      <c r="CZ757" s="43"/>
      <c r="DA757" s="43"/>
      <c r="DB757" s="43"/>
      <c r="DC757" s="43"/>
      <c r="DD757" s="43"/>
      <c r="DE757" s="43"/>
      <c r="DF757" s="43"/>
      <c r="DG757" s="43"/>
      <c r="DH757" s="43"/>
      <c r="DI757" s="43"/>
      <c r="DJ757" s="43"/>
      <c r="DK757" s="43"/>
      <c r="DL757" s="43"/>
      <c r="DM757" s="43"/>
      <c r="DN757" s="43"/>
      <c r="DO757" s="43"/>
      <c r="DP757" s="43"/>
      <c r="DQ757" s="43"/>
      <c r="DR757" s="43"/>
      <c r="DS757" s="43"/>
      <c r="DT757" s="43"/>
      <c r="DU757" s="43"/>
      <c r="DV757" s="43"/>
      <c r="DW757" s="43"/>
      <c r="DX757" s="43"/>
      <c r="DY757" s="43"/>
      <c r="DZ757" s="43"/>
      <c r="EA757" s="43"/>
      <c r="EB757" s="43"/>
      <c r="EC757" s="43"/>
      <c r="ED757" s="43"/>
      <c r="EE757" s="43"/>
      <c r="EF757" s="43"/>
      <c r="EG757" s="43"/>
      <c r="EH757" s="43"/>
      <c r="EI757" s="43"/>
      <c r="EJ757" s="43"/>
      <c r="EK757" s="43"/>
      <c r="EL757" s="43"/>
      <c r="EM757" s="43"/>
      <c r="EN757" s="43"/>
      <c r="EO757" s="43"/>
      <c r="EP757" s="43"/>
      <c r="EQ757" s="43"/>
      <c r="ER757" s="43"/>
      <c r="ES757" s="43"/>
      <c r="ET757" s="43"/>
      <c r="EU757" s="43"/>
      <c r="EV757" s="43"/>
      <c r="EW757" s="43"/>
      <c r="EX757" s="43"/>
      <c r="EY757" s="43"/>
      <c r="EZ757" s="43"/>
      <c r="FA757" s="43"/>
      <c r="FB757" s="43"/>
      <c r="FC757" s="43"/>
      <c r="FD757" s="43"/>
      <c r="FE757" s="43"/>
      <c r="FF757" s="43"/>
      <c r="FG757" s="43"/>
      <c r="FH757" s="50"/>
      <c r="FI757" s="50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  <c r="AX758" s="43"/>
      <c r="AY758" s="43"/>
      <c r="AZ758" s="43"/>
      <c r="BA758" s="43"/>
      <c r="BB758" s="43"/>
      <c r="BC758" s="43"/>
      <c r="BD758" s="43"/>
      <c r="BE758" s="43"/>
      <c r="BF758" s="43"/>
      <c r="BG758" s="43"/>
      <c r="BH758" s="43"/>
      <c r="BI758" s="43"/>
      <c r="BJ758" s="43"/>
      <c r="BK758" s="43"/>
      <c r="BL758" s="43"/>
      <c r="BM758" s="43"/>
      <c r="BN758" s="43"/>
      <c r="BO758" s="43"/>
      <c r="BP758" s="43"/>
      <c r="BQ758" s="43"/>
      <c r="BR758" s="43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43"/>
      <c r="CF758" s="43"/>
      <c r="CG758" s="43"/>
      <c r="CH758" s="43"/>
      <c r="CI758" s="43"/>
      <c r="CJ758" s="43"/>
      <c r="CK758" s="43"/>
      <c r="CL758" s="43"/>
      <c r="CM758" s="43"/>
      <c r="CN758" s="43"/>
      <c r="CO758" s="43"/>
      <c r="CP758" s="43"/>
      <c r="CQ758" s="43"/>
      <c r="CR758" s="43"/>
      <c r="CS758" s="43"/>
      <c r="CT758" s="43"/>
      <c r="CU758" s="43"/>
      <c r="CV758" s="43"/>
      <c r="CW758" s="43"/>
      <c r="CX758" s="43"/>
      <c r="CY758" s="43"/>
      <c r="CZ758" s="43"/>
      <c r="DA758" s="43"/>
      <c r="DB758" s="43"/>
      <c r="DC758" s="43"/>
      <c r="DD758" s="43"/>
      <c r="DE758" s="43"/>
      <c r="DF758" s="43"/>
      <c r="DG758" s="43"/>
      <c r="DH758" s="43"/>
      <c r="DI758" s="43"/>
      <c r="DJ758" s="43"/>
      <c r="DK758" s="43"/>
      <c r="DL758" s="43"/>
      <c r="DM758" s="43"/>
      <c r="DN758" s="43"/>
      <c r="DO758" s="43"/>
      <c r="DP758" s="43"/>
      <c r="DQ758" s="43"/>
      <c r="DR758" s="43"/>
      <c r="DS758" s="43"/>
      <c r="DT758" s="43"/>
      <c r="DU758" s="43"/>
      <c r="DV758" s="43"/>
      <c r="DW758" s="43"/>
      <c r="DX758" s="43"/>
      <c r="DY758" s="43"/>
      <c r="DZ758" s="43"/>
      <c r="EA758" s="43"/>
      <c r="EB758" s="43"/>
      <c r="EC758" s="43"/>
      <c r="ED758" s="43"/>
      <c r="EE758" s="43"/>
      <c r="EF758" s="43"/>
      <c r="EG758" s="43"/>
      <c r="EH758" s="43"/>
      <c r="EI758" s="43"/>
      <c r="EJ758" s="43"/>
      <c r="EK758" s="43"/>
      <c r="EL758" s="43"/>
      <c r="EM758" s="43"/>
      <c r="EN758" s="43"/>
      <c r="EO758" s="43"/>
      <c r="EP758" s="43"/>
      <c r="EQ758" s="43"/>
      <c r="ER758" s="43"/>
      <c r="ES758" s="43"/>
      <c r="ET758" s="43"/>
      <c r="EU758" s="43"/>
      <c r="EV758" s="43"/>
      <c r="EW758" s="43"/>
      <c r="EX758" s="43"/>
      <c r="EY758" s="43"/>
      <c r="EZ758" s="43"/>
      <c r="FA758" s="43"/>
      <c r="FB758" s="43"/>
      <c r="FC758" s="43"/>
      <c r="FD758" s="43"/>
      <c r="FE758" s="43"/>
      <c r="FF758" s="43"/>
      <c r="FG758" s="43"/>
      <c r="FH758" s="50"/>
      <c r="FI758" s="50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  <c r="AX759" s="43"/>
      <c r="AY759" s="43"/>
      <c r="AZ759" s="43"/>
      <c r="BA759" s="43"/>
      <c r="BB759" s="43"/>
      <c r="BC759" s="43"/>
      <c r="BD759" s="43"/>
      <c r="BE759" s="43"/>
      <c r="BF759" s="43"/>
      <c r="BG759" s="43"/>
      <c r="BH759" s="43"/>
      <c r="BI759" s="43"/>
      <c r="BJ759" s="43"/>
      <c r="BK759" s="43"/>
      <c r="BL759" s="43"/>
      <c r="BM759" s="43"/>
      <c r="BN759" s="43"/>
      <c r="BO759" s="43"/>
      <c r="BP759" s="43"/>
      <c r="BQ759" s="43"/>
      <c r="BR759" s="43"/>
      <c r="BS759" s="43"/>
      <c r="BT759" s="43"/>
      <c r="BU759" s="43"/>
      <c r="BV759" s="43"/>
      <c r="BW759" s="43"/>
      <c r="BX759" s="43"/>
      <c r="BY759" s="43"/>
      <c r="BZ759" s="43"/>
      <c r="CA759" s="43"/>
      <c r="CB759" s="43"/>
      <c r="CC759" s="43"/>
      <c r="CD759" s="43"/>
      <c r="CE759" s="43"/>
      <c r="CF759" s="43"/>
      <c r="CG759" s="43"/>
      <c r="CH759" s="43"/>
      <c r="CI759" s="43"/>
      <c r="CJ759" s="43"/>
      <c r="CK759" s="43"/>
      <c r="CL759" s="43"/>
      <c r="CM759" s="43"/>
      <c r="CN759" s="43"/>
      <c r="CO759" s="43"/>
      <c r="CP759" s="43"/>
      <c r="CQ759" s="43"/>
      <c r="CR759" s="43"/>
      <c r="CS759" s="43"/>
      <c r="CT759" s="43"/>
      <c r="CU759" s="43"/>
      <c r="CV759" s="43"/>
      <c r="CW759" s="43"/>
      <c r="CX759" s="43"/>
      <c r="CY759" s="43"/>
      <c r="CZ759" s="43"/>
      <c r="DA759" s="43"/>
      <c r="DB759" s="43"/>
      <c r="DC759" s="43"/>
      <c r="DD759" s="43"/>
      <c r="DE759" s="43"/>
      <c r="DF759" s="43"/>
      <c r="DG759" s="43"/>
      <c r="DH759" s="43"/>
      <c r="DI759" s="43"/>
      <c r="DJ759" s="43"/>
      <c r="DK759" s="43"/>
      <c r="DL759" s="43"/>
      <c r="DM759" s="43"/>
      <c r="DN759" s="43"/>
      <c r="DO759" s="43"/>
      <c r="DP759" s="43"/>
      <c r="DQ759" s="43"/>
      <c r="DR759" s="43"/>
      <c r="DS759" s="43"/>
      <c r="DT759" s="43"/>
      <c r="DU759" s="43"/>
      <c r="DV759" s="43"/>
      <c r="DW759" s="43"/>
      <c r="DX759" s="43"/>
      <c r="DY759" s="43"/>
      <c r="DZ759" s="43"/>
      <c r="EA759" s="43"/>
      <c r="EB759" s="43"/>
      <c r="EC759" s="43"/>
      <c r="ED759" s="43"/>
      <c r="EE759" s="43"/>
      <c r="EF759" s="43"/>
      <c r="EG759" s="43"/>
      <c r="EH759" s="43"/>
      <c r="EI759" s="43"/>
      <c r="EJ759" s="43"/>
      <c r="EK759" s="43"/>
      <c r="EL759" s="43"/>
      <c r="EM759" s="43"/>
      <c r="EN759" s="43"/>
      <c r="EO759" s="43"/>
      <c r="EP759" s="43"/>
      <c r="EQ759" s="43"/>
      <c r="ER759" s="43"/>
      <c r="ES759" s="43"/>
      <c r="ET759" s="43"/>
      <c r="EU759" s="43"/>
      <c r="EV759" s="43"/>
      <c r="EW759" s="43"/>
      <c r="EX759" s="43"/>
      <c r="EY759" s="43"/>
      <c r="EZ759" s="43"/>
      <c r="FA759" s="43"/>
      <c r="FB759" s="43"/>
      <c r="FC759" s="43"/>
      <c r="FD759" s="43"/>
      <c r="FE759" s="43"/>
      <c r="FF759" s="43"/>
      <c r="FG759" s="43"/>
      <c r="FH759" s="50"/>
      <c r="FI759" s="50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  <c r="BL760" s="43"/>
      <c r="BM760" s="43"/>
      <c r="BN760" s="43"/>
      <c r="BO760" s="43"/>
      <c r="BP760" s="43"/>
      <c r="BQ760" s="43"/>
      <c r="BR760" s="43"/>
      <c r="BS760" s="43"/>
      <c r="BT760" s="43"/>
      <c r="BU760" s="43"/>
      <c r="BV760" s="43"/>
      <c r="BW760" s="43"/>
      <c r="BX760" s="43"/>
      <c r="BY760" s="43"/>
      <c r="BZ760" s="43"/>
      <c r="CA760" s="43"/>
      <c r="CB760" s="43"/>
      <c r="CC760" s="43"/>
      <c r="CD760" s="43"/>
      <c r="CE760" s="43"/>
      <c r="CF760" s="43"/>
      <c r="CG760" s="43"/>
      <c r="CH760" s="43"/>
      <c r="CI760" s="43"/>
      <c r="CJ760" s="43"/>
      <c r="CK760" s="43"/>
      <c r="CL760" s="43"/>
      <c r="CM760" s="43"/>
      <c r="CN760" s="43"/>
      <c r="CO760" s="43"/>
      <c r="CP760" s="43"/>
      <c r="CQ760" s="43"/>
      <c r="CR760" s="43"/>
      <c r="CS760" s="43"/>
      <c r="CT760" s="43"/>
      <c r="CU760" s="43"/>
      <c r="CV760" s="43"/>
      <c r="CW760" s="43"/>
      <c r="CX760" s="43"/>
      <c r="CY760" s="43"/>
      <c r="CZ760" s="43"/>
      <c r="DA760" s="43"/>
      <c r="DB760" s="43"/>
      <c r="DC760" s="43"/>
      <c r="DD760" s="43"/>
      <c r="DE760" s="43"/>
      <c r="DF760" s="43"/>
      <c r="DG760" s="43"/>
      <c r="DH760" s="43"/>
      <c r="DI760" s="43"/>
      <c r="DJ760" s="43"/>
      <c r="DK760" s="43"/>
      <c r="DL760" s="43"/>
      <c r="DM760" s="43"/>
      <c r="DN760" s="43"/>
      <c r="DO760" s="43"/>
      <c r="DP760" s="43"/>
      <c r="DQ760" s="43"/>
      <c r="DR760" s="43"/>
      <c r="DS760" s="43"/>
      <c r="DT760" s="43"/>
      <c r="DU760" s="43"/>
      <c r="DV760" s="43"/>
      <c r="DW760" s="43"/>
      <c r="DX760" s="43"/>
      <c r="DY760" s="43"/>
      <c r="DZ760" s="43"/>
      <c r="EA760" s="43"/>
      <c r="EB760" s="43"/>
      <c r="EC760" s="43"/>
      <c r="ED760" s="43"/>
      <c r="EE760" s="43"/>
      <c r="EF760" s="43"/>
      <c r="EG760" s="43"/>
      <c r="EH760" s="43"/>
      <c r="EI760" s="43"/>
      <c r="EJ760" s="43"/>
      <c r="EK760" s="43"/>
      <c r="EL760" s="43"/>
      <c r="EM760" s="43"/>
      <c r="EN760" s="43"/>
      <c r="EO760" s="43"/>
      <c r="EP760" s="43"/>
      <c r="EQ760" s="43"/>
      <c r="ER760" s="43"/>
      <c r="ES760" s="43"/>
      <c r="ET760" s="43"/>
      <c r="EU760" s="43"/>
      <c r="EV760" s="43"/>
      <c r="EW760" s="43"/>
      <c r="EX760" s="43"/>
      <c r="EY760" s="43"/>
      <c r="EZ760" s="43"/>
      <c r="FA760" s="43"/>
      <c r="FB760" s="43"/>
      <c r="FC760" s="43"/>
      <c r="FD760" s="43"/>
      <c r="FE760" s="43"/>
      <c r="FF760" s="43"/>
      <c r="FG760" s="43"/>
      <c r="FH760" s="50"/>
      <c r="FI760" s="50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  <c r="BL761" s="43"/>
      <c r="BM761" s="43"/>
      <c r="BN761" s="43"/>
      <c r="BO761" s="43"/>
      <c r="BP761" s="43"/>
      <c r="BQ761" s="43"/>
      <c r="BR761" s="43"/>
      <c r="BS761" s="43"/>
      <c r="BT761" s="43"/>
      <c r="BU761" s="43"/>
      <c r="BV761" s="43"/>
      <c r="BW761" s="43"/>
      <c r="BX761" s="43"/>
      <c r="BY761" s="43"/>
      <c r="BZ761" s="43"/>
      <c r="CA761" s="43"/>
      <c r="CB761" s="43"/>
      <c r="CC761" s="43"/>
      <c r="CD761" s="43"/>
      <c r="CE761" s="43"/>
      <c r="CF761" s="43"/>
      <c r="CG761" s="43"/>
      <c r="CH761" s="43"/>
      <c r="CI761" s="43"/>
      <c r="CJ761" s="43"/>
      <c r="CK761" s="43"/>
      <c r="CL761" s="43"/>
      <c r="CM761" s="43"/>
      <c r="CN761" s="43"/>
      <c r="CO761" s="43"/>
      <c r="CP761" s="43"/>
      <c r="CQ761" s="43"/>
      <c r="CR761" s="43"/>
      <c r="CS761" s="43"/>
      <c r="CT761" s="43"/>
      <c r="CU761" s="43"/>
      <c r="CV761" s="43"/>
      <c r="CW761" s="43"/>
      <c r="CX761" s="43"/>
      <c r="CY761" s="43"/>
      <c r="CZ761" s="43"/>
      <c r="DA761" s="43"/>
      <c r="DB761" s="43"/>
      <c r="DC761" s="43"/>
      <c r="DD761" s="43"/>
      <c r="DE761" s="43"/>
      <c r="DF761" s="43"/>
      <c r="DG761" s="43"/>
      <c r="DH761" s="43"/>
      <c r="DI761" s="43"/>
      <c r="DJ761" s="43"/>
      <c r="DK761" s="43"/>
      <c r="DL761" s="43"/>
      <c r="DM761" s="43"/>
      <c r="DN761" s="43"/>
      <c r="DO761" s="43"/>
      <c r="DP761" s="43"/>
      <c r="DQ761" s="43"/>
      <c r="DR761" s="43"/>
      <c r="DS761" s="43"/>
      <c r="DT761" s="43"/>
      <c r="DU761" s="43"/>
      <c r="DV761" s="43"/>
      <c r="DW761" s="43"/>
      <c r="DX761" s="43"/>
      <c r="DY761" s="43"/>
      <c r="DZ761" s="43"/>
      <c r="EA761" s="43"/>
      <c r="EB761" s="43"/>
      <c r="EC761" s="43"/>
      <c r="ED761" s="43"/>
      <c r="EE761" s="43"/>
      <c r="EF761" s="43"/>
      <c r="EG761" s="43"/>
      <c r="EH761" s="43"/>
      <c r="EI761" s="43"/>
      <c r="EJ761" s="43"/>
      <c r="EK761" s="43"/>
      <c r="EL761" s="43"/>
      <c r="EM761" s="43"/>
      <c r="EN761" s="43"/>
      <c r="EO761" s="43"/>
      <c r="EP761" s="43"/>
      <c r="EQ761" s="43"/>
      <c r="ER761" s="43"/>
      <c r="ES761" s="43"/>
      <c r="ET761" s="43"/>
      <c r="EU761" s="43"/>
      <c r="EV761" s="43"/>
      <c r="EW761" s="43"/>
      <c r="EX761" s="43"/>
      <c r="EY761" s="43"/>
      <c r="EZ761" s="43"/>
      <c r="FA761" s="43"/>
      <c r="FB761" s="43"/>
      <c r="FC761" s="43"/>
      <c r="FD761" s="43"/>
      <c r="FE761" s="43"/>
      <c r="FF761" s="43"/>
      <c r="FG761" s="43"/>
      <c r="FH761" s="50"/>
      <c r="FI761" s="50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R762" s="43"/>
      <c r="BS762" s="43"/>
      <c r="BT762" s="43"/>
      <c r="BU762" s="43"/>
      <c r="BV762" s="43"/>
      <c r="BW762" s="43"/>
      <c r="BX762" s="43"/>
      <c r="BY762" s="43"/>
      <c r="BZ762" s="43"/>
      <c r="CA762" s="43"/>
      <c r="CB762" s="43"/>
      <c r="CC762" s="43"/>
      <c r="CD762" s="43"/>
      <c r="CE762" s="43"/>
      <c r="CF762" s="43"/>
      <c r="CG762" s="43"/>
      <c r="CH762" s="43"/>
      <c r="CI762" s="43"/>
      <c r="CJ762" s="43"/>
      <c r="CK762" s="43"/>
      <c r="CL762" s="43"/>
      <c r="CM762" s="43"/>
      <c r="CN762" s="43"/>
      <c r="CO762" s="43"/>
      <c r="CP762" s="43"/>
      <c r="CQ762" s="43"/>
      <c r="CR762" s="43"/>
      <c r="CS762" s="43"/>
      <c r="CT762" s="43"/>
      <c r="CU762" s="43"/>
      <c r="CV762" s="43"/>
      <c r="CW762" s="43"/>
      <c r="CX762" s="43"/>
      <c r="CY762" s="43"/>
      <c r="CZ762" s="43"/>
      <c r="DA762" s="43"/>
      <c r="DB762" s="43"/>
      <c r="DC762" s="43"/>
      <c r="DD762" s="43"/>
      <c r="DE762" s="43"/>
      <c r="DF762" s="43"/>
      <c r="DG762" s="43"/>
      <c r="DH762" s="43"/>
      <c r="DI762" s="43"/>
      <c r="DJ762" s="43"/>
      <c r="DK762" s="43"/>
      <c r="DL762" s="43"/>
      <c r="DM762" s="43"/>
      <c r="DN762" s="43"/>
      <c r="DO762" s="43"/>
      <c r="DP762" s="43"/>
      <c r="DQ762" s="43"/>
      <c r="DR762" s="43"/>
      <c r="DS762" s="43"/>
      <c r="DT762" s="43"/>
      <c r="DU762" s="43"/>
      <c r="DV762" s="43"/>
      <c r="DW762" s="43"/>
      <c r="DX762" s="43"/>
      <c r="DY762" s="43"/>
      <c r="DZ762" s="43"/>
      <c r="EA762" s="43"/>
      <c r="EB762" s="43"/>
      <c r="EC762" s="43"/>
      <c r="ED762" s="43"/>
      <c r="EE762" s="43"/>
      <c r="EF762" s="43"/>
      <c r="EG762" s="43"/>
      <c r="EH762" s="43"/>
      <c r="EI762" s="43"/>
      <c r="EJ762" s="43"/>
      <c r="EK762" s="43"/>
      <c r="EL762" s="43"/>
      <c r="EM762" s="43"/>
      <c r="EN762" s="43"/>
      <c r="EO762" s="43"/>
      <c r="EP762" s="43"/>
      <c r="EQ762" s="43"/>
      <c r="ER762" s="43"/>
      <c r="ES762" s="43"/>
      <c r="ET762" s="43"/>
      <c r="EU762" s="43"/>
      <c r="EV762" s="43"/>
      <c r="EW762" s="43"/>
      <c r="EX762" s="43"/>
      <c r="EY762" s="43"/>
      <c r="EZ762" s="43"/>
      <c r="FA762" s="43"/>
      <c r="FB762" s="43"/>
      <c r="FC762" s="43"/>
      <c r="FD762" s="43"/>
      <c r="FE762" s="43"/>
      <c r="FF762" s="43"/>
      <c r="FG762" s="43"/>
      <c r="FH762" s="50"/>
      <c r="FI762" s="50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  <c r="BL763" s="43"/>
      <c r="BM763" s="43"/>
      <c r="BN763" s="43"/>
      <c r="BO763" s="43"/>
      <c r="BP763" s="43"/>
      <c r="BQ763" s="43"/>
      <c r="BR763" s="43"/>
      <c r="BS763" s="43"/>
      <c r="BT763" s="43"/>
      <c r="BU763" s="43"/>
      <c r="BV763" s="43"/>
      <c r="BW763" s="43"/>
      <c r="BX763" s="43"/>
      <c r="BY763" s="43"/>
      <c r="BZ763" s="43"/>
      <c r="CA763" s="43"/>
      <c r="CB763" s="43"/>
      <c r="CC763" s="43"/>
      <c r="CD763" s="43"/>
      <c r="CE763" s="43"/>
      <c r="CF763" s="43"/>
      <c r="CG763" s="43"/>
      <c r="CH763" s="43"/>
      <c r="CI763" s="43"/>
      <c r="CJ763" s="43"/>
      <c r="CK763" s="43"/>
      <c r="CL763" s="43"/>
      <c r="CM763" s="43"/>
      <c r="CN763" s="43"/>
      <c r="CO763" s="43"/>
      <c r="CP763" s="43"/>
      <c r="CQ763" s="43"/>
      <c r="CR763" s="43"/>
      <c r="CS763" s="43"/>
      <c r="CT763" s="43"/>
      <c r="CU763" s="43"/>
      <c r="CV763" s="43"/>
      <c r="CW763" s="43"/>
      <c r="CX763" s="43"/>
      <c r="CY763" s="43"/>
      <c r="CZ763" s="43"/>
      <c r="DA763" s="43"/>
      <c r="DB763" s="43"/>
      <c r="DC763" s="43"/>
      <c r="DD763" s="43"/>
      <c r="DE763" s="43"/>
      <c r="DF763" s="43"/>
      <c r="DG763" s="43"/>
      <c r="DH763" s="43"/>
      <c r="DI763" s="43"/>
      <c r="DJ763" s="43"/>
      <c r="DK763" s="43"/>
      <c r="DL763" s="43"/>
      <c r="DM763" s="43"/>
      <c r="DN763" s="43"/>
      <c r="DO763" s="43"/>
      <c r="DP763" s="43"/>
      <c r="DQ763" s="43"/>
      <c r="DR763" s="43"/>
      <c r="DS763" s="43"/>
      <c r="DT763" s="43"/>
      <c r="DU763" s="43"/>
      <c r="DV763" s="43"/>
      <c r="DW763" s="43"/>
      <c r="DX763" s="43"/>
      <c r="DY763" s="43"/>
      <c r="DZ763" s="43"/>
      <c r="EA763" s="43"/>
      <c r="EB763" s="43"/>
      <c r="EC763" s="43"/>
      <c r="ED763" s="43"/>
      <c r="EE763" s="43"/>
      <c r="EF763" s="43"/>
      <c r="EG763" s="43"/>
      <c r="EH763" s="43"/>
      <c r="EI763" s="43"/>
      <c r="EJ763" s="43"/>
      <c r="EK763" s="43"/>
      <c r="EL763" s="43"/>
      <c r="EM763" s="43"/>
      <c r="EN763" s="43"/>
      <c r="EO763" s="43"/>
      <c r="EP763" s="43"/>
      <c r="EQ763" s="43"/>
      <c r="ER763" s="43"/>
      <c r="ES763" s="43"/>
      <c r="ET763" s="43"/>
      <c r="EU763" s="43"/>
      <c r="EV763" s="43"/>
      <c r="EW763" s="43"/>
      <c r="EX763" s="43"/>
      <c r="EY763" s="43"/>
      <c r="EZ763" s="43"/>
      <c r="FA763" s="43"/>
      <c r="FB763" s="43"/>
      <c r="FC763" s="43"/>
      <c r="FD763" s="43"/>
      <c r="FE763" s="43"/>
      <c r="FF763" s="43"/>
      <c r="FG763" s="43"/>
      <c r="FH763" s="50"/>
      <c r="FI763" s="50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  <c r="BL764" s="43"/>
      <c r="BM764" s="43"/>
      <c r="BN764" s="43"/>
      <c r="BO764" s="43"/>
      <c r="BP764" s="43"/>
      <c r="BQ764" s="43"/>
      <c r="BR764" s="43"/>
      <c r="BS764" s="43"/>
      <c r="BT764" s="43"/>
      <c r="BU764" s="43"/>
      <c r="BV764" s="43"/>
      <c r="BW764" s="43"/>
      <c r="BX764" s="43"/>
      <c r="BY764" s="43"/>
      <c r="BZ764" s="43"/>
      <c r="CA764" s="43"/>
      <c r="CB764" s="43"/>
      <c r="CC764" s="43"/>
      <c r="CD764" s="43"/>
      <c r="CE764" s="43"/>
      <c r="CF764" s="43"/>
      <c r="CG764" s="43"/>
      <c r="CH764" s="43"/>
      <c r="CI764" s="43"/>
      <c r="CJ764" s="43"/>
      <c r="CK764" s="43"/>
      <c r="CL764" s="43"/>
      <c r="CM764" s="43"/>
      <c r="CN764" s="43"/>
      <c r="CO764" s="43"/>
      <c r="CP764" s="43"/>
      <c r="CQ764" s="43"/>
      <c r="CR764" s="43"/>
      <c r="CS764" s="43"/>
      <c r="CT764" s="43"/>
      <c r="CU764" s="43"/>
      <c r="CV764" s="43"/>
      <c r="CW764" s="43"/>
      <c r="CX764" s="43"/>
      <c r="CY764" s="43"/>
      <c r="CZ764" s="43"/>
      <c r="DA764" s="43"/>
      <c r="DB764" s="43"/>
      <c r="DC764" s="43"/>
      <c r="DD764" s="43"/>
      <c r="DE764" s="43"/>
      <c r="DF764" s="43"/>
      <c r="DG764" s="43"/>
      <c r="DH764" s="43"/>
      <c r="DI764" s="43"/>
      <c r="DJ764" s="43"/>
      <c r="DK764" s="43"/>
      <c r="DL764" s="43"/>
      <c r="DM764" s="43"/>
      <c r="DN764" s="43"/>
      <c r="DO764" s="43"/>
      <c r="DP764" s="43"/>
      <c r="DQ764" s="43"/>
      <c r="DR764" s="43"/>
      <c r="DS764" s="43"/>
      <c r="DT764" s="43"/>
      <c r="DU764" s="43"/>
      <c r="DV764" s="43"/>
      <c r="DW764" s="43"/>
      <c r="DX764" s="43"/>
      <c r="DY764" s="43"/>
      <c r="DZ764" s="43"/>
      <c r="EA764" s="43"/>
      <c r="EB764" s="43"/>
      <c r="EC764" s="43"/>
      <c r="ED764" s="43"/>
      <c r="EE764" s="43"/>
      <c r="EF764" s="43"/>
      <c r="EG764" s="43"/>
      <c r="EH764" s="43"/>
      <c r="EI764" s="43"/>
      <c r="EJ764" s="43"/>
      <c r="EK764" s="43"/>
      <c r="EL764" s="43"/>
      <c r="EM764" s="43"/>
      <c r="EN764" s="43"/>
      <c r="EO764" s="43"/>
      <c r="EP764" s="43"/>
      <c r="EQ764" s="43"/>
      <c r="ER764" s="43"/>
      <c r="ES764" s="43"/>
      <c r="ET764" s="43"/>
      <c r="EU764" s="43"/>
      <c r="EV764" s="43"/>
      <c r="EW764" s="43"/>
      <c r="EX764" s="43"/>
      <c r="EY764" s="43"/>
      <c r="EZ764" s="43"/>
      <c r="FA764" s="43"/>
      <c r="FB764" s="43"/>
      <c r="FC764" s="43"/>
      <c r="FD764" s="43"/>
      <c r="FE764" s="43"/>
      <c r="FF764" s="43"/>
      <c r="FG764" s="43"/>
      <c r="FH764" s="50"/>
      <c r="FI764" s="50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43"/>
      <c r="BJ765" s="43"/>
      <c r="BK765" s="43"/>
      <c r="BL765" s="43"/>
      <c r="BM765" s="43"/>
      <c r="BN765" s="43"/>
      <c r="BO765" s="43"/>
      <c r="BP765" s="43"/>
      <c r="BQ765" s="43"/>
      <c r="BR765" s="43"/>
      <c r="BS765" s="43"/>
      <c r="BT765" s="43"/>
      <c r="BU765" s="43"/>
      <c r="BV765" s="43"/>
      <c r="BW765" s="43"/>
      <c r="BX765" s="43"/>
      <c r="BY765" s="43"/>
      <c r="BZ765" s="43"/>
      <c r="CA765" s="43"/>
      <c r="CB765" s="43"/>
      <c r="CC765" s="43"/>
      <c r="CD765" s="43"/>
      <c r="CE765" s="43"/>
      <c r="CF765" s="43"/>
      <c r="CG765" s="43"/>
      <c r="CH765" s="43"/>
      <c r="CI765" s="43"/>
      <c r="CJ765" s="43"/>
      <c r="CK765" s="43"/>
      <c r="CL765" s="43"/>
      <c r="CM765" s="43"/>
      <c r="CN765" s="43"/>
      <c r="CO765" s="43"/>
      <c r="CP765" s="43"/>
      <c r="CQ765" s="43"/>
      <c r="CR765" s="43"/>
      <c r="CS765" s="43"/>
      <c r="CT765" s="43"/>
      <c r="CU765" s="43"/>
      <c r="CV765" s="43"/>
      <c r="CW765" s="43"/>
      <c r="CX765" s="43"/>
      <c r="CY765" s="43"/>
      <c r="CZ765" s="43"/>
      <c r="DA765" s="43"/>
      <c r="DB765" s="43"/>
      <c r="DC765" s="43"/>
      <c r="DD765" s="43"/>
      <c r="DE765" s="43"/>
      <c r="DF765" s="43"/>
      <c r="DG765" s="43"/>
      <c r="DH765" s="43"/>
      <c r="DI765" s="43"/>
      <c r="DJ765" s="43"/>
      <c r="DK765" s="43"/>
      <c r="DL765" s="43"/>
      <c r="DM765" s="43"/>
      <c r="DN765" s="43"/>
      <c r="DO765" s="43"/>
      <c r="DP765" s="43"/>
      <c r="DQ765" s="43"/>
      <c r="DR765" s="43"/>
      <c r="DS765" s="43"/>
      <c r="DT765" s="43"/>
      <c r="DU765" s="43"/>
      <c r="DV765" s="43"/>
      <c r="DW765" s="43"/>
      <c r="DX765" s="43"/>
      <c r="DY765" s="43"/>
      <c r="DZ765" s="43"/>
      <c r="EA765" s="43"/>
      <c r="EB765" s="43"/>
      <c r="EC765" s="43"/>
      <c r="ED765" s="43"/>
      <c r="EE765" s="43"/>
      <c r="EF765" s="43"/>
      <c r="EG765" s="43"/>
      <c r="EH765" s="43"/>
      <c r="EI765" s="43"/>
      <c r="EJ765" s="43"/>
      <c r="EK765" s="43"/>
      <c r="EL765" s="43"/>
      <c r="EM765" s="43"/>
      <c r="EN765" s="43"/>
      <c r="EO765" s="43"/>
      <c r="EP765" s="43"/>
      <c r="EQ765" s="43"/>
      <c r="ER765" s="43"/>
      <c r="ES765" s="43"/>
      <c r="ET765" s="43"/>
      <c r="EU765" s="43"/>
      <c r="EV765" s="43"/>
      <c r="EW765" s="43"/>
      <c r="EX765" s="43"/>
      <c r="EY765" s="43"/>
      <c r="EZ765" s="43"/>
      <c r="FA765" s="43"/>
      <c r="FB765" s="43"/>
      <c r="FC765" s="43"/>
      <c r="FD765" s="43"/>
      <c r="FE765" s="43"/>
      <c r="FF765" s="43"/>
      <c r="FG765" s="43"/>
      <c r="FH765" s="50"/>
      <c r="FI765" s="50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  <c r="AX766" s="43"/>
      <c r="AY766" s="43"/>
      <c r="AZ766" s="43"/>
      <c r="BA766" s="43"/>
      <c r="BB766" s="43"/>
      <c r="BC766" s="43"/>
      <c r="BD766" s="43"/>
      <c r="BE766" s="43"/>
      <c r="BF766" s="43"/>
      <c r="BG766" s="43"/>
      <c r="BH766" s="43"/>
      <c r="BI766" s="43"/>
      <c r="BJ766" s="43"/>
      <c r="BK766" s="43"/>
      <c r="BL766" s="43"/>
      <c r="BM766" s="43"/>
      <c r="BN766" s="43"/>
      <c r="BO766" s="43"/>
      <c r="BP766" s="43"/>
      <c r="BQ766" s="43"/>
      <c r="BR766" s="43"/>
      <c r="BS766" s="43"/>
      <c r="BT766" s="43"/>
      <c r="BU766" s="43"/>
      <c r="BV766" s="43"/>
      <c r="BW766" s="43"/>
      <c r="BX766" s="43"/>
      <c r="BY766" s="43"/>
      <c r="BZ766" s="43"/>
      <c r="CA766" s="43"/>
      <c r="CB766" s="43"/>
      <c r="CC766" s="43"/>
      <c r="CD766" s="43"/>
      <c r="CE766" s="43"/>
      <c r="CF766" s="43"/>
      <c r="CG766" s="43"/>
      <c r="CH766" s="43"/>
      <c r="CI766" s="43"/>
      <c r="CJ766" s="43"/>
      <c r="CK766" s="43"/>
      <c r="CL766" s="43"/>
      <c r="CM766" s="43"/>
      <c r="CN766" s="43"/>
      <c r="CO766" s="43"/>
      <c r="CP766" s="43"/>
      <c r="CQ766" s="43"/>
      <c r="CR766" s="43"/>
      <c r="CS766" s="43"/>
      <c r="CT766" s="43"/>
      <c r="CU766" s="43"/>
      <c r="CV766" s="43"/>
      <c r="CW766" s="43"/>
      <c r="CX766" s="43"/>
      <c r="CY766" s="43"/>
      <c r="CZ766" s="43"/>
      <c r="DA766" s="43"/>
      <c r="DB766" s="43"/>
      <c r="DC766" s="43"/>
      <c r="DD766" s="43"/>
      <c r="DE766" s="43"/>
      <c r="DF766" s="43"/>
      <c r="DG766" s="43"/>
      <c r="DH766" s="43"/>
      <c r="DI766" s="43"/>
      <c r="DJ766" s="43"/>
      <c r="DK766" s="43"/>
      <c r="DL766" s="43"/>
      <c r="DM766" s="43"/>
      <c r="DN766" s="43"/>
      <c r="DO766" s="43"/>
      <c r="DP766" s="43"/>
      <c r="DQ766" s="43"/>
      <c r="DR766" s="43"/>
      <c r="DS766" s="43"/>
      <c r="DT766" s="43"/>
      <c r="DU766" s="43"/>
      <c r="DV766" s="43"/>
      <c r="DW766" s="43"/>
      <c r="DX766" s="43"/>
      <c r="DY766" s="43"/>
      <c r="DZ766" s="43"/>
      <c r="EA766" s="43"/>
      <c r="EB766" s="43"/>
      <c r="EC766" s="43"/>
      <c r="ED766" s="43"/>
      <c r="EE766" s="43"/>
      <c r="EF766" s="43"/>
      <c r="EG766" s="43"/>
      <c r="EH766" s="43"/>
      <c r="EI766" s="43"/>
      <c r="EJ766" s="43"/>
      <c r="EK766" s="43"/>
      <c r="EL766" s="43"/>
      <c r="EM766" s="43"/>
      <c r="EN766" s="43"/>
      <c r="EO766" s="43"/>
      <c r="EP766" s="43"/>
      <c r="EQ766" s="43"/>
      <c r="ER766" s="43"/>
      <c r="ES766" s="43"/>
      <c r="ET766" s="43"/>
      <c r="EU766" s="43"/>
      <c r="EV766" s="43"/>
      <c r="EW766" s="43"/>
      <c r="EX766" s="43"/>
      <c r="EY766" s="43"/>
      <c r="EZ766" s="43"/>
      <c r="FA766" s="43"/>
      <c r="FB766" s="43"/>
      <c r="FC766" s="43"/>
      <c r="FD766" s="43"/>
      <c r="FE766" s="43"/>
      <c r="FF766" s="43"/>
      <c r="FG766" s="43"/>
      <c r="FH766" s="50"/>
      <c r="FI766" s="50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  <c r="AX767" s="43"/>
      <c r="AY767" s="43"/>
      <c r="AZ767" s="43"/>
      <c r="BA767" s="43"/>
      <c r="BB767" s="43"/>
      <c r="BC767" s="43"/>
      <c r="BD767" s="43"/>
      <c r="BE767" s="43"/>
      <c r="BF767" s="43"/>
      <c r="BG767" s="43"/>
      <c r="BH767" s="43"/>
      <c r="BI767" s="43"/>
      <c r="BJ767" s="43"/>
      <c r="BK767" s="43"/>
      <c r="BL767" s="43"/>
      <c r="BM767" s="43"/>
      <c r="BN767" s="43"/>
      <c r="BO767" s="43"/>
      <c r="BP767" s="43"/>
      <c r="BQ767" s="43"/>
      <c r="BR767" s="43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43"/>
      <c r="CF767" s="43"/>
      <c r="CG767" s="43"/>
      <c r="CH767" s="43"/>
      <c r="CI767" s="43"/>
      <c r="CJ767" s="43"/>
      <c r="CK767" s="43"/>
      <c r="CL767" s="43"/>
      <c r="CM767" s="43"/>
      <c r="CN767" s="43"/>
      <c r="CO767" s="43"/>
      <c r="CP767" s="43"/>
      <c r="CQ767" s="43"/>
      <c r="CR767" s="43"/>
      <c r="CS767" s="43"/>
      <c r="CT767" s="43"/>
      <c r="CU767" s="43"/>
      <c r="CV767" s="43"/>
      <c r="CW767" s="43"/>
      <c r="CX767" s="43"/>
      <c r="CY767" s="43"/>
      <c r="CZ767" s="43"/>
      <c r="DA767" s="43"/>
      <c r="DB767" s="43"/>
      <c r="DC767" s="43"/>
      <c r="DD767" s="43"/>
      <c r="DE767" s="43"/>
      <c r="DF767" s="43"/>
      <c r="DG767" s="43"/>
      <c r="DH767" s="43"/>
      <c r="DI767" s="43"/>
      <c r="DJ767" s="43"/>
      <c r="DK767" s="43"/>
      <c r="DL767" s="43"/>
      <c r="DM767" s="43"/>
      <c r="DN767" s="43"/>
      <c r="DO767" s="43"/>
      <c r="DP767" s="43"/>
      <c r="DQ767" s="43"/>
      <c r="DR767" s="43"/>
      <c r="DS767" s="43"/>
      <c r="DT767" s="43"/>
      <c r="DU767" s="43"/>
      <c r="DV767" s="43"/>
      <c r="DW767" s="43"/>
      <c r="DX767" s="43"/>
      <c r="DY767" s="43"/>
      <c r="DZ767" s="43"/>
      <c r="EA767" s="43"/>
      <c r="EB767" s="43"/>
      <c r="EC767" s="43"/>
      <c r="ED767" s="43"/>
      <c r="EE767" s="43"/>
      <c r="EF767" s="43"/>
      <c r="EG767" s="43"/>
      <c r="EH767" s="43"/>
      <c r="EI767" s="43"/>
      <c r="EJ767" s="43"/>
      <c r="EK767" s="43"/>
      <c r="EL767" s="43"/>
      <c r="EM767" s="43"/>
      <c r="EN767" s="43"/>
      <c r="EO767" s="43"/>
      <c r="EP767" s="43"/>
      <c r="EQ767" s="43"/>
      <c r="ER767" s="43"/>
      <c r="ES767" s="43"/>
      <c r="ET767" s="43"/>
      <c r="EU767" s="43"/>
      <c r="EV767" s="43"/>
      <c r="EW767" s="43"/>
      <c r="EX767" s="43"/>
      <c r="EY767" s="43"/>
      <c r="EZ767" s="43"/>
      <c r="FA767" s="43"/>
      <c r="FB767" s="43"/>
      <c r="FC767" s="43"/>
      <c r="FD767" s="43"/>
      <c r="FE767" s="43"/>
      <c r="FF767" s="43"/>
      <c r="FG767" s="43"/>
      <c r="FH767" s="50"/>
      <c r="FI767" s="50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  <c r="AX768" s="43"/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R768" s="43"/>
      <c r="BS768" s="43"/>
      <c r="BT768" s="43"/>
      <c r="BU768" s="43"/>
      <c r="BV768" s="43"/>
      <c r="BW768" s="43"/>
      <c r="BX768" s="43"/>
      <c r="BY768" s="43"/>
      <c r="BZ768" s="43"/>
      <c r="CA768" s="43"/>
      <c r="CB768" s="43"/>
      <c r="CC768" s="43"/>
      <c r="CD768" s="43"/>
      <c r="CE768" s="43"/>
      <c r="CF768" s="43"/>
      <c r="CG768" s="43"/>
      <c r="CH768" s="43"/>
      <c r="CI768" s="43"/>
      <c r="CJ768" s="43"/>
      <c r="CK768" s="43"/>
      <c r="CL768" s="43"/>
      <c r="CM768" s="43"/>
      <c r="CN768" s="43"/>
      <c r="CO768" s="43"/>
      <c r="CP768" s="43"/>
      <c r="CQ768" s="43"/>
      <c r="CR768" s="43"/>
      <c r="CS768" s="43"/>
      <c r="CT768" s="43"/>
      <c r="CU768" s="43"/>
      <c r="CV768" s="43"/>
      <c r="CW768" s="43"/>
      <c r="CX768" s="43"/>
      <c r="CY768" s="43"/>
      <c r="CZ768" s="43"/>
      <c r="DA768" s="43"/>
      <c r="DB768" s="43"/>
      <c r="DC768" s="43"/>
      <c r="DD768" s="43"/>
      <c r="DE768" s="43"/>
      <c r="DF768" s="43"/>
      <c r="DG768" s="43"/>
      <c r="DH768" s="43"/>
      <c r="DI768" s="43"/>
      <c r="DJ768" s="43"/>
      <c r="DK768" s="43"/>
      <c r="DL768" s="43"/>
      <c r="DM768" s="43"/>
      <c r="DN768" s="43"/>
      <c r="DO768" s="43"/>
      <c r="DP768" s="43"/>
      <c r="DQ768" s="43"/>
      <c r="DR768" s="43"/>
      <c r="DS768" s="43"/>
      <c r="DT768" s="43"/>
      <c r="DU768" s="43"/>
      <c r="DV768" s="43"/>
      <c r="DW768" s="43"/>
      <c r="DX768" s="43"/>
      <c r="DY768" s="43"/>
      <c r="DZ768" s="43"/>
      <c r="EA768" s="43"/>
      <c r="EB768" s="43"/>
      <c r="EC768" s="43"/>
      <c r="ED768" s="43"/>
      <c r="EE768" s="43"/>
      <c r="EF768" s="43"/>
      <c r="EG768" s="43"/>
      <c r="EH768" s="43"/>
      <c r="EI768" s="43"/>
      <c r="EJ768" s="43"/>
      <c r="EK768" s="43"/>
      <c r="EL768" s="43"/>
      <c r="EM768" s="43"/>
      <c r="EN768" s="43"/>
      <c r="EO768" s="43"/>
      <c r="EP768" s="43"/>
      <c r="EQ768" s="43"/>
      <c r="ER768" s="43"/>
      <c r="ES768" s="43"/>
      <c r="ET768" s="43"/>
      <c r="EU768" s="43"/>
      <c r="EV768" s="43"/>
      <c r="EW768" s="43"/>
      <c r="EX768" s="43"/>
      <c r="EY768" s="43"/>
      <c r="EZ768" s="43"/>
      <c r="FA768" s="43"/>
      <c r="FB768" s="43"/>
      <c r="FC768" s="43"/>
      <c r="FD768" s="43"/>
      <c r="FE768" s="43"/>
      <c r="FF768" s="43"/>
      <c r="FG768" s="43"/>
      <c r="FH768" s="50"/>
      <c r="FI768" s="50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  <c r="AX769" s="43"/>
      <c r="AY769" s="43"/>
      <c r="AZ769" s="43"/>
      <c r="BA769" s="43"/>
      <c r="BB769" s="43"/>
      <c r="BC769" s="43"/>
      <c r="BD769" s="43"/>
      <c r="BE769" s="43"/>
      <c r="BF769" s="43"/>
      <c r="BG769" s="43"/>
      <c r="BH769" s="43"/>
      <c r="BI769" s="43"/>
      <c r="BJ769" s="43"/>
      <c r="BK769" s="43"/>
      <c r="BL769" s="43"/>
      <c r="BM769" s="43"/>
      <c r="BN769" s="43"/>
      <c r="BO769" s="43"/>
      <c r="BP769" s="43"/>
      <c r="BQ769" s="43"/>
      <c r="BR769" s="43"/>
      <c r="BS769" s="43"/>
      <c r="BT769" s="43"/>
      <c r="BU769" s="43"/>
      <c r="BV769" s="43"/>
      <c r="BW769" s="43"/>
      <c r="BX769" s="43"/>
      <c r="BY769" s="43"/>
      <c r="BZ769" s="43"/>
      <c r="CA769" s="43"/>
      <c r="CB769" s="43"/>
      <c r="CC769" s="43"/>
      <c r="CD769" s="43"/>
      <c r="CE769" s="43"/>
      <c r="CF769" s="43"/>
      <c r="CG769" s="43"/>
      <c r="CH769" s="43"/>
      <c r="CI769" s="43"/>
      <c r="CJ769" s="43"/>
      <c r="CK769" s="43"/>
      <c r="CL769" s="43"/>
      <c r="CM769" s="43"/>
      <c r="CN769" s="43"/>
      <c r="CO769" s="43"/>
      <c r="CP769" s="43"/>
      <c r="CQ769" s="43"/>
      <c r="CR769" s="43"/>
      <c r="CS769" s="43"/>
      <c r="CT769" s="43"/>
      <c r="CU769" s="43"/>
      <c r="CV769" s="43"/>
      <c r="CW769" s="43"/>
      <c r="CX769" s="43"/>
      <c r="CY769" s="43"/>
      <c r="CZ769" s="43"/>
      <c r="DA769" s="43"/>
      <c r="DB769" s="43"/>
      <c r="DC769" s="43"/>
      <c r="DD769" s="43"/>
      <c r="DE769" s="43"/>
      <c r="DF769" s="43"/>
      <c r="DG769" s="43"/>
      <c r="DH769" s="43"/>
      <c r="DI769" s="43"/>
      <c r="DJ769" s="43"/>
      <c r="DK769" s="43"/>
      <c r="DL769" s="43"/>
      <c r="DM769" s="43"/>
      <c r="DN769" s="43"/>
      <c r="DO769" s="43"/>
      <c r="DP769" s="43"/>
      <c r="DQ769" s="43"/>
      <c r="DR769" s="43"/>
      <c r="DS769" s="43"/>
      <c r="DT769" s="43"/>
      <c r="DU769" s="43"/>
      <c r="DV769" s="43"/>
      <c r="DW769" s="43"/>
      <c r="DX769" s="43"/>
      <c r="DY769" s="43"/>
      <c r="DZ769" s="43"/>
      <c r="EA769" s="43"/>
      <c r="EB769" s="43"/>
      <c r="EC769" s="43"/>
      <c r="ED769" s="43"/>
      <c r="EE769" s="43"/>
      <c r="EF769" s="43"/>
      <c r="EG769" s="43"/>
      <c r="EH769" s="43"/>
      <c r="EI769" s="43"/>
      <c r="EJ769" s="43"/>
      <c r="EK769" s="43"/>
      <c r="EL769" s="43"/>
      <c r="EM769" s="43"/>
      <c r="EN769" s="43"/>
      <c r="EO769" s="43"/>
      <c r="EP769" s="43"/>
      <c r="EQ769" s="43"/>
      <c r="ER769" s="43"/>
      <c r="ES769" s="43"/>
      <c r="ET769" s="43"/>
      <c r="EU769" s="43"/>
      <c r="EV769" s="43"/>
      <c r="EW769" s="43"/>
      <c r="EX769" s="43"/>
      <c r="EY769" s="43"/>
      <c r="EZ769" s="43"/>
      <c r="FA769" s="43"/>
      <c r="FB769" s="43"/>
      <c r="FC769" s="43"/>
      <c r="FD769" s="43"/>
      <c r="FE769" s="43"/>
      <c r="FF769" s="43"/>
      <c r="FG769" s="43"/>
      <c r="FH769" s="50"/>
      <c r="FI769" s="50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  <c r="AX770" s="43"/>
      <c r="AY770" s="43"/>
      <c r="AZ770" s="43"/>
      <c r="BA770" s="43"/>
      <c r="BB770" s="43"/>
      <c r="BC770" s="43"/>
      <c r="BD770" s="43"/>
      <c r="BE770" s="43"/>
      <c r="BF770" s="43"/>
      <c r="BG770" s="43"/>
      <c r="BH770" s="43"/>
      <c r="BI770" s="43"/>
      <c r="BJ770" s="43"/>
      <c r="BK770" s="43"/>
      <c r="BL770" s="43"/>
      <c r="BM770" s="43"/>
      <c r="BN770" s="43"/>
      <c r="BO770" s="43"/>
      <c r="BP770" s="43"/>
      <c r="BQ770" s="43"/>
      <c r="BR770" s="43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43"/>
      <c r="CF770" s="43"/>
      <c r="CG770" s="43"/>
      <c r="CH770" s="43"/>
      <c r="CI770" s="43"/>
      <c r="CJ770" s="43"/>
      <c r="CK770" s="43"/>
      <c r="CL770" s="43"/>
      <c r="CM770" s="43"/>
      <c r="CN770" s="43"/>
      <c r="CO770" s="43"/>
      <c r="CP770" s="43"/>
      <c r="CQ770" s="43"/>
      <c r="CR770" s="43"/>
      <c r="CS770" s="43"/>
      <c r="CT770" s="43"/>
      <c r="CU770" s="43"/>
      <c r="CV770" s="43"/>
      <c r="CW770" s="43"/>
      <c r="CX770" s="43"/>
      <c r="CY770" s="43"/>
      <c r="CZ770" s="43"/>
      <c r="DA770" s="43"/>
      <c r="DB770" s="43"/>
      <c r="DC770" s="43"/>
      <c r="DD770" s="43"/>
      <c r="DE770" s="43"/>
      <c r="DF770" s="43"/>
      <c r="DG770" s="43"/>
      <c r="DH770" s="43"/>
      <c r="DI770" s="43"/>
      <c r="DJ770" s="43"/>
      <c r="DK770" s="43"/>
      <c r="DL770" s="43"/>
      <c r="DM770" s="43"/>
      <c r="DN770" s="43"/>
      <c r="DO770" s="43"/>
      <c r="DP770" s="43"/>
      <c r="DQ770" s="43"/>
      <c r="DR770" s="43"/>
      <c r="DS770" s="43"/>
      <c r="DT770" s="43"/>
      <c r="DU770" s="43"/>
      <c r="DV770" s="43"/>
      <c r="DW770" s="43"/>
      <c r="DX770" s="43"/>
      <c r="DY770" s="43"/>
      <c r="DZ770" s="43"/>
      <c r="EA770" s="43"/>
      <c r="EB770" s="43"/>
      <c r="EC770" s="43"/>
      <c r="ED770" s="43"/>
      <c r="EE770" s="43"/>
      <c r="EF770" s="43"/>
      <c r="EG770" s="43"/>
      <c r="EH770" s="43"/>
      <c r="EI770" s="43"/>
      <c r="EJ770" s="43"/>
      <c r="EK770" s="43"/>
      <c r="EL770" s="43"/>
      <c r="EM770" s="43"/>
      <c r="EN770" s="43"/>
      <c r="EO770" s="43"/>
      <c r="EP770" s="43"/>
      <c r="EQ770" s="43"/>
      <c r="ER770" s="43"/>
      <c r="ES770" s="43"/>
      <c r="ET770" s="43"/>
      <c r="EU770" s="43"/>
      <c r="EV770" s="43"/>
      <c r="EW770" s="43"/>
      <c r="EX770" s="43"/>
      <c r="EY770" s="43"/>
      <c r="EZ770" s="43"/>
      <c r="FA770" s="43"/>
      <c r="FB770" s="43"/>
      <c r="FC770" s="43"/>
      <c r="FD770" s="43"/>
      <c r="FE770" s="43"/>
      <c r="FF770" s="43"/>
      <c r="FG770" s="43"/>
      <c r="FH770" s="50"/>
      <c r="FI770" s="50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  <c r="AX771" s="43"/>
      <c r="AY771" s="43"/>
      <c r="AZ771" s="43"/>
      <c r="BA771" s="43"/>
      <c r="BB771" s="43"/>
      <c r="BC771" s="43"/>
      <c r="BD771" s="43"/>
      <c r="BE771" s="43"/>
      <c r="BF771" s="43"/>
      <c r="BG771" s="43"/>
      <c r="BH771" s="43"/>
      <c r="BI771" s="43"/>
      <c r="BJ771" s="43"/>
      <c r="BK771" s="43"/>
      <c r="BL771" s="43"/>
      <c r="BM771" s="43"/>
      <c r="BN771" s="43"/>
      <c r="BO771" s="43"/>
      <c r="BP771" s="43"/>
      <c r="BQ771" s="43"/>
      <c r="BR771" s="43"/>
      <c r="BS771" s="43"/>
      <c r="BT771" s="43"/>
      <c r="BU771" s="43"/>
      <c r="BV771" s="43"/>
      <c r="BW771" s="43"/>
      <c r="BX771" s="43"/>
      <c r="BY771" s="43"/>
      <c r="BZ771" s="43"/>
      <c r="CA771" s="43"/>
      <c r="CB771" s="43"/>
      <c r="CC771" s="43"/>
      <c r="CD771" s="43"/>
      <c r="CE771" s="43"/>
      <c r="CF771" s="43"/>
      <c r="CG771" s="43"/>
      <c r="CH771" s="43"/>
      <c r="CI771" s="43"/>
      <c r="CJ771" s="43"/>
      <c r="CK771" s="43"/>
      <c r="CL771" s="43"/>
      <c r="CM771" s="43"/>
      <c r="CN771" s="43"/>
      <c r="CO771" s="43"/>
      <c r="CP771" s="43"/>
      <c r="CQ771" s="43"/>
      <c r="CR771" s="43"/>
      <c r="CS771" s="43"/>
      <c r="CT771" s="43"/>
      <c r="CU771" s="43"/>
      <c r="CV771" s="43"/>
      <c r="CW771" s="43"/>
      <c r="CX771" s="43"/>
      <c r="CY771" s="43"/>
      <c r="CZ771" s="43"/>
      <c r="DA771" s="43"/>
      <c r="DB771" s="43"/>
      <c r="DC771" s="43"/>
      <c r="DD771" s="43"/>
      <c r="DE771" s="43"/>
      <c r="DF771" s="43"/>
      <c r="DG771" s="43"/>
      <c r="DH771" s="43"/>
      <c r="DI771" s="43"/>
      <c r="DJ771" s="43"/>
      <c r="DK771" s="43"/>
      <c r="DL771" s="43"/>
      <c r="DM771" s="43"/>
      <c r="DN771" s="43"/>
      <c r="DO771" s="43"/>
      <c r="DP771" s="43"/>
      <c r="DQ771" s="43"/>
      <c r="DR771" s="43"/>
      <c r="DS771" s="43"/>
      <c r="DT771" s="43"/>
      <c r="DU771" s="43"/>
      <c r="DV771" s="43"/>
      <c r="DW771" s="43"/>
      <c r="DX771" s="43"/>
      <c r="DY771" s="43"/>
      <c r="DZ771" s="43"/>
      <c r="EA771" s="43"/>
      <c r="EB771" s="43"/>
      <c r="EC771" s="43"/>
      <c r="ED771" s="43"/>
      <c r="EE771" s="43"/>
      <c r="EF771" s="43"/>
      <c r="EG771" s="43"/>
      <c r="EH771" s="43"/>
      <c r="EI771" s="43"/>
      <c r="EJ771" s="43"/>
      <c r="EK771" s="43"/>
      <c r="EL771" s="43"/>
      <c r="EM771" s="43"/>
      <c r="EN771" s="43"/>
      <c r="EO771" s="43"/>
      <c r="EP771" s="43"/>
      <c r="EQ771" s="43"/>
      <c r="ER771" s="43"/>
      <c r="ES771" s="43"/>
      <c r="ET771" s="43"/>
      <c r="EU771" s="43"/>
      <c r="EV771" s="43"/>
      <c r="EW771" s="43"/>
      <c r="EX771" s="43"/>
      <c r="EY771" s="43"/>
      <c r="EZ771" s="43"/>
      <c r="FA771" s="43"/>
      <c r="FB771" s="43"/>
      <c r="FC771" s="43"/>
      <c r="FD771" s="43"/>
      <c r="FE771" s="43"/>
      <c r="FF771" s="43"/>
      <c r="FG771" s="43"/>
      <c r="FH771" s="50"/>
      <c r="FI771" s="50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  <c r="AX772" s="43"/>
      <c r="AY772" s="43"/>
      <c r="AZ772" s="43"/>
      <c r="BA772" s="43"/>
      <c r="BB772" s="43"/>
      <c r="BC772" s="43"/>
      <c r="BD772" s="43"/>
      <c r="BE772" s="43"/>
      <c r="BF772" s="43"/>
      <c r="BG772" s="43"/>
      <c r="BH772" s="43"/>
      <c r="BI772" s="43"/>
      <c r="BJ772" s="43"/>
      <c r="BK772" s="43"/>
      <c r="BL772" s="43"/>
      <c r="BM772" s="43"/>
      <c r="BN772" s="43"/>
      <c r="BO772" s="43"/>
      <c r="BP772" s="43"/>
      <c r="BQ772" s="43"/>
      <c r="BR772" s="43"/>
      <c r="BS772" s="43"/>
      <c r="BT772" s="43"/>
      <c r="BU772" s="43"/>
      <c r="BV772" s="43"/>
      <c r="BW772" s="43"/>
      <c r="BX772" s="43"/>
      <c r="BY772" s="43"/>
      <c r="BZ772" s="43"/>
      <c r="CA772" s="43"/>
      <c r="CB772" s="43"/>
      <c r="CC772" s="43"/>
      <c r="CD772" s="43"/>
      <c r="CE772" s="43"/>
      <c r="CF772" s="43"/>
      <c r="CG772" s="43"/>
      <c r="CH772" s="43"/>
      <c r="CI772" s="43"/>
      <c r="CJ772" s="43"/>
      <c r="CK772" s="43"/>
      <c r="CL772" s="43"/>
      <c r="CM772" s="43"/>
      <c r="CN772" s="43"/>
      <c r="CO772" s="43"/>
      <c r="CP772" s="43"/>
      <c r="CQ772" s="43"/>
      <c r="CR772" s="43"/>
      <c r="CS772" s="43"/>
      <c r="CT772" s="43"/>
      <c r="CU772" s="43"/>
      <c r="CV772" s="43"/>
      <c r="CW772" s="43"/>
      <c r="CX772" s="43"/>
      <c r="CY772" s="43"/>
      <c r="CZ772" s="43"/>
      <c r="DA772" s="43"/>
      <c r="DB772" s="43"/>
      <c r="DC772" s="43"/>
      <c r="DD772" s="43"/>
      <c r="DE772" s="43"/>
      <c r="DF772" s="43"/>
      <c r="DG772" s="43"/>
      <c r="DH772" s="43"/>
      <c r="DI772" s="43"/>
      <c r="DJ772" s="43"/>
      <c r="DK772" s="43"/>
      <c r="DL772" s="43"/>
      <c r="DM772" s="43"/>
      <c r="DN772" s="43"/>
      <c r="DO772" s="43"/>
      <c r="DP772" s="43"/>
      <c r="DQ772" s="43"/>
      <c r="DR772" s="43"/>
      <c r="DS772" s="43"/>
      <c r="DT772" s="43"/>
      <c r="DU772" s="43"/>
      <c r="DV772" s="43"/>
      <c r="DW772" s="43"/>
      <c r="DX772" s="43"/>
      <c r="DY772" s="43"/>
      <c r="DZ772" s="43"/>
      <c r="EA772" s="43"/>
      <c r="EB772" s="43"/>
      <c r="EC772" s="43"/>
      <c r="ED772" s="43"/>
      <c r="EE772" s="43"/>
      <c r="EF772" s="43"/>
      <c r="EG772" s="43"/>
      <c r="EH772" s="43"/>
      <c r="EI772" s="43"/>
      <c r="EJ772" s="43"/>
      <c r="EK772" s="43"/>
      <c r="EL772" s="43"/>
      <c r="EM772" s="43"/>
      <c r="EN772" s="43"/>
      <c r="EO772" s="43"/>
      <c r="EP772" s="43"/>
      <c r="EQ772" s="43"/>
      <c r="ER772" s="43"/>
      <c r="ES772" s="43"/>
      <c r="ET772" s="43"/>
      <c r="EU772" s="43"/>
      <c r="EV772" s="43"/>
      <c r="EW772" s="43"/>
      <c r="EX772" s="43"/>
      <c r="EY772" s="43"/>
      <c r="EZ772" s="43"/>
      <c r="FA772" s="43"/>
      <c r="FB772" s="43"/>
      <c r="FC772" s="43"/>
      <c r="FD772" s="43"/>
      <c r="FE772" s="43"/>
      <c r="FF772" s="43"/>
      <c r="FG772" s="43"/>
      <c r="FH772" s="50"/>
      <c r="FI772" s="50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  <c r="AX773" s="43"/>
      <c r="AY773" s="43"/>
      <c r="AZ773" s="43"/>
      <c r="BA773" s="43"/>
      <c r="BB773" s="43"/>
      <c r="BC773" s="43"/>
      <c r="BD773" s="43"/>
      <c r="BE773" s="43"/>
      <c r="BF773" s="43"/>
      <c r="BG773" s="43"/>
      <c r="BH773" s="43"/>
      <c r="BI773" s="43"/>
      <c r="BJ773" s="43"/>
      <c r="BK773" s="43"/>
      <c r="BL773" s="43"/>
      <c r="BM773" s="43"/>
      <c r="BN773" s="43"/>
      <c r="BO773" s="43"/>
      <c r="BP773" s="43"/>
      <c r="BQ773" s="43"/>
      <c r="BR773" s="43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43"/>
      <c r="CF773" s="43"/>
      <c r="CG773" s="43"/>
      <c r="CH773" s="43"/>
      <c r="CI773" s="43"/>
      <c r="CJ773" s="43"/>
      <c r="CK773" s="43"/>
      <c r="CL773" s="43"/>
      <c r="CM773" s="43"/>
      <c r="CN773" s="43"/>
      <c r="CO773" s="43"/>
      <c r="CP773" s="43"/>
      <c r="CQ773" s="43"/>
      <c r="CR773" s="43"/>
      <c r="CS773" s="43"/>
      <c r="CT773" s="43"/>
      <c r="CU773" s="43"/>
      <c r="CV773" s="43"/>
      <c r="CW773" s="43"/>
      <c r="CX773" s="43"/>
      <c r="CY773" s="43"/>
      <c r="CZ773" s="43"/>
      <c r="DA773" s="43"/>
      <c r="DB773" s="43"/>
      <c r="DC773" s="43"/>
      <c r="DD773" s="43"/>
      <c r="DE773" s="43"/>
      <c r="DF773" s="43"/>
      <c r="DG773" s="43"/>
      <c r="DH773" s="43"/>
      <c r="DI773" s="43"/>
      <c r="DJ773" s="43"/>
      <c r="DK773" s="43"/>
      <c r="DL773" s="43"/>
      <c r="DM773" s="43"/>
      <c r="DN773" s="43"/>
      <c r="DO773" s="43"/>
      <c r="DP773" s="43"/>
      <c r="DQ773" s="43"/>
      <c r="DR773" s="43"/>
      <c r="DS773" s="43"/>
      <c r="DT773" s="43"/>
      <c r="DU773" s="43"/>
      <c r="DV773" s="43"/>
      <c r="DW773" s="43"/>
      <c r="DX773" s="43"/>
      <c r="DY773" s="43"/>
      <c r="DZ773" s="43"/>
      <c r="EA773" s="43"/>
      <c r="EB773" s="43"/>
      <c r="EC773" s="43"/>
      <c r="ED773" s="43"/>
      <c r="EE773" s="43"/>
      <c r="EF773" s="43"/>
      <c r="EG773" s="43"/>
      <c r="EH773" s="43"/>
      <c r="EI773" s="43"/>
      <c r="EJ773" s="43"/>
      <c r="EK773" s="43"/>
      <c r="EL773" s="43"/>
      <c r="EM773" s="43"/>
      <c r="EN773" s="43"/>
      <c r="EO773" s="43"/>
      <c r="EP773" s="43"/>
      <c r="EQ773" s="43"/>
      <c r="ER773" s="43"/>
      <c r="ES773" s="43"/>
      <c r="ET773" s="43"/>
      <c r="EU773" s="43"/>
      <c r="EV773" s="43"/>
      <c r="EW773" s="43"/>
      <c r="EX773" s="43"/>
      <c r="EY773" s="43"/>
      <c r="EZ773" s="43"/>
      <c r="FA773" s="43"/>
      <c r="FB773" s="43"/>
      <c r="FC773" s="43"/>
      <c r="FD773" s="43"/>
      <c r="FE773" s="43"/>
      <c r="FF773" s="43"/>
      <c r="FG773" s="43"/>
      <c r="FH773" s="50"/>
      <c r="FI773" s="50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  <c r="AX774" s="43"/>
      <c r="AY774" s="43"/>
      <c r="AZ774" s="43"/>
      <c r="BA774" s="43"/>
      <c r="BB774" s="43"/>
      <c r="BC774" s="43"/>
      <c r="BD774" s="43"/>
      <c r="BE774" s="43"/>
      <c r="BF774" s="43"/>
      <c r="BG774" s="43"/>
      <c r="BH774" s="43"/>
      <c r="BI774" s="43"/>
      <c r="BJ774" s="43"/>
      <c r="BK774" s="43"/>
      <c r="BL774" s="43"/>
      <c r="BM774" s="43"/>
      <c r="BN774" s="43"/>
      <c r="BO774" s="43"/>
      <c r="BP774" s="43"/>
      <c r="BQ774" s="43"/>
      <c r="BR774" s="43"/>
      <c r="BS774" s="43"/>
      <c r="BT774" s="43"/>
      <c r="BU774" s="43"/>
      <c r="BV774" s="43"/>
      <c r="BW774" s="43"/>
      <c r="BX774" s="43"/>
      <c r="BY774" s="43"/>
      <c r="BZ774" s="43"/>
      <c r="CA774" s="43"/>
      <c r="CB774" s="43"/>
      <c r="CC774" s="43"/>
      <c r="CD774" s="43"/>
      <c r="CE774" s="43"/>
      <c r="CF774" s="43"/>
      <c r="CG774" s="43"/>
      <c r="CH774" s="43"/>
      <c r="CI774" s="43"/>
      <c r="CJ774" s="43"/>
      <c r="CK774" s="43"/>
      <c r="CL774" s="43"/>
      <c r="CM774" s="43"/>
      <c r="CN774" s="43"/>
      <c r="CO774" s="43"/>
      <c r="CP774" s="43"/>
      <c r="CQ774" s="43"/>
      <c r="CR774" s="43"/>
      <c r="CS774" s="43"/>
      <c r="CT774" s="43"/>
      <c r="CU774" s="43"/>
      <c r="CV774" s="43"/>
      <c r="CW774" s="43"/>
      <c r="CX774" s="43"/>
      <c r="CY774" s="43"/>
      <c r="CZ774" s="43"/>
      <c r="DA774" s="43"/>
      <c r="DB774" s="43"/>
      <c r="DC774" s="43"/>
      <c r="DD774" s="43"/>
      <c r="DE774" s="43"/>
      <c r="DF774" s="43"/>
      <c r="DG774" s="43"/>
      <c r="DH774" s="43"/>
      <c r="DI774" s="43"/>
      <c r="DJ774" s="43"/>
      <c r="DK774" s="43"/>
      <c r="DL774" s="43"/>
      <c r="DM774" s="43"/>
      <c r="DN774" s="43"/>
      <c r="DO774" s="43"/>
      <c r="DP774" s="43"/>
      <c r="DQ774" s="43"/>
      <c r="DR774" s="43"/>
      <c r="DS774" s="43"/>
      <c r="DT774" s="43"/>
      <c r="DU774" s="43"/>
      <c r="DV774" s="43"/>
      <c r="DW774" s="43"/>
      <c r="DX774" s="43"/>
      <c r="DY774" s="43"/>
      <c r="DZ774" s="43"/>
      <c r="EA774" s="43"/>
      <c r="EB774" s="43"/>
      <c r="EC774" s="43"/>
      <c r="ED774" s="43"/>
      <c r="EE774" s="43"/>
      <c r="EF774" s="43"/>
      <c r="EG774" s="43"/>
      <c r="EH774" s="43"/>
      <c r="EI774" s="43"/>
      <c r="EJ774" s="43"/>
      <c r="EK774" s="43"/>
      <c r="EL774" s="43"/>
      <c r="EM774" s="43"/>
      <c r="EN774" s="43"/>
      <c r="EO774" s="43"/>
      <c r="EP774" s="43"/>
      <c r="EQ774" s="43"/>
      <c r="ER774" s="43"/>
      <c r="ES774" s="43"/>
      <c r="ET774" s="43"/>
      <c r="EU774" s="43"/>
      <c r="EV774" s="43"/>
      <c r="EW774" s="43"/>
      <c r="EX774" s="43"/>
      <c r="EY774" s="43"/>
      <c r="EZ774" s="43"/>
      <c r="FA774" s="43"/>
      <c r="FB774" s="43"/>
      <c r="FC774" s="43"/>
      <c r="FD774" s="43"/>
      <c r="FE774" s="43"/>
      <c r="FF774" s="43"/>
      <c r="FG774" s="43"/>
      <c r="FH774" s="50"/>
      <c r="FI774" s="50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  <c r="AX775" s="43"/>
      <c r="AY775" s="43"/>
      <c r="AZ775" s="43"/>
      <c r="BA775" s="43"/>
      <c r="BB775" s="43"/>
      <c r="BC775" s="43"/>
      <c r="BD775" s="43"/>
      <c r="BE775" s="43"/>
      <c r="BF775" s="43"/>
      <c r="BG775" s="43"/>
      <c r="BH775" s="43"/>
      <c r="BI775" s="43"/>
      <c r="BJ775" s="43"/>
      <c r="BK775" s="43"/>
      <c r="BL775" s="43"/>
      <c r="BM775" s="43"/>
      <c r="BN775" s="43"/>
      <c r="BO775" s="43"/>
      <c r="BP775" s="43"/>
      <c r="BQ775" s="43"/>
      <c r="BR775" s="43"/>
      <c r="BS775" s="43"/>
      <c r="BT775" s="43"/>
      <c r="BU775" s="43"/>
      <c r="BV775" s="43"/>
      <c r="BW775" s="43"/>
      <c r="BX775" s="43"/>
      <c r="BY775" s="43"/>
      <c r="BZ775" s="43"/>
      <c r="CA775" s="43"/>
      <c r="CB775" s="43"/>
      <c r="CC775" s="43"/>
      <c r="CD775" s="43"/>
      <c r="CE775" s="43"/>
      <c r="CF775" s="43"/>
      <c r="CG775" s="43"/>
      <c r="CH775" s="43"/>
      <c r="CI775" s="43"/>
      <c r="CJ775" s="43"/>
      <c r="CK775" s="43"/>
      <c r="CL775" s="43"/>
      <c r="CM775" s="43"/>
      <c r="CN775" s="43"/>
      <c r="CO775" s="43"/>
      <c r="CP775" s="43"/>
      <c r="CQ775" s="43"/>
      <c r="CR775" s="43"/>
      <c r="CS775" s="43"/>
      <c r="CT775" s="43"/>
      <c r="CU775" s="43"/>
      <c r="CV775" s="43"/>
      <c r="CW775" s="43"/>
      <c r="CX775" s="43"/>
      <c r="CY775" s="43"/>
      <c r="CZ775" s="43"/>
      <c r="DA775" s="43"/>
      <c r="DB775" s="43"/>
      <c r="DC775" s="43"/>
      <c r="DD775" s="43"/>
      <c r="DE775" s="43"/>
      <c r="DF775" s="43"/>
      <c r="DG775" s="43"/>
      <c r="DH775" s="43"/>
      <c r="DI775" s="43"/>
      <c r="DJ775" s="43"/>
      <c r="DK775" s="43"/>
      <c r="DL775" s="43"/>
      <c r="DM775" s="43"/>
      <c r="DN775" s="43"/>
      <c r="DO775" s="43"/>
      <c r="DP775" s="43"/>
      <c r="DQ775" s="43"/>
      <c r="DR775" s="43"/>
      <c r="DS775" s="43"/>
      <c r="DT775" s="43"/>
      <c r="DU775" s="43"/>
      <c r="DV775" s="43"/>
      <c r="DW775" s="43"/>
      <c r="DX775" s="43"/>
      <c r="DY775" s="43"/>
      <c r="DZ775" s="43"/>
      <c r="EA775" s="43"/>
      <c r="EB775" s="43"/>
      <c r="EC775" s="43"/>
      <c r="ED775" s="43"/>
      <c r="EE775" s="43"/>
      <c r="EF775" s="43"/>
      <c r="EG775" s="43"/>
      <c r="EH775" s="43"/>
      <c r="EI775" s="43"/>
      <c r="EJ775" s="43"/>
      <c r="EK775" s="43"/>
      <c r="EL775" s="43"/>
      <c r="EM775" s="43"/>
      <c r="EN775" s="43"/>
      <c r="EO775" s="43"/>
      <c r="EP775" s="43"/>
      <c r="EQ775" s="43"/>
      <c r="ER775" s="43"/>
      <c r="ES775" s="43"/>
      <c r="ET775" s="43"/>
      <c r="EU775" s="43"/>
      <c r="EV775" s="43"/>
      <c r="EW775" s="43"/>
      <c r="EX775" s="43"/>
      <c r="EY775" s="43"/>
      <c r="EZ775" s="43"/>
      <c r="FA775" s="43"/>
      <c r="FB775" s="43"/>
      <c r="FC775" s="43"/>
      <c r="FD775" s="43"/>
      <c r="FE775" s="43"/>
      <c r="FF775" s="43"/>
      <c r="FG775" s="43"/>
      <c r="FH775" s="50"/>
      <c r="FI775" s="50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  <c r="AX776" s="43"/>
      <c r="AY776" s="43"/>
      <c r="AZ776" s="43"/>
      <c r="BA776" s="43"/>
      <c r="BB776" s="43"/>
      <c r="BC776" s="43"/>
      <c r="BD776" s="43"/>
      <c r="BE776" s="43"/>
      <c r="BF776" s="43"/>
      <c r="BG776" s="43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R776" s="43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43"/>
      <c r="CF776" s="43"/>
      <c r="CG776" s="43"/>
      <c r="CH776" s="43"/>
      <c r="CI776" s="43"/>
      <c r="CJ776" s="43"/>
      <c r="CK776" s="43"/>
      <c r="CL776" s="43"/>
      <c r="CM776" s="43"/>
      <c r="CN776" s="43"/>
      <c r="CO776" s="43"/>
      <c r="CP776" s="43"/>
      <c r="CQ776" s="43"/>
      <c r="CR776" s="43"/>
      <c r="CS776" s="43"/>
      <c r="CT776" s="43"/>
      <c r="CU776" s="43"/>
      <c r="CV776" s="43"/>
      <c r="CW776" s="43"/>
      <c r="CX776" s="43"/>
      <c r="CY776" s="43"/>
      <c r="CZ776" s="43"/>
      <c r="DA776" s="43"/>
      <c r="DB776" s="43"/>
      <c r="DC776" s="43"/>
      <c r="DD776" s="43"/>
      <c r="DE776" s="43"/>
      <c r="DF776" s="43"/>
      <c r="DG776" s="43"/>
      <c r="DH776" s="43"/>
      <c r="DI776" s="43"/>
      <c r="DJ776" s="43"/>
      <c r="DK776" s="43"/>
      <c r="DL776" s="43"/>
      <c r="DM776" s="43"/>
      <c r="DN776" s="43"/>
      <c r="DO776" s="43"/>
      <c r="DP776" s="43"/>
      <c r="DQ776" s="43"/>
      <c r="DR776" s="43"/>
      <c r="DS776" s="43"/>
      <c r="DT776" s="43"/>
      <c r="DU776" s="43"/>
      <c r="DV776" s="43"/>
      <c r="DW776" s="43"/>
      <c r="DX776" s="43"/>
      <c r="DY776" s="43"/>
      <c r="DZ776" s="43"/>
      <c r="EA776" s="43"/>
      <c r="EB776" s="43"/>
      <c r="EC776" s="43"/>
      <c r="ED776" s="43"/>
      <c r="EE776" s="43"/>
      <c r="EF776" s="43"/>
      <c r="EG776" s="43"/>
      <c r="EH776" s="43"/>
      <c r="EI776" s="43"/>
      <c r="EJ776" s="43"/>
      <c r="EK776" s="43"/>
      <c r="EL776" s="43"/>
      <c r="EM776" s="43"/>
      <c r="EN776" s="43"/>
      <c r="EO776" s="43"/>
      <c r="EP776" s="43"/>
      <c r="EQ776" s="43"/>
      <c r="ER776" s="43"/>
      <c r="ES776" s="43"/>
      <c r="ET776" s="43"/>
      <c r="EU776" s="43"/>
      <c r="EV776" s="43"/>
      <c r="EW776" s="43"/>
      <c r="EX776" s="43"/>
      <c r="EY776" s="43"/>
      <c r="EZ776" s="43"/>
      <c r="FA776" s="43"/>
      <c r="FB776" s="43"/>
      <c r="FC776" s="43"/>
      <c r="FD776" s="43"/>
      <c r="FE776" s="43"/>
      <c r="FF776" s="43"/>
      <c r="FG776" s="43"/>
      <c r="FH776" s="50"/>
      <c r="FI776" s="50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  <c r="AX777" s="43"/>
      <c r="AY777" s="43"/>
      <c r="AZ777" s="43"/>
      <c r="BA777" s="43"/>
      <c r="BB777" s="43"/>
      <c r="BC777" s="43"/>
      <c r="BD777" s="43"/>
      <c r="BE777" s="43"/>
      <c r="BF777" s="43"/>
      <c r="BG777" s="43"/>
      <c r="BH777" s="43"/>
      <c r="BI777" s="43"/>
      <c r="BJ777" s="43"/>
      <c r="BK777" s="43"/>
      <c r="BL777" s="43"/>
      <c r="BM777" s="43"/>
      <c r="BN777" s="43"/>
      <c r="BO777" s="43"/>
      <c r="BP777" s="43"/>
      <c r="BQ777" s="43"/>
      <c r="BR777" s="43"/>
      <c r="BS777" s="43"/>
      <c r="BT777" s="43"/>
      <c r="BU777" s="43"/>
      <c r="BV777" s="43"/>
      <c r="BW777" s="43"/>
      <c r="BX777" s="43"/>
      <c r="BY777" s="43"/>
      <c r="BZ777" s="43"/>
      <c r="CA777" s="43"/>
      <c r="CB777" s="43"/>
      <c r="CC777" s="43"/>
      <c r="CD777" s="43"/>
      <c r="CE777" s="43"/>
      <c r="CF777" s="43"/>
      <c r="CG777" s="43"/>
      <c r="CH777" s="43"/>
      <c r="CI777" s="43"/>
      <c r="CJ777" s="43"/>
      <c r="CK777" s="43"/>
      <c r="CL777" s="43"/>
      <c r="CM777" s="43"/>
      <c r="CN777" s="43"/>
      <c r="CO777" s="43"/>
      <c r="CP777" s="43"/>
      <c r="CQ777" s="43"/>
      <c r="CR777" s="43"/>
      <c r="CS777" s="43"/>
      <c r="CT777" s="43"/>
      <c r="CU777" s="43"/>
      <c r="CV777" s="43"/>
      <c r="CW777" s="43"/>
      <c r="CX777" s="43"/>
      <c r="CY777" s="43"/>
      <c r="CZ777" s="43"/>
      <c r="DA777" s="43"/>
      <c r="DB777" s="43"/>
      <c r="DC777" s="43"/>
      <c r="DD777" s="43"/>
      <c r="DE777" s="43"/>
      <c r="DF777" s="43"/>
      <c r="DG777" s="43"/>
      <c r="DH777" s="43"/>
      <c r="DI777" s="43"/>
      <c r="DJ777" s="43"/>
      <c r="DK777" s="43"/>
      <c r="DL777" s="43"/>
      <c r="DM777" s="43"/>
      <c r="DN777" s="43"/>
      <c r="DO777" s="43"/>
      <c r="DP777" s="43"/>
      <c r="DQ777" s="43"/>
      <c r="DR777" s="43"/>
      <c r="DS777" s="43"/>
      <c r="DT777" s="43"/>
      <c r="DU777" s="43"/>
      <c r="DV777" s="43"/>
      <c r="DW777" s="43"/>
      <c r="DX777" s="43"/>
      <c r="DY777" s="43"/>
      <c r="DZ777" s="43"/>
      <c r="EA777" s="43"/>
      <c r="EB777" s="43"/>
      <c r="EC777" s="43"/>
      <c r="ED777" s="43"/>
      <c r="EE777" s="43"/>
      <c r="EF777" s="43"/>
      <c r="EG777" s="43"/>
      <c r="EH777" s="43"/>
      <c r="EI777" s="43"/>
      <c r="EJ777" s="43"/>
      <c r="EK777" s="43"/>
      <c r="EL777" s="43"/>
      <c r="EM777" s="43"/>
      <c r="EN777" s="43"/>
      <c r="EO777" s="43"/>
      <c r="EP777" s="43"/>
      <c r="EQ777" s="43"/>
      <c r="ER777" s="43"/>
      <c r="ES777" s="43"/>
      <c r="ET777" s="43"/>
      <c r="EU777" s="43"/>
      <c r="EV777" s="43"/>
      <c r="EW777" s="43"/>
      <c r="EX777" s="43"/>
      <c r="EY777" s="43"/>
      <c r="EZ777" s="43"/>
      <c r="FA777" s="43"/>
      <c r="FB777" s="43"/>
      <c r="FC777" s="43"/>
      <c r="FD777" s="43"/>
      <c r="FE777" s="43"/>
      <c r="FF777" s="43"/>
      <c r="FG777" s="43"/>
      <c r="FH777" s="50"/>
      <c r="FI777" s="50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  <c r="AX778" s="43"/>
      <c r="AY778" s="43"/>
      <c r="AZ778" s="43"/>
      <c r="BA778" s="43"/>
      <c r="BB778" s="43"/>
      <c r="BC778" s="43"/>
      <c r="BD778" s="43"/>
      <c r="BE778" s="43"/>
      <c r="BF778" s="43"/>
      <c r="BG778" s="43"/>
      <c r="BH778" s="43"/>
      <c r="BI778" s="43"/>
      <c r="BJ778" s="43"/>
      <c r="BK778" s="43"/>
      <c r="BL778" s="43"/>
      <c r="BM778" s="43"/>
      <c r="BN778" s="43"/>
      <c r="BO778" s="43"/>
      <c r="BP778" s="43"/>
      <c r="BQ778" s="43"/>
      <c r="BR778" s="43"/>
      <c r="BS778" s="43"/>
      <c r="BT778" s="43"/>
      <c r="BU778" s="43"/>
      <c r="BV778" s="43"/>
      <c r="BW778" s="43"/>
      <c r="BX778" s="43"/>
      <c r="BY778" s="43"/>
      <c r="BZ778" s="43"/>
      <c r="CA778" s="43"/>
      <c r="CB778" s="43"/>
      <c r="CC778" s="43"/>
      <c r="CD778" s="43"/>
      <c r="CE778" s="43"/>
      <c r="CF778" s="43"/>
      <c r="CG778" s="43"/>
      <c r="CH778" s="43"/>
      <c r="CI778" s="43"/>
      <c r="CJ778" s="43"/>
      <c r="CK778" s="43"/>
      <c r="CL778" s="43"/>
      <c r="CM778" s="43"/>
      <c r="CN778" s="43"/>
      <c r="CO778" s="43"/>
      <c r="CP778" s="43"/>
      <c r="CQ778" s="43"/>
      <c r="CR778" s="43"/>
      <c r="CS778" s="43"/>
      <c r="CT778" s="43"/>
      <c r="CU778" s="43"/>
      <c r="CV778" s="43"/>
      <c r="CW778" s="43"/>
      <c r="CX778" s="43"/>
      <c r="CY778" s="43"/>
      <c r="CZ778" s="43"/>
      <c r="DA778" s="43"/>
      <c r="DB778" s="43"/>
      <c r="DC778" s="43"/>
      <c r="DD778" s="43"/>
      <c r="DE778" s="43"/>
      <c r="DF778" s="43"/>
      <c r="DG778" s="43"/>
      <c r="DH778" s="43"/>
      <c r="DI778" s="43"/>
      <c r="DJ778" s="43"/>
      <c r="DK778" s="43"/>
      <c r="DL778" s="43"/>
      <c r="DM778" s="43"/>
      <c r="DN778" s="43"/>
      <c r="DO778" s="43"/>
      <c r="DP778" s="43"/>
      <c r="DQ778" s="43"/>
      <c r="DR778" s="43"/>
      <c r="DS778" s="43"/>
      <c r="DT778" s="43"/>
      <c r="DU778" s="43"/>
      <c r="DV778" s="43"/>
      <c r="DW778" s="43"/>
      <c r="DX778" s="43"/>
      <c r="DY778" s="43"/>
      <c r="DZ778" s="43"/>
      <c r="EA778" s="43"/>
      <c r="EB778" s="43"/>
      <c r="EC778" s="43"/>
      <c r="ED778" s="43"/>
      <c r="EE778" s="43"/>
      <c r="EF778" s="43"/>
      <c r="EG778" s="43"/>
      <c r="EH778" s="43"/>
      <c r="EI778" s="43"/>
      <c r="EJ778" s="43"/>
      <c r="EK778" s="43"/>
      <c r="EL778" s="43"/>
      <c r="EM778" s="43"/>
      <c r="EN778" s="43"/>
      <c r="EO778" s="43"/>
      <c r="EP778" s="43"/>
      <c r="EQ778" s="43"/>
      <c r="ER778" s="43"/>
      <c r="ES778" s="43"/>
      <c r="ET778" s="43"/>
      <c r="EU778" s="43"/>
      <c r="EV778" s="43"/>
      <c r="EW778" s="43"/>
      <c r="EX778" s="43"/>
      <c r="EY778" s="43"/>
      <c r="EZ778" s="43"/>
      <c r="FA778" s="43"/>
      <c r="FB778" s="43"/>
      <c r="FC778" s="43"/>
      <c r="FD778" s="43"/>
      <c r="FE778" s="43"/>
      <c r="FF778" s="43"/>
      <c r="FG778" s="43"/>
      <c r="FH778" s="50"/>
      <c r="FI778" s="50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  <c r="AX779" s="43"/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43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43"/>
      <c r="CF779" s="43"/>
      <c r="CG779" s="43"/>
      <c r="CH779" s="43"/>
      <c r="CI779" s="43"/>
      <c r="CJ779" s="43"/>
      <c r="CK779" s="43"/>
      <c r="CL779" s="43"/>
      <c r="CM779" s="43"/>
      <c r="CN779" s="43"/>
      <c r="CO779" s="43"/>
      <c r="CP779" s="43"/>
      <c r="CQ779" s="43"/>
      <c r="CR779" s="43"/>
      <c r="CS779" s="43"/>
      <c r="CT779" s="43"/>
      <c r="CU779" s="43"/>
      <c r="CV779" s="43"/>
      <c r="CW779" s="43"/>
      <c r="CX779" s="43"/>
      <c r="CY779" s="43"/>
      <c r="CZ779" s="43"/>
      <c r="DA779" s="43"/>
      <c r="DB779" s="43"/>
      <c r="DC779" s="43"/>
      <c r="DD779" s="43"/>
      <c r="DE779" s="43"/>
      <c r="DF779" s="43"/>
      <c r="DG779" s="43"/>
      <c r="DH779" s="43"/>
      <c r="DI779" s="43"/>
      <c r="DJ779" s="43"/>
      <c r="DK779" s="43"/>
      <c r="DL779" s="43"/>
      <c r="DM779" s="43"/>
      <c r="DN779" s="43"/>
      <c r="DO779" s="43"/>
      <c r="DP779" s="43"/>
      <c r="DQ779" s="43"/>
      <c r="DR779" s="43"/>
      <c r="DS779" s="43"/>
      <c r="DT779" s="43"/>
      <c r="DU779" s="43"/>
      <c r="DV779" s="43"/>
      <c r="DW779" s="43"/>
      <c r="DX779" s="43"/>
      <c r="DY779" s="43"/>
      <c r="DZ779" s="43"/>
      <c r="EA779" s="43"/>
      <c r="EB779" s="43"/>
      <c r="EC779" s="43"/>
      <c r="ED779" s="43"/>
      <c r="EE779" s="43"/>
      <c r="EF779" s="43"/>
      <c r="EG779" s="43"/>
      <c r="EH779" s="43"/>
      <c r="EI779" s="43"/>
      <c r="EJ779" s="43"/>
      <c r="EK779" s="43"/>
      <c r="EL779" s="43"/>
      <c r="EM779" s="43"/>
      <c r="EN779" s="43"/>
      <c r="EO779" s="43"/>
      <c r="EP779" s="43"/>
      <c r="EQ779" s="43"/>
      <c r="ER779" s="43"/>
      <c r="ES779" s="43"/>
      <c r="ET779" s="43"/>
      <c r="EU779" s="43"/>
      <c r="EV779" s="43"/>
      <c r="EW779" s="43"/>
      <c r="EX779" s="43"/>
      <c r="EY779" s="43"/>
      <c r="EZ779" s="43"/>
      <c r="FA779" s="43"/>
      <c r="FB779" s="43"/>
      <c r="FC779" s="43"/>
      <c r="FD779" s="43"/>
      <c r="FE779" s="43"/>
      <c r="FF779" s="43"/>
      <c r="FG779" s="43"/>
      <c r="FH779" s="50"/>
      <c r="FI779" s="50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  <c r="AX780" s="43"/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  <c r="BL780" s="43"/>
      <c r="BM780" s="43"/>
      <c r="BN780" s="43"/>
      <c r="BO780" s="43"/>
      <c r="BP780" s="43"/>
      <c r="BQ780" s="43"/>
      <c r="BR780" s="43"/>
      <c r="BS780" s="43"/>
      <c r="BT780" s="43"/>
      <c r="BU780" s="43"/>
      <c r="BV780" s="43"/>
      <c r="BW780" s="43"/>
      <c r="BX780" s="43"/>
      <c r="BY780" s="43"/>
      <c r="BZ780" s="43"/>
      <c r="CA780" s="43"/>
      <c r="CB780" s="43"/>
      <c r="CC780" s="43"/>
      <c r="CD780" s="43"/>
      <c r="CE780" s="43"/>
      <c r="CF780" s="43"/>
      <c r="CG780" s="43"/>
      <c r="CH780" s="43"/>
      <c r="CI780" s="43"/>
      <c r="CJ780" s="43"/>
      <c r="CK780" s="43"/>
      <c r="CL780" s="43"/>
      <c r="CM780" s="43"/>
      <c r="CN780" s="43"/>
      <c r="CO780" s="43"/>
      <c r="CP780" s="43"/>
      <c r="CQ780" s="43"/>
      <c r="CR780" s="43"/>
      <c r="CS780" s="43"/>
      <c r="CT780" s="43"/>
      <c r="CU780" s="43"/>
      <c r="CV780" s="43"/>
      <c r="CW780" s="43"/>
      <c r="CX780" s="43"/>
      <c r="CY780" s="43"/>
      <c r="CZ780" s="43"/>
      <c r="DA780" s="43"/>
      <c r="DB780" s="43"/>
      <c r="DC780" s="43"/>
      <c r="DD780" s="43"/>
      <c r="DE780" s="43"/>
      <c r="DF780" s="43"/>
      <c r="DG780" s="43"/>
      <c r="DH780" s="43"/>
      <c r="DI780" s="43"/>
      <c r="DJ780" s="43"/>
      <c r="DK780" s="43"/>
      <c r="DL780" s="43"/>
      <c r="DM780" s="43"/>
      <c r="DN780" s="43"/>
      <c r="DO780" s="43"/>
      <c r="DP780" s="43"/>
      <c r="DQ780" s="43"/>
      <c r="DR780" s="43"/>
      <c r="DS780" s="43"/>
      <c r="DT780" s="43"/>
      <c r="DU780" s="43"/>
      <c r="DV780" s="43"/>
      <c r="DW780" s="43"/>
      <c r="DX780" s="43"/>
      <c r="DY780" s="43"/>
      <c r="DZ780" s="43"/>
      <c r="EA780" s="43"/>
      <c r="EB780" s="43"/>
      <c r="EC780" s="43"/>
      <c r="ED780" s="43"/>
      <c r="EE780" s="43"/>
      <c r="EF780" s="43"/>
      <c r="EG780" s="43"/>
      <c r="EH780" s="43"/>
      <c r="EI780" s="43"/>
      <c r="EJ780" s="43"/>
      <c r="EK780" s="43"/>
      <c r="EL780" s="43"/>
      <c r="EM780" s="43"/>
      <c r="EN780" s="43"/>
      <c r="EO780" s="43"/>
      <c r="EP780" s="43"/>
      <c r="EQ780" s="43"/>
      <c r="ER780" s="43"/>
      <c r="ES780" s="43"/>
      <c r="ET780" s="43"/>
      <c r="EU780" s="43"/>
      <c r="EV780" s="43"/>
      <c r="EW780" s="43"/>
      <c r="EX780" s="43"/>
      <c r="EY780" s="43"/>
      <c r="EZ780" s="43"/>
      <c r="FA780" s="43"/>
      <c r="FB780" s="43"/>
      <c r="FC780" s="43"/>
      <c r="FD780" s="43"/>
      <c r="FE780" s="43"/>
      <c r="FF780" s="43"/>
      <c r="FG780" s="43"/>
      <c r="FH780" s="50"/>
      <c r="FI780" s="50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  <c r="AX781" s="43"/>
      <c r="AY781" s="43"/>
      <c r="AZ781" s="43"/>
      <c r="BA781" s="43"/>
      <c r="BB781" s="43"/>
      <c r="BC781" s="43"/>
      <c r="BD781" s="43"/>
      <c r="BE781" s="43"/>
      <c r="BF781" s="43"/>
      <c r="BG781" s="43"/>
      <c r="BH781" s="43"/>
      <c r="BI781" s="43"/>
      <c r="BJ781" s="43"/>
      <c r="BK781" s="43"/>
      <c r="BL781" s="43"/>
      <c r="BM781" s="43"/>
      <c r="BN781" s="43"/>
      <c r="BO781" s="43"/>
      <c r="BP781" s="43"/>
      <c r="BQ781" s="43"/>
      <c r="BR781" s="43"/>
      <c r="BS781" s="43"/>
      <c r="BT781" s="43"/>
      <c r="BU781" s="43"/>
      <c r="BV781" s="43"/>
      <c r="BW781" s="43"/>
      <c r="BX781" s="43"/>
      <c r="BY781" s="43"/>
      <c r="BZ781" s="43"/>
      <c r="CA781" s="43"/>
      <c r="CB781" s="43"/>
      <c r="CC781" s="43"/>
      <c r="CD781" s="43"/>
      <c r="CE781" s="43"/>
      <c r="CF781" s="43"/>
      <c r="CG781" s="43"/>
      <c r="CH781" s="43"/>
      <c r="CI781" s="43"/>
      <c r="CJ781" s="43"/>
      <c r="CK781" s="43"/>
      <c r="CL781" s="43"/>
      <c r="CM781" s="43"/>
      <c r="CN781" s="43"/>
      <c r="CO781" s="43"/>
      <c r="CP781" s="43"/>
      <c r="CQ781" s="43"/>
      <c r="CR781" s="43"/>
      <c r="CS781" s="43"/>
      <c r="CT781" s="43"/>
      <c r="CU781" s="43"/>
      <c r="CV781" s="43"/>
      <c r="CW781" s="43"/>
      <c r="CX781" s="43"/>
      <c r="CY781" s="43"/>
      <c r="CZ781" s="43"/>
      <c r="DA781" s="43"/>
      <c r="DB781" s="43"/>
      <c r="DC781" s="43"/>
      <c r="DD781" s="43"/>
      <c r="DE781" s="43"/>
      <c r="DF781" s="43"/>
      <c r="DG781" s="43"/>
      <c r="DH781" s="43"/>
      <c r="DI781" s="43"/>
      <c r="DJ781" s="43"/>
      <c r="DK781" s="43"/>
      <c r="DL781" s="43"/>
      <c r="DM781" s="43"/>
      <c r="DN781" s="43"/>
      <c r="DO781" s="43"/>
      <c r="DP781" s="43"/>
      <c r="DQ781" s="43"/>
      <c r="DR781" s="43"/>
      <c r="DS781" s="43"/>
      <c r="DT781" s="43"/>
      <c r="DU781" s="43"/>
      <c r="DV781" s="43"/>
      <c r="DW781" s="43"/>
      <c r="DX781" s="43"/>
      <c r="DY781" s="43"/>
      <c r="DZ781" s="43"/>
      <c r="EA781" s="43"/>
      <c r="EB781" s="43"/>
      <c r="EC781" s="43"/>
      <c r="ED781" s="43"/>
      <c r="EE781" s="43"/>
      <c r="EF781" s="43"/>
      <c r="EG781" s="43"/>
      <c r="EH781" s="43"/>
      <c r="EI781" s="43"/>
      <c r="EJ781" s="43"/>
      <c r="EK781" s="43"/>
      <c r="EL781" s="43"/>
      <c r="EM781" s="43"/>
      <c r="EN781" s="43"/>
      <c r="EO781" s="43"/>
      <c r="EP781" s="43"/>
      <c r="EQ781" s="43"/>
      <c r="ER781" s="43"/>
      <c r="ES781" s="43"/>
      <c r="ET781" s="43"/>
      <c r="EU781" s="43"/>
      <c r="EV781" s="43"/>
      <c r="EW781" s="43"/>
      <c r="EX781" s="43"/>
      <c r="EY781" s="43"/>
      <c r="EZ781" s="43"/>
      <c r="FA781" s="43"/>
      <c r="FB781" s="43"/>
      <c r="FC781" s="43"/>
      <c r="FD781" s="43"/>
      <c r="FE781" s="43"/>
      <c r="FF781" s="43"/>
      <c r="FG781" s="43"/>
      <c r="FH781" s="50"/>
      <c r="FI781" s="50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  <c r="AX782" s="43"/>
      <c r="AY782" s="43"/>
      <c r="AZ782" s="43"/>
      <c r="BA782" s="43"/>
      <c r="BB782" s="43"/>
      <c r="BC782" s="43"/>
      <c r="BD782" s="43"/>
      <c r="BE782" s="43"/>
      <c r="BF782" s="43"/>
      <c r="BG782" s="43"/>
      <c r="BH782" s="43"/>
      <c r="BI782" s="43"/>
      <c r="BJ782" s="43"/>
      <c r="BK782" s="43"/>
      <c r="BL782" s="43"/>
      <c r="BM782" s="43"/>
      <c r="BN782" s="43"/>
      <c r="BO782" s="43"/>
      <c r="BP782" s="43"/>
      <c r="BQ782" s="43"/>
      <c r="BR782" s="43"/>
      <c r="BS782" s="43"/>
      <c r="BT782" s="43"/>
      <c r="BU782" s="43"/>
      <c r="BV782" s="43"/>
      <c r="BW782" s="43"/>
      <c r="BX782" s="43"/>
      <c r="BY782" s="43"/>
      <c r="BZ782" s="43"/>
      <c r="CA782" s="43"/>
      <c r="CB782" s="43"/>
      <c r="CC782" s="43"/>
      <c r="CD782" s="43"/>
      <c r="CE782" s="43"/>
      <c r="CF782" s="43"/>
      <c r="CG782" s="43"/>
      <c r="CH782" s="43"/>
      <c r="CI782" s="43"/>
      <c r="CJ782" s="43"/>
      <c r="CK782" s="43"/>
      <c r="CL782" s="43"/>
      <c r="CM782" s="43"/>
      <c r="CN782" s="43"/>
      <c r="CO782" s="43"/>
      <c r="CP782" s="43"/>
      <c r="CQ782" s="43"/>
      <c r="CR782" s="43"/>
      <c r="CS782" s="43"/>
      <c r="CT782" s="43"/>
      <c r="CU782" s="43"/>
      <c r="CV782" s="43"/>
      <c r="CW782" s="43"/>
      <c r="CX782" s="43"/>
      <c r="CY782" s="43"/>
      <c r="CZ782" s="43"/>
      <c r="DA782" s="43"/>
      <c r="DB782" s="43"/>
      <c r="DC782" s="43"/>
      <c r="DD782" s="43"/>
      <c r="DE782" s="43"/>
      <c r="DF782" s="43"/>
      <c r="DG782" s="43"/>
      <c r="DH782" s="43"/>
      <c r="DI782" s="43"/>
      <c r="DJ782" s="43"/>
      <c r="DK782" s="43"/>
      <c r="DL782" s="43"/>
      <c r="DM782" s="43"/>
      <c r="DN782" s="43"/>
      <c r="DO782" s="43"/>
      <c r="DP782" s="43"/>
      <c r="DQ782" s="43"/>
      <c r="DR782" s="43"/>
      <c r="DS782" s="43"/>
      <c r="DT782" s="43"/>
      <c r="DU782" s="43"/>
      <c r="DV782" s="43"/>
      <c r="DW782" s="43"/>
      <c r="DX782" s="43"/>
      <c r="DY782" s="43"/>
      <c r="DZ782" s="43"/>
      <c r="EA782" s="43"/>
      <c r="EB782" s="43"/>
      <c r="EC782" s="43"/>
      <c r="ED782" s="43"/>
      <c r="EE782" s="43"/>
      <c r="EF782" s="43"/>
      <c r="EG782" s="43"/>
      <c r="EH782" s="43"/>
      <c r="EI782" s="43"/>
      <c r="EJ782" s="43"/>
      <c r="EK782" s="43"/>
      <c r="EL782" s="43"/>
      <c r="EM782" s="43"/>
      <c r="EN782" s="43"/>
      <c r="EO782" s="43"/>
      <c r="EP782" s="43"/>
      <c r="EQ782" s="43"/>
      <c r="ER782" s="43"/>
      <c r="ES782" s="43"/>
      <c r="ET782" s="43"/>
      <c r="EU782" s="43"/>
      <c r="EV782" s="43"/>
      <c r="EW782" s="43"/>
      <c r="EX782" s="43"/>
      <c r="EY782" s="43"/>
      <c r="EZ782" s="43"/>
      <c r="FA782" s="43"/>
      <c r="FB782" s="43"/>
      <c r="FC782" s="43"/>
      <c r="FD782" s="43"/>
      <c r="FE782" s="43"/>
      <c r="FF782" s="43"/>
      <c r="FG782" s="43"/>
      <c r="FH782" s="50"/>
      <c r="FI782" s="50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  <c r="AX783" s="43"/>
      <c r="AY783" s="43"/>
      <c r="AZ783" s="43"/>
      <c r="BA783" s="43"/>
      <c r="BB783" s="43"/>
      <c r="BC783" s="43"/>
      <c r="BD783" s="43"/>
      <c r="BE783" s="43"/>
      <c r="BF783" s="43"/>
      <c r="BG783" s="43"/>
      <c r="BH783" s="43"/>
      <c r="BI783" s="43"/>
      <c r="BJ783" s="43"/>
      <c r="BK783" s="43"/>
      <c r="BL783" s="43"/>
      <c r="BM783" s="43"/>
      <c r="BN783" s="43"/>
      <c r="BO783" s="43"/>
      <c r="BP783" s="43"/>
      <c r="BQ783" s="43"/>
      <c r="BR783" s="43"/>
      <c r="BS783" s="43"/>
      <c r="BT783" s="43"/>
      <c r="BU783" s="43"/>
      <c r="BV783" s="43"/>
      <c r="BW783" s="43"/>
      <c r="BX783" s="43"/>
      <c r="BY783" s="43"/>
      <c r="BZ783" s="43"/>
      <c r="CA783" s="43"/>
      <c r="CB783" s="43"/>
      <c r="CC783" s="43"/>
      <c r="CD783" s="43"/>
      <c r="CE783" s="43"/>
      <c r="CF783" s="43"/>
      <c r="CG783" s="43"/>
      <c r="CH783" s="43"/>
      <c r="CI783" s="43"/>
      <c r="CJ783" s="43"/>
      <c r="CK783" s="43"/>
      <c r="CL783" s="43"/>
      <c r="CM783" s="43"/>
      <c r="CN783" s="43"/>
      <c r="CO783" s="43"/>
      <c r="CP783" s="43"/>
      <c r="CQ783" s="43"/>
      <c r="CR783" s="43"/>
      <c r="CS783" s="43"/>
      <c r="CT783" s="43"/>
      <c r="CU783" s="43"/>
      <c r="CV783" s="43"/>
      <c r="CW783" s="43"/>
      <c r="CX783" s="43"/>
      <c r="CY783" s="43"/>
      <c r="CZ783" s="43"/>
      <c r="DA783" s="43"/>
      <c r="DB783" s="43"/>
      <c r="DC783" s="43"/>
      <c r="DD783" s="43"/>
      <c r="DE783" s="43"/>
      <c r="DF783" s="43"/>
      <c r="DG783" s="43"/>
      <c r="DH783" s="43"/>
      <c r="DI783" s="43"/>
      <c r="DJ783" s="43"/>
      <c r="DK783" s="43"/>
      <c r="DL783" s="43"/>
      <c r="DM783" s="43"/>
      <c r="DN783" s="43"/>
      <c r="DO783" s="43"/>
      <c r="DP783" s="43"/>
      <c r="DQ783" s="43"/>
      <c r="DR783" s="43"/>
      <c r="DS783" s="43"/>
      <c r="DT783" s="43"/>
      <c r="DU783" s="43"/>
      <c r="DV783" s="43"/>
      <c r="DW783" s="43"/>
      <c r="DX783" s="43"/>
      <c r="DY783" s="43"/>
      <c r="DZ783" s="43"/>
      <c r="EA783" s="43"/>
      <c r="EB783" s="43"/>
      <c r="EC783" s="43"/>
      <c r="ED783" s="43"/>
      <c r="EE783" s="43"/>
      <c r="EF783" s="43"/>
      <c r="EG783" s="43"/>
      <c r="EH783" s="43"/>
      <c r="EI783" s="43"/>
      <c r="EJ783" s="43"/>
      <c r="EK783" s="43"/>
      <c r="EL783" s="43"/>
      <c r="EM783" s="43"/>
      <c r="EN783" s="43"/>
      <c r="EO783" s="43"/>
      <c r="EP783" s="43"/>
      <c r="EQ783" s="43"/>
      <c r="ER783" s="43"/>
      <c r="ES783" s="43"/>
      <c r="ET783" s="43"/>
      <c r="EU783" s="43"/>
      <c r="EV783" s="43"/>
      <c r="EW783" s="43"/>
      <c r="EX783" s="43"/>
      <c r="EY783" s="43"/>
      <c r="EZ783" s="43"/>
      <c r="FA783" s="43"/>
      <c r="FB783" s="43"/>
      <c r="FC783" s="43"/>
      <c r="FD783" s="43"/>
      <c r="FE783" s="43"/>
      <c r="FF783" s="43"/>
      <c r="FG783" s="43"/>
      <c r="FH783" s="50"/>
      <c r="FI783" s="50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43"/>
      <c r="BH784" s="43"/>
      <c r="BI784" s="43"/>
      <c r="BJ784" s="43"/>
      <c r="BK784" s="43"/>
      <c r="BL784" s="43"/>
      <c r="BM784" s="43"/>
      <c r="BN784" s="43"/>
      <c r="BO784" s="43"/>
      <c r="BP784" s="43"/>
      <c r="BQ784" s="43"/>
      <c r="BR784" s="43"/>
      <c r="BS784" s="43"/>
      <c r="BT784" s="43"/>
      <c r="BU784" s="43"/>
      <c r="BV784" s="43"/>
      <c r="BW784" s="43"/>
      <c r="BX784" s="43"/>
      <c r="BY784" s="43"/>
      <c r="BZ784" s="43"/>
      <c r="CA784" s="43"/>
      <c r="CB784" s="43"/>
      <c r="CC784" s="43"/>
      <c r="CD784" s="43"/>
      <c r="CE784" s="43"/>
      <c r="CF784" s="43"/>
      <c r="CG784" s="43"/>
      <c r="CH784" s="43"/>
      <c r="CI784" s="43"/>
      <c r="CJ784" s="43"/>
      <c r="CK784" s="43"/>
      <c r="CL784" s="43"/>
      <c r="CM784" s="43"/>
      <c r="CN784" s="43"/>
      <c r="CO784" s="43"/>
      <c r="CP784" s="43"/>
      <c r="CQ784" s="43"/>
      <c r="CR784" s="43"/>
      <c r="CS784" s="43"/>
      <c r="CT784" s="43"/>
      <c r="CU784" s="43"/>
      <c r="CV784" s="43"/>
      <c r="CW784" s="43"/>
      <c r="CX784" s="43"/>
      <c r="CY784" s="43"/>
      <c r="CZ784" s="43"/>
      <c r="DA784" s="43"/>
      <c r="DB784" s="43"/>
      <c r="DC784" s="43"/>
      <c r="DD784" s="43"/>
      <c r="DE784" s="43"/>
      <c r="DF784" s="43"/>
      <c r="DG784" s="43"/>
      <c r="DH784" s="43"/>
      <c r="DI784" s="43"/>
      <c r="DJ784" s="43"/>
      <c r="DK784" s="43"/>
      <c r="DL784" s="43"/>
      <c r="DM784" s="43"/>
      <c r="DN784" s="43"/>
      <c r="DO784" s="43"/>
      <c r="DP784" s="43"/>
      <c r="DQ784" s="43"/>
      <c r="DR784" s="43"/>
      <c r="DS784" s="43"/>
      <c r="DT784" s="43"/>
      <c r="DU784" s="43"/>
      <c r="DV784" s="43"/>
      <c r="DW784" s="43"/>
      <c r="DX784" s="43"/>
      <c r="DY784" s="43"/>
      <c r="DZ784" s="43"/>
      <c r="EA784" s="43"/>
      <c r="EB784" s="43"/>
      <c r="EC784" s="43"/>
      <c r="ED784" s="43"/>
      <c r="EE784" s="43"/>
      <c r="EF784" s="43"/>
      <c r="EG784" s="43"/>
      <c r="EH784" s="43"/>
      <c r="EI784" s="43"/>
      <c r="EJ784" s="43"/>
      <c r="EK784" s="43"/>
      <c r="EL784" s="43"/>
      <c r="EM784" s="43"/>
      <c r="EN784" s="43"/>
      <c r="EO784" s="43"/>
      <c r="EP784" s="43"/>
      <c r="EQ784" s="43"/>
      <c r="ER784" s="43"/>
      <c r="ES784" s="43"/>
      <c r="ET784" s="43"/>
      <c r="EU784" s="43"/>
      <c r="EV784" s="43"/>
      <c r="EW784" s="43"/>
      <c r="EX784" s="43"/>
      <c r="EY784" s="43"/>
      <c r="EZ784" s="43"/>
      <c r="FA784" s="43"/>
      <c r="FB784" s="43"/>
      <c r="FC784" s="43"/>
      <c r="FD784" s="43"/>
      <c r="FE784" s="43"/>
      <c r="FF784" s="43"/>
      <c r="FG784" s="43"/>
      <c r="FH784" s="50"/>
      <c r="FI784" s="50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43"/>
      <c r="BH785" s="43"/>
      <c r="BI785" s="43"/>
      <c r="BJ785" s="43"/>
      <c r="BK785" s="43"/>
      <c r="BL785" s="43"/>
      <c r="BM785" s="43"/>
      <c r="BN785" s="43"/>
      <c r="BO785" s="43"/>
      <c r="BP785" s="43"/>
      <c r="BQ785" s="43"/>
      <c r="BR785" s="43"/>
      <c r="BS785" s="43"/>
      <c r="BT785" s="43"/>
      <c r="BU785" s="43"/>
      <c r="BV785" s="43"/>
      <c r="BW785" s="43"/>
      <c r="BX785" s="43"/>
      <c r="BY785" s="43"/>
      <c r="BZ785" s="43"/>
      <c r="CA785" s="43"/>
      <c r="CB785" s="43"/>
      <c r="CC785" s="43"/>
      <c r="CD785" s="43"/>
      <c r="CE785" s="43"/>
      <c r="CF785" s="43"/>
      <c r="CG785" s="43"/>
      <c r="CH785" s="43"/>
      <c r="CI785" s="43"/>
      <c r="CJ785" s="43"/>
      <c r="CK785" s="43"/>
      <c r="CL785" s="43"/>
      <c r="CM785" s="43"/>
      <c r="CN785" s="43"/>
      <c r="CO785" s="43"/>
      <c r="CP785" s="43"/>
      <c r="CQ785" s="43"/>
      <c r="CR785" s="43"/>
      <c r="CS785" s="43"/>
      <c r="CT785" s="43"/>
      <c r="CU785" s="43"/>
      <c r="CV785" s="43"/>
      <c r="CW785" s="43"/>
      <c r="CX785" s="43"/>
      <c r="CY785" s="43"/>
      <c r="CZ785" s="43"/>
      <c r="DA785" s="43"/>
      <c r="DB785" s="43"/>
      <c r="DC785" s="43"/>
      <c r="DD785" s="43"/>
      <c r="DE785" s="43"/>
      <c r="DF785" s="43"/>
      <c r="DG785" s="43"/>
      <c r="DH785" s="43"/>
      <c r="DI785" s="43"/>
      <c r="DJ785" s="43"/>
      <c r="DK785" s="43"/>
      <c r="DL785" s="43"/>
      <c r="DM785" s="43"/>
      <c r="DN785" s="43"/>
      <c r="DO785" s="43"/>
      <c r="DP785" s="43"/>
      <c r="DQ785" s="43"/>
      <c r="DR785" s="43"/>
      <c r="DS785" s="43"/>
      <c r="DT785" s="43"/>
      <c r="DU785" s="43"/>
      <c r="DV785" s="43"/>
      <c r="DW785" s="43"/>
      <c r="DX785" s="43"/>
      <c r="DY785" s="43"/>
      <c r="DZ785" s="43"/>
      <c r="EA785" s="43"/>
      <c r="EB785" s="43"/>
      <c r="EC785" s="43"/>
      <c r="ED785" s="43"/>
      <c r="EE785" s="43"/>
      <c r="EF785" s="43"/>
      <c r="EG785" s="43"/>
      <c r="EH785" s="43"/>
      <c r="EI785" s="43"/>
      <c r="EJ785" s="43"/>
      <c r="EK785" s="43"/>
      <c r="EL785" s="43"/>
      <c r="EM785" s="43"/>
      <c r="EN785" s="43"/>
      <c r="EO785" s="43"/>
      <c r="EP785" s="43"/>
      <c r="EQ785" s="43"/>
      <c r="ER785" s="43"/>
      <c r="ES785" s="43"/>
      <c r="ET785" s="43"/>
      <c r="EU785" s="43"/>
      <c r="EV785" s="43"/>
      <c r="EW785" s="43"/>
      <c r="EX785" s="43"/>
      <c r="EY785" s="43"/>
      <c r="EZ785" s="43"/>
      <c r="FA785" s="43"/>
      <c r="FB785" s="43"/>
      <c r="FC785" s="43"/>
      <c r="FD785" s="43"/>
      <c r="FE785" s="43"/>
      <c r="FF785" s="43"/>
      <c r="FG785" s="43"/>
      <c r="FH785" s="50"/>
      <c r="FI785" s="50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43"/>
      <c r="BH786" s="43"/>
      <c r="BI786" s="43"/>
      <c r="BJ786" s="43"/>
      <c r="BK786" s="43"/>
      <c r="BL786" s="43"/>
      <c r="BM786" s="43"/>
      <c r="BN786" s="43"/>
      <c r="BO786" s="43"/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3"/>
      <c r="CA786" s="43"/>
      <c r="CB786" s="43"/>
      <c r="CC786" s="43"/>
      <c r="CD786" s="43"/>
      <c r="CE786" s="43"/>
      <c r="CF786" s="43"/>
      <c r="CG786" s="43"/>
      <c r="CH786" s="43"/>
      <c r="CI786" s="43"/>
      <c r="CJ786" s="43"/>
      <c r="CK786" s="43"/>
      <c r="CL786" s="43"/>
      <c r="CM786" s="43"/>
      <c r="CN786" s="43"/>
      <c r="CO786" s="43"/>
      <c r="CP786" s="43"/>
      <c r="CQ786" s="43"/>
      <c r="CR786" s="43"/>
      <c r="CS786" s="43"/>
      <c r="CT786" s="43"/>
      <c r="CU786" s="43"/>
      <c r="CV786" s="43"/>
      <c r="CW786" s="43"/>
      <c r="CX786" s="43"/>
      <c r="CY786" s="43"/>
      <c r="CZ786" s="43"/>
      <c r="DA786" s="43"/>
      <c r="DB786" s="43"/>
      <c r="DC786" s="43"/>
      <c r="DD786" s="43"/>
      <c r="DE786" s="43"/>
      <c r="DF786" s="43"/>
      <c r="DG786" s="43"/>
      <c r="DH786" s="43"/>
      <c r="DI786" s="43"/>
      <c r="DJ786" s="43"/>
      <c r="DK786" s="43"/>
      <c r="DL786" s="43"/>
      <c r="DM786" s="43"/>
      <c r="DN786" s="43"/>
      <c r="DO786" s="43"/>
      <c r="DP786" s="43"/>
      <c r="DQ786" s="43"/>
      <c r="DR786" s="43"/>
      <c r="DS786" s="43"/>
      <c r="DT786" s="43"/>
      <c r="DU786" s="43"/>
      <c r="DV786" s="43"/>
      <c r="DW786" s="43"/>
      <c r="DX786" s="43"/>
      <c r="DY786" s="43"/>
      <c r="DZ786" s="43"/>
      <c r="EA786" s="43"/>
      <c r="EB786" s="43"/>
      <c r="EC786" s="43"/>
      <c r="ED786" s="43"/>
      <c r="EE786" s="43"/>
      <c r="EF786" s="43"/>
      <c r="EG786" s="43"/>
      <c r="EH786" s="43"/>
      <c r="EI786" s="43"/>
      <c r="EJ786" s="43"/>
      <c r="EK786" s="43"/>
      <c r="EL786" s="43"/>
      <c r="EM786" s="43"/>
      <c r="EN786" s="43"/>
      <c r="EO786" s="43"/>
      <c r="EP786" s="43"/>
      <c r="EQ786" s="43"/>
      <c r="ER786" s="43"/>
      <c r="ES786" s="43"/>
      <c r="ET786" s="43"/>
      <c r="EU786" s="43"/>
      <c r="EV786" s="43"/>
      <c r="EW786" s="43"/>
      <c r="EX786" s="43"/>
      <c r="EY786" s="43"/>
      <c r="EZ786" s="43"/>
      <c r="FA786" s="43"/>
      <c r="FB786" s="43"/>
      <c r="FC786" s="43"/>
      <c r="FD786" s="43"/>
      <c r="FE786" s="43"/>
      <c r="FF786" s="43"/>
      <c r="FG786" s="43"/>
      <c r="FH786" s="50"/>
      <c r="FI786" s="50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43"/>
      <c r="BH787" s="43"/>
      <c r="BI787" s="43"/>
      <c r="BJ787" s="43"/>
      <c r="BK787" s="43"/>
      <c r="BL787" s="43"/>
      <c r="BM787" s="43"/>
      <c r="BN787" s="43"/>
      <c r="BO787" s="43"/>
      <c r="BP787" s="43"/>
      <c r="BQ787" s="43"/>
      <c r="BR787" s="43"/>
      <c r="BS787" s="43"/>
      <c r="BT787" s="43"/>
      <c r="BU787" s="43"/>
      <c r="BV787" s="43"/>
      <c r="BW787" s="43"/>
      <c r="BX787" s="43"/>
      <c r="BY787" s="43"/>
      <c r="BZ787" s="43"/>
      <c r="CA787" s="43"/>
      <c r="CB787" s="43"/>
      <c r="CC787" s="43"/>
      <c r="CD787" s="43"/>
      <c r="CE787" s="43"/>
      <c r="CF787" s="43"/>
      <c r="CG787" s="43"/>
      <c r="CH787" s="43"/>
      <c r="CI787" s="43"/>
      <c r="CJ787" s="43"/>
      <c r="CK787" s="43"/>
      <c r="CL787" s="43"/>
      <c r="CM787" s="43"/>
      <c r="CN787" s="43"/>
      <c r="CO787" s="43"/>
      <c r="CP787" s="43"/>
      <c r="CQ787" s="43"/>
      <c r="CR787" s="43"/>
      <c r="CS787" s="43"/>
      <c r="CT787" s="43"/>
      <c r="CU787" s="43"/>
      <c r="CV787" s="43"/>
      <c r="CW787" s="43"/>
      <c r="CX787" s="43"/>
      <c r="CY787" s="43"/>
      <c r="CZ787" s="43"/>
      <c r="DA787" s="43"/>
      <c r="DB787" s="43"/>
      <c r="DC787" s="43"/>
      <c r="DD787" s="43"/>
      <c r="DE787" s="43"/>
      <c r="DF787" s="43"/>
      <c r="DG787" s="43"/>
      <c r="DH787" s="43"/>
      <c r="DI787" s="43"/>
      <c r="DJ787" s="43"/>
      <c r="DK787" s="43"/>
      <c r="DL787" s="43"/>
      <c r="DM787" s="43"/>
      <c r="DN787" s="43"/>
      <c r="DO787" s="43"/>
      <c r="DP787" s="43"/>
      <c r="DQ787" s="43"/>
      <c r="DR787" s="43"/>
      <c r="DS787" s="43"/>
      <c r="DT787" s="43"/>
      <c r="DU787" s="43"/>
      <c r="DV787" s="43"/>
      <c r="DW787" s="43"/>
      <c r="DX787" s="43"/>
      <c r="DY787" s="43"/>
      <c r="DZ787" s="43"/>
      <c r="EA787" s="43"/>
      <c r="EB787" s="43"/>
      <c r="EC787" s="43"/>
      <c r="ED787" s="43"/>
      <c r="EE787" s="43"/>
      <c r="EF787" s="43"/>
      <c r="EG787" s="43"/>
      <c r="EH787" s="43"/>
      <c r="EI787" s="43"/>
      <c r="EJ787" s="43"/>
      <c r="EK787" s="43"/>
      <c r="EL787" s="43"/>
      <c r="EM787" s="43"/>
      <c r="EN787" s="43"/>
      <c r="EO787" s="43"/>
      <c r="EP787" s="43"/>
      <c r="EQ787" s="43"/>
      <c r="ER787" s="43"/>
      <c r="ES787" s="43"/>
      <c r="ET787" s="43"/>
      <c r="EU787" s="43"/>
      <c r="EV787" s="43"/>
      <c r="EW787" s="43"/>
      <c r="EX787" s="43"/>
      <c r="EY787" s="43"/>
      <c r="EZ787" s="43"/>
      <c r="FA787" s="43"/>
      <c r="FB787" s="43"/>
      <c r="FC787" s="43"/>
      <c r="FD787" s="43"/>
      <c r="FE787" s="43"/>
      <c r="FF787" s="43"/>
      <c r="FG787" s="43"/>
      <c r="FH787" s="50"/>
      <c r="FI787" s="50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/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43"/>
      <c r="CF788" s="43"/>
      <c r="CG788" s="43"/>
      <c r="CH788" s="43"/>
      <c r="CI788" s="43"/>
      <c r="CJ788" s="43"/>
      <c r="CK788" s="43"/>
      <c r="CL788" s="43"/>
      <c r="CM788" s="43"/>
      <c r="CN788" s="43"/>
      <c r="CO788" s="43"/>
      <c r="CP788" s="43"/>
      <c r="CQ788" s="43"/>
      <c r="CR788" s="43"/>
      <c r="CS788" s="43"/>
      <c r="CT788" s="43"/>
      <c r="CU788" s="43"/>
      <c r="CV788" s="43"/>
      <c r="CW788" s="43"/>
      <c r="CX788" s="43"/>
      <c r="CY788" s="43"/>
      <c r="CZ788" s="43"/>
      <c r="DA788" s="43"/>
      <c r="DB788" s="43"/>
      <c r="DC788" s="43"/>
      <c r="DD788" s="43"/>
      <c r="DE788" s="43"/>
      <c r="DF788" s="43"/>
      <c r="DG788" s="43"/>
      <c r="DH788" s="43"/>
      <c r="DI788" s="43"/>
      <c r="DJ788" s="43"/>
      <c r="DK788" s="43"/>
      <c r="DL788" s="43"/>
      <c r="DM788" s="43"/>
      <c r="DN788" s="43"/>
      <c r="DO788" s="43"/>
      <c r="DP788" s="43"/>
      <c r="DQ788" s="43"/>
      <c r="DR788" s="43"/>
      <c r="DS788" s="43"/>
      <c r="DT788" s="43"/>
      <c r="DU788" s="43"/>
      <c r="DV788" s="43"/>
      <c r="DW788" s="43"/>
      <c r="DX788" s="43"/>
      <c r="DY788" s="43"/>
      <c r="DZ788" s="43"/>
      <c r="EA788" s="43"/>
      <c r="EB788" s="43"/>
      <c r="EC788" s="43"/>
      <c r="ED788" s="43"/>
      <c r="EE788" s="43"/>
      <c r="EF788" s="43"/>
      <c r="EG788" s="43"/>
      <c r="EH788" s="43"/>
      <c r="EI788" s="43"/>
      <c r="EJ788" s="43"/>
      <c r="EK788" s="43"/>
      <c r="EL788" s="43"/>
      <c r="EM788" s="43"/>
      <c r="EN788" s="43"/>
      <c r="EO788" s="43"/>
      <c r="EP788" s="43"/>
      <c r="EQ788" s="43"/>
      <c r="ER788" s="43"/>
      <c r="ES788" s="43"/>
      <c r="ET788" s="43"/>
      <c r="EU788" s="43"/>
      <c r="EV788" s="43"/>
      <c r="EW788" s="43"/>
      <c r="EX788" s="43"/>
      <c r="EY788" s="43"/>
      <c r="EZ788" s="43"/>
      <c r="FA788" s="43"/>
      <c r="FB788" s="43"/>
      <c r="FC788" s="43"/>
      <c r="FD788" s="43"/>
      <c r="FE788" s="43"/>
      <c r="FF788" s="43"/>
      <c r="FG788" s="43"/>
      <c r="FH788" s="50"/>
      <c r="FI788" s="50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  <c r="AX789" s="43"/>
      <c r="AY789" s="43"/>
      <c r="AZ789" s="43"/>
      <c r="BA789" s="43"/>
      <c r="BB789" s="43"/>
      <c r="BC789" s="43"/>
      <c r="BD789" s="43"/>
      <c r="BE789" s="43"/>
      <c r="BF789" s="43"/>
      <c r="BG789" s="43"/>
      <c r="BH789" s="43"/>
      <c r="BI789" s="43"/>
      <c r="BJ789" s="43"/>
      <c r="BK789" s="43"/>
      <c r="BL789" s="43"/>
      <c r="BM789" s="43"/>
      <c r="BN789" s="43"/>
      <c r="BO789" s="43"/>
      <c r="BP789" s="43"/>
      <c r="BQ789" s="43"/>
      <c r="BR789" s="43"/>
      <c r="BS789" s="43"/>
      <c r="BT789" s="43"/>
      <c r="BU789" s="43"/>
      <c r="BV789" s="43"/>
      <c r="BW789" s="43"/>
      <c r="BX789" s="43"/>
      <c r="BY789" s="43"/>
      <c r="BZ789" s="43"/>
      <c r="CA789" s="43"/>
      <c r="CB789" s="43"/>
      <c r="CC789" s="43"/>
      <c r="CD789" s="43"/>
      <c r="CE789" s="43"/>
      <c r="CF789" s="43"/>
      <c r="CG789" s="43"/>
      <c r="CH789" s="43"/>
      <c r="CI789" s="43"/>
      <c r="CJ789" s="43"/>
      <c r="CK789" s="43"/>
      <c r="CL789" s="43"/>
      <c r="CM789" s="43"/>
      <c r="CN789" s="43"/>
      <c r="CO789" s="43"/>
      <c r="CP789" s="43"/>
      <c r="CQ789" s="43"/>
      <c r="CR789" s="43"/>
      <c r="CS789" s="43"/>
      <c r="CT789" s="43"/>
      <c r="CU789" s="43"/>
      <c r="CV789" s="43"/>
      <c r="CW789" s="43"/>
      <c r="CX789" s="43"/>
      <c r="CY789" s="43"/>
      <c r="CZ789" s="43"/>
      <c r="DA789" s="43"/>
      <c r="DB789" s="43"/>
      <c r="DC789" s="43"/>
      <c r="DD789" s="43"/>
      <c r="DE789" s="43"/>
      <c r="DF789" s="43"/>
      <c r="DG789" s="43"/>
      <c r="DH789" s="43"/>
      <c r="DI789" s="43"/>
      <c r="DJ789" s="43"/>
      <c r="DK789" s="43"/>
      <c r="DL789" s="43"/>
      <c r="DM789" s="43"/>
      <c r="DN789" s="43"/>
      <c r="DO789" s="43"/>
      <c r="DP789" s="43"/>
      <c r="DQ789" s="43"/>
      <c r="DR789" s="43"/>
      <c r="DS789" s="43"/>
      <c r="DT789" s="43"/>
      <c r="DU789" s="43"/>
      <c r="DV789" s="43"/>
      <c r="DW789" s="43"/>
      <c r="DX789" s="43"/>
      <c r="DY789" s="43"/>
      <c r="DZ789" s="43"/>
      <c r="EA789" s="43"/>
      <c r="EB789" s="43"/>
      <c r="EC789" s="43"/>
      <c r="ED789" s="43"/>
      <c r="EE789" s="43"/>
      <c r="EF789" s="43"/>
      <c r="EG789" s="43"/>
      <c r="EH789" s="43"/>
      <c r="EI789" s="43"/>
      <c r="EJ789" s="43"/>
      <c r="EK789" s="43"/>
      <c r="EL789" s="43"/>
      <c r="EM789" s="43"/>
      <c r="EN789" s="43"/>
      <c r="EO789" s="43"/>
      <c r="EP789" s="43"/>
      <c r="EQ789" s="43"/>
      <c r="ER789" s="43"/>
      <c r="ES789" s="43"/>
      <c r="ET789" s="43"/>
      <c r="EU789" s="43"/>
      <c r="EV789" s="43"/>
      <c r="EW789" s="43"/>
      <c r="EX789" s="43"/>
      <c r="EY789" s="43"/>
      <c r="EZ789" s="43"/>
      <c r="FA789" s="43"/>
      <c r="FB789" s="43"/>
      <c r="FC789" s="43"/>
      <c r="FD789" s="43"/>
      <c r="FE789" s="43"/>
      <c r="FF789" s="43"/>
      <c r="FG789" s="43"/>
      <c r="FH789" s="50"/>
      <c r="FI789" s="50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  <c r="AX790" s="43"/>
      <c r="AY790" s="43"/>
      <c r="AZ790" s="43"/>
      <c r="BA790" s="43"/>
      <c r="BB790" s="43"/>
      <c r="BC790" s="43"/>
      <c r="BD790" s="43"/>
      <c r="BE790" s="43"/>
      <c r="BF790" s="43"/>
      <c r="BG790" s="43"/>
      <c r="BH790" s="43"/>
      <c r="BI790" s="43"/>
      <c r="BJ790" s="43"/>
      <c r="BK790" s="43"/>
      <c r="BL790" s="43"/>
      <c r="BM790" s="43"/>
      <c r="BN790" s="43"/>
      <c r="BO790" s="43"/>
      <c r="BP790" s="43"/>
      <c r="BQ790" s="43"/>
      <c r="BR790" s="43"/>
      <c r="BS790" s="43"/>
      <c r="BT790" s="43"/>
      <c r="BU790" s="43"/>
      <c r="BV790" s="43"/>
      <c r="BW790" s="43"/>
      <c r="BX790" s="43"/>
      <c r="BY790" s="43"/>
      <c r="BZ790" s="43"/>
      <c r="CA790" s="43"/>
      <c r="CB790" s="43"/>
      <c r="CC790" s="43"/>
      <c r="CD790" s="43"/>
      <c r="CE790" s="43"/>
      <c r="CF790" s="43"/>
      <c r="CG790" s="43"/>
      <c r="CH790" s="43"/>
      <c r="CI790" s="43"/>
      <c r="CJ790" s="43"/>
      <c r="CK790" s="43"/>
      <c r="CL790" s="43"/>
      <c r="CM790" s="43"/>
      <c r="CN790" s="43"/>
      <c r="CO790" s="43"/>
      <c r="CP790" s="43"/>
      <c r="CQ790" s="43"/>
      <c r="CR790" s="43"/>
      <c r="CS790" s="43"/>
      <c r="CT790" s="43"/>
      <c r="CU790" s="43"/>
      <c r="CV790" s="43"/>
      <c r="CW790" s="43"/>
      <c r="CX790" s="43"/>
      <c r="CY790" s="43"/>
      <c r="CZ790" s="43"/>
      <c r="DA790" s="43"/>
      <c r="DB790" s="43"/>
      <c r="DC790" s="43"/>
      <c r="DD790" s="43"/>
      <c r="DE790" s="43"/>
      <c r="DF790" s="43"/>
      <c r="DG790" s="43"/>
      <c r="DH790" s="43"/>
      <c r="DI790" s="43"/>
      <c r="DJ790" s="43"/>
      <c r="DK790" s="43"/>
      <c r="DL790" s="43"/>
      <c r="DM790" s="43"/>
      <c r="DN790" s="43"/>
      <c r="DO790" s="43"/>
      <c r="DP790" s="43"/>
      <c r="DQ790" s="43"/>
      <c r="DR790" s="43"/>
      <c r="DS790" s="43"/>
      <c r="DT790" s="43"/>
      <c r="DU790" s="43"/>
      <c r="DV790" s="43"/>
      <c r="DW790" s="43"/>
      <c r="DX790" s="43"/>
      <c r="DY790" s="43"/>
      <c r="DZ790" s="43"/>
      <c r="EA790" s="43"/>
      <c r="EB790" s="43"/>
      <c r="EC790" s="43"/>
      <c r="ED790" s="43"/>
      <c r="EE790" s="43"/>
      <c r="EF790" s="43"/>
      <c r="EG790" s="43"/>
      <c r="EH790" s="43"/>
      <c r="EI790" s="43"/>
      <c r="EJ790" s="43"/>
      <c r="EK790" s="43"/>
      <c r="EL790" s="43"/>
      <c r="EM790" s="43"/>
      <c r="EN790" s="43"/>
      <c r="EO790" s="43"/>
      <c r="EP790" s="43"/>
      <c r="EQ790" s="43"/>
      <c r="ER790" s="43"/>
      <c r="ES790" s="43"/>
      <c r="ET790" s="43"/>
      <c r="EU790" s="43"/>
      <c r="EV790" s="43"/>
      <c r="EW790" s="43"/>
      <c r="EX790" s="43"/>
      <c r="EY790" s="43"/>
      <c r="EZ790" s="43"/>
      <c r="FA790" s="43"/>
      <c r="FB790" s="43"/>
      <c r="FC790" s="43"/>
      <c r="FD790" s="43"/>
      <c r="FE790" s="43"/>
      <c r="FF790" s="43"/>
      <c r="FG790" s="43"/>
      <c r="FH790" s="50"/>
      <c r="FI790" s="50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  <c r="AX791" s="43"/>
      <c r="AY791" s="43"/>
      <c r="AZ791" s="43"/>
      <c r="BA791" s="43"/>
      <c r="BB791" s="43"/>
      <c r="BC791" s="43"/>
      <c r="BD791" s="43"/>
      <c r="BE791" s="43"/>
      <c r="BF791" s="43"/>
      <c r="BG791" s="43"/>
      <c r="BH791" s="43"/>
      <c r="BI791" s="43"/>
      <c r="BJ791" s="43"/>
      <c r="BK791" s="43"/>
      <c r="BL791" s="43"/>
      <c r="BM791" s="43"/>
      <c r="BN791" s="43"/>
      <c r="BO791" s="43"/>
      <c r="BP791" s="43"/>
      <c r="BQ791" s="43"/>
      <c r="BR791" s="43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43"/>
      <c r="CF791" s="43"/>
      <c r="CG791" s="43"/>
      <c r="CH791" s="43"/>
      <c r="CI791" s="43"/>
      <c r="CJ791" s="43"/>
      <c r="CK791" s="43"/>
      <c r="CL791" s="43"/>
      <c r="CM791" s="43"/>
      <c r="CN791" s="43"/>
      <c r="CO791" s="43"/>
      <c r="CP791" s="43"/>
      <c r="CQ791" s="43"/>
      <c r="CR791" s="43"/>
      <c r="CS791" s="43"/>
      <c r="CT791" s="43"/>
      <c r="CU791" s="43"/>
      <c r="CV791" s="43"/>
      <c r="CW791" s="43"/>
      <c r="CX791" s="43"/>
      <c r="CY791" s="43"/>
      <c r="CZ791" s="43"/>
      <c r="DA791" s="43"/>
      <c r="DB791" s="43"/>
      <c r="DC791" s="43"/>
      <c r="DD791" s="43"/>
      <c r="DE791" s="43"/>
      <c r="DF791" s="43"/>
      <c r="DG791" s="43"/>
      <c r="DH791" s="43"/>
      <c r="DI791" s="43"/>
      <c r="DJ791" s="43"/>
      <c r="DK791" s="43"/>
      <c r="DL791" s="43"/>
      <c r="DM791" s="43"/>
      <c r="DN791" s="43"/>
      <c r="DO791" s="43"/>
      <c r="DP791" s="43"/>
      <c r="DQ791" s="43"/>
      <c r="DR791" s="43"/>
      <c r="DS791" s="43"/>
      <c r="DT791" s="43"/>
      <c r="DU791" s="43"/>
      <c r="DV791" s="43"/>
      <c r="DW791" s="43"/>
      <c r="DX791" s="43"/>
      <c r="DY791" s="43"/>
      <c r="DZ791" s="43"/>
      <c r="EA791" s="43"/>
      <c r="EB791" s="43"/>
      <c r="EC791" s="43"/>
      <c r="ED791" s="43"/>
      <c r="EE791" s="43"/>
      <c r="EF791" s="43"/>
      <c r="EG791" s="43"/>
      <c r="EH791" s="43"/>
      <c r="EI791" s="43"/>
      <c r="EJ791" s="43"/>
      <c r="EK791" s="43"/>
      <c r="EL791" s="43"/>
      <c r="EM791" s="43"/>
      <c r="EN791" s="43"/>
      <c r="EO791" s="43"/>
      <c r="EP791" s="43"/>
      <c r="EQ791" s="43"/>
      <c r="ER791" s="43"/>
      <c r="ES791" s="43"/>
      <c r="ET791" s="43"/>
      <c r="EU791" s="43"/>
      <c r="EV791" s="43"/>
      <c r="EW791" s="43"/>
      <c r="EX791" s="43"/>
      <c r="EY791" s="43"/>
      <c r="EZ791" s="43"/>
      <c r="FA791" s="43"/>
      <c r="FB791" s="43"/>
      <c r="FC791" s="43"/>
      <c r="FD791" s="43"/>
      <c r="FE791" s="43"/>
      <c r="FF791" s="43"/>
      <c r="FG791" s="43"/>
      <c r="FH791" s="50"/>
      <c r="FI791" s="50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  <c r="AX792" s="43"/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43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43"/>
      <c r="CF792" s="43"/>
      <c r="CG792" s="43"/>
      <c r="CH792" s="43"/>
      <c r="CI792" s="43"/>
      <c r="CJ792" s="43"/>
      <c r="CK792" s="43"/>
      <c r="CL792" s="43"/>
      <c r="CM792" s="43"/>
      <c r="CN792" s="43"/>
      <c r="CO792" s="43"/>
      <c r="CP792" s="43"/>
      <c r="CQ792" s="43"/>
      <c r="CR792" s="43"/>
      <c r="CS792" s="43"/>
      <c r="CT792" s="43"/>
      <c r="CU792" s="43"/>
      <c r="CV792" s="43"/>
      <c r="CW792" s="43"/>
      <c r="CX792" s="43"/>
      <c r="CY792" s="43"/>
      <c r="CZ792" s="43"/>
      <c r="DA792" s="43"/>
      <c r="DB792" s="43"/>
      <c r="DC792" s="43"/>
      <c r="DD792" s="43"/>
      <c r="DE792" s="43"/>
      <c r="DF792" s="43"/>
      <c r="DG792" s="43"/>
      <c r="DH792" s="43"/>
      <c r="DI792" s="43"/>
      <c r="DJ792" s="43"/>
      <c r="DK792" s="43"/>
      <c r="DL792" s="43"/>
      <c r="DM792" s="43"/>
      <c r="DN792" s="43"/>
      <c r="DO792" s="43"/>
      <c r="DP792" s="43"/>
      <c r="DQ792" s="43"/>
      <c r="DR792" s="43"/>
      <c r="DS792" s="43"/>
      <c r="DT792" s="43"/>
      <c r="DU792" s="43"/>
      <c r="DV792" s="43"/>
      <c r="DW792" s="43"/>
      <c r="DX792" s="43"/>
      <c r="DY792" s="43"/>
      <c r="DZ792" s="43"/>
      <c r="EA792" s="43"/>
      <c r="EB792" s="43"/>
      <c r="EC792" s="43"/>
      <c r="ED792" s="43"/>
      <c r="EE792" s="43"/>
      <c r="EF792" s="43"/>
      <c r="EG792" s="43"/>
      <c r="EH792" s="43"/>
      <c r="EI792" s="43"/>
      <c r="EJ792" s="43"/>
      <c r="EK792" s="43"/>
      <c r="EL792" s="43"/>
      <c r="EM792" s="43"/>
      <c r="EN792" s="43"/>
      <c r="EO792" s="43"/>
      <c r="EP792" s="43"/>
      <c r="EQ792" s="43"/>
      <c r="ER792" s="43"/>
      <c r="ES792" s="43"/>
      <c r="ET792" s="43"/>
      <c r="EU792" s="43"/>
      <c r="EV792" s="43"/>
      <c r="EW792" s="43"/>
      <c r="EX792" s="43"/>
      <c r="EY792" s="43"/>
      <c r="EZ792" s="43"/>
      <c r="FA792" s="43"/>
      <c r="FB792" s="43"/>
      <c r="FC792" s="43"/>
      <c r="FD792" s="43"/>
      <c r="FE792" s="43"/>
      <c r="FF792" s="43"/>
      <c r="FG792" s="43"/>
      <c r="FH792" s="50"/>
      <c r="FI792" s="50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  <c r="AX793" s="43"/>
      <c r="AY793" s="43"/>
      <c r="AZ793" s="43"/>
      <c r="BA793" s="43"/>
      <c r="BB793" s="43"/>
      <c r="BC793" s="43"/>
      <c r="BD793" s="43"/>
      <c r="BE793" s="43"/>
      <c r="BF793" s="43"/>
      <c r="BG793" s="43"/>
      <c r="BH793" s="43"/>
      <c r="BI793" s="43"/>
      <c r="BJ793" s="43"/>
      <c r="BK793" s="43"/>
      <c r="BL793" s="43"/>
      <c r="BM793" s="43"/>
      <c r="BN793" s="43"/>
      <c r="BO793" s="43"/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43"/>
      <c r="CF793" s="43"/>
      <c r="CG793" s="43"/>
      <c r="CH793" s="43"/>
      <c r="CI793" s="43"/>
      <c r="CJ793" s="43"/>
      <c r="CK793" s="43"/>
      <c r="CL793" s="43"/>
      <c r="CM793" s="43"/>
      <c r="CN793" s="43"/>
      <c r="CO793" s="43"/>
      <c r="CP793" s="43"/>
      <c r="CQ793" s="43"/>
      <c r="CR793" s="43"/>
      <c r="CS793" s="43"/>
      <c r="CT793" s="43"/>
      <c r="CU793" s="43"/>
      <c r="CV793" s="43"/>
      <c r="CW793" s="43"/>
      <c r="CX793" s="43"/>
      <c r="CY793" s="43"/>
      <c r="CZ793" s="43"/>
      <c r="DA793" s="43"/>
      <c r="DB793" s="43"/>
      <c r="DC793" s="43"/>
      <c r="DD793" s="43"/>
      <c r="DE793" s="43"/>
      <c r="DF793" s="43"/>
      <c r="DG793" s="43"/>
      <c r="DH793" s="43"/>
      <c r="DI793" s="43"/>
      <c r="DJ793" s="43"/>
      <c r="DK793" s="43"/>
      <c r="DL793" s="43"/>
      <c r="DM793" s="43"/>
      <c r="DN793" s="43"/>
      <c r="DO793" s="43"/>
      <c r="DP793" s="43"/>
      <c r="DQ793" s="43"/>
      <c r="DR793" s="43"/>
      <c r="DS793" s="43"/>
      <c r="DT793" s="43"/>
      <c r="DU793" s="43"/>
      <c r="DV793" s="43"/>
      <c r="DW793" s="43"/>
      <c r="DX793" s="43"/>
      <c r="DY793" s="43"/>
      <c r="DZ793" s="43"/>
      <c r="EA793" s="43"/>
      <c r="EB793" s="43"/>
      <c r="EC793" s="43"/>
      <c r="ED793" s="43"/>
      <c r="EE793" s="43"/>
      <c r="EF793" s="43"/>
      <c r="EG793" s="43"/>
      <c r="EH793" s="43"/>
      <c r="EI793" s="43"/>
      <c r="EJ793" s="43"/>
      <c r="EK793" s="43"/>
      <c r="EL793" s="43"/>
      <c r="EM793" s="43"/>
      <c r="EN793" s="43"/>
      <c r="EO793" s="43"/>
      <c r="EP793" s="43"/>
      <c r="EQ793" s="43"/>
      <c r="ER793" s="43"/>
      <c r="ES793" s="43"/>
      <c r="ET793" s="43"/>
      <c r="EU793" s="43"/>
      <c r="EV793" s="43"/>
      <c r="EW793" s="43"/>
      <c r="EX793" s="43"/>
      <c r="EY793" s="43"/>
      <c r="EZ793" s="43"/>
      <c r="FA793" s="43"/>
      <c r="FB793" s="43"/>
      <c r="FC793" s="43"/>
      <c r="FD793" s="43"/>
      <c r="FE793" s="43"/>
      <c r="FF793" s="43"/>
      <c r="FG793" s="43"/>
      <c r="FH793" s="50"/>
      <c r="FI793" s="50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  <c r="AX794" s="43"/>
      <c r="AY794" s="43"/>
      <c r="AZ794" s="43"/>
      <c r="BA794" s="43"/>
      <c r="BB794" s="43"/>
      <c r="BC794" s="43"/>
      <c r="BD794" s="43"/>
      <c r="BE794" s="43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43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43"/>
      <c r="CF794" s="43"/>
      <c r="CG794" s="43"/>
      <c r="CH794" s="43"/>
      <c r="CI794" s="43"/>
      <c r="CJ794" s="43"/>
      <c r="CK794" s="43"/>
      <c r="CL794" s="43"/>
      <c r="CM794" s="43"/>
      <c r="CN794" s="43"/>
      <c r="CO794" s="43"/>
      <c r="CP794" s="43"/>
      <c r="CQ794" s="43"/>
      <c r="CR794" s="43"/>
      <c r="CS794" s="43"/>
      <c r="CT794" s="43"/>
      <c r="CU794" s="43"/>
      <c r="CV794" s="43"/>
      <c r="CW794" s="43"/>
      <c r="CX794" s="43"/>
      <c r="CY794" s="43"/>
      <c r="CZ794" s="43"/>
      <c r="DA794" s="43"/>
      <c r="DB794" s="43"/>
      <c r="DC794" s="43"/>
      <c r="DD794" s="43"/>
      <c r="DE794" s="43"/>
      <c r="DF794" s="43"/>
      <c r="DG794" s="43"/>
      <c r="DH794" s="43"/>
      <c r="DI794" s="43"/>
      <c r="DJ794" s="43"/>
      <c r="DK794" s="43"/>
      <c r="DL794" s="43"/>
      <c r="DM794" s="43"/>
      <c r="DN794" s="43"/>
      <c r="DO794" s="43"/>
      <c r="DP794" s="43"/>
      <c r="DQ794" s="43"/>
      <c r="DR794" s="43"/>
      <c r="DS794" s="43"/>
      <c r="DT794" s="43"/>
      <c r="DU794" s="43"/>
      <c r="DV794" s="43"/>
      <c r="DW794" s="43"/>
      <c r="DX794" s="43"/>
      <c r="DY794" s="43"/>
      <c r="DZ794" s="43"/>
      <c r="EA794" s="43"/>
      <c r="EB794" s="43"/>
      <c r="EC794" s="43"/>
      <c r="ED794" s="43"/>
      <c r="EE794" s="43"/>
      <c r="EF794" s="43"/>
      <c r="EG794" s="43"/>
      <c r="EH794" s="43"/>
      <c r="EI794" s="43"/>
      <c r="EJ794" s="43"/>
      <c r="EK794" s="43"/>
      <c r="EL794" s="43"/>
      <c r="EM794" s="43"/>
      <c r="EN794" s="43"/>
      <c r="EO794" s="43"/>
      <c r="EP794" s="43"/>
      <c r="EQ794" s="43"/>
      <c r="ER794" s="43"/>
      <c r="ES794" s="43"/>
      <c r="ET794" s="43"/>
      <c r="EU794" s="43"/>
      <c r="EV794" s="43"/>
      <c r="EW794" s="43"/>
      <c r="EX794" s="43"/>
      <c r="EY794" s="43"/>
      <c r="EZ794" s="43"/>
      <c r="FA794" s="43"/>
      <c r="FB794" s="43"/>
      <c r="FC794" s="43"/>
      <c r="FD794" s="43"/>
      <c r="FE794" s="43"/>
      <c r="FF794" s="43"/>
      <c r="FG794" s="43"/>
      <c r="FH794" s="50"/>
      <c r="FI794" s="50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  <c r="AX795" s="43"/>
      <c r="AY795" s="43"/>
      <c r="AZ795" s="43"/>
      <c r="BA795" s="43"/>
      <c r="BB795" s="43"/>
      <c r="BC795" s="43"/>
      <c r="BD795" s="43"/>
      <c r="BE795" s="43"/>
      <c r="BF795" s="43"/>
      <c r="BG795" s="43"/>
      <c r="BH795" s="43"/>
      <c r="BI795" s="43"/>
      <c r="BJ795" s="43"/>
      <c r="BK795" s="43"/>
      <c r="BL795" s="43"/>
      <c r="BM795" s="43"/>
      <c r="BN795" s="43"/>
      <c r="BO795" s="43"/>
      <c r="BP795" s="43"/>
      <c r="BQ795" s="43"/>
      <c r="BR795" s="43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43"/>
      <c r="CF795" s="43"/>
      <c r="CG795" s="43"/>
      <c r="CH795" s="43"/>
      <c r="CI795" s="43"/>
      <c r="CJ795" s="43"/>
      <c r="CK795" s="43"/>
      <c r="CL795" s="43"/>
      <c r="CM795" s="43"/>
      <c r="CN795" s="43"/>
      <c r="CO795" s="43"/>
      <c r="CP795" s="43"/>
      <c r="CQ795" s="43"/>
      <c r="CR795" s="43"/>
      <c r="CS795" s="43"/>
      <c r="CT795" s="43"/>
      <c r="CU795" s="43"/>
      <c r="CV795" s="43"/>
      <c r="CW795" s="43"/>
      <c r="CX795" s="43"/>
      <c r="CY795" s="43"/>
      <c r="CZ795" s="43"/>
      <c r="DA795" s="43"/>
      <c r="DB795" s="43"/>
      <c r="DC795" s="43"/>
      <c r="DD795" s="43"/>
      <c r="DE795" s="43"/>
      <c r="DF795" s="43"/>
      <c r="DG795" s="43"/>
      <c r="DH795" s="43"/>
      <c r="DI795" s="43"/>
      <c r="DJ795" s="43"/>
      <c r="DK795" s="43"/>
      <c r="DL795" s="43"/>
      <c r="DM795" s="43"/>
      <c r="DN795" s="43"/>
      <c r="DO795" s="43"/>
      <c r="DP795" s="43"/>
      <c r="DQ795" s="43"/>
      <c r="DR795" s="43"/>
      <c r="DS795" s="43"/>
      <c r="DT795" s="43"/>
      <c r="DU795" s="43"/>
      <c r="DV795" s="43"/>
      <c r="DW795" s="43"/>
      <c r="DX795" s="43"/>
      <c r="DY795" s="43"/>
      <c r="DZ795" s="43"/>
      <c r="EA795" s="43"/>
      <c r="EB795" s="43"/>
      <c r="EC795" s="43"/>
      <c r="ED795" s="43"/>
      <c r="EE795" s="43"/>
      <c r="EF795" s="43"/>
      <c r="EG795" s="43"/>
      <c r="EH795" s="43"/>
      <c r="EI795" s="43"/>
      <c r="EJ795" s="43"/>
      <c r="EK795" s="43"/>
      <c r="EL795" s="43"/>
      <c r="EM795" s="43"/>
      <c r="EN795" s="43"/>
      <c r="EO795" s="43"/>
      <c r="EP795" s="43"/>
      <c r="EQ795" s="43"/>
      <c r="ER795" s="43"/>
      <c r="ES795" s="43"/>
      <c r="ET795" s="43"/>
      <c r="EU795" s="43"/>
      <c r="EV795" s="43"/>
      <c r="EW795" s="43"/>
      <c r="EX795" s="43"/>
      <c r="EY795" s="43"/>
      <c r="EZ795" s="43"/>
      <c r="FA795" s="43"/>
      <c r="FB795" s="43"/>
      <c r="FC795" s="43"/>
      <c r="FD795" s="43"/>
      <c r="FE795" s="43"/>
      <c r="FF795" s="43"/>
      <c r="FG795" s="43"/>
      <c r="FH795" s="50"/>
      <c r="FI795" s="50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  <c r="AX796" s="43"/>
      <c r="AY796" s="43"/>
      <c r="AZ796" s="43"/>
      <c r="BA796" s="43"/>
      <c r="BB796" s="43"/>
      <c r="BC796" s="43"/>
      <c r="BD796" s="43"/>
      <c r="BE796" s="43"/>
      <c r="BF796" s="43"/>
      <c r="BG796" s="43"/>
      <c r="BH796" s="43"/>
      <c r="BI796" s="43"/>
      <c r="BJ796" s="43"/>
      <c r="BK796" s="43"/>
      <c r="BL796" s="43"/>
      <c r="BM796" s="43"/>
      <c r="BN796" s="43"/>
      <c r="BO796" s="43"/>
      <c r="BP796" s="43"/>
      <c r="BQ796" s="43"/>
      <c r="BR796" s="43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43"/>
      <c r="CF796" s="43"/>
      <c r="CG796" s="43"/>
      <c r="CH796" s="43"/>
      <c r="CI796" s="43"/>
      <c r="CJ796" s="43"/>
      <c r="CK796" s="43"/>
      <c r="CL796" s="43"/>
      <c r="CM796" s="43"/>
      <c r="CN796" s="43"/>
      <c r="CO796" s="43"/>
      <c r="CP796" s="43"/>
      <c r="CQ796" s="43"/>
      <c r="CR796" s="43"/>
      <c r="CS796" s="43"/>
      <c r="CT796" s="43"/>
      <c r="CU796" s="43"/>
      <c r="CV796" s="43"/>
      <c r="CW796" s="43"/>
      <c r="CX796" s="43"/>
      <c r="CY796" s="43"/>
      <c r="CZ796" s="43"/>
      <c r="DA796" s="43"/>
      <c r="DB796" s="43"/>
      <c r="DC796" s="43"/>
      <c r="DD796" s="43"/>
      <c r="DE796" s="43"/>
      <c r="DF796" s="43"/>
      <c r="DG796" s="43"/>
      <c r="DH796" s="43"/>
      <c r="DI796" s="43"/>
      <c r="DJ796" s="43"/>
      <c r="DK796" s="43"/>
      <c r="DL796" s="43"/>
      <c r="DM796" s="43"/>
      <c r="DN796" s="43"/>
      <c r="DO796" s="43"/>
      <c r="DP796" s="43"/>
      <c r="DQ796" s="43"/>
      <c r="DR796" s="43"/>
      <c r="DS796" s="43"/>
      <c r="DT796" s="43"/>
      <c r="DU796" s="43"/>
      <c r="DV796" s="43"/>
      <c r="DW796" s="43"/>
      <c r="DX796" s="43"/>
      <c r="DY796" s="43"/>
      <c r="DZ796" s="43"/>
      <c r="EA796" s="43"/>
      <c r="EB796" s="43"/>
      <c r="EC796" s="43"/>
      <c r="ED796" s="43"/>
      <c r="EE796" s="43"/>
      <c r="EF796" s="43"/>
      <c r="EG796" s="43"/>
      <c r="EH796" s="43"/>
      <c r="EI796" s="43"/>
      <c r="EJ796" s="43"/>
      <c r="EK796" s="43"/>
      <c r="EL796" s="43"/>
      <c r="EM796" s="43"/>
      <c r="EN796" s="43"/>
      <c r="EO796" s="43"/>
      <c r="EP796" s="43"/>
      <c r="EQ796" s="43"/>
      <c r="ER796" s="43"/>
      <c r="ES796" s="43"/>
      <c r="ET796" s="43"/>
      <c r="EU796" s="43"/>
      <c r="EV796" s="43"/>
      <c r="EW796" s="43"/>
      <c r="EX796" s="43"/>
      <c r="EY796" s="43"/>
      <c r="EZ796" s="43"/>
      <c r="FA796" s="43"/>
      <c r="FB796" s="43"/>
      <c r="FC796" s="43"/>
      <c r="FD796" s="43"/>
      <c r="FE796" s="43"/>
      <c r="FF796" s="43"/>
      <c r="FG796" s="43"/>
      <c r="FH796" s="50"/>
      <c r="FI796" s="50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  <c r="AX797" s="43"/>
      <c r="AY797" s="43"/>
      <c r="AZ797" s="43"/>
      <c r="BA797" s="43"/>
      <c r="BB797" s="43"/>
      <c r="BC797" s="43"/>
      <c r="BD797" s="43"/>
      <c r="BE797" s="43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43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43"/>
      <c r="CF797" s="43"/>
      <c r="CG797" s="43"/>
      <c r="CH797" s="43"/>
      <c r="CI797" s="43"/>
      <c r="CJ797" s="43"/>
      <c r="CK797" s="43"/>
      <c r="CL797" s="43"/>
      <c r="CM797" s="43"/>
      <c r="CN797" s="43"/>
      <c r="CO797" s="43"/>
      <c r="CP797" s="43"/>
      <c r="CQ797" s="43"/>
      <c r="CR797" s="43"/>
      <c r="CS797" s="43"/>
      <c r="CT797" s="43"/>
      <c r="CU797" s="43"/>
      <c r="CV797" s="43"/>
      <c r="CW797" s="43"/>
      <c r="CX797" s="43"/>
      <c r="CY797" s="43"/>
      <c r="CZ797" s="43"/>
      <c r="DA797" s="43"/>
      <c r="DB797" s="43"/>
      <c r="DC797" s="43"/>
      <c r="DD797" s="43"/>
      <c r="DE797" s="43"/>
      <c r="DF797" s="43"/>
      <c r="DG797" s="43"/>
      <c r="DH797" s="43"/>
      <c r="DI797" s="43"/>
      <c r="DJ797" s="43"/>
      <c r="DK797" s="43"/>
      <c r="DL797" s="43"/>
      <c r="DM797" s="43"/>
      <c r="DN797" s="43"/>
      <c r="DO797" s="43"/>
      <c r="DP797" s="43"/>
      <c r="DQ797" s="43"/>
      <c r="DR797" s="43"/>
      <c r="DS797" s="43"/>
      <c r="DT797" s="43"/>
      <c r="DU797" s="43"/>
      <c r="DV797" s="43"/>
      <c r="DW797" s="43"/>
      <c r="DX797" s="43"/>
      <c r="DY797" s="43"/>
      <c r="DZ797" s="43"/>
      <c r="EA797" s="43"/>
      <c r="EB797" s="43"/>
      <c r="EC797" s="43"/>
      <c r="ED797" s="43"/>
      <c r="EE797" s="43"/>
      <c r="EF797" s="43"/>
      <c r="EG797" s="43"/>
      <c r="EH797" s="43"/>
      <c r="EI797" s="43"/>
      <c r="EJ797" s="43"/>
      <c r="EK797" s="43"/>
      <c r="EL797" s="43"/>
      <c r="EM797" s="43"/>
      <c r="EN797" s="43"/>
      <c r="EO797" s="43"/>
      <c r="EP797" s="43"/>
      <c r="EQ797" s="43"/>
      <c r="ER797" s="43"/>
      <c r="ES797" s="43"/>
      <c r="ET797" s="43"/>
      <c r="EU797" s="43"/>
      <c r="EV797" s="43"/>
      <c r="EW797" s="43"/>
      <c r="EX797" s="43"/>
      <c r="EY797" s="43"/>
      <c r="EZ797" s="43"/>
      <c r="FA797" s="43"/>
      <c r="FB797" s="43"/>
      <c r="FC797" s="43"/>
      <c r="FD797" s="43"/>
      <c r="FE797" s="43"/>
      <c r="FF797" s="43"/>
      <c r="FG797" s="43"/>
      <c r="FH797" s="50"/>
      <c r="FI797" s="50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43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43"/>
      <c r="CF798" s="43"/>
      <c r="CG798" s="43"/>
      <c r="CH798" s="43"/>
      <c r="CI798" s="43"/>
      <c r="CJ798" s="43"/>
      <c r="CK798" s="43"/>
      <c r="CL798" s="43"/>
      <c r="CM798" s="43"/>
      <c r="CN798" s="43"/>
      <c r="CO798" s="43"/>
      <c r="CP798" s="43"/>
      <c r="CQ798" s="43"/>
      <c r="CR798" s="43"/>
      <c r="CS798" s="43"/>
      <c r="CT798" s="43"/>
      <c r="CU798" s="43"/>
      <c r="CV798" s="43"/>
      <c r="CW798" s="43"/>
      <c r="CX798" s="43"/>
      <c r="CY798" s="43"/>
      <c r="CZ798" s="43"/>
      <c r="DA798" s="43"/>
      <c r="DB798" s="43"/>
      <c r="DC798" s="43"/>
      <c r="DD798" s="43"/>
      <c r="DE798" s="43"/>
      <c r="DF798" s="43"/>
      <c r="DG798" s="43"/>
      <c r="DH798" s="43"/>
      <c r="DI798" s="43"/>
      <c r="DJ798" s="43"/>
      <c r="DK798" s="43"/>
      <c r="DL798" s="43"/>
      <c r="DM798" s="43"/>
      <c r="DN798" s="43"/>
      <c r="DO798" s="43"/>
      <c r="DP798" s="43"/>
      <c r="DQ798" s="43"/>
      <c r="DR798" s="43"/>
      <c r="DS798" s="43"/>
      <c r="DT798" s="43"/>
      <c r="DU798" s="43"/>
      <c r="DV798" s="43"/>
      <c r="DW798" s="43"/>
      <c r="DX798" s="43"/>
      <c r="DY798" s="43"/>
      <c r="DZ798" s="43"/>
      <c r="EA798" s="43"/>
      <c r="EB798" s="43"/>
      <c r="EC798" s="43"/>
      <c r="ED798" s="43"/>
      <c r="EE798" s="43"/>
      <c r="EF798" s="43"/>
      <c r="EG798" s="43"/>
      <c r="EH798" s="43"/>
      <c r="EI798" s="43"/>
      <c r="EJ798" s="43"/>
      <c r="EK798" s="43"/>
      <c r="EL798" s="43"/>
      <c r="EM798" s="43"/>
      <c r="EN798" s="43"/>
      <c r="EO798" s="43"/>
      <c r="EP798" s="43"/>
      <c r="EQ798" s="43"/>
      <c r="ER798" s="43"/>
      <c r="ES798" s="43"/>
      <c r="ET798" s="43"/>
      <c r="EU798" s="43"/>
      <c r="EV798" s="43"/>
      <c r="EW798" s="43"/>
      <c r="EX798" s="43"/>
      <c r="EY798" s="43"/>
      <c r="EZ798" s="43"/>
      <c r="FA798" s="43"/>
      <c r="FB798" s="43"/>
      <c r="FC798" s="43"/>
      <c r="FD798" s="43"/>
      <c r="FE798" s="43"/>
      <c r="FF798" s="43"/>
      <c r="FG798" s="43"/>
      <c r="FH798" s="50"/>
      <c r="FI798" s="50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  <c r="AX799" s="43"/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43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43"/>
      <c r="CF799" s="43"/>
      <c r="CG799" s="43"/>
      <c r="CH799" s="43"/>
      <c r="CI799" s="43"/>
      <c r="CJ799" s="43"/>
      <c r="CK799" s="43"/>
      <c r="CL799" s="43"/>
      <c r="CM799" s="43"/>
      <c r="CN799" s="43"/>
      <c r="CO799" s="43"/>
      <c r="CP799" s="43"/>
      <c r="CQ799" s="43"/>
      <c r="CR799" s="43"/>
      <c r="CS799" s="43"/>
      <c r="CT799" s="43"/>
      <c r="CU799" s="43"/>
      <c r="CV799" s="43"/>
      <c r="CW799" s="43"/>
      <c r="CX799" s="43"/>
      <c r="CY799" s="43"/>
      <c r="CZ799" s="43"/>
      <c r="DA799" s="43"/>
      <c r="DB799" s="43"/>
      <c r="DC799" s="43"/>
      <c r="DD799" s="43"/>
      <c r="DE799" s="43"/>
      <c r="DF799" s="43"/>
      <c r="DG799" s="43"/>
      <c r="DH799" s="43"/>
      <c r="DI799" s="43"/>
      <c r="DJ799" s="43"/>
      <c r="DK799" s="43"/>
      <c r="DL799" s="43"/>
      <c r="DM799" s="43"/>
      <c r="DN799" s="43"/>
      <c r="DO799" s="43"/>
      <c r="DP799" s="43"/>
      <c r="DQ799" s="43"/>
      <c r="DR799" s="43"/>
      <c r="DS799" s="43"/>
      <c r="DT799" s="43"/>
      <c r="DU799" s="43"/>
      <c r="DV799" s="43"/>
      <c r="DW799" s="43"/>
      <c r="DX799" s="43"/>
      <c r="DY799" s="43"/>
      <c r="DZ799" s="43"/>
      <c r="EA799" s="43"/>
      <c r="EB799" s="43"/>
      <c r="EC799" s="43"/>
      <c r="ED799" s="43"/>
      <c r="EE799" s="43"/>
      <c r="EF799" s="43"/>
      <c r="EG799" s="43"/>
      <c r="EH799" s="43"/>
      <c r="EI799" s="43"/>
      <c r="EJ799" s="43"/>
      <c r="EK799" s="43"/>
      <c r="EL799" s="43"/>
      <c r="EM799" s="43"/>
      <c r="EN799" s="43"/>
      <c r="EO799" s="43"/>
      <c r="EP799" s="43"/>
      <c r="EQ799" s="43"/>
      <c r="ER799" s="43"/>
      <c r="ES799" s="43"/>
      <c r="ET799" s="43"/>
      <c r="EU799" s="43"/>
      <c r="EV799" s="43"/>
      <c r="EW799" s="43"/>
      <c r="EX799" s="43"/>
      <c r="EY799" s="43"/>
      <c r="EZ799" s="43"/>
      <c r="FA799" s="43"/>
      <c r="FB799" s="43"/>
      <c r="FC799" s="43"/>
      <c r="FD799" s="43"/>
      <c r="FE799" s="43"/>
      <c r="FF799" s="43"/>
      <c r="FG799" s="43"/>
      <c r="FH799" s="50"/>
      <c r="FI799" s="50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  <c r="AX800" s="43"/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43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43"/>
      <c r="CF800" s="43"/>
      <c r="CG800" s="43"/>
      <c r="CH800" s="43"/>
      <c r="CI800" s="43"/>
      <c r="CJ800" s="43"/>
      <c r="CK800" s="43"/>
      <c r="CL800" s="43"/>
      <c r="CM800" s="43"/>
      <c r="CN800" s="43"/>
      <c r="CO800" s="43"/>
      <c r="CP800" s="43"/>
      <c r="CQ800" s="43"/>
      <c r="CR800" s="43"/>
      <c r="CS800" s="43"/>
      <c r="CT800" s="43"/>
      <c r="CU800" s="43"/>
      <c r="CV800" s="43"/>
      <c r="CW800" s="43"/>
      <c r="CX800" s="43"/>
      <c r="CY800" s="43"/>
      <c r="CZ800" s="43"/>
      <c r="DA800" s="43"/>
      <c r="DB800" s="43"/>
      <c r="DC800" s="43"/>
      <c r="DD800" s="43"/>
      <c r="DE800" s="43"/>
      <c r="DF800" s="43"/>
      <c r="DG800" s="43"/>
      <c r="DH800" s="43"/>
      <c r="DI800" s="43"/>
      <c r="DJ800" s="43"/>
      <c r="DK800" s="43"/>
      <c r="DL800" s="43"/>
      <c r="DM800" s="43"/>
      <c r="DN800" s="43"/>
      <c r="DO800" s="43"/>
      <c r="DP800" s="43"/>
      <c r="DQ800" s="43"/>
      <c r="DR800" s="43"/>
      <c r="DS800" s="43"/>
      <c r="DT800" s="43"/>
      <c r="DU800" s="43"/>
      <c r="DV800" s="43"/>
      <c r="DW800" s="43"/>
      <c r="DX800" s="43"/>
      <c r="DY800" s="43"/>
      <c r="DZ800" s="43"/>
      <c r="EA800" s="43"/>
      <c r="EB800" s="43"/>
      <c r="EC800" s="43"/>
      <c r="ED800" s="43"/>
      <c r="EE800" s="43"/>
      <c r="EF800" s="43"/>
      <c r="EG800" s="43"/>
      <c r="EH800" s="43"/>
      <c r="EI800" s="43"/>
      <c r="EJ800" s="43"/>
      <c r="EK800" s="43"/>
      <c r="EL800" s="43"/>
      <c r="EM800" s="43"/>
      <c r="EN800" s="43"/>
      <c r="EO800" s="43"/>
      <c r="EP800" s="43"/>
      <c r="EQ800" s="43"/>
      <c r="ER800" s="43"/>
      <c r="ES800" s="43"/>
      <c r="ET800" s="43"/>
      <c r="EU800" s="43"/>
      <c r="EV800" s="43"/>
      <c r="EW800" s="43"/>
      <c r="EX800" s="43"/>
      <c r="EY800" s="43"/>
      <c r="EZ800" s="43"/>
      <c r="FA800" s="43"/>
      <c r="FB800" s="43"/>
      <c r="FC800" s="43"/>
      <c r="FD800" s="43"/>
      <c r="FE800" s="43"/>
      <c r="FF800" s="43"/>
      <c r="FG800" s="43"/>
      <c r="FH800" s="50"/>
      <c r="FI800" s="50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43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43"/>
      <c r="CF801" s="43"/>
      <c r="CG801" s="43"/>
      <c r="CH801" s="43"/>
      <c r="CI801" s="43"/>
      <c r="CJ801" s="43"/>
      <c r="CK801" s="43"/>
      <c r="CL801" s="43"/>
      <c r="CM801" s="43"/>
      <c r="CN801" s="43"/>
      <c r="CO801" s="43"/>
      <c r="CP801" s="43"/>
      <c r="CQ801" s="43"/>
      <c r="CR801" s="43"/>
      <c r="CS801" s="43"/>
      <c r="CT801" s="43"/>
      <c r="CU801" s="43"/>
      <c r="CV801" s="43"/>
      <c r="CW801" s="43"/>
      <c r="CX801" s="43"/>
      <c r="CY801" s="43"/>
      <c r="CZ801" s="43"/>
      <c r="DA801" s="43"/>
      <c r="DB801" s="43"/>
      <c r="DC801" s="43"/>
      <c r="DD801" s="43"/>
      <c r="DE801" s="43"/>
      <c r="DF801" s="43"/>
      <c r="DG801" s="43"/>
      <c r="DH801" s="43"/>
      <c r="DI801" s="43"/>
      <c r="DJ801" s="43"/>
      <c r="DK801" s="43"/>
      <c r="DL801" s="43"/>
      <c r="DM801" s="43"/>
      <c r="DN801" s="43"/>
      <c r="DO801" s="43"/>
      <c r="DP801" s="43"/>
      <c r="DQ801" s="43"/>
      <c r="DR801" s="43"/>
      <c r="DS801" s="43"/>
      <c r="DT801" s="43"/>
      <c r="DU801" s="43"/>
      <c r="DV801" s="43"/>
      <c r="DW801" s="43"/>
      <c r="DX801" s="43"/>
      <c r="DY801" s="43"/>
      <c r="DZ801" s="43"/>
      <c r="EA801" s="43"/>
      <c r="EB801" s="43"/>
      <c r="EC801" s="43"/>
      <c r="ED801" s="43"/>
      <c r="EE801" s="43"/>
      <c r="EF801" s="43"/>
      <c r="EG801" s="43"/>
      <c r="EH801" s="43"/>
      <c r="EI801" s="43"/>
      <c r="EJ801" s="43"/>
      <c r="EK801" s="43"/>
      <c r="EL801" s="43"/>
      <c r="EM801" s="43"/>
      <c r="EN801" s="43"/>
      <c r="EO801" s="43"/>
      <c r="EP801" s="43"/>
      <c r="EQ801" s="43"/>
      <c r="ER801" s="43"/>
      <c r="ES801" s="43"/>
      <c r="ET801" s="43"/>
      <c r="EU801" s="43"/>
      <c r="EV801" s="43"/>
      <c r="EW801" s="43"/>
      <c r="EX801" s="43"/>
      <c r="EY801" s="43"/>
      <c r="EZ801" s="43"/>
      <c r="FA801" s="43"/>
      <c r="FB801" s="43"/>
      <c r="FC801" s="43"/>
      <c r="FD801" s="43"/>
      <c r="FE801" s="43"/>
      <c r="FF801" s="43"/>
      <c r="FG801" s="43"/>
      <c r="FH801" s="50"/>
      <c r="FI801" s="50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  <c r="AX802" s="43"/>
      <c r="AY802" s="43"/>
      <c r="AZ802" s="43"/>
      <c r="BA802" s="43"/>
      <c r="BB802" s="43"/>
      <c r="BC802" s="43"/>
      <c r="BD802" s="43"/>
      <c r="BE802" s="43"/>
      <c r="BF802" s="43"/>
      <c r="BG802" s="43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R802" s="43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43"/>
      <c r="CF802" s="43"/>
      <c r="CG802" s="43"/>
      <c r="CH802" s="43"/>
      <c r="CI802" s="43"/>
      <c r="CJ802" s="43"/>
      <c r="CK802" s="43"/>
      <c r="CL802" s="43"/>
      <c r="CM802" s="43"/>
      <c r="CN802" s="43"/>
      <c r="CO802" s="43"/>
      <c r="CP802" s="43"/>
      <c r="CQ802" s="43"/>
      <c r="CR802" s="43"/>
      <c r="CS802" s="43"/>
      <c r="CT802" s="43"/>
      <c r="CU802" s="43"/>
      <c r="CV802" s="43"/>
      <c r="CW802" s="43"/>
      <c r="CX802" s="43"/>
      <c r="CY802" s="43"/>
      <c r="CZ802" s="43"/>
      <c r="DA802" s="43"/>
      <c r="DB802" s="43"/>
      <c r="DC802" s="43"/>
      <c r="DD802" s="43"/>
      <c r="DE802" s="43"/>
      <c r="DF802" s="43"/>
      <c r="DG802" s="43"/>
      <c r="DH802" s="43"/>
      <c r="DI802" s="43"/>
      <c r="DJ802" s="43"/>
      <c r="DK802" s="43"/>
      <c r="DL802" s="43"/>
      <c r="DM802" s="43"/>
      <c r="DN802" s="43"/>
      <c r="DO802" s="43"/>
      <c r="DP802" s="43"/>
      <c r="DQ802" s="43"/>
      <c r="DR802" s="43"/>
      <c r="DS802" s="43"/>
      <c r="DT802" s="43"/>
      <c r="DU802" s="43"/>
      <c r="DV802" s="43"/>
      <c r="DW802" s="43"/>
      <c r="DX802" s="43"/>
      <c r="DY802" s="43"/>
      <c r="DZ802" s="43"/>
      <c r="EA802" s="43"/>
      <c r="EB802" s="43"/>
      <c r="EC802" s="43"/>
      <c r="ED802" s="43"/>
      <c r="EE802" s="43"/>
      <c r="EF802" s="43"/>
      <c r="EG802" s="43"/>
      <c r="EH802" s="43"/>
      <c r="EI802" s="43"/>
      <c r="EJ802" s="43"/>
      <c r="EK802" s="43"/>
      <c r="EL802" s="43"/>
      <c r="EM802" s="43"/>
      <c r="EN802" s="43"/>
      <c r="EO802" s="43"/>
      <c r="EP802" s="43"/>
      <c r="EQ802" s="43"/>
      <c r="ER802" s="43"/>
      <c r="ES802" s="43"/>
      <c r="ET802" s="43"/>
      <c r="EU802" s="43"/>
      <c r="EV802" s="43"/>
      <c r="EW802" s="43"/>
      <c r="EX802" s="43"/>
      <c r="EY802" s="43"/>
      <c r="EZ802" s="43"/>
      <c r="FA802" s="43"/>
      <c r="FB802" s="43"/>
      <c r="FC802" s="43"/>
      <c r="FD802" s="43"/>
      <c r="FE802" s="43"/>
      <c r="FF802" s="43"/>
      <c r="FG802" s="43"/>
      <c r="FH802" s="50"/>
      <c r="FI802" s="50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  <c r="AX803" s="43"/>
      <c r="AY803" s="43"/>
      <c r="AZ803" s="43"/>
      <c r="BA803" s="43"/>
      <c r="BB803" s="43"/>
      <c r="BC803" s="43"/>
      <c r="BD803" s="43"/>
      <c r="BE803" s="43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43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43"/>
      <c r="CF803" s="43"/>
      <c r="CG803" s="43"/>
      <c r="CH803" s="43"/>
      <c r="CI803" s="43"/>
      <c r="CJ803" s="43"/>
      <c r="CK803" s="43"/>
      <c r="CL803" s="43"/>
      <c r="CM803" s="43"/>
      <c r="CN803" s="43"/>
      <c r="CO803" s="43"/>
      <c r="CP803" s="43"/>
      <c r="CQ803" s="43"/>
      <c r="CR803" s="43"/>
      <c r="CS803" s="43"/>
      <c r="CT803" s="43"/>
      <c r="CU803" s="43"/>
      <c r="CV803" s="43"/>
      <c r="CW803" s="43"/>
      <c r="CX803" s="43"/>
      <c r="CY803" s="43"/>
      <c r="CZ803" s="43"/>
      <c r="DA803" s="43"/>
      <c r="DB803" s="43"/>
      <c r="DC803" s="43"/>
      <c r="DD803" s="43"/>
      <c r="DE803" s="43"/>
      <c r="DF803" s="43"/>
      <c r="DG803" s="43"/>
      <c r="DH803" s="43"/>
      <c r="DI803" s="43"/>
      <c r="DJ803" s="43"/>
      <c r="DK803" s="43"/>
      <c r="DL803" s="43"/>
      <c r="DM803" s="43"/>
      <c r="DN803" s="43"/>
      <c r="DO803" s="43"/>
      <c r="DP803" s="43"/>
      <c r="DQ803" s="43"/>
      <c r="DR803" s="43"/>
      <c r="DS803" s="43"/>
      <c r="DT803" s="43"/>
      <c r="DU803" s="43"/>
      <c r="DV803" s="43"/>
      <c r="DW803" s="43"/>
      <c r="DX803" s="43"/>
      <c r="DY803" s="43"/>
      <c r="DZ803" s="43"/>
      <c r="EA803" s="43"/>
      <c r="EB803" s="43"/>
      <c r="EC803" s="43"/>
      <c r="ED803" s="43"/>
      <c r="EE803" s="43"/>
      <c r="EF803" s="43"/>
      <c r="EG803" s="43"/>
      <c r="EH803" s="43"/>
      <c r="EI803" s="43"/>
      <c r="EJ803" s="43"/>
      <c r="EK803" s="43"/>
      <c r="EL803" s="43"/>
      <c r="EM803" s="43"/>
      <c r="EN803" s="43"/>
      <c r="EO803" s="43"/>
      <c r="EP803" s="43"/>
      <c r="EQ803" s="43"/>
      <c r="ER803" s="43"/>
      <c r="ES803" s="43"/>
      <c r="ET803" s="43"/>
      <c r="EU803" s="43"/>
      <c r="EV803" s="43"/>
      <c r="EW803" s="43"/>
      <c r="EX803" s="43"/>
      <c r="EY803" s="43"/>
      <c r="EZ803" s="43"/>
      <c r="FA803" s="43"/>
      <c r="FB803" s="43"/>
      <c r="FC803" s="43"/>
      <c r="FD803" s="43"/>
      <c r="FE803" s="43"/>
      <c r="FF803" s="43"/>
      <c r="FG803" s="43"/>
      <c r="FH803" s="50"/>
      <c r="FI803" s="50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  <c r="AX804" s="43"/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43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43"/>
      <c r="CF804" s="43"/>
      <c r="CG804" s="43"/>
      <c r="CH804" s="43"/>
      <c r="CI804" s="43"/>
      <c r="CJ804" s="43"/>
      <c r="CK804" s="43"/>
      <c r="CL804" s="43"/>
      <c r="CM804" s="43"/>
      <c r="CN804" s="43"/>
      <c r="CO804" s="43"/>
      <c r="CP804" s="43"/>
      <c r="CQ804" s="43"/>
      <c r="CR804" s="43"/>
      <c r="CS804" s="43"/>
      <c r="CT804" s="43"/>
      <c r="CU804" s="43"/>
      <c r="CV804" s="43"/>
      <c r="CW804" s="43"/>
      <c r="CX804" s="43"/>
      <c r="CY804" s="43"/>
      <c r="CZ804" s="43"/>
      <c r="DA804" s="43"/>
      <c r="DB804" s="43"/>
      <c r="DC804" s="43"/>
      <c r="DD804" s="43"/>
      <c r="DE804" s="43"/>
      <c r="DF804" s="43"/>
      <c r="DG804" s="43"/>
      <c r="DH804" s="43"/>
      <c r="DI804" s="43"/>
      <c r="DJ804" s="43"/>
      <c r="DK804" s="43"/>
      <c r="DL804" s="43"/>
      <c r="DM804" s="43"/>
      <c r="DN804" s="43"/>
      <c r="DO804" s="43"/>
      <c r="DP804" s="43"/>
      <c r="DQ804" s="43"/>
      <c r="DR804" s="43"/>
      <c r="DS804" s="43"/>
      <c r="DT804" s="43"/>
      <c r="DU804" s="43"/>
      <c r="DV804" s="43"/>
      <c r="DW804" s="43"/>
      <c r="DX804" s="43"/>
      <c r="DY804" s="43"/>
      <c r="DZ804" s="43"/>
      <c r="EA804" s="43"/>
      <c r="EB804" s="43"/>
      <c r="EC804" s="43"/>
      <c r="ED804" s="43"/>
      <c r="EE804" s="43"/>
      <c r="EF804" s="43"/>
      <c r="EG804" s="43"/>
      <c r="EH804" s="43"/>
      <c r="EI804" s="43"/>
      <c r="EJ804" s="43"/>
      <c r="EK804" s="43"/>
      <c r="EL804" s="43"/>
      <c r="EM804" s="43"/>
      <c r="EN804" s="43"/>
      <c r="EO804" s="43"/>
      <c r="EP804" s="43"/>
      <c r="EQ804" s="43"/>
      <c r="ER804" s="43"/>
      <c r="ES804" s="43"/>
      <c r="ET804" s="43"/>
      <c r="EU804" s="43"/>
      <c r="EV804" s="43"/>
      <c r="EW804" s="43"/>
      <c r="EX804" s="43"/>
      <c r="EY804" s="43"/>
      <c r="EZ804" s="43"/>
      <c r="FA804" s="43"/>
      <c r="FB804" s="43"/>
      <c r="FC804" s="43"/>
      <c r="FD804" s="43"/>
      <c r="FE804" s="43"/>
      <c r="FF804" s="43"/>
      <c r="FG804" s="43"/>
      <c r="FH804" s="50"/>
      <c r="FI804" s="50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43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43"/>
      <c r="CF805" s="43"/>
      <c r="CG805" s="43"/>
      <c r="CH805" s="43"/>
      <c r="CI805" s="43"/>
      <c r="CJ805" s="43"/>
      <c r="CK805" s="43"/>
      <c r="CL805" s="43"/>
      <c r="CM805" s="43"/>
      <c r="CN805" s="43"/>
      <c r="CO805" s="43"/>
      <c r="CP805" s="43"/>
      <c r="CQ805" s="43"/>
      <c r="CR805" s="43"/>
      <c r="CS805" s="43"/>
      <c r="CT805" s="43"/>
      <c r="CU805" s="43"/>
      <c r="CV805" s="43"/>
      <c r="CW805" s="43"/>
      <c r="CX805" s="43"/>
      <c r="CY805" s="43"/>
      <c r="CZ805" s="43"/>
      <c r="DA805" s="43"/>
      <c r="DB805" s="43"/>
      <c r="DC805" s="43"/>
      <c r="DD805" s="43"/>
      <c r="DE805" s="43"/>
      <c r="DF805" s="43"/>
      <c r="DG805" s="43"/>
      <c r="DH805" s="43"/>
      <c r="DI805" s="43"/>
      <c r="DJ805" s="43"/>
      <c r="DK805" s="43"/>
      <c r="DL805" s="43"/>
      <c r="DM805" s="43"/>
      <c r="DN805" s="43"/>
      <c r="DO805" s="43"/>
      <c r="DP805" s="43"/>
      <c r="DQ805" s="43"/>
      <c r="DR805" s="43"/>
      <c r="DS805" s="43"/>
      <c r="DT805" s="43"/>
      <c r="DU805" s="43"/>
      <c r="DV805" s="43"/>
      <c r="DW805" s="43"/>
      <c r="DX805" s="43"/>
      <c r="DY805" s="43"/>
      <c r="DZ805" s="43"/>
      <c r="EA805" s="43"/>
      <c r="EB805" s="43"/>
      <c r="EC805" s="43"/>
      <c r="ED805" s="43"/>
      <c r="EE805" s="43"/>
      <c r="EF805" s="43"/>
      <c r="EG805" s="43"/>
      <c r="EH805" s="43"/>
      <c r="EI805" s="43"/>
      <c r="EJ805" s="43"/>
      <c r="EK805" s="43"/>
      <c r="EL805" s="43"/>
      <c r="EM805" s="43"/>
      <c r="EN805" s="43"/>
      <c r="EO805" s="43"/>
      <c r="EP805" s="43"/>
      <c r="EQ805" s="43"/>
      <c r="ER805" s="43"/>
      <c r="ES805" s="43"/>
      <c r="ET805" s="43"/>
      <c r="EU805" s="43"/>
      <c r="EV805" s="43"/>
      <c r="EW805" s="43"/>
      <c r="EX805" s="43"/>
      <c r="EY805" s="43"/>
      <c r="EZ805" s="43"/>
      <c r="FA805" s="43"/>
      <c r="FB805" s="43"/>
      <c r="FC805" s="43"/>
      <c r="FD805" s="43"/>
      <c r="FE805" s="43"/>
      <c r="FF805" s="43"/>
      <c r="FG805" s="43"/>
      <c r="FH805" s="50"/>
      <c r="FI805" s="50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  <c r="AX806" s="43"/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43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43"/>
      <c r="CF806" s="43"/>
      <c r="CG806" s="43"/>
      <c r="CH806" s="43"/>
      <c r="CI806" s="43"/>
      <c r="CJ806" s="43"/>
      <c r="CK806" s="43"/>
      <c r="CL806" s="43"/>
      <c r="CM806" s="43"/>
      <c r="CN806" s="43"/>
      <c r="CO806" s="43"/>
      <c r="CP806" s="43"/>
      <c r="CQ806" s="43"/>
      <c r="CR806" s="43"/>
      <c r="CS806" s="43"/>
      <c r="CT806" s="43"/>
      <c r="CU806" s="43"/>
      <c r="CV806" s="43"/>
      <c r="CW806" s="43"/>
      <c r="CX806" s="43"/>
      <c r="CY806" s="43"/>
      <c r="CZ806" s="43"/>
      <c r="DA806" s="43"/>
      <c r="DB806" s="43"/>
      <c r="DC806" s="43"/>
      <c r="DD806" s="43"/>
      <c r="DE806" s="43"/>
      <c r="DF806" s="43"/>
      <c r="DG806" s="43"/>
      <c r="DH806" s="43"/>
      <c r="DI806" s="43"/>
      <c r="DJ806" s="43"/>
      <c r="DK806" s="43"/>
      <c r="DL806" s="43"/>
      <c r="DM806" s="43"/>
      <c r="DN806" s="43"/>
      <c r="DO806" s="43"/>
      <c r="DP806" s="43"/>
      <c r="DQ806" s="43"/>
      <c r="DR806" s="43"/>
      <c r="DS806" s="43"/>
      <c r="DT806" s="43"/>
      <c r="DU806" s="43"/>
      <c r="DV806" s="43"/>
      <c r="DW806" s="43"/>
      <c r="DX806" s="43"/>
      <c r="DY806" s="43"/>
      <c r="DZ806" s="43"/>
      <c r="EA806" s="43"/>
      <c r="EB806" s="43"/>
      <c r="EC806" s="43"/>
      <c r="ED806" s="43"/>
      <c r="EE806" s="43"/>
      <c r="EF806" s="43"/>
      <c r="EG806" s="43"/>
      <c r="EH806" s="43"/>
      <c r="EI806" s="43"/>
      <c r="EJ806" s="43"/>
      <c r="EK806" s="43"/>
      <c r="EL806" s="43"/>
      <c r="EM806" s="43"/>
      <c r="EN806" s="43"/>
      <c r="EO806" s="43"/>
      <c r="EP806" s="43"/>
      <c r="EQ806" s="43"/>
      <c r="ER806" s="43"/>
      <c r="ES806" s="43"/>
      <c r="ET806" s="43"/>
      <c r="EU806" s="43"/>
      <c r="EV806" s="43"/>
      <c r="EW806" s="43"/>
      <c r="EX806" s="43"/>
      <c r="EY806" s="43"/>
      <c r="EZ806" s="43"/>
      <c r="FA806" s="43"/>
      <c r="FB806" s="43"/>
      <c r="FC806" s="43"/>
      <c r="FD806" s="43"/>
      <c r="FE806" s="43"/>
      <c r="FF806" s="43"/>
      <c r="FG806" s="43"/>
      <c r="FH806" s="50"/>
      <c r="FI806" s="50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  <c r="AX807" s="43"/>
      <c r="AY807" s="43"/>
      <c r="AZ807" s="43"/>
      <c r="BA807" s="43"/>
      <c r="BB807" s="43"/>
      <c r="BC807" s="43"/>
      <c r="BD807" s="43"/>
      <c r="BE807" s="43"/>
      <c r="BF807" s="43"/>
      <c r="BG807" s="43"/>
      <c r="BH807" s="43"/>
      <c r="BI807" s="43"/>
      <c r="BJ807" s="43"/>
      <c r="BK807" s="43"/>
      <c r="BL807" s="43"/>
      <c r="BM807" s="43"/>
      <c r="BN807" s="43"/>
      <c r="BO807" s="43"/>
      <c r="BP807" s="43"/>
      <c r="BQ807" s="43"/>
      <c r="BR807" s="43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43"/>
      <c r="CF807" s="43"/>
      <c r="CG807" s="43"/>
      <c r="CH807" s="43"/>
      <c r="CI807" s="43"/>
      <c r="CJ807" s="43"/>
      <c r="CK807" s="43"/>
      <c r="CL807" s="43"/>
      <c r="CM807" s="43"/>
      <c r="CN807" s="43"/>
      <c r="CO807" s="43"/>
      <c r="CP807" s="43"/>
      <c r="CQ807" s="43"/>
      <c r="CR807" s="43"/>
      <c r="CS807" s="43"/>
      <c r="CT807" s="43"/>
      <c r="CU807" s="43"/>
      <c r="CV807" s="43"/>
      <c r="CW807" s="43"/>
      <c r="CX807" s="43"/>
      <c r="CY807" s="43"/>
      <c r="CZ807" s="43"/>
      <c r="DA807" s="43"/>
      <c r="DB807" s="43"/>
      <c r="DC807" s="43"/>
      <c r="DD807" s="43"/>
      <c r="DE807" s="43"/>
      <c r="DF807" s="43"/>
      <c r="DG807" s="43"/>
      <c r="DH807" s="43"/>
      <c r="DI807" s="43"/>
      <c r="DJ807" s="43"/>
      <c r="DK807" s="43"/>
      <c r="DL807" s="43"/>
      <c r="DM807" s="43"/>
      <c r="DN807" s="43"/>
      <c r="DO807" s="43"/>
      <c r="DP807" s="43"/>
      <c r="DQ807" s="43"/>
      <c r="DR807" s="43"/>
      <c r="DS807" s="43"/>
      <c r="DT807" s="43"/>
      <c r="DU807" s="43"/>
      <c r="DV807" s="43"/>
      <c r="DW807" s="43"/>
      <c r="DX807" s="43"/>
      <c r="DY807" s="43"/>
      <c r="DZ807" s="43"/>
      <c r="EA807" s="43"/>
      <c r="EB807" s="43"/>
      <c r="EC807" s="43"/>
      <c r="ED807" s="43"/>
      <c r="EE807" s="43"/>
      <c r="EF807" s="43"/>
      <c r="EG807" s="43"/>
      <c r="EH807" s="43"/>
      <c r="EI807" s="43"/>
      <c r="EJ807" s="43"/>
      <c r="EK807" s="43"/>
      <c r="EL807" s="43"/>
      <c r="EM807" s="43"/>
      <c r="EN807" s="43"/>
      <c r="EO807" s="43"/>
      <c r="EP807" s="43"/>
      <c r="EQ807" s="43"/>
      <c r="ER807" s="43"/>
      <c r="ES807" s="43"/>
      <c r="ET807" s="43"/>
      <c r="EU807" s="43"/>
      <c r="EV807" s="43"/>
      <c r="EW807" s="43"/>
      <c r="EX807" s="43"/>
      <c r="EY807" s="43"/>
      <c r="EZ807" s="43"/>
      <c r="FA807" s="43"/>
      <c r="FB807" s="43"/>
      <c r="FC807" s="43"/>
      <c r="FD807" s="43"/>
      <c r="FE807" s="43"/>
      <c r="FF807" s="43"/>
      <c r="FG807" s="43"/>
      <c r="FH807" s="50"/>
      <c r="FI807" s="50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  <c r="AX808" s="43"/>
      <c r="AY808" s="43"/>
      <c r="AZ808" s="43"/>
      <c r="BA808" s="43"/>
      <c r="BB808" s="43"/>
      <c r="BC808" s="43"/>
      <c r="BD808" s="43"/>
      <c r="BE808" s="43"/>
      <c r="BF808" s="43"/>
      <c r="BG808" s="43"/>
      <c r="BH808" s="43"/>
      <c r="BI808" s="43"/>
      <c r="BJ808" s="43"/>
      <c r="BK808" s="43"/>
      <c r="BL808" s="43"/>
      <c r="BM808" s="43"/>
      <c r="BN808" s="43"/>
      <c r="BO808" s="43"/>
      <c r="BP808" s="43"/>
      <c r="BQ808" s="43"/>
      <c r="BR808" s="43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43"/>
      <c r="CF808" s="43"/>
      <c r="CG808" s="43"/>
      <c r="CH808" s="43"/>
      <c r="CI808" s="43"/>
      <c r="CJ808" s="43"/>
      <c r="CK808" s="43"/>
      <c r="CL808" s="43"/>
      <c r="CM808" s="43"/>
      <c r="CN808" s="43"/>
      <c r="CO808" s="43"/>
      <c r="CP808" s="43"/>
      <c r="CQ808" s="43"/>
      <c r="CR808" s="43"/>
      <c r="CS808" s="43"/>
      <c r="CT808" s="43"/>
      <c r="CU808" s="43"/>
      <c r="CV808" s="43"/>
      <c r="CW808" s="43"/>
      <c r="CX808" s="43"/>
      <c r="CY808" s="43"/>
      <c r="CZ808" s="43"/>
      <c r="DA808" s="43"/>
      <c r="DB808" s="43"/>
      <c r="DC808" s="43"/>
      <c r="DD808" s="43"/>
      <c r="DE808" s="43"/>
      <c r="DF808" s="43"/>
      <c r="DG808" s="43"/>
      <c r="DH808" s="43"/>
      <c r="DI808" s="43"/>
      <c r="DJ808" s="43"/>
      <c r="DK808" s="43"/>
      <c r="DL808" s="43"/>
      <c r="DM808" s="43"/>
      <c r="DN808" s="43"/>
      <c r="DO808" s="43"/>
      <c r="DP808" s="43"/>
      <c r="DQ808" s="43"/>
      <c r="DR808" s="43"/>
      <c r="DS808" s="43"/>
      <c r="DT808" s="43"/>
      <c r="DU808" s="43"/>
      <c r="DV808" s="43"/>
      <c r="DW808" s="43"/>
      <c r="DX808" s="43"/>
      <c r="DY808" s="43"/>
      <c r="DZ808" s="43"/>
      <c r="EA808" s="43"/>
      <c r="EB808" s="43"/>
      <c r="EC808" s="43"/>
      <c r="ED808" s="43"/>
      <c r="EE808" s="43"/>
      <c r="EF808" s="43"/>
      <c r="EG808" s="43"/>
      <c r="EH808" s="43"/>
      <c r="EI808" s="43"/>
      <c r="EJ808" s="43"/>
      <c r="EK808" s="43"/>
      <c r="EL808" s="43"/>
      <c r="EM808" s="43"/>
      <c r="EN808" s="43"/>
      <c r="EO808" s="43"/>
      <c r="EP808" s="43"/>
      <c r="EQ808" s="43"/>
      <c r="ER808" s="43"/>
      <c r="ES808" s="43"/>
      <c r="ET808" s="43"/>
      <c r="EU808" s="43"/>
      <c r="EV808" s="43"/>
      <c r="EW808" s="43"/>
      <c r="EX808" s="43"/>
      <c r="EY808" s="43"/>
      <c r="EZ808" s="43"/>
      <c r="FA808" s="43"/>
      <c r="FB808" s="43"/>
      <c r="FC808" s="43"/>
      <c r="FD808" s="43"/>
      <c r="FE808" s="43"/>
      <c r="FF808" s="43"/>
      <c r="FG808" s="43"/>
      <c r="FH808" s="50"/>
      <c r="FI808" s="50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  <c r="AX809" s="43"/>
      <c r="AY809" s="43"/>
      <c r="AZ809" s="43"/>
      <c r="BA809" s="43"/>
      <c r="BB809" s="43"/>
      <c r="BC809" s="43"/>
      <c r="BD809" s="43"/>
      <c r="BE809" s="43"/>
      <c r="BF809" s="43"/>
      <c r="BG809" s="43"/>
      <c r="BH809" s="43"/>
      <c r="BI809" s="43"/>
      <c r="BJ809" s="43"/>
      <c r="BK809" s="43"/>
      <c r="BL809" s="43"/>
      <c r="BM809" s="43"/>
      <c r="BN809" s="43"/>
      <c r="BO809" s="43"/>
      <c r="BP809" s="43"/>
      <c r="BQ809" s="43"/>
      <c r="BR809" s="43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43"/>
      <c r="CF809" s="43"/>
      <c r="CG809" s="43"/>
      <c r="CH809" s="43"/>
      <c r="CI809" s="43"/>
      <c r="CJ809" s="43"/>
      <c r="CK809" s="43"/>
      <c r="CL809" s="43"/>
      <c r="CM809" s="43"/>
      <c r="CN809" s="43"/>
      <c r="CO809" s="43"/>
      <c r="CP809" s="43"/>
      <c r="CQ809" s="43"/>
      <c r="CR809" s="43"/>
      <c r="CS809" s="43"/>
      <c r="CT809" s="43"/>
      <c r="CU809" s="43"/>
      <c r="CV809" s="43"/>
      <c r="CW809" s="43"/>
      <c r="CX809" s="43"/>
      <c r="CY809" s="43"/>
      <c r="CZ809" s="43"/>
      <c r="DA809" s="43"/>
      <c r="DB809" s="43"/>
      <c r="DC809" s="43"/>
      <c r="DD809" s="43"/>
      <c r="DE809" s="43"/>
      <c r="DF809" s="43"/>
      <c r="DG809" s="43"/>
      <c r="DH809" s="43"/>
      <c r="DI809" s="43"/>
      <c r="DJ809" s="43"/>
      <c r="DK809" s="43"/>
      <c r="DL809" s="43"/>
      <c r="DM809" s="43"/>
      <c r="DN809" s="43"/>
      <c r="DO809" s="43"/>
      <c r="DP809" s="43"/>
      <c r="DQ809" s="43"/>
      <c r="DR809" s="43"/>
      <c r="DS809" s="43"/>
      <c r="DT809" s="43"/>
      <c r="DU809" s="43"/>
      <c r="DV809" s="43"/>
      <c r="DW809" s="43"/>
      <c r="DX809" s="43"/>
      <c r="DY809" s="43"/>
      <c r="DZ809" s="43"/>
      <c r="EA809" s="43"/>
      <c r="EB809" s="43"/>
      <c r="EC809" s="43"/>
      <c r="ED809" s="43"/>
      <c r="EE809" s="43"/>
      <c r="EF809" s="43"/>
      <c r="EG809" s="43"/>
      <c r="EH809" s="43"/>
      <c r="EI809" s="43"/>
      <c r="EJ809" s="43"/>
      <c r="EK809" s="43"/>
      <c r="EL809" s="43"/>
      <c r="EM809" s="43"/>
      <c r="EN809" s="43"/>
      <c r="EO809" s="43"/>
      <c r="EP809" s="43"/>
      <c r="EQ809" s="43"/>
      <c r="ER809" s="43"/>
      <c r="ES809" s="43"/>
      <c r="ET809" s="43"/>
      <c r="EU809" s="43"/>
      <c r="EV809" s="43"/>
      <c r="EW809" s="43"/>
      <c r="EX809" s="43"/>
      <c r="EY809" s="43"/>
      <c r="EZ809" s="43"/>
      <c r="FA809" s="43"/>
      <c r="FB809" s="43"/>
      <c r="FC809" s="43"/>
      <c r="FD809" s="43"/>
      <c r="FE809" s="43"/>
      <c r="FF809" s="43"/>
      <c r="FG809" s="43"/>
      <c r="FH809" s="50"/>
      <c r="FI809" s="50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43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43"/>
      <c r="CF810" s="43"/>
      <c r="CG810" s="43"/>
      <c r="CH810" s="43"/>
      <c r="CI810" s="43"/>
      <c r="CJ810" s="43"/>
      <c r="CK810" s="43"/>
      <c r="CL810" s="43"/>
      <c r="CM810" s="43"/>
      <c r="CN810" s="43"/>
      <c r="CO810" s="43"/>
      <c r="CP810" s="43"/>
      <c r="CQ810" s="43"/>
      <c r="CR810" s="43"/>
      <c r="CS810" s="43"/>
      <c r="CT810" s="43"/>
      <c r="CU810" s="43"/>
      <c r="CV810" s="43"/>
      <c r="CW810" s="43"/>
      <c r="CX810" s="43"/>
      <c r="CY810" s="43"/>
      <c r="CZ810" s="43"/>
      <c r="DA810" s="43"/>
      <c r="DB810" s="43"/>
      <c r="DC810" s="43"/>
      <c r="DD810" s="43"/>
      <c r="DE810" s="43"/>
      <c r="DF810" s="43"/>
      <c r="DG810" s="43"/>
      <c r="DH810" s="43"/>
      <c r="DI810" s="43"/>
      <c r="DJ810" s="43"/>
      <c r="DK810" s="43"/>
      <c r="DL810" s="43"/>
      <c r="DM810" s="43"/>
      <c r="DN810" s="43"/>
      <c r="DO810" s="43"/>
      <c r="DP810" s="43"/>
      <c r="DQ810" s="43"/>
      <c r="DR810" s="43"/>
      <c r="DS810" s="43"/>
      <c r="DT810" s="43"/>
      <c r="DU810" s="43"/>
      <c r="DV810" s="43"/>
      <c r="DW810" s="43"/>
      <c r="DX810" s="43"/>
      <c r="DY810" s="43"/>
      <c r="DZ810" s="43"/>
      <c r="EA810" s="43"/>
      <c r="EB810" s="43"/>
      <c r="EC810" s="43"/>
      <c r="ED810" s="43"/>
      <c r="EE810" s="43"/>
      <c r="EF810" s="43"/>
      <c r="EG810" s="43"/>
      <c r="EH810" s="43"/>
      <c r="EI810" s="43"/>
      <c r="EJ810" s="43"/>
      <c r="EK810" s="43"/>
      <c r="EL810" s="43"/>
      <c r="EM810" s="43"/>
      <c r="EN810" s="43"/>
      <c r="EO810" s="43"/>
      <c r="EP810" s="43"/>
      <c r="EQ810" s="43"/>
      <c r="ER810" s="43"/>
      <c r="ES810" s="43"/>
      <c r="ET810" s="43"/>
      <c r="EU810" s="43"/>
      <c r="EV810" s="43"/>
      <c r="EW810" s="43"/>
      <c r="EX810" s="43"/>
      <c r="EY810" s="43"/>
      <c r="EZ810" s="43"/>
      <c r="FA810" s="43"/>
      <c r="FB810" s="43"/>
      <c r="FC810" s="43"/>
      <c r="FD810" s="43"/>
      <c r="FE810" s="43"/>
      <c r="FF810" s="43"/>
      <c r="FG810" s="43"/>
      <c r="FH810" s="50"/>
      <c r="FI810" s="50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  <c r="AX811" s="43"/>
      <c r="AY811" s="43"/>
      <c r="AZ811" s="43"/>
      <c r="BA811" s="43"/>
      <c r="BB811" s="43"/>
      <c r="BC811" s="43"/>
      <c r="BD811" s="43"/>
      <c r="BE811" s="43"/>
      <c r="BF811" s="43"/>
      <c r="BG811" s="43"/>
      <c r="BH811" s="43"/>
      <c r="BI811" s="43"/>
      <c r="BJ811" s="43"/>
      <c r="BK811" s="43"/>
      <c r="BL811" s="43"/>
      <c r="BM811" s="43"/>
      <c r="BN811" s="43"/>
      <c r="BO811" s="43"/>
      <c r="BP811" s="43"/>
      <c r="BQ811" s="43"/>
      <c r="BR811" s="43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43"/>
      <c r="CF811" s="43"/>
      <c r="CG811" s="43"/>
      <c r="CH811" s="43"/>
      <c r="CI811" s="43"/>
      <c r="CJ811" s="43"/>
      <c r="CK811" s="43"/>
      <c r="CL811" s="43"/>
      <c r="CM811" s="43"/>
      <c r="CN811" s="43"/>
      <c r="CO811" s="43"/>
      <c r="CP811" s="43"/>
      <c r="CQ811" s="43"/>
      <c r="CR811" s="43"/>
      <c r="CS811" s="43"/>
      <c r="CT811" s="43"/>
      <c r="CU811" s="43"/>
      <c r="CV811" s="43"/>
      <c r="CW811" s="43"/>
      <c r="CX811" s="43"/>
      <c r="CY811" s="43"/>
      <c r="CZ811" s="43"/>
      <c r="DA811" s="43"/>
      <c r="DB811" s="43"/>
      <c r="DC811" s="43"/>
      <c r="DD811" s="43"/>
      <c r="DE811" s="43"/>
      <c r="DF811" s="43"/>
      <c r="DG811" s="43"/>
      <c r="DH811" s="43"/>
      <c r="DI811" s="43"/>
      <c r="DJ811" s="43"/>
      <c r="DK811" s="43"/>
      <c r="DL811" s="43"/>
      <c r="DM811" s="43"/>
      <c r="DN811" s="43"/>
      <c r="DO811" s="43"/>
      <c r="DP811" s="43"/>
      <c r="DQ811" s="43"/>
      <c r="DR811" s="43"/>
      <c r="DS811" s="43"/>
      <c r="DT811" s="43"/>
      <c r="DU811" s="43"/>
      <c r="DV811" s="43"/>
      <c r="DW811" s="43"/>
      <c r="DX811" s="43"/>
      <c r="DY811" s="43"/>
      <c r="DZ811" s="43"/>
      <c r="EA811" s="43"/>
      <c r="EB811" s="43"/>
      <c r="EC811" s="43"/>
      <c r="ED811" s="43"/>
      <c r="EE811" s="43"/>
      <c r="EF811" s="43"/>
      <c r="EG811" s="43"/>
      <c r="EH811" s="43"/>
      <c r="EI811" s="43"/>
      <c r="EJ811" s="43"/>
      <c r="EK811" s="43"/>
      <c r="EL811" s="43"/>
      <c r="EM811" s="43"/>
      <c r="EN811" s="43"/>
      <c r="EO811" s="43"/>
      <c r="EP811" s="43"/>
      <c r="EQ811" s="43"/>
      <c r="ER811" s="43"/>
      <c r="ES811" s="43"/>
      <c r="ET811" s="43"/>
      <c r="EU811" s="43"/>
      <c r="EV811" s="43"/>
      <c r="EW811" s="43"/>
      <c r="EX811" s="43"/>
      <c r="EY811" s="43"/>
      <c r="EZ811" s="43"/>
      <c r="FA811" s="43"/>
      <c r="FB811" s="43"/>
      <c r="FC811" s="43"/>
      <c r="FD811" s="43"/>
      <c r="FE811" s="43"/>
      <c r="FF811" s="43"/>
      <c r="FG811" s="43"/>
      <c r="FH811" s="50"/>
      <c r="FI811" s="50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  <c r="AX812" s="43"/>
      <c r="AY812" s="43"/>
      <c r="AZ812" s="43"/>
      <c r="BA812" s="43"/>
      <c r="BB812" s="43"/>
      <c r="BC812" s="43"/>
      <c r="BD812" s="43"/>
      <c r="BE812" s="43"/>
      <c r="BF812" s="43"/>
      <c r="BG812" s="43"/>
      <c r="BH812" s="43"/>
      <c r="BI812" s="43"/>
      <c r="BJ812" s="43"/>
      <c r="BK812" s="43"/>
      <c r="BL812" s="43"/>
      <c r="BM812" s="43"/>
      <c r="BN812" s="43"/>
      <c r="BO812" s="43"/>
      <c r="BP812" s="43"/>
      <c r="BQ812" s="43"/>
      <c r="BR812" s="43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43"/>
      <c r="CF812" s="43"/>
      <c r="CG812" s="43"/>
      <c r="CH812" s="43"/>
      <c r="CI812" s="43"/>
      <c r="CJ812" s="43"/>
      <c r="CK812" s="43"/>
      <c r="CL812" s="43"/>
      <c r="CM812" s="43"/>
      <c r="CN812" s="43"/>
      <c r="CO812" s="43"/>
      <c r="CP812" s="43"/>
      <c r="CQ812" s="43"/>
      <c r="CR812" s="43"/>
      <c r="CS812" s="43"/>
      <c r="CT812" s="43"/>
      <c r="CU812" s="43"/>
      <c r="CV812" s="43"/>
      <c r="CW812" s="43"/>
      <c r="CX812" s="43"/>
      <c r="CY812" s="43"/>
      <c r="CZ812" s="43"/>
      <c r="DA812" s="43"/>
      <c r="DB812" s="43"/>
      <c r="DC812" s="43"/>
      <c r="DD812" s="43"/>
      <c r="DE812" s="43"/>
      <c r="DF812" s="43"/>
      <c r="DG812" s="43"/>
      <c r="DH812" s="43"/>
      <c r="DI812" s="43"/>
      <c r="DJ812" s="43"/>
      <c r="DK812" s="43"/>
      <c r="DL812" s="43"/>
      <c r="DM812" s="43"/>
      <c r="DN812" s="43"/>
      <c r="DO812" s="43"/>
      <c r="DP812" s="43"/>
      <c r="DQ812" s="43"/>
      <c r="DR812" s="43"/>
      <c r="DS812" s="43"/>
      <c r="DT812" s="43"/>
      <c r="DU812" s="43"/>
      <c r="DV812" s="43"/>
      <c r="DW812" s="43"/>
      <c r="DX812" s="43"/>
      <c r="DY812" s="43"/>
      <c r="DZ812" s="43"/>
      <c r="EA812" s="43"/>
      <c r="EB812" s="43"/>
      <c r="EC812" s="43"/>
      <c r="ED812" s="43"/>
      <c r="EE812" s="43"/>
      <c r="EF812" s="43"/>
      <c r="EG812" s="43"/>
      <c r="EH812" s="43"/>
      <c r="EI812" s="43"/>
      <c r="EJ812" s="43"/>
      <c r="EK812" s="43"/>
      <c r="EL812" s="43"/>
      <c r="EM812" s="43"/>
      <c r="EN812" s="43"/>
      <c r="EO812" s="43"/>
      <c r="EP812" s="43"/>
      <c r="EQ812" s="43"/>
      <c r="ER812" s="43"/>
      <c r="ES812" s="43"/>
      <c r="ET812" s="43"/>
      <c r="EU812" s="43"/>
      <c r="EV812" s="43"/>
      <c r="EW812" s="43"/>
      <c r="EX812" s="43"/>
      <c r="EY812" s="43"/>
      <c r="EZ812" s="43"/>
      <c r="FA812" s="43"/>
      <c r="FB812" s="43"/>
      <c r="FC812" s="43"/>
      <c r="FD812" s="43"/>
      <c r="FE812" s="43"/>
      <c r="FF812" s="43"/>
      <c r="FG812" s="43"/>
      <c r="FH812" s="50"/>
      <c r="FI812" s="50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  <c r="AX813" s="43"/>
      <c r="AY813" s="43"/>
      <c r="AZ813" s="43"/>
      <c r="BA813" s="43"/>
      <c r="BB813" s="43"/>
      <c r="BC813" s="43"/>
      <c r="BD813" s="43"/>
      <c r="BE813" s="43"/>
      <c r="BF813" s="43"/>
      <c r="BG813" s="43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R813" s="43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43"/>
      <c r="CF813" s="43"/>
      <c r="CG813" s="43"/>
      <c r="CH813" s="43"/>
      <c r="CI813" s="43"/>
      <c r="CJ813" s="43"/>
      <c r="CK813" s="43"/>
      <c r="CL813" s="43"/>
      <c r="CM813" s="43"/>
      <c r="CN813" s="43"/>
      <c r="CO813" s="43"/>
      <c r="CP813" s="43"/>
      <c r="CQ813" s="43"/>
      <c r="CR813" s="43"/>
      <c r="CS813" s="43"/>
      <c r="CT813" s="43"/>
      <c r="CU813" s="43"/>
      <c r="CV813" s="43"/>
      <c r="CW813" s="43"/>
      <c r="CX813" s="43"/>
      <c r="CY813" s="43"/>
      <c r="CZ813" s="43"/>
      <c r="DA813" s="43"/>
      <c r="DB813" s="43"/>
      <c r="DC813" s="43"/>
      <c r="DD813" s="43"/>
      <c r="DE813" s="43"/>
      <c r="DF813" s="43"/>
      <c r="DG813" s="43"/>
      <c r="DH813" s="43"/>
      <c r="DI813" s="43"/>
      <c r="DJ813" s="43"/>
      <c r="DK813" s="43"/>
      <c r="DL813" s="43"/>
      <c r="DM813" s="43"/>
      <c r="DN813" s="43"/>
      <c r="DO813" s="43"/>
      <c r="DP813" s="43"/>
      <c r="DQ813" s="43"/>
      <c r="DR813" s="43"/>
      <c r="DS813" s="43"/>
      <c r="DT813" s="43"/>
      <c r="DU813" s="43"/>
      <c r="DV813" s="43"/>
      <c r="DW813" s="43"/>
      <c r="DX813" s="43"/>
      <c r="DY813" s="43"/>
      <c r="DZ813" s="43"/>
      <c r="EA813" s="43"/>
      <c r="EB813" s="43"/>
      <c r="EC813" s="43"/>
      <c r="ED813" s="43"/>
      <c r="EE813" s="43"/>
      <c r="EF813" s="43"/>
      <c r="EG813" s="43"/>
      <c r="EH813" s="43"/>
      <c r="EI813" s="43"/>
      <c r="EJ813" s="43"/>
      <c r="EK813" s="43"/>
      <c r="EL813" s="43"/>
      <c r="EM813" s="43"/>
      <c r="EN813" s="43"/>
      <c r="EO813" s="43"/>
      <c r="EP813" s="43"/>
      <c r="EQ813" s="43"/>
      <c r="ER813" s="43"/>
      <c r="ES813" s="43"/>
      <c r="ET813" s="43"/>
      <c r="EU813" s="43"/>
      <c r="EV813" s="43"/>
      <c r="EW813" s="43"/>
      <c r="EX813" s="43"/>
      <c r="EY813" s="43"/>
      <c r="EZ813" s="43"/>
      <c r="FA813" s="43"/>
      <c r="FB813" s="43"/>
      <c r="FC813" s="43"/>
      <c r="FD813" s="43"/>
      <c r="FE813" s="43"/>
      <c r="FF813" s="43"/>
      <c r="FG813" s="43"/>
      <c r="FH813" s="50"/>
      <c r="FI813" s="50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43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43"/>
      <c r="CF814" s="43"/>
      <c r="CG814" s="43"/>
      <c r="CH814" s="43"/>
      <c r="CI814" s="43"/>
      <c r="CJ814" s="43"/>
      <c r="CK814" s="43"/>
      <c r="CL814" s="43"/>
      <c r="CM814" s="43"/>
      <c r="CN814" s="43"/>
      <c r="CO814" s="43"/>
      <c r="CP814" s="43"/>
      <c r="CQ814" s="43"/>
      <c r="CR814" s="43"/>
      <c r="CS814" s="43"/>
      <c r="CT814" s="43"/>
      <c r="CU814" s="43"/>
      <c r="CV814" s="43"/>
      <c r="CW814" s="43"/>
      <c r="CX814" s="43"/>
      <c r="CY814" s="43"/>
      <c r="CZ814" s="43"/>
      <c r="DA814" s="43"/>
      <c r="DB814" s="43"/>
      <c r="DC814" s="43"/>
      <c r="DD814" s="43"/>
      <c r="DE814" s="43"/>
      <c r="DF814" s="43"/>
      <c r="DG814" s="43"/>
      <c r="DH814" s="43"/>
      <c r="DI814" s="43"/>
      <c r="DJ814" s="43"/>
      <c r="DK814" s="43"/>
      <c r="DL814" s="43"/>
      <c r="DM814" s="43"/>
      <c r="DN814" s="43"/>
      <c r="DO814" s="43"/>
      <c r="DP814" s="43"/>
      <c r="DQ814" s="43"/>
      <c r="DR814" s="43"/>
      <c r="DS814" s="43"/>
      <c r="DT814" s="43"/>
      <c r="DU814" s="43"/>
      <c r="DV814" s="43"/>
      <c r="DW814" s="43"/>
      <c r="DX814" s="43"/>
      <c r="DY814" s="43"/>
      <c r="DZ814" s="43"/>
      <c r="EA814" s="43"/>
      <c r="EB814" s="43"/>
      <c r="EC814" s="43"/>
      <c r="ED814" s="43"/>
      <c r="EE814" s="43"/>
      <c r="EF814" s="43"/>
      <c r="EG814" s="43"/>
      <c r="EH814" s="43"/>
      <c r="EI814" s="43"/>
      <c r="EJ814" s="43"/>
      <c r="EK814" s="43"/>
      <c r="EL814" s="43"/>
      <c r="EM814" s="43"/>
      <c r="EN814" s="43"/>
      <c r="EO814" s="43"/>
      <c r="EP814" s="43"/>
      <c r="EQ814" s="43"/>
      <c r="ER814" s="43"/>
      <c r="ES814" s="43"/>
      <c r="ET814" s="43"/>
      <c r="EU814" s="43"/>
      <c r="EV814" s="43"/>
      <c r="EW814" s="43"/>
      <c r="EX814" s="43"/>
      <c r="EY814" s="43"/>
      <c r="EZ814" s="43"/>
      <c r="FA814" s="43"/>
      <c r="FB814" s="43"/>
      <c r="FC814" s="43"/>
      <c r="FD814" s="43"/>
      <c r="FE814" s="43"/>
      <c r="FF814" s="43"/>
      <c r="FG814" s="43"/>
      <c r="FH814" s="50"/>
      <c r="FI814" s="50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  <c r="AX815" s="43"/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43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43"/>
      <c r="CF815" s="43"/>
      <c r="CG815" s="43"/>
      <c r="CH815" s="43"/>
      <c r="CI815" s="43"/>
      <c r="CJ815" s="43"/>
      <c r="CK815" s="43"/>
      <c r="CL815" s="43"/>
      <c r="CM815" s="43"/>
      <c r="CN815" s="43"/>
      <c r="CO815" s="43"/>
      <c r="CP815" s="43"/>
      <c r="CQ815" s="43"/>
      <c r="CR815" s="43"/>
      <c r="CS815" s="43"/>
      <c r="CT815" s="43"/>
      <c r="CU815" s="43"/>
      <c r="CV815" s="43"/>
      <c r="CW815" s="43"/>
      <c r="CX815" s="43"/>
      <c r="CY815" s="43"/>
      <c r="CZ815" s="43"/>
      <c r="DA815" s="43"/>
      <c r="DB815" s="43"/>
      <c r="DC815" s="43"/>
      <c r="DD815" s="43"/>
      <c r="DE815" s="43"/>
      <c r="DF815" s="43"/>
      <c r="DG815" s="43"/>
      <c r="DH815" s="43"/>
      <c r="DI815" s="43"/>
      <c r="DJ815" s="43"/>
      <c r="DK815" s="43"/>
      <c r="DL815" s="43"/>
      <c r="DM815" s="43"/>
      <c r="DN815" s="43"/>
      <c r="DO815" s="43"/>
      <c r="DP815" s="43"/>
      <c r="DQ815" s="43"/>
      <c r="DR815" s="43"/>
      <c r="DS815" s="43"/>
      <c r="DT815" s="43"/>
      <c r="DU815" s="43"/>
      <c r="DV815" s="43"/>
      <c r="DW815" s="43"/>
      <c r="DX815" s="43"/>
      <c r="DY815" s="43"/>
      <c r="DZ815" s="43"/>
      <c r="EA815" s="43"/>
      <c r="EB815" s="43"/>
      <c r="EC815" s="43"/>
      <c r="ED815" s="43"/>
      <c r="EE815" s="43"/>
      <c r="EF815" s="43"/>
      <c r="EG815" s="43"/>
      <c r="EH815" s="43"/>
      <c r="EI815" s="43"/>
      <c r="EJ815" s="43"/>
      <c r="EK815" s="43"/>
      <c r="EL815" s="43"/>
      <c r="EM815" s="43"/>
      <c r="EN815" s="43"/>
      <c r="EO815" s="43"/>
      <c r="EP815" s="43"/>
      <c r="EQ815" s="43"/>
      <c r="ER815" s="43"/>
      <c r="ES815" s="43"/>
      <c r="ET815" s="43"/>
      <c r="EU815" s="43"/>
      <c r="EV815" s="43"/>
      <c r="EW815" s="43"/>
      <c r="EX815" s="43"/>
      <c r="EY815" s="43"/>
      <c r="EZ815" s="43"/>
      <c r="FA815" s="43"/>
      <c r="FB815" s="43"/>
      <c r="FC815" s="43"/>
      <c r="FD815" s="43"/>
      <c r="FE815" s="43"/>
      <c r="FF815" s="43"/>
      <c r="FG815" s="43"/>
      <c r="FH815" s="50"/>
      <c r="FI815" s="50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  <c r="AX816" s="43"/>
      <c r="AY816" s="43"/>
      <c r="AZ816" s="43"/>
      <c r="BA816" s="43"/>
      <c r="BB816" s="43"/>
      <c r="BC816" s="43"/>
      <c r="BD816" s="43"/>
      <c r="BE816" s="43"/>
      <c r="BF816" s="43"/>
      <c r="BG816" s="43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R816" s="43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43"/>
      <c r="CF816" s="43"/>
      <c r="CG816" s="43"/>
      <c r="CH816" s="43"/>
      <c r="CI816" s="43"/>
      <c r="CJ816" s="43"/>
      <c r="CK816" s="43"/>
      <c r="CL816" s="43"/>
      <c r="CM816" s="43"/>
      <c r="CN816" s="43"/>
      <c r="CO816" s="43"/>
      <c r="CP816" s="43"/>
      <c r="CQ816" s="43"/>
      <c r="CR816" s="43"/>
      <c r="CS816" s="43"/>
      <c r="CT816" s="43"/>
      <c r="CU816" s="43"/>
      <c r="CV816" s="43"/>
      <c r="CW816" s="43"/>
      <c r="CX816" s="43"/>
      <c r="CY816" s="43"/>
      <c r="CZ816" s="43"/>
      <c r="DA816" s="43"/>
      <c r="DB816" s="43"/>
      <c r="DC816" s="43"/>
      <c r="DD816" s="43"/>
      <c r="DE816" s="43"/>
      <c r="DF816" s="43"/>
      <c r="DG816" s="43"/>
      <c r="DH816" s="43"/>
      <c r="DI816" s="43"/>
      <c r="DJ816" s="43"/>
      <c r="DK816" s="43"/>
      <c r="DL816" s="43"/>
      <c r="DM816" s="43"/>
      <c r="DN816" s="43"/>
      <c r="DO816" s="43"/>
      <c r="DP816" s="43"/>
      <c r="DQ816" s="43"/>
      <c r="DR816" s="43"/>
      <c r="DS816" s="43"/>
      <c r="DT816" s="43"/>
      <c r="DU816" s="43"/>
      <c r="DV816" s="43"/>
      <c r="DW816" s="43"/>
      <c r="DX816" s="43"/>
      <c r="DY816" s="43"/>
      <c r="DZ816" s="43"/>
      <c r="EA816" s="43"/>
      <c r="EB816" s="43"/>
      <c r="EC816" s="43"/>
      <c r="ED816" s="43"/>
      <c r="EE816" s="43"/>
      <c r="EF816" s="43"/>
      <c r="EG816" s="43"/>
      <c r="EH816" s="43"/>
      <c r="EI816" s="43"/>
      <c r="EJ816" s="43"/>
      <c r="EK816" s="43"/>
      <c r="EL816" s="43"/>
      <c r="EM816" s="43"/>
      <c r="EN816" s="43"/>
      <c r="EO816" s="43"/>
      <c r="EP816" s="43"/>
      <c r="EQ816" s="43"/>
      <c r="ER816" s="43"/>
      <c r="ES816" s="43"/>
      <c r="ET816" s="43"/>
      <c r="EU816" s="43"/>
      <c r="EV816" s="43"/>
      <c r="EW816" s="43"/>
      <c r="EX816" s="43"/>
      <c r="EY816" s="43"/>
      <c r="EZ816" s="43"/>
      <c r="FA816" s="43"/>
      <c r="FB816" s="43"/>
      <c r="FC816" s="43"/>
      <c r="FD816" s="43"/>
      <c r="FE816" s="43"/>
      <c r="FF816" s="43"/>
      <c r="FG816" s="43"/>
      <c r="FH816" s="50"/>
      <c r="FI816" s="50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  <c r="AX817" s="43"/>
      <c r="AY817" s="43"/>
      <c r="AZ817" s="43"/>
      <c r="BA817" s="43"/>
      <c r="BB817" s="43"/>
      <c r="BC817" s="43"/>
      <c r="BD817" s="43"/>
      <c r="BE817" s="43"/>
      <c r="BF817" s="43"/>
      <c r="BG817" s="43"/>
      <c r="BH817" s="43"/>
      <c r="BI817" s="43"/>
      <c r="BJ817" s="43"/>
      <c r="BK817" s="43"/>
      <c r="BL817" s="43"/>
      <c r="BM817" s="43"/>
      <c r="BN817" s="43"/>
      <c r="BO817" s="43"/>
      <c r="BP817" s="43"/>
      <c r="BQ817" s="43"/>
      <c r="BR817" s="43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43"/>
      <c r="CF817" s="43"/>
      <c r="CG817" s="43"/>
      <c r="CH817" s="43"/>
      <c r="CI817" s="43"/>
      <c r="CJ817" s="43"/>
      <c r="CK817" s="43"/>
      <c r="CL817" s="43"/>
      <c r="CM817" s="43"/>
      <c r="CN817" s="43"/>
      <c r="CO817" s="43"/>
      <c r="CP817" s="43"/>
      <c r="CQ817" s="43"/>
      <c r="CR817" s="43"/>
      <c r="CS817" s="43"/>
      <c r="CT817" s="43"/>
      <c r="CU817" s="43"/>
      <c r="CV817" s="43"/>
      <c r="CW817" s="43"/>
      <c r="CX817" s="43"/>
      <c r="CY817" s="43"/>
      <c r="CZ817" s="43"/>
      <c r="DA817" s="43"/>
      <c r="DB817" s="43"/>
      <c r="DC817" s="43"/>
      <c r="DD817" s="43"/>
      <c r="DE817" s="43"/>
      <c r="DF817" s="43"/>
      <c r="DG817" s="43"/>
      <c r="DH817" s="43"/>
      <c r="DI817" s="43"/>
      <c r="DJ817" s="43"/>
      <c r="DK817" s="43"/>
      <c r="DL817" s="43"/>
      <c r="DM817" s="43"/>
      <c r="DN817" s="43"/>
      <c r="DO817" s="43"/>
      <c r="DP817" s="43"/>
      <c r="DQ817" s="43"/>
      <c r="DR817" s="43"/>
      <c r="DS817" s="43"/>
      <c r="DT817" s="43"/>
      <c r="DU817" s="43"/>
      <c r="DV817" s="43"/>
      <c r="DW817" s="43"/>
      <c r="DX817" s="43"/>
      <c r="DY817" s="43"/>
      <c r="DZ817" s="43"/>
      <c r="EA817" s="43"/>
      <c r="EB817" s="43"/>
      <c r="EC817" s="43"/>
      <c r="ED817" s="43"/>
      <c r="EE817" s="43"/>
      <c r="EF817" s="43"/>
      <c r="EG817" s="43"/>
      <c r="EH817" s="43"/>
      <c r="EI817" s="43"/>
      <c r="EJ817" s="43"/>
      <c r="EK817" s="43"/>
      <c r="EL817" s="43"/>
      <c r="EM817" s="43"/>
      <c r="EN817" s="43"/>
      <c r="EO817" s="43"/>
      <c r="EP817" s="43"/>
      <c r="EQ817" s="43"/>
      <c r="ER817" s="43"/>
      <c r="ES817" s="43"/>
      <c r="ET817" s="43"/>
      <c r="EU817" s="43"/>
      <c r="EV817" s="43"/>
      <c r="EW817" s="43"/>
      <c r="EX817" s="43"/>
      <c r="EY817" s="43"/>
      <c r="EZ817" s="43"/>
      <c r="FA817" s="43"/>
      <c r="FB817" s="43"/>
      <c r="FC817" s="43"/>
      <c r="FD817" s="43"/>
      <c r="FE817" s="43"/>
      <c r="FF817" s="43"/>
      <c r="FG817" s="43"/>
      <c r="FH817" s="50"/>
      <c r="FI817" s="50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  <c r="CR818" s="43"/>
      <c r="CS818" s="43"/>
      <c r="CT818" s="43"/>
      <c r="CU818" s="43"/>
      <c r="CV818" s="43"/>
      <c r="CW818" s="43"/>
      <c r="CX818" s="43"/>
      <c r="CY818" s="43"/>
      <c r="CZ818" s="43"/>
      <c r="DA818" s="43"/>
      <c r="DB818" s="43"/>
      <c r="DC818" s="43"/>
      <c r="DD818" s="43"/>
      <c r="DE818" s="43"/>
      <c r="DF818" s="43"/>
      <c r="DG818" s="43"/>
      <c r="DH818" s="43"/>
      <c r="DI818" s="43"/>
      <c r="DJ818" s="43"/>
      <c r="DK818" s="43"/>
      <c r="DL818" s="43"/>
      <c r="DM818" s="43"/>
      <c r="DN818" s="43"/>
      <c r="DO818" s="43"/>
      <c r="DP818" s="43"/>
      <c r="DQ818" s="43"/>
      <c r="DR818" s="43"/>
      <c r="DS818" s="43"/>
      <c r="DT818" s="43"/>
      <c r="DU818" s="43"/>
      <c r="DV818" s="43"/>
      <c r="DW818" s="43"/>
      <c r="DX818" s="43"/>
      <c r="DY818" s="43"/>
      <c r="DZ818" s="43"/>
      <c r="EA818" s="43"/>
      <c r="EB818" s="43"/>
      <c r="EC818" s="43"/>
      <c r="ED818" s="43"/>
      <c r="EE818" s="43"/>
      <c r="EF818" s="43"/>
      <c r="EG818" s="43"/>
      <c r="EH818" s="43"/>
      <c r="EI818" s="43"/>
      <c r="EJ818" s="43"/>
      <c r="EK818" s="43"/>
      <c r="EL818" s="43"/>
      <c r="EM818" s="43"/>
      <c r="EN818" s="43"/>
      <c r="EO818" s="43"/>
      <c r="EP818" s="43"/>
      <c r="EQ818" s="43"/>
      <c r="ER818" s="43"/>
      <c r="ES818" s="43"/>
      <c r="ET818" s="43"/>
      <c r="EU818" s="43"/>
      <c r="EV818" s="43"/>
      <c r="EW818" s="43"/>
      <c r="EX818" s="43"/>
      <c r="EY818" s="43"/>
      <c r="EZ818" s="43"/>
      <c r="FA818" s="43"/>
      <c r="FB818" s="43"/>
      <c r="FC818" s="43"/>
      <c r="FD818" s="43"/>
      <c r="FE818" s="43"/>
      <c r="FF818" s="43"/>
      <c r="FG818" s="43"/>
      <c r="FH818" s="50"/>
      <c r="FI818" s="50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  <c r="AX819" s="43"/>
      <c r="AY819" s="43"/>
      <c r="AZ819" s="43"/>
      <c r="BA819" s="43"/>
      <c r="BB819" s="43"/>
      <c r="BC819" s="43"/>
      <c r="BD819" s="43"/>
      <c r="BE819" s="43"/>
      <c r="BF819" s="43"/>
      <c r="BG819" s="43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R819" s="43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43"/>
      <c r="CF819" s="43"/>
      <c r="CG819" s="43"/>
      <c r="CH819" s="43"/>
      <c r="CI819" s="43"/>
      <c r="CJ819" s="43"/>
      <c r="CK819" s="43"/>
      <c r="CL819" s="43"/>
      <c r="CM819" s="43"/>
      <c r="CN819" s="43"/>
      <c r="CO819" s="43"/>
      <c r="CP819" s="43"/>
      <c r="CQ819" s="43"/>
      <c r="CR819" s="43"/>
      <c r="CS819" s="43"/>
      <c r="CT819" s="43"/>
      <c r="CU819" s="43"/>
      <c r="CV819" s="43"/>
      <c r="CW819" s="43"/>
      <c r="CX819" s="43"/>
      <c r="CY819" s="43"/>
      <c r="CZ819" s="43"/>
      <c r="DA819" s="43"/>
      <c r="DB819" s="43"/>
      <c r="DC819" s="43"/>
      <c r="DD819" s="43"/>
      <c r="DE819" s="43"/>
      <c r="DF819" s="43"/>
      <c r="DG819" s="43"/>
      <c r="DH819" s="43"/>
      <c r="DI819" s="43"/>
      <c r="DJ819" s="43"/>
      <c r="DK819" s="43"/>
      <c r="DL819" s="43"/>
      <c r="DM819" s="43"/>
      <c r="DN819" s="43"/>
      <c r="DO819" s="43"/>
      <c r="DP819" s="43"/>
      <c r="DQ819" s="43"/>
      <c r="DR819" s="43"/>
      <c r="DS819" s="43"/>
      <c r="DT819" s="43"/>
      <c r="DU819" s="43"/>
      <c r="DV819" s="43"/>
      <c r="DW819" s="43"/>
      <c r="DX819" s="43"/>
      <c r="DY819" s="43"/>
      <c r="DZ819" s="43"/>
      <c r="EA819" s="43"/>
      <c r="EB819" s="43"/>
      <c r="EC819" s="43"/>
      <c r="ED819" s="43"/>
      <c r="EE819" s="43"/>
      <c r="EF819" s="43"/>
      <c r="EG819" s="43"/>
      <c r="EH819" s="43"/>
      <c r="EI819" s="43"/>
      <c r="EJ819" s="43"/>
      <c r="EK819" s="43"/>
      <c r="EL819" s="43"/>
      <c r="EM819" s="43"/>
      <c r="EN819" s="43"/>
      <c r="EO819" s="43"/>
      <c r="EP819" s="43"/>
      <c r="EQ819" s="43"/>
      <c r="ER819" s="43"/>
      <c r="ES819" s="43"/>
      <c r="ET819" s="43"/>
      <c r="EU819" s="43"/>
      <c r="EV819" s="43"/>
      <c r="EW819" s="43"/>
      <c r="EX819" s="43"/>
      <c r="EY819" s="43"/>
      <c r="EZ819" s="43"/>
      <c r="FA819" s="43"/>
      <c r="FB819" s="43"/>
      <c r="FC819" s="43"/>
      <c r="FD819" s="43"/>
      <c r="FE819" s="43"/>
      <c r="FF819" s="43"/>
      <c r="FG819" s="43"/>
      <c r="FH819" s="50"/>
      <c r="FI819" s="50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  <c r="AX820" s="43"/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43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43"/>
      <c r="CF820" s="43"/>
      <c r="CG820" s="43"/>
      <c r="CH820" s="43"/>
      <c r="CI820" s="43"/>
      <c r="CJ820" s="43"/>
      <c r="CK820" s="43"/>
      <c r="CL820" s="43"/>
      <c r="CM820" s="43"/>
      <c r="CN820" s="43"/>
      <c r="CO820" s="43"/>
      <c r="CP820" s="43"/>
      <c r="CQ820" s="43"/>
      <c r="CR820" s="43"/>
      <c r="CS820" s="43"/>
      <c r="CT820" s="43"/>
      <c r="CU820" s="43"/>
      <c r="CV820" s="43"/>
      <c r="CW820" s="43"/>
      <c r="CX820" s="43"/>
      <c r="CY820" s="43"/>
      <c r="CZ820" s="43"/>
      <c r="DA820" s="43"/>
      <c r="DB820" s="43"/>
      <c r="DC820" s="43"/>
      <c r="DD820" s="43"/>
      <c r="DE820" s="43"/>
      <c r="DF820" s="43"/>
      <c r="DG820" s="43"/>
      <c r="DH820" s="43"/>
      <c r="DI820" s="43"/>
      <c r="DJ820" s="43"/>
      <c r="DK820" s="43"/>
      <c r="DL820" s="43"/>
      <c r="DM820" s="43"/>
      <c r="DN820" s="43"/>
      <c r="DO820" s="43"/>
      <c r="DP820" s="43"/>
      <c r="DQ820" s="43"/>
      <c r="DR820" s="43"/>
      <c r="DS820" s="43"/>
      <c r="DT820" s="43"/>
      <c r="DU820" s="43"/>
      <c r="DV820" s="43"/>
      <c r="DW820" s="43"/>
      <c r="DX820" s="43"/>
      <c r="DY820" s="43"/>
      <c r="DZ820" s="43"/>
      <c r="EA820" s="43"/>
      <c r="EB820" s="43"/>
      <c r="EC820" s="43"/>
      <c r="ED820" s="43"/>
      <c r="EE820" s="43"/>
      <c r="EF820" s="43"/>
      <c r="EG820" s="43"/>
      <c r="EH820" s="43"/>
      <c r="EI820" s="43"/>
      <c r="EJ820" s="43"/>
      <c r="EK820" s="43"/>
      <c r="EL820" s="43"/>
      <c r="EM820" s="43"/>
      <c r="EN820" s="43"/>
      <c r="EO820" s="43"/>
      <c r="EP820" s="43"/>
      <c r="EQ820" s="43"/>
      <c r="ER820" s="43"/>
      <c r="ES820" s="43"/>
      <c r="ET820" s="43"/>
      <c r="EU820" s="43"/>
      <c r="EV820" s="43"/>
      <c r="EW820" s="43"/>
      <c r="EX820" s="43"/>
      <c r="EY820" s="43"/>
      <c r="EZ820" s="43"/>
      <c r="FA820" s="43"/>
      <c r="FB820" s="43"/>
      <c r="FC820" s="43"/>
      <c r="FD820" s="43"/>
      <c r="FE820" s="43"/>
      <c r="FF820" s="43"/>
      <c r="FG820" s="43"/>
      <c r="FH820" s="50"/>
      <c r="FI820" s="50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43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43"/>
      <c r="CF821" s="43"/>
      <c r="CG821" s="43"/>
      <c r="CH821" s="43"/>
      <c r="CI821" s="43"/>
      <c r="CJ821" s="43"/>
      <c r="CK821" s="43"/>
      <c r="CL821" s="43"/>
      <c r="CM821" s="43"/>
      <c r="CN821" s="43"/>
      <c r="CO821" s="43"/>
      <c r="CP821" s="43"/>
      <c r="CQ821" s="43"/>
      <c r="CR821" s="43"/>
      <c r="CS821" s="43"/>
      <c r="CT821" s="43"/>
      <c r="CU821" s="43"/>
      <c r="CV821" s="43"/>
      <c r="CW821" s="43"/>
      <c r="CX821" s="43"/>
      <c r="CY821" s="43"/>
      <c r="CZ821" s="43"/>
      <c r="DA821" s="43"/>
      <c r="DB821" s="43"/>
      <c r="DC821" s="43"/>
      <c r="DD821" s="43"/>
      <c r="DE821" s="43"/>
      <c r="DF821" s="43"/>
      <c r="DG821" s="43"/>
      <c r="DH821" s="43"/>
      <c r="DI821" s="43"/>
      <c r="DJ821" s="43"/>
      <c r="DK821" s="43"/>
      <c r="DL821" s="43"/>
      <c r="DM821" s="43"/>
      <c r="DN821" s="43"/>
      <c r="DO821" s="43"/>
      <c r="DP821" s="43"/>
      <c r="DQ821" s="43"/>
      <c r="DR821" s="43"/>
      <c r="DS821" s="43"/>
      <c r="DT821" s="43"/>
      <c r="DU821" s="43"/>
      <c r="DV821" s="43"/>
      <c r="DW821" s="43"/>
      <c r="DX821" s="43"/>
      <c r="DY821" s="43"/>
      <c r="DZ821" s="43"/>
      <c r="EA821" s="43"/>
      <c r="EB821" s="43"/>
      <c r="EC821" s="43"/>
      <c r="ED821" s="43"/>
      <c r="EE821" s="43"/>
      <c r="EF821" s="43"/>
      <c r="EG821" s="43"/>
      <c r="EH821" s="43"/>
      <c r="EI821" s="43"/>
      <c r="EJ821" s="43"/>
      <c r="EK821" s="43"/>
      <c r="EL821" s="43"/>
      <c r="EM821" s="43"/>
      <c r="EN821" s="43"/>
      <c r="EO821" s="43"/>
      <c r="EP821" s="43"/>
      <c r="EQ821" s="43"/>
      <c r="ER821" s="43"/>
      <c r="ES821" s="43"/>
      <c r="ET821" s="43"/>
      <c r="EU821" s="43"/>
      <c r="EV821" s="43"/>
      <c r="EW821" s="43"/>
      <c r="EX821" s="43"/>
      <c r="EY821" s="43"/>
      <c r="EZ821" s="43"/>
      <c r="FA821" s="43"/>
      <c r="FB821" s="43"/>
      <c r="FC821" s="43"/>
      <c r="FD821" s="43"/>
      <c r="FE821" s="43"/>
      <c r="FF821" s="43"/>
      <c r="FG821" s="43"/>
      <c r="FH821" s="50"/>
      <c r="FI821" s="50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43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43"/>
      <c r="CF822" s="43"/>
      <c r="CG822" s="43"/>
      <c r="CH822" s="43"/>
      <c r="CI822" s="43"/>
      <c r="CJ822" s="43"/>
      <c r="CK822" s="43"/>
      <c r="CL822" s="43"/>
      <c r="CM822" s="43"/>
      <c r="CN822" s="43"/>
      <c r="CO822" s="43"/>
      <c r="CP822" s="43"/>
      <c r="CQ822" s="43"/>
      <c r="CR822" s="43"/>
      <c r="CS822" s="43"/>
      <c r="CT822" s="43"/>
      <c r="CU822" s="43"/>
      <c r="CV822" s="43"/>
      <c r="CW822" s="43"/>
      <c r="CX822" s="43"/>
      <c r="CY822" s="43"/>
      <c r="CZ822" s="43"/>
      <c r="DA822" s="43"/>
      <c r="DB822" s="43"/>
      <c r="DC822" s="43"/>
      <c r="DD822" s="43"/>
      <c r="DE822" s="43"/>
      <c r="DF822" s="43"/>
      <c r="DG822" s="43"/>
      <c r="DH822" s="43"/>
      <c r="DI822" s="43"/>
      <c r="DJ822" s="43"/>
      <c r="DK822" s="43"/>
      <c r="DL822" s="43"/>
      <c r="DM822" s="43"/>
      <c r="DN822" s="43"/>
      <c r="DO822" s="43"/>
      <c r="DP822" s="43"/>
      <c r="DQ822" s="43"/>
      <c r="DR822" s="43"/>
      <c r="DS822" s="43"/>
      <c r="DT822" s="43"/>
      <c r="DU822" s="43"/>
      <c r="DV822" s="43"/>
      <c r="DW822" s="43"/>
      <c r="DX822" s="43"/>
      <c r="DY822" s="43"/>
      <c r="DZ822" s="43"/>
      <c r="EA822" s="43"/>
      <c r="EB822" s="43"/>
      <c r="EC822" s="43"/>
      <c r="ED822" s="43"/>
      <c r="EE822" s="43"/>
      <c r="EF822" s="43"/>
      <c r="EG822" s="43"/>
      <c r="EH822" s="43"/>
      <c r="EI822" s="43"/>
      <c r="EJ822" s="43"/>
      <c r="EK822" s="43"/>
      <c r="EL822" s="43"/>
      <c r="EM822" s="43"/>
      <c r="EN822" s="43"/>
      <c r="EO822" s="43"/>
      <c r="EP822" s="43"/>
      <c r="EQ822" s="43"/>
      <c r="ER822" s="43"/>
      <c r="ES822" s="43"/>
      <c r="ET822" s="43"/>
      <c r="EU822" s="43"/>
      <c r="EV822" s="43"/>
      <c r="EW822" s="43"/>
      <c r="EX822" s="43"/>
      <c r="EY822" s="43"/>
      <c r="EZ822" s="43"/>
      <c r="FA822" s="43"/>
      <c r="FB822" s="43"/>
      <c r="FC822" s="43"/>
      <c r="FD822" s="43"/>
      <c r="FE822" s="43"/>
      <c r="FF822" s="43"/>
      <c r="FG822" s="43"/>
      <c r="FH822" s="50"/>
      <c r="FI822" s="50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  <c r="AX823" s="43"/>
      <c r="AY823" s="43"/>
      <c r="AZ823" s="43"/>
      <c r="BA823" s="43"/>
      <c r="BB823" s="43"/>
      <c r="BC823" s="43"/>
      <c r="BD823" s="43"/>
      <c r="BE823" s="43"/>
      <c r="BF823" s="43"/>
      <c r="BG823" s="43"/>
      <c r="BH823" s="43"/>
      <c r="BI823" s="43"/>
      <c r="BJ823" s="43"/>
      <c r="BK823" s="43"/>
      <c r="BL823" s="43"/>
      <c r="BM823" s="43"/>
      <c r="BN823" s="43"/>
      <c r="BO823" s="43"/>
      <c r="BP823" s="43"/>
      <c r="BQ823" s="43"/>
      <c r="BR823" s="43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43"/>
      <c r="CF823" s="43"/>
      <c r="CG823" s="43"/>
      <c r="CH823" s="43"/>
      <c r="CI823" s="43"/>
      <c r="CJ823" s="43"/>
      <c r="CK823" s="43"/>
      <c r="CL823" s="43"/>
      <c r="CM823" s="43"/>
      <c r="CN823" s="43"/>
      <c r="CO823" s="43"/>
      <c r="CP823" s="43"/>
      <c r="CQ823" s="43"/>
      <c r="CR823" s="43"/>
      <c r="CS823" s="43"/>
      <c r="CT823" s="43"/>
      <c r="CU823" s="43"/>
      <c r="CV823" s="43"/>
      <c r="CW823" s="43"/>
      <c r="CX823" s="43"/>
      <c r="CY823" s="43"/>
      <c r="CZ823" s="43"/>
      <c r="DA823" s="43"/>
      <c r="DB823" s="43"/>
      <c r="DC823" s="43"/>
      <c r="DD823" s="43"/>
      <c r="DE823" s="43"/>
      <c r="DF823" s="43"/>
      <c r="DG823" s="43"/>
      <c r="DH823" s="43"/>
      <c r="DI823" s="43"/>
      <c r="DJ823" s="43"/>
      <c r="DK823" s="43"/>
      <c r="DL823" s="43"/>
      <c r="DM823" s="43"/>
      <c r="DN823" s="43"/>
      <c r="DO823" s="43"/>
      <c r="DP823" s="43"/>
      <c r="DQ823" s="43"/>
      <c r="DR823" s="43"/>
      <c r="DS823" s="43"/>
      <c r="DT823" s="43"/>
      <c r="DU823" s="43"/>
      <c r="DV823" s="43"/>
      <c r="DW823" s="43"/>
      <c r="DX823" s="43"/>
      <c r="DY823" s="43"/>
      <c r="DZ823" s="43"/>
      <c r="EA823" s="43"/>
      <c r="EB823" s="43"/>
      <c r="EC823" s="43"/>
      <c r="ED823" s="43"/>
      <c r="EE823" s="43"/>
      <c r="EF823" s="43"/>
      <c r="EG823" s="43"/>
      <c r="EH823" s="43"/>
      <c r="EI823" s="43"/>
      <c r="EJ823" s="43"/>
      <c r="EK823" s="43"/>
      <c r="EL823" s="43"/>
      <c r="EM823" s="43"/>
      <c r="EN823" s="43"/>
      <c r="EO823" s="43"/>
      <c r="EP823" s="43"/>
      <c r="EQ823" s="43"/>
      <c r="ER823" s="43"/>
      <c r="ES823" s="43"/>
      <c r="ET823" s="43"/>
      <c r="EU823" s="43"/>
      <c r="EV823" s="43"/>
      <c r="EW823" s="43"/>
      <c r="EX823" s="43"/>
      <c r="EY823" s="43"/>
      <c r="EZ823" s="43"/>
      <c r="FA823" s="43"/>
      <c r="FB823" s="43"/>
      <c r="FC823" s="43"/>
      <c r="FD823" s="43"/>
      <c r="FE823" s="43"/>
      <c r="FF823" s="43"/>
      <c r="FG823" s="43"/>
      <c r="FH823" s="50"/>
      <c r="FI823" s="50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  <c r="AX824" s="43"/>
      <c r="AY824" s="43"/>
      <c r="AZ824" s="43"/>
      <c r="BA824" s="43"/>
      <c r="BB824" s="43"/>
      <c r="BC824" s="43"/>
      <c r="BD824" s="43"/>
      <c r="BE824" s="43"/>
      <c r="BF824" s="43"/>
      <c r="BG824" s="43"/>
      <c r="BH824" s="43"/>
      <c r="BI824" s="43"/>
      <c r="BJ824" s="43"/>
      <c r="BK824" s="43"/>
      <c r="BL824" s="43"/>
      <c r="BM824" s="43"/>
      <c r="BN824" s="43"/>
      <c r="BO824" s="43"/>
      <c r="BP824" s="43"/>
      <c r="BQ824" s="43"/>
      <c r="BR824" s="43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43"/>
      <c r="CF824" s="43"/>
      <c r="CG824" s="43"/>
      <c r="CH824" s="43"/>
      <c r="CI824" s="43"/>
      <c r="CJ824" s="43"/>
      <c r="CK824" s="43"/>
      <c r="CL824" s="43"/>
      <c r="CM824" s="43"/>
      <c r="CN824" s="43"/>
      <c r="CO824" s="43"/>
      <c r="CP824" s="43"/>
      <c r="CQ824" s="43"/>
      <c r="CR824" s="43"/>
      <c r="CS824" s="43"/>
      <c r="CT824" s="43"/>
      <c r="CU824" s="43"/>
      <c r="CV824" s="43"/>
      <c r="CW824" s="43"/>
      <c r="CX824" s="43"/>
      <c r="CY824" s="43"/>
      <c r="CZ824" s="43"/>
      <c r="DA824" s="43"/>
      <c r="DB824" s="43"/>
      <c r="DC824" s="43"/>
      <c r="DD824" s="43"/>
      <c r="DE824" s="43"/>
      <c r="DF824" s="43"/>
      <c r="DG824" s="43"/>
      <c r="DH824" s="43"/>
      <c r="DI824" s="43"/>
      <c r="DJ824" s="43"/>
      <c r="DK824" s="43"/>
      <c r="DL824" s="43"/>
      <c r="DM824" s="43"/>
      <c r="DN824" s="43"/>
      <c r="DO824" s="43"/>
      <c r="DP824" s="43"/>
      <c r="DQ824" s="43"/>
      <c r="DR824" s="43"/>
      <c r="DS824" s="43"/>
      <c r="DT824" s="43"/>
      <c r="DU824" s="43"/>
      <c r="DV824" s="43"/>
      <c r="DW824" s="43"/>
      <c r="DX824" s="43"/>
      <c r="DY824" s="43"/>
      <c r="DZ824" s="43"/>
      <c r="EA824" s="43"/>
      <c r="EB824" s="43"/>
      <c r="EC824" s="43"/>
      <c r="ED824" s="43"/>
      <c r="EE824" s="43"/>
      <c r="EF824" s="43"/>
      <c r="EG824" s="43"/>
      <c r="EH824" s="43"/>
      <c r="EI824" s="43"/>
      <c r="EJ824" s="43"/>
      <c r="EK824" s="43"/>
      <c r="EL824" s="43"/>
      <c r="EM824" s="43"/>
      <c r="EN824" s="43"/>
      <c r="EO824" s="43"/>
      <c r="EP824" s="43"/>
      <c r="EQ824" s="43"/>
      <c r="ER824" s="43"/>
      <c r="ES824" s="43"/>
      <c r="ET824" s="43"/>
      <c r="EU824" s="43"/>
      <c r="EV824" s="43"/>
      <c r="EW824" s="43"/>
      <c r="EX824" s="43"/>
      <c r="EY824" s="43"/>
      <c r="EZ824" s="43"/>
      <c r="FA824" s="43"/>
      <c r="FB824" s="43"/>
      <c r="FC824" s="43"/>
      <c r="FD824" s="43"/>
      <c r="FE824" s="43"/>
      <c r="FF824" s="43"/>
      <c r="FG824" s="43"/>
      <c r="FH824" s="50"/>
      <c r="FI824" s="50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  <c r="AX825" s="43"/>
      <c r="AY825" s="43"/>
      <c r="AZ825" s="43"/>
      <c r="BA825" s="43"/>
      <c r="BB825" s="43"/>
      <c r="BC825" s="43"/>
      <c r="BD825" s="43"/>
      <c r="BE825" s="43"/>
      <c r="BF825" s="43"/>
      <c r="BG825" s="43"/>
      <c r="BH825" s="43"/>
      <c r="BI825" s="43"/>
      <c r="BJ825" s="43"/>
      <c r="BK825" s="43"/>
      <c r="BL825" s="43"/>
      <c r="BM825" s="43"/>
      <c r="BN825" s="43"/>
      <c r="BO825" s="43"/>
      <c r="BP825" s="43"/>
      <c r="BQ825" s="43"/>
      <c r="BR825" s="43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43"/>
      <c r="CF825" s="43"/>
      <c r="CG825" s="43"/>
      <c r="CH825" s="43"/>
      <c r="CI825" s="43"/>
      <c r="CJ825" s="43"/>
      <c r="CK825" s="43"/>
      <c r="CL825" s="43"/>
      <c r="CM825" s="43"/>
      <c r="CN825" s="43"/>
      <c r="CO825" s="43"/>
      <c r="CP825" s="43"/>
      <c r="CQ825" s="43"/>
      <c r="CR825" s="43"/>
      <c r="CS825" s="43"/>
      <c r="CT825" s="43"/>
      <c r="CU825" s="43"/>
      <c r="CV825" s="43"/>
      <c r="CW825" s="43"/>
      <c r="CX825" s="43"/>
      <c r="CY825" s="43"/>
      <c r="CZ825" s="43"/>
      <c r="DA825" s="43"/>
      <c r="DB825" s="43"/>
      <c r="DC825" s="43"/>
      <c r="DD825" s="43"/>
      <c r="DE825" s="43"/>
      <c r="DF825" s="43"/>
      <c r="DG825" s="43"/>
      <c r="DH825" s="43"/>
      <c r="DI825" s="43"/>
      <c r="DJ825" s="43"/>
      <c r="DK825" s="43"/>
      <c r="DL825" s="43"/>
      <c r="DM825" s="43"/>
      <c r="DN825" s="43"/>
      <c r="DO825" s="43"/>
      <c r="DP825" s="43"/>
      <c r="DQ825" s="43"/>
      <c r="DR825" s="43"/>
      <c r="DS825" s="43"/>
      <c r="DT825" s="43"/>
      <c r="DU825" s="43"/>
      <c r="DV825" s="43"/>
      <c r="DW825" s="43"/>
      <c r="DX825" s="43"/>
      <c r="DY825" s="43"/>
      <c r="DZ825" s="43"/>
      <c r="EA825" s="43"/>
      <c r="EB825" s="43"/>
      <c r="EC825" s="43"/>
      <c r="ED825" s="43"/>
      <c r="EE825" s="43"/>
      <c r="EF825" s="43"/>
      <c r="EG825" s="43"/>
      <c r="EH825" s="43"/>
      <c r="EI825" s="43"/>
      <c r="EJ825" s="43"/>
      <c r="EK825" s="43"/>
      <c r="EL825" s="43"/>
      <c r="EM825" s="43"/>
      <c r="EN825" s="43"/>
      <c r="EO825" s="43"/>
      <c r="EP825" s="43"/>
      <c r="EQ825" s="43"/>
      <c r="ER825" s="43"/>
      <c r="ES825" s="43"/>
      <c r="ET825" s="43"/>
      <c r="EU825" s="43"/>
      <c r="EV825" s="43"/>
      <c r="EW825" s="43"/>
      <c r="EX825" s="43"/>
      <c r="EY825" s="43"/>
      <c r="EZ825" s="43"/>
      <c r="FA825" s="43"/>
      <c r="FB825" s="43"/>
      <c r="FC825" s="43"/>
      <c r="FD825" s="43"/>
      <c r="FE825" s="43"/>
      <c r="FF825" s="43"/>
      <c r="FG825" s="43"/>
      <c r="FH825" s="50"/>
      <c r="FI825" s="50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43"/>
      <c r="CF826" s="43"/>
      <c r="CG826" s="43"/>
      <c r="CH826" s="43"/>
      <c r="CI826" s="43"/>
      <c r="CJ826" s="43"/>
      <c r="CK826" s="43"/>
      <c r="CL826" s="43"/>
      <c r="CM826" s="43"/>
      <c r="CN826" s="43"/>
      <c r="CO826" s="43"/>
      <c r="CP826" s="43"/>
      <c r="CQ826" s="43"/>
      <c r="CR826" s="43"/>
      <c r="CS826" s="43"/>
      <c r="CT826" s="43"/>
      <c r="CU826" s="43"/>
      <c r="CV826" s="43"/>
      <c r="CW826" s="43"/>
      <c r="CX826" s="43"/>
      <c r="CY826" s="43"/>
      <c r="CZ826" s="43"/>
      <c r="DA826" s="43"/>
      <c r="DB826" s="43"/>
      <c r="DC826" s="43"/>
      <c r="DD826" s="43"/>
      <c r="DE826" s="43"/>
      <c r="DF826" s="43"/>
      <c r="DG826" s="43"/>
      <c r="DH826" s="43"/>
      <c r="DI826" s="43"/>
      <c r="DJ826" s="43"/>
      <c r="DK826" s="43"/>
      <c r="DL826" s="43"/>
      <c r="DM826" s="43"/>
      <c r="DN826" s="43"/>
      <c r="DO826" s="43"/>
      <c r="DP826" s="43"/>
      <c r="DQ826" s="43"/>
      <c r="DR826" s="43"/>
      <c r="DS826" s="43"/>
      <c r="DT826" s="43"/>
      <c r="DU826" s="43"/>
      <c r="DV826" s="43"/>
      <c r="DW826" s="43"/>
      <c r="DX826" s="43"/>
      <c r="DY826" s="43"/>
      <c r="DZ826" s="43"/>
      <c r="EA826" s="43"/>
      <c r="EB826" s="43"/>
      <c r="EC826" s="43"/>
      <c r="ED826" s="43"/>
      <c r="EE826" s="43"/>
      <c r="EF826" s="43"/>
      <c r="EG826" s="43"/>
      <c r="EH826" s="43"/>
      <c r="EI826" s="43"/>
      <c r="EJ826" s="43"/>
      <c r="EK826" s="43"/>
      <c r="EL826" s="43"/>
      <c r="EM826" s="43"/>
      <c r="EN826" s="43"/>
      <c r="EO826" s="43"/>
      <c r="EP826" s="43"/>
      <c r="EQ826" s="43"/>
      <c r="ER826" s="43"/>
      <c r="ES826" s="43"/>
      <c r="ET826" s="43"/>
      <c r="EU826" s="43"/>
      <c r="EV826" s="43"/>
      <c r="EW826" s="43"/>
      <c r="EX826" s="43"/>
      <c r="EY826" s="43"/>
      <c r="EZ826" s="43"/>
      <c r="FA826" s="43"/>
      <c r="FB826" s="43"/>
      <c r="FC826" s="43"/>
      <c r="FD826" s="43"/>
      <c r="FE826" s="43"/>
      <c r="FF826" s="43"/>
      <c r="FG826" s="43"/>
      <c r="FH826" s="50"/>
      <c r="FI826" s="50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  <c r="AX827" s="43"/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43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43"/>
      <c r="CF827" s="43"/>
      <c r="CG827" s="43"/>
      <c r="CH827" s="43"/>
      <c r="CI827" s="43"/>
      <c r="CJ827" s="43"/>
      <c r="CK827" s="43"/>
      <c r="CL827" s="43"/>
      <c r="CM827" s="43"/>
      <c r="CN827" s="43"/>
      <c r="CO827" s="43"/>
      <c r="CP827" s="43"/>
      <c r="CQ827" s="43"/>
      <c r="CR827" s="43"/>
      <c r="CS827" s="43"/>
      <c r="CT827" s="43"/>
      <c r="CU827" s="43"/>
      <c r="CV827" s="43"/>
      <c r="CW827" s="43"/>
      <c r="CX827" s="43"/>
      <c r="CY827" s="43"/>
      <c r="CZ827" s="43"/>
      <c r="DA827" s="43"/>
      <c r="DB827" s="43"/>
      <c r="DC827" s="43"/>
      <c r="DD827" s="43"/>
      <c r="DE827" s="43"/>
      <c r="DF827" s="43"/>
      <c r="DG827" s="43"/>
      <c r="DH827" s="43"/>
      <c r="DI827" s="43"/>
      <c r="DJ827" s="43"/>
      <c r="DK827" s="43"/>
      <c r="DL827" s="43"/>
      <c r="DM827" s="43"/>
      <c r="DN827" s="43"/>
      <c r="DO827" s="43"/>
      <c r="DP827" s="43"/>
      <c r="DQ827" s="43"/>
      <c r="DR827" s="43"/>
      <c r="DS827" s="43"/>
      <c r="DT827" s="43"/>
      <c r="DU827" s="43"/>
      <c r="DV827" s="43"/>
      <c r="DW827" s="43"/>
      <c r="DX827" s="43"/>
      <c r="DY827" s="43"/>
      <c r="DZ827" s="43"/>
      <c r="EA827" s="43"/>
      <c r="EB827" s="43"/>
      <c r="EC827" s="43"/>
      <c r="ED827" s="43"/>
      <c r="EE827" s="43"/>
      <c r="EF827" s="43"/>
      <c r="EG827" s="43"/>
      <c r="EH827" s="43"/>
      <c r="EI827" s="43"/>
      <c r="EJ827" s="43"/>
      <c r="EK827" s="43"/>
      <c r="EL827" s="43"/>
      <c r="EM827" s="43"/>
      <c r="EN827" s="43"/>
      <c r="EO827" s="43"/>
      <c r="EP827" s="43"/>
      <c r="EQ827" s="43"/>
      <c r="ER827" s="43"/>
      <c r="ES827" s="43"/>
      <c r="ET827" s="43"/>
      <c r="EU827" s="43"/>
      <c r="EV827" s="43"/>
      <c r="EW827" s="43"/>
      <c r="EX827" s="43"/>
      <c r="EY827" s="43"/>
      <c r="EZ827" s="43"/>
      <c r="FA827" s="43"/>
      <c r="FB827" s="43"/>
      <c r="FC827" s="43"/>
      <c r="FD827" s="43"/>
      <c r="FE827" s="43"/>
      <c r="FF827" s="43"/>
      <c r="FG827" s="43"/>
      <c r="FH827" s="50"/>
      <c r="FI827" s="50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/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/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43"/>
      <c r="CF828" s="43"/>
      <c r="CG828" s="43"/>
      <c r="CH828" s="43"/>
      <c r="CI828" s="43"/>
      <c r="CJ828" s="43"/>
      <c r="CK828" s="43"/>
      <c r="CL828" s="43"/>
      <c r="CM828" s="43"/>
      <c r="CN828" s="43"/>
      <c r="CO828" s="43"/>
      <c r="CP828" s="43"/>
      <c r="CQ828" s="43"/>
      <c r="CR828" s="43"/>
      <c r="CS828" s="43"/>
      <c r="CT828" s="43"/>
      <c r="CU828" s="43"/>
      <c r="CV828" s="43"/>
      <c r="CW828" s="43"/>
      <c r="CX828" s="43"/>
      <c r="CY828" s="43"/>
      <c r="CZ828" s="43"/>
      <c r="DA828" s="43"/>
      <c r="DB828" s="43"/>
      <c r="DC828" s="43"/>
      <c r="DD828" s="43"/>
      <c r="DE828" s="43"/>
      <c r="DF828" s="43"/>
      <c r="DG828" s="43"/>
      <c r="DH828" s="43"/>
      <c r="DI828" s="43"/>
      <c r="DJ828" s="43"/>
      <c r="DK828" s="43"/>
      <c r="DL828" s="43"/>
      <c r="DM828" s="43"/>
      <c r="DN828" s="43"/>
      <c r="DO828" s="43"/>
      <c r="DP828" s="43"/>
      <c r="DQ828" s="43"/>
      <c r="DR828" s="43"/>
      <c r="DS828" s="43"/>
      <c r="DT828" s="43"/>
      <c r="DU828" s="43"/>
      <c r="DV828" s="43"/>
      <c r="DW828" s="43"/>
      <c r="DX828" s="43"/>
      <c r="DY828" s="43"/>
      <c r="DZ828" s="43"/>
      <c r="EA828" s="43"/>
      <c r="EB828" s="43"/>
      <c r="EC828" s="43"/>
      <c r="ED828" s="43"/>
      <c r="EE828" s="43"/>
      <c r="EF828" s="43"/>
      <c r="EG828" s="43"/>
      <c r="EH828" s="43"/>
      <c r="EI828" s="43"/>
      <c r="EJ828" s="43"/>
      <c r="EK828" s="43"/>
      <c r="EL828" s="43"/>
      <c r="EM828" s="43"/>
      <c r="EN828" s="43"/>
      <c r="EO828" s="43"/>
      <c r="EP828" s="43"/>
      <c r="EQ828" s="43"/>
      <c r="ER828" s="43"/>
      <c r="ES828" s="43"/>
      <c r="ET828" s="43"/>
      <c r="EU828" s="43"/>
      <c r="EV828" s="43"/>
      <c r="EW828" s="43"/>
      <c r="EX828" s="43"/>
      <c r="EY828" s="43"/>
      <c r="EZ828" s="43"/>
      <c r="FA828" s="43"/>
      <c r="FB828" s="43"/>
      <c r="FC828" s="43"/>
      <c r="FD828" s="43"/>
      <c r="FE828" s="43"/>
      <c r="FF828" s="43"/>
      <c r="FG828" s="43"/>
      <c r="FH828" s="50"/>
      <c r="FI828" s="50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  <c r="AX829" s="43"/>
      <c r="AY829" s="43"/>
      <c r="AZ829" s="43"/>
      <c r="BA829" s="43"/>
      <c r="BB829" s="43"/>
      <c r="BC829" s="43"/>
      <c r="BD829" s="43"/>
      <c r="BE829" s="43"/>
      <c r="BF829" s="43"/>
      <c r="BG829" s="43"/>
      <c r="BH829" s="43"/>
      <c r="BI829" s="43"/>
      <c r="BJ829" s="43"/>
      <c r="BK829" s="43"/>
      <c r="BL829" s="43"/>
      <c r="BM829" s="43"/>
      <c r="BN829" s="43"/>
      <c r="BO829" s="43"/>
      <c r="BP829" s="43"/>
      <c r="BQ829" s="43"/>
      <c r="BR829" s="43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43"/>
      <c r="CF829" s="43"/>
      <c r="CG829" s="43"/>
      <c r="CH829" s="43"/>
      <c r="CI829" s="43"/>
      <c r="CJ829" s="43"/>
      <c r="CK829" s="43"/>
      <c r="CL829" s="43"/>
      <c r="CM829" s="43"/>
      <c r="CN829" s="43"/>
      <c r="CO829" s="43"/>
      <c r="CP829" s="43"/>
      <c r="CQ829" s="43"/>
      <c r="CR829" s="43"/>
      <c r="CS829" s="43"/>
      <c r="CT829" s="43"/>
      <c r="CU829" s="43"/>
      <c r="CV829" s="43"/>
      <c r="CW829" s="43"/>
      <c r="CX829" s="43"/>
      <c r="CY829" s="43"/>
      <c r="CZ829" s="43"/>
      <c r="DA829" s="43"/>
      <c r="DB829" s="43"/>
      <c r="DC829" s="43"/>
      <c r="DD829" s="43"/>
      <c r="DE829" s="43"/>
      <c r="DF829" s="43"/>
      <c r="DG829" s="43"/>
      <c r="DH829" s="43"/>
      <c r="DI829" s="43"/>
      <c r="DJ829" s="43"/>
      <c r="DK829" s="43"/>
      <c r="DL829" s="43"/>
      <c r="DM829" s="43"/>
      <c r="DN829" s="43"/>
      <c r="DO829" s="43"/>
      <c r="DP829" s="43"/>
      <c r="DQ829" s="43"/>
      <c r="DR829" s="43"/>
      <c r="DS829" s="43"/>
      <c r="DT829" s="43"/>
      <c r="DU829" s="43"/>
      <c r="DV829" s="43"/>
      <c r="DW829" s="43"/>
      <c r="DX829" s="43"/>
      <c r="DY829" s="43"/>
      <c r="DZ829" s="43"/>
      <c r="EA829" s="43"/>
      <c r="EB829" s="43"/>
      <c r="EC829" s="43"/>
      <c r="ED829" s="43"/>
      <c r="EE829" s="43"/>
      <c r="EF829" s="43"/>
      <c r="EG829" s="43"/>
      <c r="EH829" s="43"/>
      <c r="EI829" s="43"/>
      <c r="EJ829" s="43"/>
      <c r="EK829" s="43"/>
      <c r="EL829" s="43"/>
      <c r="EM829" s="43"/>
      <c r="EN829" s="43"/>
      <c r="EO829" s="43"/>
      <c r="EP829" s="43"/>
      <c r="EQ829" s="43"/>
      <c r="ER829" s="43"/>
      <c r="ES829" s="43"/>
      <c r="ET829" s="43"/>
      <c r="EU829" s="43"/>
      <c r="EV829" s="43"/>
      <c r="EW829" s="43"/>
      <c r="EX829" s="43"/>
      <c r="EY829" s="43"/>
      <c r="EZ829" s="43"/>
      <c r="FA829" s="43"/>
      <c r="FB829" s="43"/>
      <c r="FC829" s="43"/>
      <c r="FD829" s="43"/>
      <c r="FE829" s="43"/>
      <c r="FF829" s="43"/>
      <c r="FG829" s="43"/>
      <c r="FH829" s="50"/>
      <c r="FI829" s="50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  <c r="AX830" s="43"/>
      <c r="AY830" s="43"/>
      <c r="AZ830" s="43"/>
      <c r="BA830" s="43"/>
      <c r="BB830" s="43"/>
      <c r="BC830" s="43"/>
      <c r="BD830" s="43"/>
      <c r="BE830" s="43"/>
      <c r="BF830" s="43"/>
      <c r="BG830" s="43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R830" s="43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43"/>
      <c r="CF830" s="43"/>
      <c r="CG830" s="43"/>
      <c r="CH830" s="43"/>
      <c r="CI830" s="43"/>
      <c r="CJ830" s="43"/>
      <c r="CK830" s="43"/>
      <c r="CL830" s="43"/>
      <c r="CM830" s="43"/>
      <c r="CN830" s="43"/>
      <c r="CO830" s="43"/>
      <c r="CP830" s="43"/>
      <c r="CQ830" s="43"/>
      <c r="CR830" s="43"/>
      <c r="CS830" s="43"/>
      <c r="CT830" s="43"/>
      <c r="CU830" s="43"/>
      <c r="CV830" s="43"/>
      <c r="CW830" s="43"/>
      <c r="CX830" s="43"/>
      <c r="CY830" s="43"/>
      <c r="CZ830" s="43"/>
      <c r="DA830" s="43"/>
      <c r="DB830" s="43"/>
      <c r="DC830" s="43"/>
      <c r="DD830" s="43"/>
      <c r="DE830" s="43"/>
      <c r="DF830" s="43"/>
      <c r="DG830" s="43"/>
      <c r="DH830" s="43"/>
      <c r="DI830" s="43"/>
      <c r="DJ830" s="43"/>
      <c r="DK830" s="43"/>
      <c r="DL830" s="43"/>
      <c r="DM830" s="43"/>
      <c r="DN830" s="43"/>
      <c r="DO830" s="43"/>
      <c r="DP830" s="43"/>
      <c r="DQ830" s="43"/>
      <c r="DR830" s="43"/>
      <c r="DS830" s="43"/>
      <c r="DT830" s="43"/>
      <c r="DU830" s="43"/>
      <c r="DV830" s="43"/>
      <c r="DW830" s="43"/>
      <c r="DX830" s="43"/>
      <c r="DY830" s="43"/>
      <c r="DZ830" s="43"/>
      <c r="EA830" s="43"/>
      <c r="EB830" s="43"/>
      <c r="EC830" s="43"/>
      <c r="ED830" s="43"/>
      <c r="EE830" s="43"/>
      <c r="EF830" s="43"/>
      <c r="EG830" s="43"/>
      <c r="EH830" s="43"/>
      <c r="EI830" s="43"/>
      <c r="EJ830" s="43"/>
      <c r="EK830" s="43"/>
      <c r="EL830" s="43"/>
      <c r="EM830" s="43"/>
      <c r="EN830" s="43"/>
      <c r="EO830" s="43"/>
      <c r="EP830" s="43"/>
      <c r="EQ830" s="43"/>
      <c r="ER830" s="43"/>
      <c r="ES830" s="43"/>
      <c r="ET830" s="43"/>
      <c r="EU830" s="43"/>
      <c r="EV830" s="43"/>
      <c r="EW830" s="43"/>
      <c r="EX830" s="43"/>
      <c r="EY830" s="43"/>
      <c r="EZ830" s="43"/>
      <c r="FA830" s="43"/>
      <c r="FB830" s="43"/>
      <c r="FC830" s="43"/>
      <c r="FD830" s="43"/>
      <c r="FE830" s="43"/>
      <c r="FF830" s="43"/>
      <c r="FG830" s="43"/>
      <c r="FH830" s="50"/>
      <c r="FI830" s="50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  <c r="AX831" s="43"/>
      <c r="AY831" s="43"/>
      <c r="AZ831" s="43"/>
      <c r="BA831" s="43"/>
      <c r="BB831" s="43"/>
      <c r="BC831" s="43"/>
      <c r="BD831" s="43"/>
      <c r="BE831" s="43"/>
      <c r="BF831" s="43"/>
      <c r="BG831" s="43"/>
      <c r="BH831" s="43"/>
      <c r="BI831" s="43"/>
      <c r="BJ831" s="43"/>
      <c r="BK831" s="43"/>
      <c r="BL831" s="43"/>
      <c r="BM831" s="43"/>
      <c r="BN831" s="43"/>
      <c r="BO831" s="43"/>
      <c r="BP831" s="43"/>
      <c r="BQ831" s="43"/>
      <c r="BR831" s="43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43"/>
      <c r="CF831" s="43"/>
      <c r="CG831" s="43"/>
      <c r="CH831" s="43"/>
      <c r="CI831" s="43"/>
      <c r="CJ831" s="43"/>
      <c r="CK831" s="43"/>
      <c r="CL831" s="43"/>
      <c r="CM831" s="43"/>
      <c r="CN831" s="43"/>
      <c r="CO831" s="43"/>
      <c r="CP831" s="43"/>
      <c r="CQ831" s="43"/>
      <c r="CR831" s="43"/>
      <c r="CS831" s="43"/>
      <c r="CT831" s="43"/>
      <c r="CU831" s="43"/>
      <c r="CV831" s="43"/>
      <c r="CW831" s="43"/>
      <c r="CX831" s="43"/>
      <c r="CY831" s="43"/>
      <c r="CZ831" s="43"/>
      <c r="DA831" s="43"/>
      <c r="DB831" s="43"/>
      <c r="DC831" s="43"/>
      <c r="DD831" s="43"/>
      <c r="DE831" s="43"/>
      <c r="DF831" s="43"/>
      <c r="DG831" s="43"/>
      <c r="DH831" s="43"/>
      <c r="DI831" s="43"/>
      <c r="DJ831" s="43"/>
      <c r="DK831" s="43"/>
      <c r="DL831" s="43"/>
      <c r="DM831" s="43"/>
      <c r="DN831" s="43"/>
      <c r="DO831" s="43"/>
      <c r="DP831" s="43"/>
      <c r="DQ831" s="43"/>
      <c r="DR831" s="43"/>
      <c r="DS831" s="43"/>
      <c r="DT831" s="43"/>
      <c r="DU831" s="43"/>
      <c r="DV831" s="43"/>
      <c r="DW831" s="43"/>
      <c r="DX831" s="43"/>
      <c r="DY831" s="43"/>
      <c r="DZ831" s="43"/>
      <c r="EA831" s="43"/>
      <c r="EB831" s="43"/>
      <c r="EC831" s="43"/>
      <c r="ED831" s="43"/>
      <c r="EE831" s="43"/>
      <c r="EF831" s="43"/>
      <c r="EG831" s="43"/>
      <c r="EH831" s="43"/>
      <c r="EI831" s="43"/>
      <c r="EJ831" s="43"/>
      <c r="EK831" s="43"/>
      <c r="EL831" s="43"/>
      <c r="EM831" s="43"/>
      <c r="EN831" s="43"/>
      <c r="EO831" s="43"/>
      <c r="EP831" s="43"/>
      <c r="EQ831" s="43"/>
      <c r="ER831" s="43"/>
      <c r="ES831" s="43"/>
      <c r="ET831" s="43"/>
      <c r="EU831" s="43"/>
      <c r="EV831" s="43"/>
      <c r="EW831" s="43"/>
      <c r="EX831" s="43"/>
      <c r="EY831" s="43"/>
      <c r="EZ831" s="43"/>
      <c r="FA831" s="43"/>
      <c r="FB831" s="43"/>
      <c r="FC831" s="43"/>
      <c r="FD831" s="43"/>
      <c r="FE831" s="43"/>
      <c r="FF831" s="43"/>
      <c r="FG831" s="43"/>
      <c r="FH831" s="50"/>
      <c r="FI831" s="50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  <c r="AX832" s="43"/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43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43"/>
      <c r="CF832" s="43"/>
      <c r="CG832" s="43"/>
      <c r="CH832" s="43"/>
      <c r="CI832" s="43"/>
      <c r="CJ832" s="43"/>
      <c r="CK832" s="43"/>
      <c r="CL832" s="43"/>
      <c r="CM832" s="43"/>
      <c r="CN832" s="43"/>
      <c r="CO832" s="43"/>
      <c r="CP832" s="43"/>
      <c r="CQ832" s="43"/>
      <c r="CR832" s="43"/>
      <c r="CS832" s="43"/>
      <c r="CT832" s="43"/>
      <c r="CU832" s="43"/>
      <c r="CV832" s="43"/>
      <c r="CW832" s="43"/>
      <c r="CX832" s="43"/>
      <c r="CY832" s="43"/>
      <c r="CZ832" s="43"/>
      <c r="DA832" s="43"/>
      <c r="DB832" s="43"/>
      <c r="DC832" s="43"/>
      <c r="DD832" s="43"/>
      <c r="DE832" s="43"/>
      <c r="DF832" s="43"/>
      <c r="DG832" s="43"/>
      <c r="DH832" s="43"/>
      <c r="DI832" s="43"/>
      <c r="DJ832" s="43"/>
      <c r="DK832" s="43"/>
      <c r="DL832" s="43"/>
      <c r="DM832" s="43"/>
      <c r="DN832" s="43"/>
      <c r="DO832" s="43"/>
      <c r="DP832" s="43"/>
      <c r="DQ832" s="43"/>
      <c r="DR832" s="43"/>
      <c r="DS832" s="43"/>
      <c r="DT832" s="43"/>
      <c r="DU832" s="43"/>
      <c r="DV832" s="43"/>
      <c r="DW832" s="43"/>
      <c r="DX832" s="43"/>
      <c r="DY832" s="43"/>
      <c r="DZ832" s="43"/>
      <c r="EA832" s="43"/>
      <c r="EB832" s="43"/>
      <c r="EC832" s="43"/>
      <c r="ED832" s="43"/>
      <c r="EE832" s="43"/>
      <c r="EF832" s="43"/>
      <c r="EG832" s="43"/>
      <c r="EH832" s="43"/>
      <c r="EI832" s="43"/>
      <c r="EJ832" s="43"/>
      <c r="EK832" s="43"/>
      <c r="EL832" s="43"/>
      <c r="EM832" s="43"/>
      <c r="EN832" s="43"/>
      <c r="EO832" s="43"/>
      <c r="EP832" s="43"/>
      <c r="EQ832" s="43"/>
      <c r="ER832" s="43"/>
      <c r="ES832" s="43"/>
      <c r="ET832" s="43"/>
      <c r="EU832" s="43"/>
      <c r="EV832" s="43"/>
      <c r="EW832" s="43"/>
      <c r="EX832" s="43"/>
      <c r="EY832" s="43"/>
      <c r="EZ832" s="43"/>
      <c r="FA832" s="43"/>
      <c r="FB832" s="43"/>
      <c r="FC832" s="43"/>
      <c r="FD832" s="43"/>
      <c r="FE832" s="43"/>
      <c r="FF832" s="43"/>
      <c r="FG832" s="43"/>
      <c r="FH832" s="50"/>
      <c r="FI832" s="50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  <c r="AX833" s="43"/>
      <c r="AY833" s="43"/>
      <c r="AZ833" s="43"/>
      <c r="BA833" s="43"/>
      <c r="BB833" s="43"/>
      <c r="BC833" s="43"/>
      <c r="BD833" s="43"/>
      <c r="BE833" s="43"/>
      <c r="BF833" s="43"/>
      <c r="BG833" s="43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43"/>
      <c r="CF833" s="43"/>
      <c r="CG833" s="43"/>
      <c r="CH833" s="43"/>
      <c r="CI833" s="43"/>
      <c r="CJ833" s="43"/>
      <c r="CK833" s="43"/>
      <c r="CL833" s="43"/>
      <c r="CM833" s="43"/>
      <c r="CN833" s="43"/>
      <c r="CO833" s="43"/>
      <c r="CP833" s="43"/>
      <c r="CQ833" s="43"/>
      <c r="CR833" s="43"/>
      <c r="CS833" s="43"/>
      <c r="CT833" s="43"/>
      <c r="CU833" s="43"/>
      <c r="CV833" s="43"/>
      <c r="CW833" s="43"/>
      <c r="CX833" s="43"/>
      <c r="CY833" s="43"/>
      <c r="CZ833" s="43"/>
      <c r="DA833" s="43"/>
      <c r="DB833" s="43"/>
      <c r="DC833" s="43"/>
      <c r="DD833" s="43"/>
      <c r="DE833" s="43"/>
      <c r="DF833" s="43"/>
      <c r="DG833" s="43"/>
      <c r="DH833" s="43"/>
      <c r="DI833" s="43"/>
      <c r="DJ833" s="43"/>
      <c r="DK833" s="43"/>
      <c r="DL833" s="43"/>
      <c r="DM833" s="43"/>
      <c r="DN833" s="43"/>
      <c r="DO833" s="43"/>
      <c r="DP833" s="43"/>
      <c r="DQ833" s="43"/>
      <c r="DR833" s="43"/>
      <c r="DS833" s="43"/>
      <c r="DT833" s="43"/>
      <c r="DU833" s="43"/>
      <c r="DV833" s="43"/>
      <c r="DW833" s="43"/>
      <c r="DX833" s="43"/>
      <c r="DY833" s="43"/>
      <c r="DZ833" s="43"/>
      <c r="EA833" s="43"/>
      <c r="EB833" s="43"/>
      <c r="EC833" s="43"/>
      <c r="ED833" s="43"/>
      <c r="EE833" s="43"/>
      <c r="EF833" s="43"/>
      <c r="EG833" s="43"/>
      <c r="EH833" s="43"/>
      <c r="EI833" s="43"/>
      <c r="EJ833" s="43"/>
      <c r="EK833" s="43"/>
      <c r="EL833" s="43"/>
      <c r="EM833" s="43"/>
      <c r="EN833" s="43"/>
      <c r="EO833" s="43"/>
      <c r="EP833" s="43"/>
      <c r="EQ833" s="43"/>
      <c r="ER833" s="43"/>
      <c r="ES833" s="43"/>
      <c r="ET833" s="43"/>
      <c r="EU833" s="43"/>
      <c r="EV833" s="43"/>
      <c r="EW833" s="43"/>
      <c r="EX833" s="43"/>
      <c r="EY833" s="43"/>
      <c r="EZ833" s="43"/>
      <c r="FA833" s="43"/>
      <c r="FB833" s="43"/>
      <c r="FC833" s="43"/>
      <c r="FD833" s="43"/>
      <c r="FE833" s="43"/>
      <c r="FF833" s="43"/>
      <c r="FG833" s="43"/>
      <c r="FH833" s="50"/>
      <c r="FI833" s="50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43"/>
      <c r="BG834" s="43"/>
      <c r="BH834" s="43"/>
      <c r="BI834" s="43"/>
      <c r="BJ834" s="43"/>
      <c r="BK834" s="43"/>
      <c r="BL834" s="43"/>
      <c r="BM834" s="43"/>
      <c r="BN834" s="43"/>
      <c r="BO834" s="43"/>
      <c r="BP834" s="43"/>
      <c r="BQ834" s="43"/>
      <c r="BR834" s="43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43"/>
      <c r="CF834" s="43"/>
      <c r="CG834" s="43"/>
      <c r="CH834" s="43"/>
      <c r="CI834" s="43"/>
      <c r="CJ834" s="43"/>
      <c r="CK834" s="43"/>
      <c r="CL834" s="43"/>
      <c r="CM834" s="43"/>
      <c r="CN834" s="43"/>
      <c r="CO834" s="43"/>
      <c r="CP834" s="43"/>
      <c r="CQ834" s="43"/>
      <c r="CR834" s="43"/>
      <c r="CS834" s="43"/>
      <c r="CT834" s="43"/>
      <c r="CU834" s="43"/>
      <c r="CV834" s="43"/>
      <c r="CW834" s="43"/>
      <c r="CX834" s="43"/>
      <c r="CY834" s="43"/>
      <c r="CZ834" s="43"/>
      <c r="DA834" s="43"/>
      <c r="DB834" s="43"/>
      <c r="DC834" s="43"/>
      <c r="DD834" s="43"/>
      <c r="DE834" s="43"/>
      <c r="DF834" s="43"/>
      <c r="DG834" s="43"/>
      <c r="DH834" s="43"/>
      <c r="DI834" s="43"/>
      <c r="DJ834" s="43"/>
      <c r="DK834" s="43"/>
      <c r="DL834" s="43"/>
      <c r="DM834" s="43"/>
      <c r="DN834" s="43"/>
      <c r="DO834" s="43"/>
      <c r="DP834" s="43"/>
      <c r="DQ834" s="43"/>
      <c r="DR834" s="43"/>
      <c r="DS834" s="43"/>
      <c r="DT834" s="43"/>
      <c r="DU834" s="43"/>
      <c r="DV834" s="43"/>
      <c r="DW834" s="43"/>
      <c r="DX834" s="43"/>
      <c r="DY834" s="43"/>
      <c r="DZ834" s="43"/>
      <c r="EA834" s="43"/>
      <c r="EB834" s="43"/>
      <c r="EC834" s="43"/>
      <c r="ED834" s="43"/>
      <c r="EE834" s="43"/>
      <c r="EF834" s="43"/>
      <c r="EG834" s="43"/>
      <c r="EH834" s="43"/>
      <c r="EI834" s="43"/>
      <c r="EJ834" s="43"/>
      <c r="EK834" s="43"/>
      <c r="EL834" s="43"/>
      <c r="EM834" s="43"/>
      <c r="EN834" s="43"/>
      <c r="EO834" s="43"/>
      <c r="EP834" s="43"/>
      <c r="EQ834" s="43"/>
      <c r="ER834" s="43"/>
      <c r="ES834" s="43"/>
      <c r="ET834" s="43"/>
      <c r="EU834" s="43"/>
      <c r="EV834" s="43"/>
      <c r="EW834" s="43"/>
      <c r="EX834" s="43"/>
      <c r="EY834" s="43"/>
      <c r="EZ834" s="43"/>
      <c r="FA834" s="43"/>
      <c r="FB834" s="43"/>
      <c r="FC834" s="43"/>
      <c r="FD834" s="43"/>
      <c r="FE834" s="43"/>
      <c r="FF834" s="43"/>
      <c r="FG834" s="43"/>
      <c r="FH834" s="50"/>
      <c r="FI834" s="50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  <c r="AX835" s="43"/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43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43"/>
      <c r="CF835" s="43"/>
      <c r="CG835" s="43"/>
      <c r="CH835" s="43"/>
      <c r="CI835" s="43"/>
      <c r="CJ835" s="43"/>
      <c r="CK835" s="43"/>
      <c r="CL835" s="43"/>
      <c r="CM835" s="43"/>
      <c r="CN835" s="43"/>
      <c r="CO835" s="43"/>
      <c r="CP835" s="43"/>
      <c r="CQ835" s="43"/>
      <c r="CR835" s="43"/>
      <c r="CS835" s="43"/>
      <c r="CT835" s="43"/>
      <c r="CU835" s="43"/>
      <c r="CV835" s="43"/>
      <c r="CW835" s="43"/>
      <c r="CX835" s="43"/>
      <c r="CY835" s="43"/>
      <c r="CZ835" s="43"/>
      <c r="DA835" s="43"/>
      <c r="DB835" s="43"/>
      <c r="DC835" s="43"/>
      <c r="DD835" s="43"/>
      <c r="DE835" s="43"/>
      <c r="DF835" s="43"/>
      <c r="DG835" s="43"/>
      <c r="DH835" s="43"/>
      <c r="DI835" s="43"/>
      <c r="DJ835" s="43"/>
      <c r="DK835" s="43"/>
      <c r="DL835" s="43"/>
      <c r="DM835" s="43"/>
      <c r="DN835" s="43"/>
      <c r="DO835" s="43"/>
      <c r="DP835" s="43"/>
      <c r="DQ835" s="43"/>
      <c r="DR835" s="43"/>
      <c r="DS835" s="43"/>
      <c r="DT835" s="43"/>
      <c r="DU835" s="43"/>
      <c r="DV835" s="43"/>
      <c r="DW835" s="43"/>
      <c r="DX835" s="43"/>
      <c r="DY835" s="43"/>
      <c r="DZ835" s="43"/>
      <c r="EA835" s="43"/>
      <c r="EB835" s="43"/>
      <c r="EC835" s="43"/>
      <c r="ED835" s="43"/>
      <c r="EE835" s="43"/>
      <c r="EF835" s="43"/>
      <c r="EG835" s="43"/>
      <c r="EH835" s="43"/>
      <c r="EI835" s="43"/>
      <c r="EJ835" s="43"/>
      <c r="EK835" s="43"/>
      <c r="EL835" s="43"/>
      <c r="EM835" s="43"/>
      <c r="EN835" s="43"/>
      <c r="EO835" s="43"/>
      <c r="EP835" s="43"/>
      <c r="EQ835" s="43"/>
      <c r="ER835" s="43"/>
      <c r="ES835" s="43"/>
      <c r="ET835" s="43"/>
      <c r="EU835" s="43"/>
      <c r="EV835" s="43"/>
      <c r="EW835" s="43"/>
      <c r="EX835" s="43"/>
      <c r="EY835" s="43"/>
      <c r="EZ835" s="43"/>
      <c r="FA835" s="43"/>
      <c r="FB835" s="43"/>
      <c r="FC835" s="43"/>
      <c r="FD835" s="43"/>
      <c r="FE835" s="43"/>
      <c r="FF835" s="43"/>
      <c r="FG835" s="43"/>
      <c r="FH835" s="50"/>
      <c r="FI835" s="50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  <c r="AX836" s="43"/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43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/>
      <c r="CK836" s="43"/>
      <c r="CL836" s="43"/>
      <c r="CM836" s="43"/>
      <c r="CN836" s="43"/>
      <c r="CO836" s="43"/>
      <c r="CP836" s="43"/>
      <c r="CQ836" s="43"/>
      <c r="CR836" s="43"/>
      <c r="CS836" s="43"/>
      <c r="CT836" s="43"/>
      <c r="CU836" s="43"/>
      <c r="CV836" s="43"/>
      <c r="CW836" s="43"/>
      <c r="CX836" s="43"/>
      <c r="CY836" s="43"/>
      <c r="CZ836" s="43"/>
      <c r="DA836" s="43"/>
      <c r="DB836" s="43"/>
      <c r="DC836" s="43"/>
      <c r="DD836" s="43"/>
      <c r="DE836" s="43"/>
      <c r="DF836" s="43"/>
      <c r="DG836" s="43"/>
      <c r="DH836" s="43"/>
      <c r="DI836" s="43"/>
      <c r="DJ836" s="43"/>
      <c r="DK836" s="43"/>
      <c r="DL836" s="43"/>
      <c r="DM836" s="43"/>
      <c r="DN836" s="43"/>
      <c r="DO836" s="43"/>
      <c r="DP836" s="43"/>
      <c r="DQ836" s="43"/>
      <c r="DR836" s="43"/>
      <c r="DS836" s="43"/>
      <c r="DT836" s="43"/>
      <c r="DU836" s="43"/>
      <c r="DV836" s="43"/>
      <c r="DW836" s="43"/>
      <c r="DX836" s="43"/>
      <c r="DY836" s="43"/>
      <c r="DZ836" s="43"/>
      <c r="EA836" s="43"/>
      <c r="EB836" s="43"/>
      <c r="EC836" s="43"/>
      <c r="ED836" s="43"/>
      <c r="EE836" s="43"/>
      <c r="EF836" s="43"/>
      <c r="EG836" s="43"/>
      <c r="EH836" s="43"/>
      <c r="EI836" s="43"/>
      <c r="EJ836" s="43"/>
      <c r="EK836" s="43"/>
      <c r="EL836" s="43"/>
      <c r="EM836" s="43"/>
      <c r="EN836" s="43"/>
      <c r="EO836" s="43"/>
      <c r="EP836" s="43"/>
      <c r="EQ836" s="43"/>
      <c r="ER836" s="43"/>
      <c r="ES836" s="43"/>
      <c r="ET836" s="43"/>
      <c r="EU836" s="43"/>
      <c r="EV836" s="43"/>
      <c r="EW836" s="43"/>
      <c r="EX836" s="43"/>
      <c r="EY836" s="43"/>
      <c r="EZ836" s="43"/>
      <c r="FA836" s="43"/>
      <c r="FB836" s="43"/>
      <c r="FC836" s="43"/>
      <c r="FD836" s="43"/>
      <c r="FE836" s="43"/>
      <c r="FF836" s="43"/>
      <c r="FG836" s="43"/>
      <c r="FH836" s="50"/>
      <c r="FI836" s="50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  <c r="AX837" s="43"/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43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43"/>
      <c r="CF837" s="43"/>
      <c r="CG837" s="43"/>
      <c r="CH837" s="43"/>
      <c r="CI837" s="43"/>
      <c r="CJ837" s="43"/>
      <c r="CK837" s="43"/>
      <c r="CL837" s="43"/>
      <c r="CM837" s="43"/>
      <c r="CN837" s="43"/>
      <c r="CO837" s="43"/>
      <c r="CP837" s="43"/>
      <c r="CQ837" s="43"/>
      <c r="CR837" s="43"/>
      <c r="CS837" s="43"/>
      <c r="CT837" s="43"/>
      <c r="CU837" s="43"/>
      <c r="CV837" s="43"/>
      <c r="CW837" s="43"/>
      <c r="CX837" s="43"/>
      <c r="CY837" s="43"/>
      <c r="CZ837" s="43"/>
      <c r="DA837" s="43"/>
      <c r="DB837" s="43"/>
      <c r="DC837" s="43"/>
      <c r="DD837" s="43"/>
      <c r="DE837" s="43"/>
      <c r="DF837" s="43"/>
      <c r="DG837" s="43"/>
      <c r="DH837" s="43"/>
      <c r="DI837" s="43"/>
      <c r="DJ837" s="43"/>
      <c r="DK837" s="43"/>
      <c r="DL837" s="43"/>
      <c r="DM837" s="43"/>
      <c r="DN837" s="43"/>
      <c r="DO837" s="43"/>
      <c r="DP837" s="43"/>
      <c r="DQ837" s="43"/>
      <c r="DR837" s="43"/>
      <c r="DS837" s="43"/>
      <c r="DT837" s="43"/>
      <c r="DU837" s="43"/>
      <c r="DV837" s="43"/>
      <c r="DW837" s="43"/>
      <c r="DX837" s="43"/>
      <c r="DY837" s="43"/>
      <c r="DZ837" s="43"/>
      <c r="EA837" s="43"/>
      <c r="EB837" s="43"/>
      <c r="EC837" s="43"/>
      <c r="ED837" s="43"/>
      <c r="EE837" s="43"/>
      <c r="EF837" s="43"/>
      <c r="EG837" s="43"/>
      <c r="EH837" s="43"/>
      <c r="EI837" s="43"/>
      <c r="EJ837" s="43"/>
      <c r="EK837" s="43"/>
      <c r="EL837" s="43"/>
      <c r="EM837" s="43"/>
      <c r="EN837" s="43"/>
      <c r="EO837" s="43"/>
      <c r="EP837" s="43"/>
      <c r="EQ837" s="43"/>
      <c r="ER837" s="43"/>
      <c r="ES837" s="43"/>
      <c r="ET837" s="43"/>
      <c r="EU837" s="43"/>
      <c r="EV837" s="43"/>
      <c r="EW837" s="43"/>
      <c r="EX837" s="43"/>
      <c r="EY837" s="43"/>
      <c r="EZ837" s="43"/>
      <c r="FA837" s="43"/>
      <c r="FB837" s="43"/>
      <c r="FC837" s="43"/>
      <c r="FD837" s="43"/>
      <c r="FE837" s="43"/>
      <c r="FF837" s="43"/>
      <c r="FG837" s="43"/>
      <c r="FH837" s="50"/>
      <c r="FI837" s="50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  <c r="AX838" s="43"/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43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43"/>
      <c r="CF838" s="43"/>
      <c r="CG838" s="43"/>
      <c r="CH838" s="43"/>
      <c r="CI838" s="43"/>
      <c r="CJ838" s="43"/>
      <c r="CK838" s="43"/>
      <c r="CL838" s="43"/>
      <c r="CM838" s="43"/>
      <c r="CN838" s="43"/>
      <c r="CO838" s="43"/>
      <c r="CP838" s="43"/>
      <c r="CQ838" s="43"/>
      <c r="CR838" s="43"/>
      <c r="CS838" s="43"/>
      <c r="CT838" s="43"/>
      <c r="CU838" s="43"/>
      <c r="CV838" s="43"/>
      <c r="CW838" s="43"/>
      <c r="CX838" s="43"/>
      <c r="CY838" s="43"/>
      <c r="CZ838" s="43"/>
      <c r="DA838" s="43"/>
      <c r="DB838" s="43"/>
      <c r="DC838" s="43"/>
      <c r="DD838" s="43"/>
      <c r="DE838" s="43"/>
      <c r="DF838" s="43"/>
      <c r="DG838" s="43"/>
      <c r="DH838" s="43"/>
      <c r="DI838" s="43"/>
      <c r="DJ838" s="43"/>
      <c r="DK838" s="43"/>
      <c r="DL838" s="43"/>
      <c r="DM838" s="43"/>
      <c r="DN838" s="43"/>
      <c r="DO838" s="43"/>
      <c r="DP838" s="43"/>
      <c r="DQ838" s="43"/>
      <c r="DR838" s="43"/>
      <c r="DS838" s="43"/>
      <c r="DT838" s="43"/>
      <c r="DU838" s="43"/>
      <c r="DV838" s="43"/>
      <c r="DW838" s="43"/>
      <c r="DX838" s="43"/>
      <c r="DY838" s="43"/>
      <c r="DZ838" s="43"/>
      <c r="EA838" s="43"/>
      <c r="EB838" s="43"/>
      <c r="EC838" s="43"/>
      <c r="ED838" s="43"/>
      <c r="EE838" s="43"/>
      <c r="EF838" s="43"/>
      <c r="EG838" s="43"/>
      <c r="EH838" s="43"/>
      <c r="EI838" s="43"/>
      <c r="EJ838" s="43"/>
      <c r="EK838" s="43"/>
      <c r="EL838" s="43"/>
      <c r="EM838" s="43"/>
      <c r="EN838" s="43"/>
      <c r="EO838" s="43"/>
      <c r="EP838" s="43"/>
      <c r="EQ838" s="43"/>
      <c r="ER838" s="43"/>
      <c r="ES838" s="43"/>
      <c r="ET838" s="43"/>
      <c r="EU838" s="43"/>
      <c r="EV838" s="43"/>
      <c r="EW838" s="43"/>
      <c r="EX838" s="43"/>
      <c r="EY838" s="43"/>
      <c r="EZ838" s="43"/>
      <c r="FA838" s="43"/>
      <c r="FB838" s="43"/>
      <c r="FC838" s="43"/>
      <c r="FD838" s="43"/>
      <c r="FE838" s="43"/>
      <c r="FF838" s="43"/>
      <c r="FG838" s="43"/>
      <c r="FH838" s="50"/>
      <c r="FI838" s="50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43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43"/>
      <c r="CF839" s="43"/>
      <c r="CG839" s="43"/>
      <c r="CH839" s="43"/>
      <c r="CI839" s="43"/>
      <c r="CJ839" s="43"/>
      <c r="CK839" s="43"/>
      <c r="CL839" s="43"/>
      <c r="CM839" s="43"/>
      <c r="CN839" s="43"/>
      <c r="CO839" s="43"/>
      <c r="CP839" s="43"/>
      <c r="CQ839" s="43"/>
      <c r="CR839" s="43"/>
      <c r="CS839" s="43"/>
      <c r="CT839" s="43"/>
      <c r="CU839" s="43"/>
      <c r="CV839" s="43"/>
      <c r="CW839" s="43"/>
      <c r="CX839" s="43"/>
      <c r="CY839" s="43"/>
      <c r="CZ839" s="43"/>
      <c r="DA839" s="43"/>
      <c r="DB839" s="43"/>
      <c r="DC839" s="43"/>
      <c r="DD839" s="43"/>
      <c r="DE839" s="43"/>
      <c r="DF839" s="43"/>
      <c r="DG839" s="43"/>
      <c r="DH839" s="43"/>
      <c r="DI839" s="43"/>
      <c r="DJ839" s="43"/>
      <c r="DK839" s="43"/>
      <c r="DL839" s="43"/>
      <c r="DM839" s="43"/>
      <c r="DN839" s="43"/>
      <c r="DO839" s="43"/>
      <c r="DP839" s="43"/>
      <c r="DQ839" s="43"/>
      <c r="DR839" s="43"/>
      <c r="DS839" s="43"/>
      <c r="DT839" s="43"/>
      <c r="DU839" s="43"/>
      <c r="DV839" s="43"/>
      <c r="DW839" s="43"/>
      <c r="DX839" s="43"/>
      <c r="DY839" s="43"/>
      <c r="DZ839" s="43"/>
      <c r="EA839" s="43"/>
      <c r="EB839" s="43"/>
      <c r="EC839" s="43"/>
      <c r="ED839" s="43"/>
      <c r="EE839" s="43"/>
      <c r="EF839" s="43"/>
      <c r="EG839" s="43"/>
      <c r="EH839" s="43"/>
      <c r="EI839" s="43"/>
      <c r="EJ839" s="43"/>
      <c r="EK839" s="43"/>
      <c r="EL839" s="43"/>
      <c r="EM839" s="43"/>
      <c r="EN839" s="43"/>
      <c r="EO839" s="43"/>
      <c r="EP839" s="43"/>
      <c r="EQ839" s="43"/>
      <c r="ER839" s="43"/>
      <c r="ES839" s="43"/>
      <c r="ET839" s="43"/>
      <c r="EU839" s="43"/>
      <c r="EV839" s="43"/>
      <c r="EW839" s="43"/>
      <c r="EX839" s="43"/>
      <c r="EY839" s="43"/>
      <c r="EZ839" s="43"/>
      <c r="FA839" s="43"/>
      <c r="FB839" s="43"/>
      <c r="FC839" s="43"/>
      <c r="FD839" s="43"/>
      <c r="FE839" s="43"/>
      <c r="FF839" s="43"/>
      <c r="FG839" s="43"/>
      <c r="FH839" s="50"/>
      <c r="FI839" s="50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  <c r="AX840" s="43"/>
      <c r="AY840" s="43"/>
      <c r="AZ840" s="43"/>
      <c r="BA840" s="43"/>
      <c r="BB840" s="43"/>
      <c r="BC840" s="43"/>
      <c r="BD840" s="43"/>
      <c r="BE840" s="43"/>
      <c r="BF840" s="43"/>
      <c r="BG840" s="43"/>
      <c r="BH840" s="43"/>
      <c r="BI840" s="43"/>
      <c r="BJ840" s="43"/>
      <c r="BK840" s="43"/>
      <c r="BL840" s="43"/>
      <c r="BM840" s="43"/>
      <c r="BN840" s="43"/>
      <c r="BO840" s="43"/>
      <c r="BP840" s="43"/>
      <c r="BQ840" s="43"/>
      <c r="BR840" s="43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43"/>
      <c r="CF840" s="43"/>
      <c r="CG840" s="43"/>
      <c r="CH840" s="43"/>
      <c r="CI840" s="43"/>
      <c r="CJ840" s="43"/>
      <c r="CK840" s="43"/>
      <c r="CL840" s="43"/>
      <c r="CM840" s="43"/>
      <c r="CN840" s="43"/>
      <c r="CO840" s="43"/>
      <c r="CP840" s="43"/>
      <c r="CQ840" s="43"/>
      <c r="CR840" s="43"/>
      <c r="CS840" s="43"/>
      <c r="CT840" s="43"/>
      <c r="CU840" s="43"/>
      <c r="CV840" s="43"/>
      <c r="CW840" s="43"/>
      <c r="CX840" s="43"/>
      <c r="CY840" s="43"/>
      <c r="CZ840" s="43"/>
      <c r="DA840" s="43"/>
      <c r="DB840" s="43"/>
      <c r="DC840" s="43"/>
      <c r="DD840" s="43"/>
      <c r="DE840" s="43"/>
      <c r="DF840" s="43"/>
      <c r="DG840" s="43"/>
      <c r="DH840" s="43"/>
      <c r="DI840" s="43"/>
      <c r="DJ840" s="43"/>
      <c r="DK840" s="43"/>
      <c r="DL840" s="43"/>
      <c r="DM840" s="43"/>
      <c r="DN840" s="43"/>
      <c r="DO840" s="43"/>
      <c r="DP840" s="43"/>
      <c r="DQ840" s="43"/>
      <c r="DR840" s="43"/>
      <c r="DS840" s="43"/>
      <c r="DT840" s="43"/>
      <c r="DU840" s="43"/>
      <c r="DV840" s="43"/>
      <c r="DW840" s="43"/>
      <c r="DX840" s="43"/>
      <c r="DY840" s="43"/>
      <c r="DZ840" s="43"/>
      <c r="EA840" s="43"/>
      <c r="EB840" s="43"/>
      <c r="EC840" s="43"/>
      <c r="ED840" s="43"/>
      <c r="EE840" s="43"/>
      <c r="EF840" s="43"/>
      <c r="EG840" s="43"/>
      <c r="EH840" s="43"/>
      <c r="EI840" s="43"/>
      <c r="EJ840" s="43"/>
      <c r="EK840" s="43"/>
      <c r="EL840" s="43"/>
      <c r="EM840" s="43"/>
      <c r="EN840" s="43"/>
      <c r="EO840" s="43"/>
      <c r="EP840" s="43"/>
      <c r="EQ840" s="43"/>
      <c r="ER840" s="43"/>
      <c r="ES840" s="43"/>
      <c r="ET840" s="43"/>
      <c r="EU840" s="43"/>
      <c r="EV840" s="43"/>
      <c r="EW840" s="43"/>
      <c r="EX840" s="43"/>
      <c r="EY840" s="43"/>
      <c r="EZ840" s="43"/>
      <c r="FA840" s="43"/>
      <c r="FB840" s="43"/>
      <c r="FC840" s="43"/>
      <c r="FD840" s="43"/>
      <c r="FE840" s="43"/>
      <c r="FF840" s="43"/>
      <c r="FG840" s="43"/>
      <c r="FH840" s="50"/>
      <c r="FI840" s="50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  <c r="AX841" s="43"/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43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43"/>
      <c r="CF841" s="43"/>
      <c r="CG841" s="43"/>
      <c r="CH841" s="43"/>
      <c r="CI841" s="43"/>
      <c r="CJ841" s="43"/>
      <c r="CK841" s="43"/>
      <c r="CL841" s="43"/>
      <c r="CM841" s="43"/>
      <c r="CN841" s="43"/>
      <c r="CO841" s="43"/>
      <c r="CP841" s="43"/>
      <c r="CQ841" s="43"/>
      <c r="CR841" s="43"/>
      <c r="CS841" s="43"/>
      <c r="CT841" s="43"/>
      <c r="CU841" s="43"/>
      <c r="CV841" s="43"/>
      <c r="CW841" s="43"/>
      <c r="CX841" s="43"/>
      <c r="CY841" s="43"/>
      <c r="CZ841" s="43"/>
      <c r="DA841" s="43"/>
      <c r="DB841" s="43"/>
      <c r="DC841" s="43"/>
      <c r="DD841" s="43"/>
      <c r="DE841" s="43"/>
      <c r="DF841" s="43"/>
      <c r="DG841" s="43"/>
      <c r="DH841" s="43"/>
      <c r="DI841" s="43"/>
      <c r="DJ841" s="43"/>
      <c r="DK841" s="43"/>
      <c r="DL841" s="43"/>
      <c r="DM841" s="43"/>
      <c r="DN841" s="43"/>
      <c r="DO841" s="43"/>
      <c r="DP841" s="43"/>
      <c r="DQ841" s="43"/>
      <c r="DR841" s="43"/>
      <c r="DS841" s="43"/>
      <c r="DT841" s="43"/>
      <c r="DU841" s="43"/>
      <c r="DV841" s="43"/>
      <c r="DW841" s="43"/>
      <c r="DX841" s="43"/>
      <c r="DY841" s="43"/>
      <c r="DZ841" s="43"/>
      <c r="EA841" s="43"/>
      <c r="EB841" s="43"/>
      <c r="EC841" s="43"/>
      <c r="ED841" s="43"/>
      <c r="EE841" s="43"/>
      <c r="EF841" s="43"/>
      <c r="EG841" s="43"/>
      <c r="EH841" s="43"/>
      <c r="EI841" s="43"/>
      <c r="EJ841" s="43"/>
      <c r="EK841" s="43"/>
      <c r="EL841" s="43"/>
      <c r="EM841" s="43"/>
      <c r="EN841" s="43"/>
      <c r="EO841" s="43"/>
      <c r="EP841" s="43"/>
      <c r="EQ841" s="43"/>
      <c r="ER841" s="43"/>
      <c r="ES841" s="43"/>
      <c r="ET841" s="43"/>
      <c r="EU841" s="43"/>
      <c r="EV841" s="43"/>
      <c r="EW841" s="43"/>
      <c r="EX841" s="43"/>
      <c r="EY841" s="43"/>
      <c r="EZ841" s="43"/>
      <c r="FA841" s="43"/>
      <c r="FB841" s="43"/>
      <c r="FC841" s="43"/>
      <c r="FD841" s="43"/>
      <c r="FE841" s="43"/>
      <c r="FF841" s="43"/>
      <c r="FG841" s="43"/>
      <c r="FH841" s="50"/>
      <c r="FI841" s="50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  <c r="AX842" s="43"/>
      <c r="AY842" s="43"/>
      <c r="AZ842" s="43"/>
      <c r="BA842" s="43"/>
      <c r="BB842" s="43"/>
      <c r="BC842" s="43"/>
      <c r="BD842" s="43"/>
      <c r="BE842" s="43"/>
      <c r="BF842" s="43"/>
      <c r="BG842" s="43"/>
      <c r="BH842" s="43"/>
      <c r="BI842" s="43"/>
      <c r="BJ842" s="43"/>
      <c r="BK842" s="43"/>
      <c r="BL842" s="43"/>
      <c r="BM842" s="43"/>
      <c r="BN842" s="43"/>
      <c r="BO842" s="43"/>
      <c r="BP842" s="43"/>
      <c r="BQ842" s="43"/>
      <c r="BR842" s="43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43"/>
      <c r="CF842" s="43"/>
      <c r="CG842" s="43"/>
      <c r="CH842" s="43"/>
      <c r="CI842" s="43"/>
      <c r="CJ842" s="43"/>
      <c r="CK842" s="43"/>
      <c r="CL842" s="43"/>
      <c r="CM842" s="43"/>
      <c r="CN842" s="43"/>
      <c r="CO842" s="43"/>
      <c r="CP842" s="43"/>
      <c r="CQ842" s="43"/>
      <c r="CR842" s="43"/>
      <c r="CS842" s="43"/>
      <c r="CT842" s="43"/>
      <c r="CU842" s="43"/>
      <c r="CV842" s="43"/>
      <c r="CW842" s="43"/>
      <c r="CX842" s="43"/>
      <c r="CY842" s="43"/>
      <c r="CZ842" s="43"/>
      <c r="DA842" s="43"/>
      <c r="DB842" s="43"/>
      <c r="DC842" s="43"/>
      <c r="DD842" s="43"/>
      <c r="DE842" s="43"/>
      <c r="DF842" s="43"/>
      <c r="DG842" s="43"/>
      <c r="DH842" s="43"/>
      <c r="DI842" s="43"/>
      <c r="DJ842" s="43"/>
      <c r="DK842" s="43"/>
      <c r="DL842" s="43"/>
      <c r="DM842" s="43"/>
      <c r="DN842" s="43"/>
      <c r="DO842" s="43"/>
      <c r="DP842" s="43"/>
      <c r="DQ842" s="43"/>
      <c r="DR842" s="43"/>
      <c r="DS842" s="43"/>
      <c r="DT842" s="43"/>
      <c r="DU842" s="43"/>
      <c r="DV842" s="43"/>
      <c r="DW842" s="43"/>
      <c r="DX842" s="43"/>
      <c r="DY842" s="43"/>
      <c r="DZ842" s="43"/>
      <c r="EA842" s="43"/>
      <c r="EB842" s="43"/>
      <c r="EC842" s="43"/>
      <c r="ED842" s="43"/>
      <c r="EE842" s="43"/>
      <c r="EF842" s="43"/>
      <c r="EG842" s="43"/>
      <c r="EH842" s="43"/>
      <c r="EI842" s="43"/>
      <c r="EJ842" s="43"/>
      <c r="EK842" s="43"/>
      <c r="EL842" s="43"/>
      <c r="EM842" s="43"/>
      <c r="EN842" s="43"/>
      <c r="EO842" s="43"/>
      <c r="EP842" s="43"/>
      <c r="EQ842" s="43"/>
      <c r="ER842" s="43"/>
      <c r="ES842" s="43"/>
      <c r="ET842" s="43"/>
      <c r="EU842" s="43"/>
      <c r="EV842" s="43"/>
      <c r="EW842" s="43"/>
      <c r="EX842" s="43"/>
      <c r="EY842" s="43"/>
      <c r="EZ842" s="43"/>
      <c r="FA842" s="43"/>
      <c r="FB842" s="43"/>
      <c r="FC842" s="43"/>
      <c r="FD842" s="43"/>
      <c r="FE842" s="43"/>
      <c r="FF842" s="43"/>
      <c r="FG842" s="43"/>
      <c r="FH842" s="50"/>
      <c r="FI842" s="50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  <c r="AX843" s="43"/>
      <c r="AY843" s="43"/>
      <c r="AZ843" s="43"/>
      <c r="BA843" s="43"/>
      <c r="BB843" s="43"/>
      <c r="BC843" s="43"/>
      <c r="BD843" s="43"/>
      <c r="BE843" s="43"/>
      <c r="BF843" s="43"/>
      <c r="BG843" s="43"/>
      <c r="BH843" s="43"/>
      <c r="BI843" s="43"/>
      <c r="BJ843" s="43"/>
      <c r="BK843" s="43"/>
      <c r="BL843" s="43"/>
      <c r="BM843" s="43"/>
      <c r="BN843" s="43"/>
      <c r="BO843" s="43"/>
      <c r="BP843" s="43"/>
      <c r="BQ843" s="43"/>
      <c r="BR843" s="43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43"/>
      <c r="CF843" s="43"/>
      <c r="CG843" s="43"/>
      <c r="CH843" s="43"/>
      <c r="CI843" s="43"/>
      <c r="CJ843" s="43"/>
      <c r="CK843" s="43"/>
      <c r="CL843" s="43"/>
      <c r="CM843" s="43"/>
      <c r="CN843" s="43"/>
      <c r="CO843" s="43"/>
      <c r="CP843" s="43"/>
      <c r="CQ843" s="43"/>
      <c r="CR843" s="43"/>
      <c r="CS843" s="43"/>
      <c r="CT843" s="43"/>
      <c r="CU843" s="43"/>
      <c r="CV843" s="43"/>
      <c r="CW843" s="43"/>
      <c r="CX843" s="43"/>
      <c r="CY843" s="43"/>
      <c r="CZ843" s="43"/>
      <c r="DA843" s="43"/>
      <c r="DB843" s="43"/>
      <c r="DC843" s="43"/>
      <c r="DD843" s="43"/>
      <c r="DE843" s="43"/>
      <c r="DF843" s="43"/>
      <c r="DG843" s="43"/>
      <c r="DH843" s="43"/>
      <c r="DI843" s="43"/>
      <c r="DJ843" s="43"/>
      <c r="DK843" s="43"/>
      <c r="DL843" s="43"/>
      <c r="DM843" s="43"/>
      <c r="DN843" s="43"/>
      <c r="DO843" s="43"/>
      <c r="DP843" s="43"/>
      <c r="DQ843" s="43"/>
      <c r="DR843" s="43"/>
      <c r="DS843" s="43"/>
      <c r="DT843" s="43"/>
      <c r="DU843" s="43"/>
      <c r="DV843" s="43"/>
      <c r="DW843" s="43"/>
      <c r="DX843" s="43"/>
      <c r="DY843" s="43"/>
      <c r="DZ843" s="43"/>
      <c r="EA843" s="43"/>
      <c r="EB843" s="43"/>
      <c r="EC843" s="43"/>
      <c r="ED843" s="43"/>
      <c r="EE843" s="43"/>
      <c r="EF843" s="43"/>
      <c r="EG843" s="43"/>
      <c r="EH843" s="43"/>
      <c r="EI843" s="43"/>
      <c r="EJ843" s="43"/>
      <c r="EK843" s="43"/>
      <c r="EL843" s="43"/>
      <c r="EM843" s="43"/>
      <c r="EN843" s="43"/>
      <c r="EO843" s="43"/>
      <c r="EP843" s="43"/>
      <c r="EQ843" s="43"/>
      <c r="ER843" s="43"/>
      <c r="ES843" s="43"/>
      <c r="ET843" s="43"/>
      <c r="EU843" s="43"/>
      <c r="EV843" s="43"/>
      <c r="EW843" s="43"/>
      <c r="EX843" s="43"/>
      <c r="EY843" s="43"/>
      <c r="EZ843" s="43"/>
      <c r="FA843" s="43"/>
      <c r="FB843" s="43"/>
      <c r="FC843" s="43"/>
      <c r="FD843" s="43"/>
      <c r="FE843" s="43"/>
      <c r="FF843" s="43"/>
      <c r="FG843" s="43"/>
      <c r="FH843" s="50"/>
      <c r="FI843" s="50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43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43"/>
      <c r="CF844" s="43"/>
      <c r="CG844" s="43"/>
      <c r="CH844" s="43"/>
      <c r="CI844" s="43"/>
      <c r="CJ844" s="43"/>
      <c r="CK844" s="43"/>
      <c r="CL844" s="43"/>
      <c r="CM844" s="43"/>
      <c r="CN844" s="43"/>
      <c r="CO844" s="43"/>
      <c r="CP844" s="43"/>
      <c r="CQ844" s="43"/>
      <c r="CR844" s="43"/>
      <c r="CS844" s="43"/>
      <c r="CT844" s="43"/>
      <c r="CU844" s="43"/>
      <c r="CV844" s="43"/>
      <c r="CW844" s="43"/>
      <c r="CX844" s="43"/>
      <c r="CY844" s="43"/>
      <c r="CZ844" s="43"/>
      <c r="DA844" s="43"/>
      <c r="DB844" s="43"/>
      <c r="DC844" s="43"/>
      <c r="DD844" s="43"/>
      <c r="DE844" s="43"/>
      <c r="DF844" s="43"/>
      <c r="DG844" s="43"/>
      <c r="DH844" s="43"/>
      <c r="DI844" s="43"/>
      <c r="DJ844" s="43"/>
      <c r="DK844" s="43"/>
      <c r="DL844" s="43"/>
      <c r="DM844" s="43"/>
      <c r="DN844" s="43"/>
      <c r="DO844" s="43"/>
      <c r="DP844" s="43"/>
      <c r="DQ844" s="43"/>
      <c r="DR844" s="43"/>
      <c r="DS844" s="43"/>
      <c r="DT844" s="43"/>
      <c r="DU844" s="43"/>
      <c r="DV844" s="43"/>
      <c r="DW844" s="43"/>
      <c r="DX844" s="43"/>
      <c r="DY844" s="43"/>
      <c r="DZ844" s="43"/>
      <c r="EA844" s="43"/>
      <c r="EB844" s="43"/>
      <c r="EC844" s="43"/>
      <c r="ED844" s="43"/>
      <c r="EE844" s="43"/>
      <c r="EF844" s="43"/>
      <c r="EG844" s="43"/>
      <c r="EH844" s="43"/>
      <c r="EI844" s="43"/>
      <c r="EJ844" s="43"/>
      <c r="EK844" s="43"/>
      <c r="EL844" s="43"/>
      <c r="EM844" s="43"/>
      <c r="EN844" s="43"/>
      <c r="EO844" s="43"/>
      <c r="EP844" s="43"/>
      <c r="EQ844" s="43"/>
      <c r="ER844" s="43"/>
      <c r="ES844" s="43"/>
      <c r="ET844" s="43"/>
      <c r="EU844" s="43"/>
      <c r="EV844" s="43"/>
      <c r="EW844" s="43"/>
      <c r="EX844" s="43"/>
      <c r="EY844" s="43"/>
      <c r="EZ844" s="43"/>
      <c r="FA844" s="43"/>
      <c r="FB844" s="43"/>
      <c r="FC844" s="43"/>
      <c r="FD844" s="43"/>
      <c r="FE844" s="43"/>
      <c r="FF844" s="43"/>
      <c r="FG844" s="43"/>
      <c r="FH844" s="50"/>
      <c r="FI844" s="50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  <c r="AX845" s="43"/>
      <c r="AY845" s="43"/>
      <c r="AZ845" s="43"/>
      <c r="BA845" s="43"/>
      <c r="BB845" s="43"/>
      <c r="BC845" s="43"/>
      <c r="BD845" s="43"/>
      <c r="BE845" s="43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43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43"/>
      <c r="CF845" s="43"/>
      <c r="CG845" s="43"/>
      <c r="CH845" s="43"/>
      <c r="CI845" s="43"/>
      <c r="CJ845" s="43"/>
      <c r="CK845" s="43"/>
      <c r="CL845" s="43"/>
      <c r="CM845" s="43"/>
      <c r="CN845" s="43"/>
      <c r="CO845" s="43"/>
      <c r="CP845" s="43"/>
      <c r="CQ845" s="43"/>
      <c r="CR845" s="43"/>
      <c r="CS845" s="43"/>
      <c r="CT845" s="43"/>
      <c r="CU845" s="43"/>
      <c r="CV845" s="43"/>
      <c r="CW845" s="43"/>
      <c r="CX845" s="43"/>
      <c r="CY845" s="43"/>
      <c r="CZ845" s="43"/>
      <c r="DA845" s="43"/>
      <c r="DB845" s="43"/>
      <c r="DC845" s="43"/>
      <c r="DD845" s="43"/>
      <c r="DE845" s="43"/>
      <c r="DF845" s="43"/>
      <c r="DG845" s="43"/>
      <c r="DH845" s="43"/>
      <c r="DI845" s="43"/>
      <c r="DJ845" s="43"/>
      <c r="DK845" s="43"/>
      <c r="DL845" s="43"/>
      <c r="DM845" s="43"/>
      <c r="DN845" s="43"/>
      <c r="DO845" s="43"/>
      <c r="DP845" s="43"/>
      <c r="DQ845" s="43"/>
      <c r="DR845" s="43"/>
      <c r="DS845" s="43"/>
      <c r="DT845" s="43"/>
      <c r="DU845" s="43"/>
      <c r="DV845" s="43"/>
      <c r="DW845" s="43"/>
      <c r="DX845" s="43"/>
      <c r="DY845" s="43"/>
      <c r="DZ845" s="43"/>
      <c r="EA845" s="43"/>
      <c r="EB845" s="43"/>
      <c r="EC845" s="43"/>
      <c r="ED845" s="43"/>
      <c r="EE845" s="43"/>
      <c r="EF845" s="43"/>
      <c r="EG845" s="43"/>
      <c r="EH845" s="43"/>
      <c r="EI845" s="43"/>
      <c r="EJ845" s="43"/>
      <c r="EK845" s="43"/>
      <c r="EL845" s="43"/>
      <c r="EM845" s="43"/>
      <c r="EN845" s="43"/>
      <c r="EO845" s="43"/>
      <c r="EP845" s="43"/>
      <c r="EQ845" s="43"/>
      <c r="ER845" s="43"/>
      <c r="ES845" s="43"/>
      <c r="ET845" s="43"/>
      <c r="EU845" s="43"/>
      <c r="EV845" s="43"/>
      <c r="EW845" s="43"/>
      <c r="EX845" s="43"/>
      <c r="EY845" s="43"/>
      <c r="EZ845" s="43"/>
      <c r="FA845" s="43"/>
      <c r="FB845" s="43"/>
      <c r="FC845" s="43"/>
      <c r="FD845" s="43"/>
      <c r="FE845" s="43"/>
      <c r="FF845" s="43"/>
      <c r="FG845" s="43"/>
      <c r="FH845" s="50"/>
      <c r="FI845" s="50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  <c r="AX846" s="43"/>
      <c r="AY846" s="43"/>
      <c r="AZ846" s="43"/>
      <c r="BA846" s="43"/>
      <c r="BB846" s="43"/>
      <c r="BC846" s="43"/>
      <c r="BD846" s="43"/>
      <c r="BE846" s="43"/>
      <c r="BF846" s="43"/>
      <c r="BG846" s="43"/>
      <c r="BH846" s="43"/>
      <c r="BI846" s="43"/>
      <c r="BJ846" s="43"/>
      <c r="BK846" s="43"/>
      <c r="BL846" s="43"/>
      <c r="BM846" s="43"/>
      <c r="BN846" s="43"/>
      <c r="BO846" s="43"/>
      <c r="BP846" s="43"/>
      <c r="BQ846" s="43"/>
      <c r="BR846" s="43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43"/>
      <c r="CF846" s="43"/>
      <c r="CG846" s="43"/>
      <c r="CH846" s="43"/>
      <c r="CI846" s="43"/>
      <c r="CJ846" s="43"/>
      <c r="CK846" s="43"/>
      <c r="CL846" s="43"/>
      <c r="CM846" s="43"/>
      <c r="CN846" s="43"/>
      <c r="CO846" s="43"/>
      <c r="CP846" s="43"/>
      <c r="CQ846" s="43"/>
      <c r="CR846" s="43"/>
      <c r="CS846" s="43"/>
      <c r="CT846" s="43"/>
      <c r="CU846" s="43"/>
      <c r="CV846" s="43"/>
      <c r="CW846" s="43"/>
      <c r="CX846" s="43"/>
      <c r="CY846" s="43"/>
      <c r="CZ846" s="43"/>
      <c r="DA846" s="43"/>
      <c r="DB846" s="43"/>
      <c r="DC846" s="43"/>
      <c r="DD846" s="43"/>
      <c r="DE846" s="43"/>
      <c r="DF846" s="43"/>
      <c r="DG846" s="43"/>
      <c r="DH846" s="43"/>
      <c r="DI846" s="43"/>
      <c r="DJ846" s="43"/>
      <c r="DK846" s="43"/>
      <c r="DL846" s="43"/>
      <c r="DM846" s="43"/>
      <c r="DN846" s="43"/>
      <c r="DO846" s="43"/>
      <c r="DP846" s="43"/>
      <c r="DQ846" s="43"/>
      <c r="DR846" s="43"/>
      <c r="DS846" s="43"/>
      <c r="DT846" s="43"/>
      <c r="DU846" s="43"/>
      <c r="DV846" s="43"/>
      <c r="DW846" s="43"/>
      <c r="DX846" s="43"/>
      <c r="DY846" s="43"/>
      <c r="DZ846" s="43"/>
      <c r="EA846" s="43"/>
      <c r="EB846" s="43"/>
      <c r="EC846" s="43"/>
      <c r="ED846" s="43"/>
      <c r="EE846" s="43"/>
      <c r="EF846" s="43"/>
      <c r="EG846" s="43"/>
      <c r="EH846" s="43"/>
      <c r="EI846" s="43"/>
      <c r="EJ846" s="43"/>
      <c r="EK846" s="43"/>
      <c r="EL846" s="43"/>
      <c r="EM846" s="43"/>
      <c r="EN846" s="43"/>
      <c r="EO846" s="43"/>
      <c r="EP846" s="43"/>
      <c r="EQ846" s="43"/>
      <c r="ER846" s="43"/>
      <c r="ES846" s="43"/>
      <c r="ET846" s="43"/>
      <c r="EU846" s="43"/>
      <c r="EV846" s="43"/>
      <c r="EW846" s="43"/>
      <c r="EX846" s="43"/>
      <c r="EY846" s="43"/>
      <c r="EZ846" s="43"/>
      <c r="FA846" s="43"/>
      <c r="FB846" s="43"/>
      <c r="FC846" s="43"/>
      <c r="FD846" s="43"/>
      <c r="FE846" s="43"/>
      <c r="FF846" s="43"/>
      <c r="FG846" s="43"/>
      <c r="FH846" s="50"/>
      <c r="FI846" s="50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43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43"/>
      <c r="CF847" s="43"/>
      <c r="CG847" s="43"/>
      <c r="CH847" s="43"/>
      <c r="CI847" s="43"/>
      <c r="CJ847" s="43"/>
      <c r="CK847" s="43"/>
      <c r="CL847" s="43"/>
      <c r="CM847" s="43"/>
      <c r="CN847" s="43"/>
      <c r="CO847" s="43"/>
      <c r="CP847" s="43"/>
      <c r="CQ847" s="43"/>
      <c r="CR847" s="43"/>
      <c r="CS847" s="43"/>
      <c r="CT847" s="43"/>
      <c r="CU847" s="43"/>
      <c r="CV847" s="43"/>
      <c r="CW847" s="43"/>
      <c r="CX847" s="43"/>
      <c r="CY847" s="43"/>
      <c r="CZ847" s="43"/>
      <c r="DA847" s="43"/>
      <c r="DB847" s="43"/>
      <c r="DC847" s="43"/>
      <c r="DD847" s="43"/>
      <c r="DE847" s="43"/>
      <c r="DF847" s="43"/>
      <c r="DG847" s="43"/>
      <c r="DH847" s="43"/>
      <c r="DI847" s="43"/>
      <c r="DJ847" s="43"/>
      <c r="DK847" s="43"/>
      <c r="DL847" s="43"/>
      <c r="DM847" s="43"/>
      <c r="DN847" s="43"/>
      <c r="DO847" s="43"/>
      <c r="DP847" s="43"/>
      <c r="DQ847" s="43"/>
      <c r="DR847" s="43"/>
      <c r="DS847" s="43"/>
      <c r="DT847" s="43"/>
      <c r="DU847" s="43"/>
      <c r="DV847" s="43"/>
      <c r="DW847" s="43"/>
      <c r="DX847" s="43"/>
      <c r="DY847" s="43"/>
      <c r="DZ847" s="43"/>
      <c r="EA847" s="43"/>
      <c r="EB847" s="43"/>
      <c r="EC847" s="43"/>
      <c r="ED847" s="43"/>
      <c r="EE847" s="43"/>
      <c r="EF847" s="43"/>
      <c r="EG847" s="43"/>
      <c r="EH847" s="43"/>
      <c r="EI847" s="43"/>
      <c r="EJ847" s="43"/>
      <c r="EK847" s="43"/>
      <c r="EL847" s="43"/>
      <c r="EM847" s="43"/>
      <c r="EN847" s="43"/>
      <c r="EO847" s="43"/>
      <c r="EP847" s="43"/>
      <c r="EQ847" s="43"/>
      <c r="ER847" s="43"/>
      <c r="ES847" s="43"/>
      <c r="ET847" s="43"/>
      <c r="EU847" s="43"/>
      <c r="EV847" s="43"/>
      <c r="EW847" s="43"/>
      <c r="EX847" s="43"/>
      <c r="EY847" s="43"/>
      <c r="EZ847" s="43"/>
      <c r="FA847" s="43"/>
      <c r="FB847" s="43"/>
      <c r="FC847" s="43"/>
      <c r="FD847" s="43"/>
      <c r="FE847" s="43"/>
      <c r="FF847" s="43"/>
      <c r="FG847" s="43"/>
      <c r="FH847" s="50"/>
      <c r="FI847" s="50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  <c r="AX848" s="43"/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43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43"/>
      <c r="CF848" s="43"/>
      <c r="CG848" s="43"/>
      <c r="CH848" s="43"/>
      <c r="CI848" s="43"/>
      <c r="CJ848" s="43"/>
      <c r="CK848" s="43"/>
      <c r="CL848" s="43"/>
      <c r="CM848" s="43"/>
      <c r="CN848" s="43"/>
      <c r="CO848" s="43"/>
      <c r="CP848" s="43"/>
      <c r="CQ848" s="43"/>
      <c r="CR848" s="43"/>
      <c r="CS848" s="43"/>
      <c r="CT848" s="43"/>
      <c r="CU848" s="43"/>
      <c r="CV848" s="43"/>
      <c r="CW848" s="43"/>
      <c r="CX848" s="43"/>
      <c r="CY848" s="43"/>
      <c r="CZ848" s="43"/>
      <c r="DA848" s="43"/>
      <c r="DB848" s="43"/>
      <c r="DC848" s="43"/>
      <c r="DD848" s="43"/>
      <c r="DE848" s="43"/>
      <c r="DF848" s="43"/>
      <c r="DG848" s="43"/>
      <c r="DH848" s="43"/>
      <c r="DI848" s="43"/>
      <c r="DJ848" s="43"/>
      <c r="DK848" s="43"/>
      <c r="DL848" s="43"/>
      <c r="DM848" s="43"/>
      <c r="DN848" s="43"/>
      <c r="DO848" s="43"/>
      <c r="DP848" s="43"/>
      <c r="DQ848" s="43"/>
      <c r="DR848" s="43"/>
      <c r="DS848" s="43"/>
      <c r="DT848" s="43"/>
      <c r="DU848" s="43"/>
      <c r="DV848" s="43"/>
      <c r="DW848" s="43"/>
      <c r="DX848" s="43"/>
      <c r="DY848" s="43"/>
      <c r="DZ848" s="43"/>
      <c r="EA848" s="43"/>
      <c r="EB848" s="43"/>
      <c r="EC848" s="43"/>
      <c r="ED848" s="43"/>
      <c r="EE848" s="43"/>
      <c r="EF848" s="43"/>
      <c r="EG848" s="43"/>
      <c r="EH848" s="43"/>
      <c r="EI848" s="43"/>
      <c r="EJ848" s="43"/>
      <c r="EK848" s="43"/>
      <c r="EL848" s="43"/>
      <c r="EM848" s="43"/>
      <c r="EN848" s="43"/>
      <c r="EO848" s="43"/>
      <c r="EP848" s="43"/>
      <c r="EQ848" s="43"/>
      <c r="ER848" s="43"/>
      <c r="ES848" s="43"/>
      <c r="ET848" s="43"/>
      <c r="EU848" s="43"/>
      <c r="EV848" s="43"/>
      <c r="EW848" s="43"/>
      <c r="EX848" s="43"/>
      <c r="EY848" s="43"/>
      <c r="EZ848" s="43"/>
      <c r="FA848" s="43"/>
      <c r="FB848" s="43"/>
      <c r="FC848" s="43"/>
      <c r="FD848" s="43"/>
      <c r="FE848" s="43"/>
      <c r="FF848" s="43"/>
      <c r="FG848" s="43"/>
      <c r="FH848" s="50"/>
      <c r="FI848" s="50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  <c r="AX849" s="43"/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43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43"/>
      <c r="CF849" s="43"/>
      <c r="CG849" s="43"/>
      <c r="CH849" s="43"/>
      <c r="CI849" s="43"/>
      <c r="CJ849" s="43"/>
      <c r="CK849" s="43"/>
      <c r="CL849" s="43"/>
      <c r="CM849" s="43"/>
      <c r="CN849" s="43"/>
      <c r="CO849" s="43"/>
      <c r="CP849" s="43"/>
      <c r="CQ849" s="43"/>
      <c r="CR849" s="43"/>
      <c r="CS849" s="43"/>
      <c r="CT849" s="43"/>
      <c r="CU849" s="43"/>
      <c r="CV849" s="43"/>
      <c r="CW849" s="43"/>
      <c r="CX849" s="43"/>
      <c r="CY849" s="43"/>
      <c r="CZ849" s="43"/>
      <c r="DA849" s="43"/>
      <c r="DB849" s="43"/>
      <c r="DC849" s="43"/>
      <c r="DD849" s="43"/>
      <c r="DE849" s="43"/>
      <c r="DF849" s="43"/>
      <c r="DG849" s="43"/>
      <c r="DH849" s="43"/>
      <c r="DI849" s="43"/>
      <c r="DJ849" s="43"/>
      <c r="DK849" s="43"/>
      <c r="DL849" s="43"/>
      <c r="DM849" s="43"/>
      <c r="DN849" s="43"/>
      <c r="DO849" s="43"/>
      <c r="DP849" s="43"/>
      <c r="DQ849" s="43"/>
      <c r="DR849" s="43"/>
      <c r="DS849" s="43"/>
      <c r="DT849" s="43"/>
      <c r="DU849" s="43"/>
      <c r="DV849" s="43"/>
      <c r="DW849" s="43"/>
      <c r="DX849" s="43"/>
      <c r="DY849" s="43"/>
      <c r="DZ849" s="43"/>
      <c r="EA849" s="43"/>
      <c r="EB849" s="43"/>
      <c r="EC849" s="43"/>
      <c r="ED849" s="43"/>
      <c r="EE849" s="43"/>
      <c r="EF849" s="43"/>
      <c r="EG849" s="43"/>
      <c r="EH849" s="43"/>
      <c r="EI849" s="43"/>
      <c r="EJ849" s="43"/>
      <c r="EK849" s="43"/>
      <c r="EL849" s="43"/>
      <c r="EM849" s="43"/>
      <c r="EN849" s="43"/>
      <c r="EO849" s="43"/>
      <c r="EP849" s="43"/>
      <c r="EQ849" s="43"/>
      <c r="ER849" s="43"/>
      <c r="ES849" s="43"/>
      <c r="ET849" s="43"/>
      <c r="EU849" s="43"/>
      <c r="EV849" s="43"/>
      <c r="EW849" s="43"/>
      <c r="EX849" s="43"/>
      <c r="EY849" s="43"/>
      <c r="EZ849" s="43"/>
      <c r="FA849" s="43"/>
      <c r="FB849" s="43"/>
      <c r="FC849" s="43"/>
      <c r="FD849" s="43"/>
      <c r="FE849" s="43"/>
      <c r="FF849" s="43"/>
      <c r="FG849" s="43"/>
      <c r="FH849" s="50"/>
      <c r="FI849" s="50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  <c r="AX850" s="43"/>
      <c r="AY850" s="43"/>
      <c r="AZ850" s="43"/>
      <c r="BA850" s="43"/>
      <c r="BB850" s="43"/>
      <c r="BC850" s="43"/>
      <c r="BD850" s="43"/>
      <c r="BE850" s="43"/>
      <c r="BF850" s="43"/>
      <c r="BG850" s="43"/>
      <c r="BH850" s="43"/>
      <c r="BI850" s="43"/>
      <c r="BJ850" s="43"/>
      <c r="BK850" s="43"/>
      <c r="BL850" s="43"/>
      <c r="BM850" s="43"/>
      <c r="BN850" s="43"/>
      <c r="BO850" s="43"/>
      <c r="BP850" s="43"/>
      <c r="BQ850" s="43"/>
      <c r="BR850" s="43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43"/>
      <c r="CF850" s="43"/>
      <c r="CG850" s="43"/>
      <c r="CH850" s="43"/>
      <c r="CI850" s="43"/>
      <c r="CJ850" s="43"/>
      <c r="CK850" s="43"/>
      <c r="CL850" s="43"/>
      <c r="CM850" s="43"/>
      <c r="CN850" s="43"/>
      <c r="CO850" s="43"/>
      <c r="CP850" s="43"/>
      <c r="CQ850" s="43"/>
      <c r="CR850" s="43"/>
      <c r="CS850" s="43"/>
      <c r="CT850" s="43"/>
      <c r="CU850" s="43"/>
      <c r="CV850" s="43"/>
      <c r="CW850" s="43"/>
      <c r="CX850" s="43"/>
      <c r="CY850" s="43"/>
      <c r="CZ850" s="43"/>
      <c r="DA850" s="43"/>
      <c r="DB850" s="43"/>
      <c r="DC850" s="43"/>
      <c r="DD850" s="43"/>
      <c r="DE850" s="43"/>
      <c r="DF850" s="43"/>
      <c r="DG850" s="43"/>
      <c r="DH850" s="43"/>
      <c r="DI850" s="43"/>
      <c r="DJ850" s="43"/>
      <c r="DK850" s="43"/>
      <c r="DL850" s="43"/>
      <c r="DM850" s="43"/>
      <c r="DN850" s="43"/>
      <c r="DO850" s="43"/>
      <c r="DP850" s="43"/>
      <c r="DQ850" s="43"/>
      <c r="DR850" s="43"/>
      <c r="DS850" s="43"/>
      <c r="DT850" s="43"/>
      <c r="DU850" s="43"/>
      <c r="DV850" s="43"/>
      <c r="DW850" s="43"/>
      <c r="DX850" s="43"/>
      <c r="DY850" s="43"/>
      <c r="DZ850" s="43"/>
      <c r="EA850" s="43"/>
      <c r="EB850" s="43"/>
      <c r="EC850" s="43"/>
      <c r="ED850" s="43"/>
      <c r="EE850" s="43"/>
      <c r="EF850" s="43"/>
      <c r="EG850" s="43"/>
      <c r="EH850" s="43"/>
      <c r="EI850" s="43"/>
      <c r="EJ850" s="43"/>
      <c r="EK850" s="43"/>
      <c r="EL850" s="43"/>
      <c r="EM850" s="43"/>
      <c r="EN850" s="43"/>
      <c r="EO850" s="43"/>
      <c r="EP850" s="43"/>
      <c r="EQ850" s="43"/>
      <c r="ER850" s="43"/>
      <c r="ES850" s="43"/>
      <c r="ET850" s="43"/>
      <c r="EU850" s="43"/>
      <c r="EV850" s="43"/>
      <c r="EW850" s="43"/>
      <c r="EX850" s="43"/>
      <c r="EY850" s="43"/>
      <c r="EZ850" s="43"/>
      <c r="FA850" s="43"/>
      <c r="FB850" s="43"/>
      <c r="FC850" s="43"/>
      <c r="FD850" s="43"/>
      <c r="FE850" s="43"/>
      <c r="FF850" s="43"/>
      <c r="FG850" s="43"/>
      <c r="FH850" s="50"/>
      <c r="FI850" s="50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  <c r="AX851" s="43"/>
      <c r="AY851" s="43"/>
      <c r="AZ851" s="43"/>
      <c r="BA851" s="43"/>
      <c r="BB851" s="43"/>
      <c r="BC851" s="43"/>
      <c r="BD851" s="43"/>
      <c r="BE851" s="43"/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43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43"/>
      <c r="CF851" s="43"/>
      <c r="CG851" s="43"/>
      <c r="CH851" s="43"/>
      <c r="CI851" s="43"/>
      <c r="CJ851" s="43"/>
      <c r="CK851" s="43"/>
      <c r="CL851" s="43"/>
      <c r="CM851" s="43"/>
      <c r="CN851" s="43"/>
      <c r="CO851" s="43"/>
      <c r="CP851" s="43"/>
      <c r="CQ851" s="43"/>
      <c r="CR851" s="43"/>
      <c r="CS851" s="43"/>
      <c r="CT851" s="43"/>
      <c r="CU851" s="43"/>
      <c r="CV851" s="43"/>
      <c r="CW851" s="43"/>
      <c r="CX851" s="43"/>
      <c r="CY851" s="43"/>
      <c r="CZ851" s="43"/>
      <c r="DA851" s="43"/>
      <c r="DB851" s="43"/>
      <c r="DC851" s="43"/>
      <c r="DD851" s="43"/>
      <c r="DE851" s="43"/>
      <c r="DF851" s="43"/>
      <c r="DG851" s="43"/>
      <c r="DH851" s="43"/>
      <c r="DI851" s="43"/>
      <c r="DJ851" s="43"/>
      <c r="DK851" s="43"/>
      <c r="DL851" s="43"/>
      <c r="DM851" s="43"/>
      <c r="DN851" s="43"/>
      <c r="DO851" s="43"/>
      <c r="DP851" s="43"/>
      <c r="DQ851" s="43"/>
      <c r="DR851" s="43"/>
      <c r="DS851" s="43"/>
      <c r="DT851" s="43"/>
      <c r="DU851" s="43"/>
      <c r="DV851" s="43"/>
      <c r="DW851" s="43"/>
      <c r="DX851" s="43"/>
      <c r="DY851" s="43"/>
      <c r="DZ851" s="43"/>
      <c r="EA851" s="43"/>
      <c r="EB851" s="43"/>
      <c r="EC851" s="43"/>
      <c r="ED851" s="43"/>
      <c r="EE851" s="43"/>
      <c r="EF851" s="43"/>
      <c r="EG851" s="43"/>
      <c r="EH851" s="43"/>
      <c r="EI851" s="43"/>
      <c r="EJ851" s="43"/>
      <c r="EK851" s="43"/>
      <c r="EL851" s="43"/>
      <c r="EM851" s="43"/>
      <c r="EN851" s="43"/>
      <c r="EO851" s="43"/>
      <c r="EP851" s="43"/>
      <c r="EQ851" s="43"/>
      <c r="ER851" s="43"/>
      <c r="ES851" s="43"/>
      <c r="ET851" s="43"/>
      <c r="EU851" s="43"/>
      <c r="EV851" s="43"/>
      <c r="EW851" s="43"/>
      <c r="EX851" s="43"/>
      <c r="EY851" s="43"/>
      <c r="EZ851" s="43"/>
      <c r="FA851" s="43"/>
      <c r="FB851" s="43"/>
      <c r="FC851" s="43"/>
      <c r="FD851" s="43"/>
      <c r="FE851" s="43"/>
      <c r="FF851" s="43"/>
      <c r="FG851" s="43"/>
      <c r="FH851" s="50"/>
      <c r="FI851" s="50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  <c r="AX852" s="43"/>
      <c r="AY852" s="43"/>
      <c r="AZ852" s="43"/>
      <c r="BA852" s="43"/>
      <c r="BB852" s="43"/>
      <c r="BC852" s="43"/>
      <c r="BD852" s="43"/>
      <c r="BE852" s="43"/>
      <c r="BF852" s="43"/>
      <c r="BG852" s="43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R852" s="43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43"/>
      <c r="CF852" s="43"/>
      <c r="CG852" s="43"/>
      <c r="CH852" s="43"/>
      <c r="CI852" s="43"/>
      <c r="CJ852" s="43"/>
      <c r="CK852" s="43"/>
      <c r="CL852" s="43"/>
      <c r="CM852" s="43"/>
      <c r="CN852" s="43"/>
      <c r="CO852" s="43"/>
      <c r="CP852" s="43"/>
      <c r="CQ852" s="43"/>
      <c r="CR852" s="43"/>
      <c r="CS852" s="43"/>
      <c r="CT852" s="43"/>
      <c r="CU852" s="43"/>
      <c r="CV852" s="43"/>
      <c r="CW852" s="43"/>
      <c r="CX852" s="43"/>
      <c r="CY852" s="43"/>
      <c r="CZ852" s="43"/>
      <c r="DA852" s="43"/>
      <c r="DB852" s="43"/>
      <c r="DC852" s="43"/>
      <c r="DD852" s="43"/>
      <c r="DE852" s="43"/>
      <c r="DF852" s="43"/>
      <c r="DG852" s="43"/>
      <c r="DH852" s="43"/>
      <c r="DI852" s="43"/>
      <c r="DJ852" s="43"/>
      <c r="DK852" s="43"/>
      <c r="DL852" s="43"/>
      <c r="DM852" s="43"/>
      <c r="DN852" s="43"/>
      <c r="DO852" s="43"/>
      <c r="DP852" s="43"/>
      <c r="DQ852" s="43"/>
      <c r="DR852" s="43"/>
      <c r="DS852" s="43"/>
      <c r="DT852" s="43"/>
      <c r="DU852" s="43"/>
      <c r="DV852" s="43"/>
      <c r="DW852" s="43"/>
      <c r="DX852" s="43"/>
      <c r="DY852" s="43"/>
      <c r="DZ852" s="43"/>
      <c r="EA852" s="43"/>
      <c r="EB852" s="43"/>
      <c r="EC852" s="43"/>
      <c r="ED852" s="43"/>
      <c r="EE852" s="43"/>
      <c r="EF852" s="43"/>
      <c r="EG852" s="43"/>
      <c r="EH852" s="43"/>
      <c r="EI852" s="43"/>
      <c r="EJ852" s="43"/>
      <c r="EK852" s="43"/>
      <c r="EL852" s="43"/>
      <c r="EM852" s="43"/>
      <c r="EN852" s="43"/>
      <c r="EO852" s="43"/>
      <c r="EP852" s="43"/>
      <c r="EQ852" s="43"/>
      <c r="ER852" s="43"/>
      <c r="ES852" s="43"/>
      <c r="ET852" s="43"/>
      <c r="EU852" s="43"/>
      <c r="EV852" s="43"/>
      <c r="EW852" s="43"/>
      <c r="EX852" s="43"/>
      <c r="EY852" s="43"/>
      <c r="EZ852" s="43"/>
      <c r="FA852" s="43"/>
      <c r="FB852" s="43"/>
      <c r="FC852" s="43"/>
      <c r="FD852" s="43"/>
      <c r="FE852" s="43"/>
      <c r="FF852" s="43"/>
      <c r="FG852" s="43"/>
      <c r="FH852" s="50"/>
      <c r="FI852" s="50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  <c r="AX853" s="43"/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43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43"/>
      <c r="CF853" s="43"/>
      <c r="CG853" s="43"/>
      <c r="CH853" s="43"/>
      <c r="CI853" s="43"/>
      <c r="CJ853" s="43"/>
      <c r="CK853" s="43"/>
      <c r="CL853" s="43"/>
      <c r="CM853" s="43"/>
      <c r="CN853" s="43"/>
      <c r="CO853" s="43"/>
      <c r="CP853" s="43"/>
      <c r="CQ853" s="43"/>
      <c r="CR853" s="43"/>
      <c r="CS853" s="43"/>
      <c r="CT853" s="43"/>
      <c r="CU853" s="43"/>
      <c r="CV853" s="43"/>
      <c r="CW853" s="43"/>
      <c r="CX853" s="43"/>
      <c r="CY853" s="43"/>
      <c r="CZ853" s="43"/>
      <c r="DA853" s="43"/>
      <c r="DB853" s="43"/>
      <c r="DC853" s="43"/>
      <c r="DD853" s="43"/>
      <c r="DE853" s="43"/>
      <c r="DF853" s="43"/>
      <c r="DG853" s="43"/>
      <c r="DH853" s="43"/>
      <c r="DI853" s="43"/>
      <c r="DJ853" s="43"/>
      <c r="DK853" s="43"/>
      <c r="DL853" s="43"/>
      <c r="DM853" s="43"/>
      <c r="DN853" s="43"/>
      <c r="DO853" s="43"/>
      <c r="DP853" s="43"/>
      <c r="DQ853" s="43"/>
      <c r="DR853" s="43"/>
      <c r="DS853" s="43"/>
      <c r="DT853" s="43"/>
      <c r="DU853" s="43"/>
      <c r="DV853" s="43"/>
      <c r="DW853" s="43"/>
      <c r="DX853" s="43"/>
      <c r="DY853" s="43"/>
      <c r="DZ853" s="43"/>
      <c r="EA853" s="43"/>
      <c r="EB853" s="43"/>
      <c r="EC853" s="43"/>
      <c r="ED853" s="43"/>
      <c r="EE853" s="43"/>
      <c r="EF853" s="43"/>
      <c r="EG853" s="43"/>
      <c r="EH853" s="43"/>
      <c r="EI853" s="43"/>
      <c r="EJ853" s="43"/>
      <c r="EK853" s="43"/>
      <c r="EL853" s="43"/>
      <c r="EM853" s="43"/>
      <c r="EN853" s="43"/>
      <c r="EO853" s="43"/>
      <c r="EP853" s="43"/>
      <c r="EQ853" s="43"/>
      <c r="ER853" s="43"/>
      <c r="ES853" s="43"/>
      <c r="ET853" s="43"/>
      <c r="EU853" s="43"/>
      <c r="EV853" s="43"/>
      <c r="EW853" s="43"/>
      <c r="EX853" s="43"/>
      <c r="EY853" s="43"/>
      <c r="EZ853" s="43"/>
      <c r="FA853" s="43"/>
      <c r="FB853" s="43"/>
      <c r="FC853" s="43"/>
      <c r="FD853" s="43"/>
      <c r="FE853" s="43"/>
      <c r="FF853" s="43"/>
      <c r="FG853" s="43"/>
      <c r="FH853" s="50"/>
      <c r="FI853" s="50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  <c r="AX854" s="43"/>
      <c r="AY854" s="43"/>
      <c r="AZ854" s="43"/>
      <c r="BA854" s="43"/>
      <c r="BB854" s="43"/>
      <c r="BC854" s="43"/>
      <c r="BD854" s="43"/>
      <c r="BE854" s="43"/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43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43"/>
      <c r="CF854" s="43"/>
      <c r="CG854" s="43"/>
      <c r="CH854" s="43"/>
      <c r="CI854" s="43"/>
      <c r="CJ854" s="43"/>
      <c r="CK854" s="43"/>
      <c r="CL854" s="43"/>
      <c r="CM854" s="43"/>
      <c r="CN854" s="43"/>
      <c r="CO854" s="43"/>
      <c r="CP854" s="43"/>
      <c r="CQ854" s="43"/>
      <c r="CR854" s="43"/>
      <c r="CS854" s="43"/>
      <c r="CT854" s="43"/>
      <c r="CU854" s="43"/>
      <c r="CV854" s="43"/>
      <c r="CW854" s="43"/>
      <c r="CX854" s="43"/>
      <c r="CY854" s="43"/>
      <c r="CZ854" s="43"/>
      <c r="DA854" s="43"/>
      <c r="DB854" s="43"/>
      <c r="DC854" s="43"/>
      <c r="DD854" s="43"/>
      <c r="DE854" s="43"/>
      <c r="DF854" s="43"/>
      <c r="DG854" s="43"/>
      <c r="DH854" s="43"/>
      <c r="DI854" s="43"/>
      <c r="DJ854" s="43"/>
      <c r="DK854" s="43"/>
      <c r="DL854" s="43"/>
      <c r="DM854" s="43"/>
      <c r="DN854" s="43"/>
      <c r="DO854" s="43"/>
      <c r="DP854" s="43"/>
      <c r="DQ854" s="43"/>
      <c r="DR854" s="43"/>
      <c r="DS854" s="43"/>
      <c r="DT854" s="43"/>
      <c r="DU854" s="43"/>
      <c r="DV854" s="43"/>
      <c r="DW854" s="43"/>
      <c r="DX854" s="43"/>
      <c r="DY854" s="43"/>
      <c r="DZ854" s="43"/>
      <c r="EA854" s="43"/>
      <c r="EB854" s="43"/>
      <c r="EC854" s="43"/>
      <c r="ED854" s="43"/>
      <c r="EE854" s="43"/>
      <c r="EF854" s="43"/>
      <c r="EG854" s="43"/>
      <c r="EH854" s="43"/>
      <c r="EI854" s="43"/>
      <c r="EJ854" s="43"/>
      <c r="EK854" s="43"/>
      <c r="EL854" s="43"/>
      <c r="EM854" s="43"/>
      <c r="EN854" s="43"/>
      <c r="EO854" s="43"/>
      <c r="EP854" s="43"/>
      <c r="EQ854" s="43"/>
      <c r="ER854" s="43"/>
      <c r="ES854" s="43"/>
      <c r="ET854" s="43"/>
      <c r="EU854" s="43"/>
      <c r="EV854" s="43"/>
      <c r="EW854" s="43"/>
      <c r="EX854" s="43"/>
      <c r="EY854" s="43"/>
      <c r="EZ854" s="43"/>
      <c r="FA854" s="43"/>
      <c r="FB854" s="43"/>
      <c r="FC854" s="43"/>
      <c r="FD854" s="43"/>
      <c r="FE854" s="43"/>
      <c r="FF854" s="43"/>
      <c r="FG854" s="43"/>
      <c r="FH854" s="50"/>
      <c r="FI854" s="50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43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43"/>
      <c r="CF855" s="43"/>
      <c r="CG855" s="43"/>
      <c r="CH855" s="43"/>
      <c r="CI855" s="43"/>
      <c r="CJ855" s="43"/>
      <c r="CK855" s="43"/>
      <c r="CL855" s="43"/>
      <c r="CM855" s="43"/>
      <c r="CN855" s="43"/>
      <c r="CO855" s="43"/>
      <c r="CP855" s="43"/>
      <c r="CQ855" s="43"/>
      <c r="CR855" s="43"/>
      <c r="CS855" s="43"/>
      <c r="CT855" s="43"/>
      <c r="CU855" s="43"/>
      <c r="CV855" s="43"/>
      <c r="CW855" s="43"/>
      <c r="CX855" s="43"/>
      <c r="CY855" s="43"/>
      <c r="CZ855" s="43"/>
      <c r="DA855" s="43"/>
      <c r="DB855" s="43"/>
      <c r="DC855" s="43"/>
      <c r="DD855" s="43"/>
      <c r="DE855" s="43"/>
      <c r="DF855" s="43"/>
      <c r="DG855" s="43"/>
      <c r="DH855" s="43"/>
      <c r="DI855" s="43"/>
      <c r="DJ855" s="43"/>
      <c r="DK855" s="43"/>
      <c r="DL855" s="43"/>
      <c r="DM855" s="43"/>
      <c r="DN855" s="43"/>
      <c r="DO855" s="43"/>
      <c r="DP855" s="43"/>
      <c r="DQ855" s="43"/>
      <c r="DR855" s="43"/>
      <c r="DS855" s="43"/>
      <c r="DT855" s="43"/>
      <c r="DU855" s="43"/>
      <c r="DV855" s="43"/>
      <c r="DW855" s="43"/>
      <c r="DX855" s="43"/>
      <c r="DY855" s="43"/>
      <c r="DZ855" s="43"/>
      <c r="EA855" s="43"/>
      <c r="EB855" s="43"/>
      <c r="EC855" s="43"/>
      <c r="ED855" s="43"/>
      <c r="EE855" s="43"/>
      <c r="EF855" s="43"/>
      <c r="EG855" s="43"/>
      <c r="EH855" s="43"/>
      <c r="EI855" s="43"/>
      <c r="EJ855" s="43"/>
      <c r="EK855" s="43"/>
      <c r="EL855" s="43"/>
      <c r="EM855" s="43"/>
      <c r="EN855" s="43"/>
      <c r="EO855" s="43"/>
      <c r="EP855" s="43"/>
      <c r="EQ855" s="43"/>
      <c r="ER855" s="43"/>
      <c r="ES855" s="43"/>
      <c r="ET855" s="43"/>
      <c r="EU855" s="43"/>
      <c r="EV855" s="43"/>
      <c r="EW855" s="43"/>
      <c r="EX855" s="43"/>
      <c r="EY855" s="43"/>
      <c r="EZ855" s="43"/>
      <c r="FA855" s="43"/>
      <c r="FB855" s="43"/>
      <c r="FC855" s="43"/>
      <c r="FD855" s="43"/>
      <c r="FE855" s="43"/>
      <c r="FF855" s="43"/>
      <c r="FG855" s="43"/>
      <c r="FH855" s="50"/>
      <c r="FI855" s="50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  <c r="AX856" s="43"/>
      <c r="AY856" s="43"/>
      <c r="AZ856" s="43"/>
      <c r="BA856" s="43"/>
      <c r="BB856" s="43"/>
      <c r="BC856" s="43"/>
      <c r="BD856" s="43"/>
      <c r="BE856" s="43"/>
      <c r="BF856" s="43"/>
      <c r="BG856" s="43"/>
      <c r="BH856" s="43"/>
      <c r="BI856" s="43"/>
      <c r="BJ856" s="43"/>
      <c r="BK856" s="43"/>
      <c r="BL856" s="43"/>
      <c r="BM856" s="43"/>
      <c r="BN856" s="43"/>
      <c r="BO856" s="43"/>
      <c r="BP856" s="43"/>
      <c r="BQ856" s="43"/>
      <c r="BR856" s="43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43"/>
      <c r="CF856" s="43"/>
      <c r="CG856" s="43"/>
      <c r="CH856" s="43"/>
      <c r="CI856" s="43"/>
      <c r="CJ856" s="43"/>
      <c r="CK856" s="43"/>
      <c r="CL856" s="43"/>
      <c r="CM856" s="43"/>
      <c r="CN856" s="43"/>
      <c r="CO856" s="43"/>
      <c r="CP856" s="43"/>
      <c r="CQ856" s="43"/>
      <c r="CR856" s="43"/>
      <c r="CS856" s="43"/>
      <c r="CT856" s="43"/>
      <c r="CU856" s="43"/>
      <c r="CV856" s="43"/>
      <c r="CW856" s="43"/>
      <c r="CX856" s="43"/>
      <c r="CY856" s="43"/>
      <c r="CZ856" s="43"/>
      <c r="DA856" s="43"/>
      <c r="DB856" s="43"/>
      <c r="DC856" s="43"/>
      <c r="DD856" s="43"/>
      <c r="DE856" s="43"/>
      <c r="DF856" s="43"/>
      <c r="DG856" s="43"/>
      <c r="DH856" s="43"/>
      <c r="DI856" s="43"/>
      <c r="DJ856" s="43"/>
      <c r="DK856" s="43"/>
      <c r="DL856" s="43"/>
      <c r="DM856" s="43"/>
      <c r="DN856" s="43"/>
      <c r="DO856" s="43"/>
      <c r="DP856" s="43"/>
      <c r="DQ856" s="43"/>
      <c r="DR856" s="43"/>
      <c r="DS856" s="43"/>
      <c r="DT856" s="43"/>
      <c r="DU856" s="43"/>
      <c r="DV856" s="43"/>
      <c r="DW856" s="43"/>
      <c r="DX856" s="43"/>
      <c r="DY856" s="43"/>
      <c r="DZ856" s="43"/>
      <c r="EA856" s="43"/>
      <c r="EB856" s="43"/>
      <c r="EC856" s="43"/>
      <c r="ED856" s="43"/>
      <c r="EE856" s="43"/>
      <c r="EF856" s="43"/>
      <c r="EG856" s="43"/>
      <c r="EH856" s="43"/>
      <c r="EI856" s="43"/>
      <c r="EJ856" s="43"/>
      <c r="EK856" s="43"/>
      <c r="EL856" s="43"/>
      <c r="EM856" s="43"/>
      <c r="EN856" s="43"/>
      <c r="EO856" s="43"/>
      <c r="EP856" s="43"/>
      <c r="EQ856" s="43"/>
      <c r="ER856" s="43"/>
      <c r="ES856" s="43"/>
      <c r="ET856" s="43"/>
      <c r="EU856" s="43"/>
      <c r="EV856" s="43"/>
      <c r="EW856" s="43"/>
      <c r="EX856" s="43"/>
      <c r="EY856" s="43"/>
      <c r="EZ856" s="43"/>
      <c r="FA856" s="43"/>
      <c r="FB856" s="43"/>
      <c r="FC856" s="43"/>
      <c r="FD856" s="43"/>
      <c r="FE856" s="43"/>
      <c r="FF856" s="43"/>
      <c r="FG856" s="43"/>
      <c r="FH856" s="50"/>
      <c r="FI856" s="50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  <c r="AX857" s="43"/>
      <c r="AY857" s="43"/>
      <c r="AZ857" s="43"/>
      <c r="BA857" s="43"/>
      <c r="BB857" s="43"/>
      <c r="BC857" s="43"/>
      <c r="BD857" s="43"/>
      <c r="BE857" s="43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43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43"/>
      <c r="CF857" s="43"/>
      <c r="CG857" s="43"/>
      <c r="CH857" s="43"/>
      <c r="CI857" s="43"/>
      <c r="CJ857" s="43"/>
      <c r="CK857" s="43"/>
      <c r="CL857" s="43"/>
      <c r="CM857" s="43"/>
      <c r="CN857" s="43"/>
      <c r="CO857" s="43"/>
      <c r="CP857" s="43"/>
      <c r="CQ857" s="43"/>
      <c r="CR857" s="43"/>
      <c r="CS857" s="43"/>
      <c r="CT857" s="43"/>
      <c r="CU857" s="43"/>
      <c r="CV857" s="43"/>
      <c r="CW857" s="43"/>
      <c r="CX857" s="43"/>
      <c r="CY857" s="43"/>
      <c r="CZ857" s="43"/>
      <c r="DA857" s="43"/>
      <c r="DB857" s="43"/>
      <c r="DC857" s="43"/>
      <c r="DD857" s="43"/>
      <c r="DE857" s="43"/>
      <c r="DF857" s="43"/>
      <c r="DG857" s="43"/>
      <c r="DH857" s="43"/>
      <c r="DI857" s="43"/>
      <c r="DJ857" s="43"/>
      <c r="DK857" s="43"/>
      <c r="DL857" s="43"/>
      <c r="DM857" s="43"/>
      <c r="DN857" s="43"/>
      <c r="DO857" s="43"/>
      <c r="DP857" s="43"/>
      <c r="DQ857" s="43"/>
      <c r="DR857" s="43"/>
      <c r="DS857" s="43"/>
      <c r="DT857" s="43"/>
      <c r="DU857" s="43"/>
      <c r="DV857" s="43"/>
      <c r="DW857" s="43"/>
      <c r="DX857" s="43"/>
      <c r="DY857" s="43"/>
      <c r="DZ857" s="43"/>
      <c r="EA857" s="43"/>
      <c r="EB857" s="43"/>
      <c r="EC857" s="43"/>
      <c r="ED857" s="43"/>
      <c r="EE857" s="43"/>
      <c r="EF857" s="43"/>
      <c r="EG857" s="43"/>
      <c r="EH857" s="43"/>
      <c r="EI857" s="43"/>
      <c r="EJ857" s="43"/>
      <c r="EK857" s="43"/>
      <c r="EL857" s="43"/>
      <c r="EM857" s="43"/>
      <c r="EN857" s="43"/>
      <c r="EO857" s="43"/>
      <c r="EP857" s="43"/>
      <c r="EQ857" s="43"/>
      <c r="ER857" s="43"/>
      <c r="ES857" s="43"/>
      <c r="ET857" s="43"/>
      <c r="EU857" s="43"/>
      <c r="EV857" s="43"/>
      <c r="EW857" s="43"/>
      <c r="EX857" s="43"/>
      <c r="EY857" s="43"/>
      <c r="EZ857" s="43"/>
      <c r="FA857" s="43"/>
      <c r="FB857" s="43"/>
      <c r="FC857" s="43"/>
      <c r="FD857" s="43"/>
      <c r="FE857" s="43"/>
      <c r="FF857" s="43"/>
      <c r="FG857" s="43"/>
      <c r="FH857" s="50"/>
      <c r="FI857" s="50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  <c r="AX858" s="43"/>
      <c r="AY858" s="43"/>
      <c r="AZ858" s="43"/>
      <c r="BA858" s="43"/>
      <c r="BB858" s="43"/>
      <c r="BC858" s="43"/>
      <c r="BD858" s="43"/>
      <c r="BE858" s="43"/>
      <c r="BF858" s="43"/>
      <c r="BG858" s="43"/>
      <c r="BH858" s="43"/>
      <c r="BI858" s="43"/>
      <c r="BJ858" s="43"/>
      <c r="BK858" s="43"/>
      <c r="BL858" s="43"/>
      <c r="BM858" s="43"/>
      <c r="BN858" s="43"/>
      <c r="BO858" s="43"/>
      <c r="BP858" s="43"/>
      <c r="BQ858" s="43"/>
      <c r="BR858" s="43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43"/>
      <c r="CF858" s="43"/>
      <c r="CG858" s="43"/>
      <c r="CH858" s="43"/>
      <c r="CI858" s="43"/>
      <c r="CJ858" s="43"/>
      <c r="CK858" s="43"/>
      <c r="CL858" s="43"/>
      <c r="CM858" s="43"/>
      <c r="CN858" s="43"/>
      <c r="CO858" s="43"/>
      <c r="CP858" s="43"/>
      <c r="CQ858" s="43"/>
      <c r="CR858" s="43"/>
      <c r="CS858" s="43"/>
      <c r="CT858" s="43"/>
      <c r="CU858" s="43"/>
      <c r="CV858" s="43"/>
      <c r="CW858" s="43"/>
      <c r="CX858" s="43"/>
      <c r="CY858" s="43"/>
      <c r="CZ858" s="43"/>
      <c r="DA858" s="43"/>
      <c r="DB858" s="43"/>
      <c r="DC858" s="43"/>
      <c r="DD858" s="43"/>
      <c r="DE858" s="43"/>
      <c r="DF858" s="43"/>
      <c r="DG858" s="43"/>
      <c r="DH858" s="43"/>
      <c r="DI858" s="43"/>
      <c r="DJ858" s="43"/>
      <c r="DK858" s="43"/>
      <c r="DL858" s="43"/>
      <c r="DM858" s="43"/>
      <c r="DN858" s="43"/>
      <c r="DO858" s="43"/>
      <c r="DP858" s="43"/>
      <c r="DQ858" s="43"/>
      <c r="DR858" s="43"/>
      <c r="DS858" s="43"/>
      <c r="DT858" s="43"/>
      <c r="DU858" s="43"/>
      <c r="DV858" s="43"/>
      <c r="DW858" s="43"/>
      <c r="DX858" s="43"/>
      <c r="DY858" s="43"/>
      <c r="DZ858" s="43"/>
      <c r="EA858" s="43"/>
      <c r="EB858" s="43"/>
      <c r="EC858" s="43"/>
      <c r="ED858" s="43"/>
      <c r="EE858" s="43"/>
      <c r="EF858" s="43"/>
      <c r="EG858" s="43"/>
      <c r="EH858" s="43"/>
      <c r="EI858" s="43"/>
      <c r="EJ858" s="43"/>
      <c r="EK858" s="43"/>
      <c r="EL858" s="43"/>
      <c r="EM858" s="43"/>
      <c r="EN858" s="43"/>
      <c r="EO858" s="43"/>
      <c r="EP858" s="43"/>
      <c r="EQ858" s="43"/>
      <c r="ER858" s="43"/>
      <c r="ES858" s="43"/>
      <c r="ET858" s="43"/>
      <c r="EU858" s="43"/>
      <c r="EV858" s="43"/>
      <c r="EW858" s="43"/>
      <c r="EX858" s="43"/>
      <c r="EY858" s="43"/>
      <c r="EZ858" s="43"/>
      <c r="FA858" s="43"/>
      <c r="FB858" s="43"/>
      <c r="FC858" s="43"/>
      <c r="FD858" s="43"/>
      <c r="FE858" s="43"/>
      <c r="FF858" s="43"/>
      <c r="FG858" s="43"/>
      <c r="FH858" s="50"/>
      <c r="FI858" s="50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  <c r="AX859" s="43"/>
      <c r="AY859" s="43"/>
      <c r="AZ859" s="43"/>
      <c r="BA859" s="43"/>
      <c r="BB859" s="43"/>
      <c r="BC859" s="43"/>
      <c r="BD859" s="43"/>
      <c r="BE859" s="43"/>
      <c r="BF859" s="43"/>
      <c r="BG859" s="43"/>
      <c r="BH859" s="43"/>
      <c r="BI859" s="43"/>
      <c r="BJ859" s="43"/>
      <c r="BK859" s="43"/>
      <c r="BL859" s="43"/>
      <c r="BM859" s="43"/>
      <c r="BN859" s="43"/>
      <c r="BO859" s="43"/>
      <c r="BP859" s="43"/>
      <c r="BQ859" s="43"/>
      <c r="BR859" s="43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43"/>
      <c r="CF859" s="43"/>
      <c r="CG859" s="43"/>
      <c r="CH859" s="43"/>
      <c r="CI859" s="43"/>
      <c r="CJ859" s="43"/>
      <c r="CK859" s="43"/>
      <c r="CL859" s="43"/>
      <c r="CM859" s="43"/>
      <c r="CN859" s="43"/>
      <c r="CO859" s="43"/>
      <c r="CP859" s="43"/>
      <c r="CQ859" s="43"/>
      <c r="CR859" s="43"/>
      <c r="CS859" s="43"/>
      <c r="CT859" s="43"/>
      <c r="CU859" s="43"/>
      <c r="CV859" s="43"/>
      <c r="CW859" s="43"/>
      <c r="CX859" s="43"/>
      <c r="CY859" s="43"/>
      <c r="CZ859" s="43"/>
      <c r="DA859" s="43"/>
      <c r="DB859" s="43"/>
      <c r="DC859" s="43"/>
      <c r="DD859" s="43"/>
      <c r="DE859" s="43"/>
      <c r="DF859" s="43"/>
      <c r="DG859" s="43"/>
      <c r="DH859" s="43"/>
      <c r="DI859" s="43"/>
      <c r="DJ859" s="43"/>
      <c r="DK859" s="43"/>
      <c r="DL859" s="43"/>
      <c r="DM859" s="43"/>
      <c r="DN859" s="43"/>
      <c r="DO859" s="43"/>
      <c r="DP859" s="43"/>
      <c r="DQ859" s="43"/>
      <c r="DR859" s="43"/>
      <c r="DS859" s="43"/>
      <c r="DT859" s="43"/>
      <c r="DU859" s="43"/>
      <c r="DV859" s="43"/>
      <c r="DW859" s="43"/>
      <c r="DX859" s="43"/>
      <c r="DY859" s="43"/>
      <c r="DZ859" s="43"/>
      <c r="EA859" s="43"/>
      <c r="EB859" s="43"/>
      <c r="EC859" s="43"/>
      <c r="ED859" s="43"/>
      <c r="EE859" s="43"/>
      <c r="EF859" s="43"/>
      <c r="EG859" s="43"/>
      <c r="EH859" s="43"/>
      <c r="EI859" s="43"/>
      <c r="EJ859" s="43"/>
      <c r="EK859" s="43"/>
      <c r="EL859" s="43"/>
      <c r="EM859" s="43"/>
      <c r="EN859" s="43"/>
      <c r="EO859" s="43"/>
      <c r="EP859" s="43"/>
      <c r="EQ859" s="43"/>
      <c r="ER859" s="43"/>
      <c r="ES859" s="43"/>
      <c r="ET859" s="43"/>
      <c r="EU859" s="43"/>
      <c r="EV859" s="43"/>
      <c r="EW859" s="43"/>
      <c r="EX859" s="43"/>
      <c r="EY859" s="43"/>
      <c r="EZ859" s="43"/>
      <c r="FA859" s="43"/>
      <c r="FB859" s="43"/>
      <c r="FC859" s="43"/>
      <c r="FD859" s="43"/>
      <c r="FE859" s="43"/>
      <c r="FF859" s="43"/>
      <c r="FG859" s="43"/>
      <c r="FH859" s="50"/>
      <c r="FI859" s="50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  <c r="AX860" s="43"/>
      <c r="AY860" s="43"/>
      <c r="AZ860" s="43"/>
      <c r="BA860" s="43"/>
      <c r="BB860" s="43"/>
      <c r="BC860" s="43"/>
      <c r="BD860" s="43"/>
      <c r="BE860" s="43"/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43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43"/>
      <c r="CF860" s="43"/>
      <c r="CG860" s="43"/>
      <c r="CH860" s="43"/>
      <c r="CI860" s="43"/>
      <c r="CJ860" s="43"/>
      <c r="CK860" s="43"/>
      <c r="CL860" s="43"/>
      <c r="CM860" s="43"/>
      <c r="CN860" s="43"/>
      <c r="CO860" s="43"/>
      <c r="CP860" s="43"/>
      <c r="CQ860" s="43"/>
      <c r="CR860" s="43"/>
      <c r="CS860" s="43"/>
      <c r="CT860" s="43"/>
      <c r="CU860" s="43"/>
      <c r="CV860" s="43"/>
      <c r="CW860" s="43"/>
      <c r="CX860" s="43"/>
      <c r="CY860" s="43"/>
      <c r="CZ860" s="43"/>
      <c r="DA860" s="43"/>
      <c r="DB860" s="43"/>
      <c r="DC860" s="43"/>
      <c r="DD860" s="43"/>
      <c r="DE860" s="43"/>
      <c r="DF860" s="43"/>
      <c r="DG860" s="43"/>
      <c r="DH860" s="43"/>
      <c r="DI860" s="43"/>
      <c r="DJ860" s="43"/>
      <c r="DK860" s="43"/>
      <c r="DL860" s="43"/>
      <c r="DM860" s="43"/>
      <c r="DN860" s="43"/>
      <c r="DO860" s="43"/>
      <c r="DP860" s="43"/>
      <c r="DQ860" s="43"/>
      <c r="DR860" s="43"/>
      <c r="DS860" s="43"/>
      <c r="DT860" s="43"/>
      <c r="DU860" s="43"/>
      <c r="DV860" s="43"/>
      <c r="DW860" s="43"/>
      <c r="DX860" s="43"/>
      <c r="DY860" s="43"/>
      <c r="DZ860" s="43"/>
      <c r="EA860" s="43"/>
      <c r="EB860" s="43"/>
      <c r="EC860" s="43"/>
      <c r="ED860" s="43"/>
      <c r="EE860" s="43"/>
      <c r="EF860" s="43"/>
      <c r="EG860" s="43"/>
      <c r="EH860" s="43"/>
      <c r="EI860" s="43"/>
      <c r="EJ860" s="43"/>
      <c r="EK860" s="43"/>
      <c r="EL860" s="43"/>
      <c r="EM860" s="43"/>
      <c r="EN860" s="43"/>
      <c r="EO860" s="43"/>
      <c r="EP860" s="43"/>
      <c r="EQ860" s="43"/>
      <c r="ER860" s="43"/>
      <c r="ES860" s="43"/>
      <c r="ET860" s="43"/>
      <c r="EU860" s="43"/>
      <c r="EV860" s="43"/>
      <c r="EW860" s="43"/>
      <c r="EX860" s="43"/>
      <c r="EY860" s="43"/>
      <c r="EZ860" s="43"/>
      <c r="FA860" s="43"/>
      <c r="FB860" s="43"/>
      <c r="FC860" s="43"/>
      <c r="FD860" s="43"/>
      <c r="FE860" s="43"/>
      <c r="FF860" s="43"/>
      <c r="FG860" s="43"/>
      <c r="FH860" s="50"/>
      <c r="FI860" s="50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  <c r="AX861" s="43"/>
      <c r="AY861" s="43"/>
      <c r="AZ861" s="43"/>
      <c r="BA861" s="43"/>
      <c r="BB861" s="43"/>
      <c r="BC861" s="43"/>
      <c r="BD861" s="43"/>
      <c r="BE861" s="43"/>
      <c r="BF861" s="43"/>
      <c r="BG861" s="43"/>
      <c r="BH861" s="43"/>
      <c r="BI861" s="43"/>
      <c r="BJ861" s="43"/>
      <c r="BK861" s="43"/>
      <c r="BL861" s="43"/>
      <c r="BM861" s="43"/>
      <c r="BN861" s="43"/>
      <c r="BO861" s="43"/>
      <c r="BP861" s="43"/>
      <c r="BQ861" s="43"/>
      <c r="BR861" s="43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43"/>
      <c r="CF861" s="43"/>
      <c r="CG861" s="43"/>
      <c r="CH861" s="43"/>
      <c r="CI861" s="43"/>
      <c r="CJ861" s="43"/>
      <c r="CK861" s="43"/>
      <c r="CL861" s="43"/>
      <c r="CM861" s="43"/>
      <c r="CN861" s="43"/>
      <c r="CO861" s="43"/>
      <c r="CP861" s="43"/>
      <c r="CQ861" s="43"/>
      <c r="CR861" s="43"/>
      <c r="CS861" s="43"/>
      <c r="CT861" s="43"/>
      <c r="CU861" s="43"/>
      <c r="CV861" s="43"/>
      <c r="CW861" s="43"/>
      <c r="CX861" s="43"/>
      <c r="CY861" s="43"/>
      <c r="CZ861" s="43"/>
      <c r="DA861" s="43"/>
      <c r="DB861" s="43"/>
      <c r="DC861" s="43"/>
      <c r="DD861" s="43"/>
      <c r="DE861" s="43"/>
      <c r="DF861" s="43"/>
      <c r="DG861" s="43"/>
      <c r="DH861" s="43"/>
      <c r="DI861" s="43"/>
      <c r="DJ861" s="43"/>
      <c r="DK861" s="43"/>
      <c r="DL861" s="43"/>
      <c r="DM861" s="43"/>
      <c r="DN861" s="43"/>
      <c r="DO861" s="43"/>
      <c r="DP861" s="43"/>
      <c r="DQ861" s="43"/>
      <c r="DR861" s="43"/>
      <c r="DS861" s="43"/>
      <c r="DT861" s="43"/>
      <c r="DU861" s="43"/>
      <c r="DV861" s="43"/>
      <c r="DW861" s="43"/>
      <c r="DX861" s="43"/>
      <c r="DY861" s="43"/>
      <c r="DZ861" s="43"/>
      <c r="EA861" s="43"/>
      <c r="EB861" s="43"/>
      <c r="EC861" s="43"/>
      <c r="ED861" s="43"/>
      <c r="EE861" s="43"/>
      <c r="EF861" s="43"/>
      <c r="EG861" s="43"/>
      <c r="EH861" s="43"/>
      <c r="EI861" s="43"/>
      <c r="EJ861" s="43"/>
      <c r="EK861" s="43"/>
      <c r="EL861" s="43"/>
      <c r="EM861" s="43"/>
      <c r="EN861" s="43"/>
      <c r="EO861" s="43"/>
      <c r="EP861" s="43"/>
      <c r="EQ861" s="43"/>
      <c r="ER861" s="43"/>
      <c r="ES861" s="43"/>
      <c r="ET861" s="43"/>
      <c r="EU861" s="43"/>
      <c r="EV861" s="43"/>
      <c r="EW861" s="43"/>
      <c r="EX861" s="43"/>
      <c r="EY861" s="43"/>
      <c r="EZ861" s="43"/>
      <c r="FA861" s="43"/>
      <c r="FB861" s="43"/>
      <c r="FC861" s="43"/>
      <c r="FD861" s="43"/>
      <c r="FE861" s="43"/>
      <c r="FF861" s="43"/>
      <c r="FG861" s="43"/>
      <c r="FH861" s="50"/>
      <c r="FI861" s="50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  <c r="AX862" s="43"/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43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43"/>
      <c r="CF862" s="43"/>
      <c r="CG862" s="43"/>
      <c r="CH862" s="43"/>
      <c r="CI862" s="43"/>
      <c r="CJ862" s="43"/>
      <c r="CK862" s="43"/>
      <c r="CL862" s="43"/>
      <c r="CM862" s="43"/>
      <c r="CN862" s="43"/>
      <c r="CO862" s="43"/>
      <c r="CP862" s="43"/>
      <c r="CQ862" s="43"/>
      <c r="CR862" s="43"/>
      <c r="CS862" s="43"/>
      <c r="CT862" s="43"/>
      <c r="CU862" s="43"/>
      <c r="CV862" s="43"/>
      <c r="CW862" s="43"/>
      <c r="CX862" s="43"/>
      <c r="CY862" s="43"/>
      <c r="CZ862" s="43"/>
      <c r="DA862" s="43"/>
      <c r="DB862" s="43"/>
      <c r="DC862" s="43"/>
      <c r="DD862" s="43"/>
      <c r="DE862" s="43"/>
      <c r="DF862" s="43"/>
      <c r="DG862" s="43"/>
      <c r="DH862" s="43"/>
      <c r="DI862" s="43"/>
      <c r="DJ862" s="43"/>
      <c r="DK862" s="43"/>
      <c r="DL862" s="43"/>
      <c r="DM862" s="43"/>
      <c r="DN862" s="43"/>
      <c r="DO862" s="43"/>
      <c r="DP862" s="43"/>
      <c r="DQ862" s="43"/>
      <c r="DR862" s="43"/>
      <c r="DS862" s="43"/>
      <c r="DT862" s="43"/>
      <c r="DU862" s="43"/>
      <c r="DV862" s="43"/>
      <c r="DW862" s="43"/>
      <c r="DX862" s="43"/>
      <c r="DY862" s="43"/>
      <c r="DZ862" s="43"/>
      <c r="EA862" s="43"/>
      <c r="EB862" s="43"/>
      <c r="EC862" s="43"/>
      <c r="ED862" s="43"/>
      <c r="EE862" s="43"/>
      <c r="EF862" s="43"/>
      <c r="EG862" s="43"/>
      <c r="EH862" s="43"/>
      <c r="EI862" s="43"/>
      <c r="EJ862" s="43"/>
      <c r="EK862" s="43"/>
      <c r="EL862" s="43"/>
      <c r="EM862" s="43"/>
      <c r="EN862" s="43"/>
      <c r="EO862" s="43"/>
      <c r="EP862" s="43"/>
      <c r="EQ862" s="43"/>
      <c r="ER862" s="43"/>
      <c r="ES862" s="43"/>
      <c r="ET862" s="43"/>
      <c r="EU862" s="43"/>
      <c r="EV862" s="43"/>
      <c r="EW862" s="43"/>
      <c r="EX862" s="43"/>
      <c r="EY862" s="43"/>
      <c r="EZ862" s="43"/>
      <c r="FA862" s="43"/>
      <c r="FB862" s="43"/>
      <c r="FC862" s="43"/>
      <c r="FD862" s="43"/>
      <c r="FE862" s="43"/>
      <c r="FF862" s="43"/>
      <c r="FG862" s="43"/>
      <c r="FH862" s="50"/>
      <c r="FI862" s="50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  <c r="AX863" s="43"/>
      <c r="AY863" s="43"/>
      <c r="AZ863" s="43"/>
      <c r="BA863" s="43"/>
      <c r="BB863" s="43"/>
      <c r="BC863" s="43"/>
      <c r="BD863" s="43"/>
      <c r="BE863" s="43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43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43"/>
      <c r="CF863" s="43"/>
      <c r="CG863" s="43"/>
      <c r="CH863" s="43"/>
      <c r="CI863" s="43"/>
      <c r="CJ863" s="43"/>
      <c r="CK863" s="43"/>
      <c r="CL863" s="43"/>
      <c r="CM863" s="43"/>
      <c r="CN863" s="43"/>
      <c r="CO863" s="43"/>
      <c r="CP863" s="43"/>
      <c r="CQ863" s="43"/>
      <c r="CR863" s="43"/>
      <c r="CS863" s="43"/>
      <c r="CT863" s="43"/>
      <c r="CU863" s="43"/>
      <c r="CV863" s="43"/>
      <c r="CW863" s="43"/>
      <c r="CX863" s="43"/>
      <c r="CY863" s="43"/>
      <c r="CZ863" s="43"/>
      <c r="DA863" s="43"/>
      <c r="DB863" s="43"/>
      <c r="DC863" s="43"/>
      <c r="DD863" s="43"/>
      <c r="DE863" s="43"/>
      <c r="DF863" s="43"/>
      <c r="DG863" s="43"/>
      <c r="DH863" s="43"/>
      <c r="DI863" s="43"/>
      <c r="DJ863" s="43"/>
      <c r="DK863" s="43"/>
      <c r="DL863" s="43"/>
      <c r="DM863" s="43"/>
      <c r="DN863" s="43"/>
      <c r="DO863" s="43"/>
      <c r="DP863" s="43"/>
      <c r="DQ863" s="43"/>
      <c r="DR863" s="43"/>
      <c r="DS863" s="43"/>
      <c r="DT863" s="43"/>
      <c r="DU863" s="43"/>
      <c r="DV863" s="43"/>
      <c r="DW863" s="43"/>
      <c r="DX863" s="43"/>
      <c r="DY863" s="43"/>
      <c r="DZ863" s="43"/>
      <c r="EA863" s="43"/>
      <c r="EB863" s="43"/>
      <c r="EC863" s="43"/>
      <c r="ED863" s="43"/>
      <c r="EE863" s="43"/>
      <c r="EF863" s="43"/>
      <c r="EG863" s="43"/>
      <c r="EH863" s="43"/>
      <c r="EI863" s="43"/>
      <c r="EJ863" s="43"/>
      <c r="EK863" s="43"/>
      <c r="EL863" s="43"/>
      <c r="EM863" s="43"/>
      <c r="EN863" s="43"/>
      <c r="EO863" s="43"/>
      <c r="EP863" s="43"/>
      <c r="EQ863" s="43"/>
      <c r="ER863" s="43"/>
      <c r="ES863" s="43"/>
      <c r="ET863" s="43"/>
      <c r="EU863" s="43"/>
      <c r="EV863" s="43"/>
      <c r="EW863" s="43"/>
      <c r="EX863" s="43"/>
      <c r="EY863" s="43"/>
      <c r="EZ863" s="43"/>
      <c r="FA863" s="43"/>
      <c r="FB863" s="43"/>
      <c r="FC863" s="43"/>
      <c r="FD863" s="43"/>
      <c r="FE863" s="43"/>
      <c r="FF863" s="43"/>
      <c r="FG863" s="43"/>
      <c r="FH863" s="50"/>
      <c r="FI863" s="50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  <c r="AX864" s="43"/>
      <c r="AY864" s="43"/>
      <c r="AZ864" s="43"/>
      <c r="BA864" s="43"/>
      <c r="BB864" s="43"/>
      <c r="BC864" s="43"/>
      <c r="BD864" s="43"/>
      <c r="BE864" s="43"/>
      <c r="BF864" s="43"/>
      <c r="BG864" s="43"/>
      <c r="BH864" s="43"/>
      <c r="BI864" s="43"/>
      <c r="BJ864" s="43"/>
      <c r="BK864" s="43"/>
      <c r="BL864" s="43"/>
      <c r="BM864" s="43"/>
      <c r="BN864" s="43"/>
      <c r="BO864" s="43"/>
      <c r="BP864" s="43"/>
      <c r="BQ864" s="43"/>
      <c r="BR864" s="43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43"/>
      <c r="CF864" s="43"/>
      <c r="CG864" s="43"/>
      <c r="CH864" s="43"/>
      <c r="CI864" s="43"/>
      <c r="CJ864" s="43"/>
      <c r="CK864" s="43"/>
      <c r="CL864" s="43"/>
      <c r="CM864" s="43"/>
      <c r="CN864" s="43"/>
      <c r="CO864" s="43"/>
      <c r="CP864" s="43"/>
      <c r="CQ864" s="43"/>
      <c r="CR864" s="43"/>
      <c r="CS864" s="43"/>
      <c r="CT864" s="43"/>
      <c r="CU864" s="43"/>
      <c r="CV864" s="43"/>
      <c r="CW864" s="43"/>
      <c r="CX864" s="43"/>
      <c r="CY864" s="43"/>
      <c r="CZ864" s="43"/>
      <c r="DA864" s="43"/>
      <c r="DB864" s="43"/>
      <c r="DC864" s="43"/>
      <c r="DD864" s="43"/>
      <c r="DE864" s="43"/>
      <c r="DF864" s="43"/>
      <c r="DG864" s="43"/>
      <c r="DH864" s="43"/>
      <c r="DI864" s="43"/>
      <c r="DJ864" s="43"/>
      <c r="DK864" s="43"/>
      <c r="DL864" s="43"/>
      <c r="DM864" s="43"/>
      <c r="DN864" s="43"/>
      <c r="DO864" s="43"/>
      <c r="DP864" s="43"/>
      <c r="DQ864" s="43"/>
      <c r="DR864" s="43"/>
      <c r="DS864" s="43"/>
      <c r="DT864" s="43"/>
      <c r="DU864" s="43"/>
      <c r="DV864" s="43"/>
      <c r="DW864" s="43"/>
      <c r="DX864" s="43"/>
      <c r="DY864" s="43"/>
      <c r="DZ864" s="43"/>
      <c r="EA864" s="43"/>
      <c r="EB864" s="43"/>
      <c r="EC864" s="43"/>
      <c r="ED864" s="43"/>
      <c r="EE864" s="43"/>
      <c r="EF864" s="43"/>
      <c r="EG864" s="43"/>
      <c r="EH864" s="43"/>
      <c r="EI864" s="43"/>
      <c r="EJ864" s="43"/>
      <c r="EK864" s="43"/>
      <c r="EL864" s="43"/>
      <c r="EM864" s="43"/>
      <c r="EN864" s="43"/>
      <c r="EO864" s="43"/>
      <c r="EP864" s="43"/>
      <c r="EQ864" s="43"/>
      <c r="ER864" s="43"/>
      <c r="ES864" s="43"/>
      <c r="ET864" s="43"/>
      <c r="EU864" s="43"/>
      <c r="EV864" s="43"/>
      <c r="EW864" s="43"/>
      <c r="EX864" s="43"/>
      <c r="EY864" s="43"/>
      <c r="EZ864" s="43"/>
      <c r="FA864" s="43"/>
      <c r="FB864" s="43"/>
      <c r="FC864" s="43"/>
      <c r="FD864" s="43"/>
      <c r="FE864" s="43"/>
      <c r="FF864" s="43"/>
      <c r="FG864" s="43"/>
      <c r="FH864" s="50"/>
      <c r="FI864" s="50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  <c r="BD865" s="43"/>
      <c r="BE865" s="43"/>
      <c r="BF865" s="43"/>
      <c r="BG865" s="43"/>
      <c r="BH865" s="43"/>
      <c r="BI865" s="43"/>
      <c r="BJ865" s="43"/>
      <c r="BK865" s="43"/>
      <c r="BL865" s="43"/>
      <c r="BM865" s="43"/>
      <c r="BN865" s="43"/>
      <c r="BO865" s="43"/>
      <c r="BP865" s="43"/>
      <c r="BQ865" s="43"/>
      <c r="BR865" s="43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43"/>
      <c r="CF865" s="43"/>
      <c r="CG865" s="43"/>
      <c r="CH865" s="43"/>
      <c r="CI865" s="43"/>
      <c r="CJ865" s="43"/>
      <c r="CK865" s="43"/>
      <c r="CL865" s="43"/>
      <c r="CM865" s="43"/>
      <c r="CN865" s="43"/>
      <c r="CO865" s="43"/>
      <c r="CP865" s="43"/>
      <c r="CQ865" s="43"/>
      <c r="CR865" s="43"/>
      <c r="CS865" s="43"/>
      <c r="CT865" s="43"/>
      <c r="CU865" s="43"/>
      <c r="CV865" s="43"/>
      <c r="CW865" s="43"/>
      <c r="CX865" s="43"/>
      <c r="CY865" s="43"/>
      <c r="CZ865" s="43"/>
      <c r="DA865" s="43"/>
      <c r="DB865" s="43"/>
      <c r="DC865" s="43"/>
      <c r="DD865" s="43"/>
      <c r="DE865" s="43"/>
      <c r="DF865" s="43"/>
      <c r="DG865" s="43"/>
      <c r="DH865" s="43"/>
      <c r="DI865" s="43"/>
      <c r="DJ865" s="43"/>
      <c r="DK865" s="43"/>
      <c r="DL865" s="43"/>
      <c r="DM865" s="43"/>
      <c r="DN865" s="43"/>
      <c r="DO865" s="43"/>
      <c r="DP865" s="43"/>
      <c r="DQ865" s="43"/>
      <c r="DR865" s="43"/>
      <c r="DS865" s="43"/>
      <c r="DT865" s="43"/>
      <c r="DU865" s="43"/>
      <c r="DV865" s="43"/>
      <c r="DW865" s="43"/>
      <c r="DX865" s="43"/>
      <c r="DY865" s="43"/>
      <c r="DZ865" s="43"/>
      <c r="EA865" s="43"/>
      <c r="EB865" s="43"/>
      <c r="EC865" s="43"/>
      <c r="ED865" s="43"/>
      <c r="EE865" s="43"/>
      <c r="EF865" s="43"/>
      <c r="EG865" s="43"/>
      <c r="EH865" s="43"/>
      <c r="EI865" s="43"/>
      <c r="EJ865" s="43"/>
      <c r="EK865" s="43"/>
      <c r="EL865" s="43"/>
      <c r="EM865" s="43"/>
      <c r="EN865" s="43"/>
      <c r="EO865" s="43"/>
      <c r="EP865" s="43"/>
      <c r="EQ865" s="43"/>
      <c r="ER865" s="43"/>
      <c r="ES865" s="43"/>
      <c r="ET865" s="43"/>
      <c r="EU865" s="43"/>
      <c r="EV865" s="43"/>
      <c r="EW865" s="43"/>
      <c r="EX865" s="43"/>
      <c r="EY865" s="43"/>
      <c r="EZ865" s="43"/>
      <c r="FA865" s="43"/>
      <c r="FB865" s="43"/>
      <c r="FC865" s="43"/>
      <c r="FD865" s="43"/>
      <c r="FE865" s="43"/>
      <c r="FF865" s="43"/>
      <c r="FG865" s="43"/>
      <c r="FH865" s="50"/>
      <c r="FI865" s="50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  <c r="BD866" s="43"/>
      <c r="BE866" s="43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43"/>
      <c r="CF866" s="43"/>
      <c r="CG866" s="43"/>
      <c r="CH866" s="43"/>
      <c r="CI866" s="43"/>
      <c r="CJ866" s="43"/>
      <c r="CK866" s="43"/>
      <c r="CL866" s="43"/>
      <c r="CM866" s="43"/>
      <c r="CN866" s="43"/>
      <c r="CO866" s="43"/>
      <c r="CP866" s="43"/>
      <c r="CQ866" s="43"/>
      <c r="CR866" s="43"/>
      <c r="CS866" s="43"/>
      <c r="CT866" s="43"/>
      <c r="CU866" s="43"/>
      <c r="CV866" s="43"/>
      <c r="CW866" s="43"/>
      <c r="CX866" s="43"/>
      <c r="CY866" s="43"/>
      <c r="CZ866" s="43"/>
      <c r="DA866" s="43"/>
      <c r="DB866" s="43"/>
      <c r="DC866" s="43"/>
      <c r="DD866" s="43"/>
      <c r="DE866" s="43"/>
      <c r="DF866" s="43"/>
      <c r="DG866" s="43"/>
      <c r="DH866" s="43"/>
      <c r="DI866" s="43"/>
      <c r="DJ866" s="43"/>
      <c r="DK866" s="43"/>
      <c r="DL866" s="43"/>
      <c r="DM866" s="43"/>
      <c r="DN866" s="43"/>
      <c r="DO866" s="43"/>
      <c r="DP866" s="43"/>
      <c r="DQ866" s="43"/>
      <c r="DR866" s="43"/>
      <c r="DS866" s="43"/>
      <c r="DT866" s="43"/>
      <c r="DU866" s="43"/>
      <c r="DV866" s="43"/>
      <c r="DW866" s="43"/>
      <c r="DX866" s="43"/>
      <c r="DY866" s="43"/>
      <c r="DZ866" s="43"/>
      <c r="EA866" s="43"/>
      <c r="EB866" s="43"/>
      <c r="EC866" s="43"/>
      <c r="ED866" s="43"/>
      <c r="EE866" s="43"/>
      <c r="EF866" s="43"/>
      <c r="EG866" s="43"/>
      <c r="EH866" s="43"/>
      <c r="EI866" s="43"/>
      <c r="EJ866" s="43"/>
      <c r="EK866" s="43"/>
      <c r="EL866" s="43"/>
      <c r="EM866" s="43"/>
      <c r="EN866" s="43"/>
      <c r="EO866" s="43"/>
      <c r="EP866" s="43"/>
      <c r="EQ866" s="43"/>
      <c r="ER866" s="43"/>
      <c r="ES866" s="43"/>
      <c r="ET866" s="43"/>
      <c r="EU866" s="43"/>
      <c r="EV866" s="43"/>
      <c r="EW866" s="43"/>
      <c r="EX866" s="43"/>
      <c r="EY866" s="43"/>
      <c r="EZ866" s="43"/>
      <c r="FA866" s="43"/>
      <c r="FB866" s="43"/>
      <c r="FC866" s="43"/>
      <c r="FD866" s="43"/>
      <c r="FE866" s="43"/>
      <c r="FF866" s="43"/>
      <c r="FG866" s="43"/>
      <c r="FH866" s="50"/>
      <c r="FI866" s="50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  <c r="BD867" s="43"/>
      <c r="BE867" s="43"/>
      <c r="BF867" s="43"/>
      <c r="BG867" s="43"/>
      <c r="BH867" s="43"/>
      <c r="BI867" s="43"/>
      <c r="BJ867" s="43"/>
      <c r="BK867" s="43"/>
      <c r="BL867" s="43"/>
      <c r="BM867" s="43"/>
      <c r="BN867" s="43"/>
      <c r="BO867" s="43"/>
      <c r="BP867" s="43"/>
      <c r="BQ867" s="43"/>
      <c r="BR867" s="43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43"/>
      <c r="CF867" s="43"/>
      <c r="CG867" s="43"/>
      <c r="CH867" s="43"/>
      <c r="CI867" s="43"/>
      <c r="CJ867" s="43"/>
      <c r="CK867" s="43"/>
      <c r="CL867" s="43"/>
      <c r="CM867" s="43"/>
      <c r="CN867" s="43"/>
      <c r="CO867" s="43"/>
      <c r="CP867" s="43"/>
      <c r="CQ867" s="43"/>
      <c r="CR867" s="43"/>
      <c r="CS867" s="43"/>
      <c r="CT867" s="43"/>
      <c r="CU867" s="43"/>
      <c r="CV867" s="43"/>
      <c r="CW867" s="43"/>
      <c r="CX867" s="43"/>
      <c r="CY867" s="43"/>
      <c r="CZ867" s="43"/>
      <c r="DA867" s="43"/>
      <c r="DB867" s="43"/>
      <c r="DC867" s="43"/>
      <c r="DD867" s="43"/>
      <c r="DE867" s="43"/>
      <c r="DF867" s="43"/>
      <c r="DG867" s="43"/>
      <c r="DH867" s="43"/>
      <c r="DI867" s="43"/>
      <c r="DJ867" s="43"/>
      <c r="DK867" s="43"/>
      <c r="DL867" s="43"/>
      <c r="DM867" s="43"/>
      <c r="DN867" s="43"/>
      <c r="DO867" s="43"/>
      <c r="DP867" s="43"/>
      <c r="DQ867" s="43"/>
      <c r="DR867" s="43"/>
      <c r="DS867" s="43"/>
      <c r="DT867" s="43"/>
      <c r="DU867" s="43"/>
      <c r="DV867" s="43"/>
      <c r="DW867" s="43"/>
      <c r="DX867" s="43"/>
      <c r="DY867" s="43"/>
      <c r="DZ867" s="43"/>
      <c r="EA867" s="43"/>
      <c r="EB867" s="43"/>
      <c r="EC867" s="43"/>
      <c r="ED867" s="43"/>
      <c r="EE867" s="43"/>
      <c r="EF867" s="43"/>
      <c r="EG867" s="43"/>
      <c r="EH867" s="43"/>
      <c r="EI867" s="43"/>
      <c r="EJ867" s="43"/>
      <c r="EK867" s="43"/>
      <c r="EL867" s="43"/>
      <c r="EM867" s="43"/>
      <c r="EN867" s="43"/>
      <c r="EO867" s="43"/>
      <c r="EP867" s="43"/>
      <c r="EQ867" s="43"/>
      <c r="ER867" s="43"/>
      <c r="ES867" s="43"/>
      <c r="ET867" s="43"/>
      <c r="EU867" s="43"/>
      <c r="EV867" s="43"/>
      <c r="EW867" s="43"/>
      <c r="EX867" s="43"/>
      <c r="EY867" s="43"/>
      <c r="EZ867" s="43"/>
      <c r="FA867" s="43"/>
      <c r="FB867" s="43"/>
      <c r="FC867" s="43"/>
      <c r="FD867" s="43"/>
      <c r="FE867" s="43"/>
      <c r="FF867" s="43"/>
      <c r="FG867" s="43"/>
      <c r="FH867" s="50"/>
      <c r="FI867" s="50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43"/>
      <c r="CF868" s="43"/>
      <c r="CG868" s="43"/>
      <c r="CH868" s="43"/>
      <c r="CI868" s="43"/>
      <c r="CJ868" s="43"/>
      <c r="CK868" s="43"/>
      <c r="CL868" s="43"/>
      <c r="CM868" s="43"/>
      <c r="CN868" s="43"/>
      <c r="CO868" s="43"/>
      <c r="CP868" s="43"/>
      <c r="CQ868" s="43"/>
      <c r="CR868" s="43"/>
      <c r="CS868" s="43"/>
      <c r="CT868" s="43"/>
      <c r="CU868" s="43"/>
      <c r="CV868" s="43"/>
      <c r="CW868" s="43"/>
      <c r="CX868" s="43"/>
      <c r="CY868" s="43"/>
      <c r="CZ868" s="43"/>
      <c r="DA868" s="43"/>
      <c r="DB868" s="43"/>
      <c r="DC868" s="43"/>
      <c r="DD868" s="43"/>
      <c r="DE868" s="43"/>
      <c r="DF868" s="43"/>
      <c r="DG868" s="43"/>
      <c r="DH868" s="43"/>
      <c r="DI868" s="43"/>
      <c r="DJ868" s="43"/>
      <c r="DK868" s="43"/>
      <c r="DL868" s="43"/>
      <c r="DM868" s="43"/>
      <c r="DN868" s="43"/>
      <c r="DO868" s="43"/>
      <c r="DP868" s="43"/>
      <c r="DQ868" s="43"/>
      <c r="DR868" s="43"/>
      <c r="DS868" s="43"/>
      <c r="DT868" s="43"/>
      <c r="DU868" s="43"/>
      <c r="DV868" s="43"/>
      <c r="DW868" s="43"/>
      <c r="DX868" s="43"/>
      <c r="DY868" s="43"/>
      <c r="DZ868" s="43"/>
      <c r="EA868" s="43"/>
      <c r="EB868" s="43"/>
      <c r="EC868" s="43"/>
      <c r="ED868" s="43"/>
      <c r="EE868" s="43"/>
      <c r="EF868" s="43"/>
      <c r="EG868" s="43"/>
      <c r="EH868" s="43"/>
      <c r="EI868" s="43"/>
      <c r="EJ868" s="43"/>
      <c r="EK868" s="43"/>
      <c r="EL868" s="43"/>
      <c r="EM868" s="43"/>
      <c r="EN868" s="43"/>
      <c r="EO868" s="43"/>
      <c r="EP868" s="43"/>
      <c r="EQ868" s="43"/>
      <c r="ER868" s="43"/>
      <c r="ES868" s="43"/>
      <c r="ET868" s="43"/>
      <c r="EU868" s="43"/>
      <c r="EV868" s="43"/>
      <c r="EW868" s="43"/>
      <c r="EX868" s="43"/>
      <c r="EY868" s="43"/>
      <c r="EZ868" s="43"/>
      <c r="FA868" s="43"/>
      <c r="FB868" s="43"/>
      <c r="FC868" s="43"/>
      <c r="FD868" s="43"/>
      <c r="FE868" s="43"/>
      <c r="FF868" s="43"/>
      <c r="FG868" s="43"/>
      <c r="FH868" s="50"/>
      <c r="FI868" s="50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  <c r="BD869" s="43"/>
      <c r="BE869" s="43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43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43"/>
      <c r="CF869" s="43"/>
      <c r="CG869" s="43"/>
      <c r="CH869" s="43"/>
      <c r="CI869" s="43"/>
      <c r="CJ869" s="43"/>
      <c r="CK869" s="43"/>
      <c r="CL869" s="43"/>
      <c r="CM869" s="43"/>
      <c r="CN869" s="43"/>
      <c r="CO869" s="43"/>
      <c r="CP869" s="43"/>
      <c r="CQ869" s="43"/>
      <c r="CR869" s="43"/>
      <c r="CS869" s="43"/>
      <c r="CT869" s="43"/>
      <c r="CU869" s="43"/>
      <c r="CV869" s="43"/>
      <c r="CW869" s="43"/>
      <c r="CX869" s="43"/>
      <c r="CY869" s="43"/>
      <c r="CZ869" s="43"/>
      <c r="DA869" s="43"/>
      <c r="DB869" s="43"/>
      <c r="DC869" s="43"/>
      <c r="DD869" s="43"/>
      <c r="DE869" s="43"/>
      <c r="DF869" s="43"/>
      <c r="DG869" s="43"/>
      <c r="DH869" s="43"/>
      <c r="DI869" s="43"/>
      <c r="DJ869" s="43"/>
      <c r="DK869" s="43"/>
      <c r="DL869" s="43"/>
      <c r="DM869" s="43"/>
      <c r="DN869" s="43"/>
      <c r="DO869" s="43"/>
      <c r="DP869" s="43"/>
      <c r="DQ869" s="43"/>
      <c r="DR869" s="43"/>
      <c r="DS869" s="43"/>
      <c r="DT869" s="43"/>
      <c r="DU869" s="43"/>
      <c r="DV869" s="43"/>
      <c r="DW869" s="43"/>
      <c r="DX869" s="43"/>
      <c r="DY869" s="43"/>
      <c r="DZ869" s="43"/>
      <c r="EA869" s="43"/>
      <c r="EB869" s="43"/>
      <c r="EC869" s="43"/>
      <c r="ED869" s="43"/>
      <c r="EE869" s="43"/>
      <c r="EF869" s="43"/>
      <c r="EG869" s="43"/>
      <c r="EH869" s="43"/>
      <c r="EI869" s="43"/>
      <c r="EJ869" s="43"/>
      <c r="EK869" s="43"/>
      <c r="EL869" s="43"/>
      <c r="EM869" s="43"/>
      <c r="EN869" s="43"/>
      <c r="EO869" s="43"/>
      <c r="EP869" s="43"/>
      <c r="EQ869" s="43"/>
      <c r="ER869" s="43"/>
      <c r="ES869" s="43"/>
      <c r="ET869" s="43"/>
      <c r="EU869" s="43"/>
      <c r="EV869" s="43"/>
      <c r="EW869" s="43"/>
      <c r="EX869" s="43"/>
      <c r="EY869" s="43"/>
      <c r="EZ869" s="43"/>
      <c r="FA869" s="43"/>
      <c r="FB869" s="43"/>
      <c r="FC869" s="43"/>
      <c r="FD869" s="43"/>
      <c r="FE869" s="43"/>
      <c r="FF869" s="43"/>
      <c r="FG869" s="43"/>
      <c r="FH869" s="50"/>
      <c r="FI869" s="50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43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43"/>
      <c r="CF870" s="43"/>
      <c r="CG870" s="43"/>
      <c r="CH870" s="43"/>
      <c r="CI870" s="43"/>
      <c r="CJ870" s="43"/>
      <c r="CK870" s="43"/>
      <c r="CL870" s="43"/>
      <c r="CM870" s="43"/>
      <c r="CN870" s="43"/>
      <c r="CO870" s="43"/>
      <c r="CP870" s="43"/>
      <c r="CQ870" s="43"/>
      <c r="CR870" s="43"/>
      <c r="CS870" s="43"/>
      <c r="CT870" s="43"/>
      <c r="CU870" s="43"/>
      <c r="CV870" s="43"/>
      <c r="CW870" s="43"/>
      <c r="CX870" s="43"/>
      <c r="CY870" s="43"/>
      <c r="CZ870" s="43"/>
      <c r="DA870" s="43"/>
      <c r="DB870" s="43"/>
      <c r="DC870" s="43"/>
      <c r="DD870" s="43"/>
      <c r="DE870" s="43"/>
      <c r="DF870" s="43"/>
      <c r="DG870" s="43"/>
      <c r="DH870" s="43"/>
      <c r="DI870" s="43"/>
      <c r="DJ870" s="43"/>
      <c r="DK870" s="43"/>
      <c r="DL870" s="43"/>
      <c r="DM870" s="43"/>
      <c r="DN870" s="43"/>
      <c r="DO870" s="43"/>
      <c r="DP870" s="43"/>
      <c r="DQ870" s="43"/>
      <c r="DR870" s="43"/>
      <c r="DS870" s="43"/>
      <c r="DT870" s="43"/>
      <c r="DU870" s="43"/>
      <c r="DV870" s="43"/>
      <c r="DW870" s="43"/>
      <c r="DX870" s="43"/>
      <c r="DY870" s="43"/>
      <c r="DZ870" s="43"/>
      <c r="EA870" s="43"/>
      <c r="EB870" s="43"/>
      <c r="EC870" s="43"/>
      <c r="ED870" s="43"/>
      <c r="EE870" s="43"/>
      <c r="EF870" s="43"/>
      <c r="EG870" s="43"/>
      <c r="EH870" s="43"/>
      <c r="EI870" s="43"/>
      <c r="EJ870" s="43"/>
      <c r="EK870" s="43"/>
      <c r="EL870" s="43"/>
      <c r="EM870" s="43"/>
      <c r="EN870" s="43"/>
      <c r="EO870" s="43"/>
      <c r="EP870" s="43"/>
      <c r="EQ870" s="43"/>
      <c r="ER870" s="43"/>
      <c r="ES870" s="43"/>
      <c r="ET870" s="43"/>
      <c r="EU870" s="43"/>
      <c r="EV870" s="43"/>
      <c r="EW870" s="43"/>
      <c r="EX870" s="43"/>
      <c r="EY870" s="43"/>
      <c r="EZ870" s="43"/>
      <c r="FA870" s="43"/>
      <c r="FB870" s="43"/>
      <c r="FC870" s="43"/>
      <c r="FD870" s="43"/>
      <c r="FE870" s="43"/>
      <c r="FF870" s="43"/>
      <c r="FG870" s="43"/>
      <c r="FH870" s="50"/>
      <c r="FI870" s="50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  <c r="BD871" s="43"/>
      <c r="BE871" s="43"/>
      <c r="BF871" s="43"/>
      <c r="BG871" s="43"/>
      <c r="BH871" s="43"/>
      <c r="BI871" s="43"/>
      <c r="BJ871" s="43"/>
      <c r="BK871" s="43"/>
      <c r="BL871" s="43"/>
      <c r="BM871" s="43"/>
      <c r="BN871" s="43"/>
      <c r="BO871" s="43"/>
      <c r="BP871" s="43"/>
      <c r="BQ871" s="43"/>
      <c r="BR871" s="43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43"/>
      <c r="CF871" s="43"/>
      <c r="CG871" s="43"/>
      <c r="CH871" s="43"/>
      <c r="CI871" s="43"/>
      <c r="CJ871" s="43"/>
      <c r="CK871" s="43"/>
      <c r="CL871" s="43"/>
      <c r="CM871" s="43"/>
      <c r="CN871" s="43"/>
      <c r="CO871" s="43"/>
      <c r="CP871" s="43"/>
      <c r="CQ871" s="43"/>
      <c r="CR871" s="43"/>
      <c r="CS871" s="43"/>
      <c r="CT871" s="43"/>
      <c r="CU871" s="43"/>
      <c r="CV871" s="43"/>
      <c r="CW871" s="43"/>
      <c r="CX871" s="43"/>
      <c r="CY871" s="43"/>
      <c r="CZ871" s="43"/>
      <c r="DA871" s="43"/>
      <c r="DB871" s="43"/>
      <c r="DC871" s="43"/>
      <c r="DD871" s="43"/>
      <c r="DE871" s="43"/>
      <c r="DF871" s="43"/>
      <c r="DG871" s="43"/>
      <c r="DH871" s="43"/>
      <c r="DI871" s="43"/>
      <c r="DJ871" s="43"/>
      <c r="DK871" s="43"/>
      <c r="DL871" s="43"/>
      <c r="DM871" s="43"/>
      <c r="DN871" s="43"/>
      <c r="DO871" s="43"/>
      <c r="DP871" s="43"/>
      <c r="DQ871" s="43"/>
      <c r="DR871" s="43"/>
      <c r="DS871" s="43"/>
      <c r="DT871" s="43"/>
      <c r="DU871" s="43"/>
      <c r="DV871" s="43"/>
      <c r="DW871" s="43"/>
      <c r="DX871" s="43"/>
      <c r="DY871" s="43"/>
      <c r="DZ871" s="43"/>
      <c r="EA871" s="43"/>
      <c r="EB871" s="43"/>
      <c r="EC871" s="43"/>
      <c r="ED871" s="43"/>
      <c r="EE871" s="43"/>
      <c r="EF871" s="43"/>
      <c r="EG871" s="43"/>
      <c r="EH871" s="43"/>
      <c r="EI871" s="43"/>
      <c r="EJ871" s="43"/>
      <c r="EK871" s="43"/>
      <c r="EL871" s="43"/>
      <c r="EM871" s="43"/>
      <c r="EN871" s="43"/>
      <c r="EO871" s="43"/>
      <c r="EP871" s="43"/>
      <c r="EQ871" s="43"/>
      <c r="ER871" s="43"/>
      <c r="ES871" s="43"/>
      <c r="ET871" s="43"/>
      <c r="EU871" s="43"/>
      <c r="EV871" s="43"/>
      <c r="EW871" s="43"/>
      <c r="EX871" s="43"/>
      <c r="EY871" s="43"/>
      <c r="EZ871" s="43"/>
      <c r="FA871" s="43"/>
      <c r="FB871" s="43"/>
      <c r="FC871" s="43"/>
      <c r="FD871" s="43"/>
      <c r="FE871" s="43"/>
      <c r="FF871" s="43"/>
      <c r="FG871" s="43"/>
      <c r="FH871" s="50"/>
      <c r="FI871" s="50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43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43"/>
      <c r="CF872" s="43"/>
      <c r="CG872" s="43"/>
      <c r="CH872" s="43"/>
      <c r="CI872" s="43"/>
      <c r="CJ872" s="43"/>
      <c r="CK872" s="43"/>
      <c r="CL872" s="43"/>
      <c r="CM872" s="43"/>
      <c r="CN872" s="43"/>
      <c r="CO872" s="43"/>
      <c r="CP872" s="43"/>
      <c r="CQ872" s="43"/>
      <c r="CR872" s="43"/>
      <c r="CS872" s="43"/>
      <c r="CT872" s="43"/>
      <c r="CU872" s="43"/>
      <c r="CV872" s="43"/>
      <c r="CW872" s="43"/>
      <c r="CX872" s="43"/>
      <c r="CY872" s="43"/>
      <c r="CZ872" s="43"/>
      <c r="DA872" s="43"/>
      <c r="DB872" s="43"/>
      <c r="DC872" s="43"/>
      <c r="DD872" s="43"/>
      <c r="DE872" s="43"/>
      <c r="DF872" s="43"/>
      <c r="DG872" s="43"/>
      <c r="DH872" s="43"/>
      <c r="DI872" s="43"/>
      <c r="DJ872" s="43"/>
      <c r="DK872" s="43"/>
      <c r="DL872" s="43"/>
      <c r="DM872" s="43"/>
      <c r="DN872" s="43"/>
      <c r="DO872" s="43"/>
      <c r="DP872" s="43"/>
      <c r="DQ872" s="43"/>
      <c r="DR872" s="43"/>
      <c r="DS872" s="43"/>
      <c r="DT872" s="43"/>
      <c r="DU872" s="43"/>
      <c r="DV872" s="43"/>
      <c r="DW872" s="43"/>
      <c r="DX872" s="43"/>
      <c r="DY872" s="43"/>
      <c r="DZ872" s="43"/>
      <c r="EA872" s="43"/>
      <c r="EB872" s="43"/>
      <c r="EC872" s="43"/>
      <c r="ED872" s="43"/>
      <c r="EE872" s="43"/>
      <c r="EF872" s="43"/>
      <c r="EG872" s="43"/>
      <c r="EH872" s="43"/>
      <c r="EI872" s="43"/>
      <c r="EJ872" s="43"/>
      <c r="EK872" s="43"/>
      <c r="EL872" s="43"/>
      <c r="EM872" s="43"/>
      <c r="EN872" s="43"/>
      <c r="EO872" s="43"/>
      <c r="EP872" s="43"/>
      <c r="EQ872" s="43"/>
      <c r="ER872" s="43"/>
      <c r="ES872" s="43"/>
      <c r="ET872" s="43"/>
      <c r="EU872" s="43"/>
      <c r="EV872" s="43"/>
      <c r="EW872" s="43"/>
      <c r="EX872" s="43"/>
      <c r="EY872" s="43"/>
      <c r="EZ872" s="43"/>
      <c r="FA872" s="43"/>
      <c r="FB872" s="43"/>
      <c r="FC872" s="43"/>
      <c r="FD872" s="43"/>
      <c r="FE872" s="43"/>
      <c r="FF872" s="43"/>
      <c r="FG872" s="43"/>
      <c r="FH872" s="50"/>
      <c r="FI872" s="50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43"/>
      <c r="CF873" s="43"/>
      <c r="CG873" s="43"/>
      <c r="CH873" s="43"/>
      <c r="CI873" s="43"/>
      <c r="CJ873" s="43"/>
      <c r="CK873" s="43"/>
      <c r="CL873" s="43"/>
      <c r="CM873" s="43"/>
      <c r="CN873" s="43"/>
      <c r="CO873" s="43"/>
      <c r="CP873" s="43"/>
      <c r="CQ873" s="43"/>
      <c r="CR873" s="43"/>
      <c r="CS873" s="43"/>
      <c r="CT873" s="43"/>
      <c r="CU873" s="43"/>
      <c r="CV873" s="43"/>
      <c r="CW873" s="43"/>
      <c r="CX873" s="43"/>
      <c r="CY873" s="43"/>
      <c r="CZ873" s="43"/>
      <c r="DA873" s="43"/>
      <c r="DB873" s="43"/>
      <c r="DC873" s="43"/>
      <c r="DD873" s="43"/>
      <c r="DE873" s="43"/>
      <c r="DF873" s="43"/>
      <c r="DG873" s="43"/>
      <c r="DH873" s="43"/>
      <c r="DI873" s="43"/>
      <c r="DJ873" s="43"/>
      <c r="DK873" s="43"/>
      <c r="DL873" s="43"/>
      <c r="DM873" s="43"/>
      <c r="DN873" s="43"/>
      <c r="DO873" s="43"/>
      <c r="DP873" s="43"/>
      <c r="DQ873" s="43"/>
      <c r="DR873" s="43"/>
      <c r="DS873" s="43"/>
      <c r="DT873" s="43"/>
      <c r="DU873" s="43"/>
      <c r="DV873" s="43"/>
      <c r="DW873" s="43"/>
      <c r="DX873" s="43"/>
      <c r="DY873" s="43"/>
      <c r="DZ873" s="43"/>
      <c r="EA873" s="43"/>
      <c r="EB873" s="43"/>
      <c r="EC873" s="43"/>
      <c r="ED873" s="43"/>
      <c r="EE873" s="43"/>
      <c r="EF873" s="43"/>
      <c r="EG873" s="43"/>
      <c r="EH873" s="43"/>
      <c r="EI873" s="43"/>
      <c r="EJ873" s="43"/>
      <c r="EK873" s="43"/>
      <c r="EL873" s="43"/>
      <c r="EM873" s="43"/>
      <c r="EN873" s="43"/>
      <c r="EO873" s="43"/>
      <c r="EP873" s="43"/>
      <c r="EQ873" s="43"/>
      <c r="ER873" s="43"/>
      <c r="ES873" s="43"/>
      <c r="ET873" s="43"/>
      <c r="EU873" s="43"/>
      <c r="EV873" s="43"/>
      <c r="EW873" s="43"/>
      <c r="EX873" s="43"/>
      <c r="EY873" s="43"/>
      <c r="EZ873" s="43"/>
      <c r="FA873" s="43"/>
      <c r="FB873" s="43"/>
      <c r="FC873" s="43"/>
      <c r="FD873" s="43"/>
      <c r="FE873" s="43"/>
      <c r="FF873" s="43"/>
      <c r="FG873" s="43"/>
      <c r="FH873" s="50"/>
      <c r="FI873" s="50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  <c r="BD874" s="43"/>
      <c r="BE874" s="43"/>
      <c r="BF874" s="43"/>
      <c r="BG874" s="43"/>
      <c r="BH874" s="43"/>
      <c r="BI874" s="43"/>
      <c r="BJ874" s="43"/>
      <c r="BK874" s="43"/>
      <c r="BL874" s="43"/>
      <c r="BM874" s="43"/>
      <c r="BN874" s="43"/>
      <c r="BO874" s="43"/>
      <c r="BP874" s="43"/>
      <c r="BQ874" s="43"/>
      <c r="BR874" s="43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43"/>
      <c r="CF874" s="43"/>
      <c r="CG874" s="43"/>
      <c r="CH874" s="43"/>
      <c r="CI874" s="43"/>
      <c r="CJ874" s="43"/>
      <c r="CK874" s="43"/>
      <c r="CL874" s="43"/>
      <c r="CM874" s="43"/>
      <c r="CN874" s="43"/>
      <c r="CO874" s="43"/>
      <c r="CP874" s="43"/>
      <c r="CQ874" s="43"/>
      <c r="CR874" s="43"/>
      <c r="CS874" s="43"/>
      <c r="CT874" s="43"/>
      <c r="CU874" s="43"/>
      <c r="CV874" s="43"/>
      <c r="CW874" s="43"/>
      <c r="CX874" s="43"/>
      <c r="CY874" s="43"/>
      <c r="CZ874" s="43"/>
      <c r="DA874" s="43"/>
      <c r="DB874" s="43"/>
      <c r="DC874" s="43"/>
      <c r="DD874" s="43"/>
      <c r="DE874" s="43"/>
      <c r="DF874" s="43"/>
      <c r="DG874" s="43"/>
      <c r="DH874" s="43"/>
      <c r="DI874" s="43"/>
      <c r="DJ874" s="43"/>
      <c r="DK874" s="43"/>
      <c r="DL874" s="43"/>
      <c r="DM874" s="43"/>
      <c r="DN874" s="43"/>
      <c r="DO874" s="43"/>
      <c r="DP874" s="43"/>
      <c r="DQ874" s="43"/>
      <c r="DR874" s="43"/>
      <c r="DS874" s="43"/>
      <c r="DT874" s="43"/>
      <c r="DU874" s="43"/>
      <c r="DV874" s="43"/>
      <c r="DW874" s="43"/>
      <c r="DX874" s="43"/>
      <c r="DY874" s="43"/>
      <c r="DZ874" s="43"/>
      <c r="EA874" s="43"/>
      <c r="EB874" s="43"/>
      <c r="EC874" s="43"/>
      <c r="ED874" s="43"/>
      <c r="EE874" s="43"/>
      <c r="EF874" s="43"/>
      <c r="EG874" s="43"/>
      <c r="EH874" s="43"/>
      <c r="EI874" s="43"/>
      <c r="EJ874" s="43"/>
      <c r="EK874" s="43"/>
      <c r="EL874" s="43"/>
      <c r="EM874" s="43"/>
      <c r="EN874" s="43"/>
      <c r="EO874" s="43"/>
      <c r="EP874" s="43"/>
      <c r="EQ874" s="43"/>
      <c r="ER874" s="43"/>
      <c r="ES874" s="43"/>
      <c r="ET874" s="43"/>
      <c r="EU874" s="43"/>
      <c r="EV874" s="43"/>
      <c r="EW874" s="43"/>
      <c r="EX874" s="43"/>
      <c r="EY874" s="43"/>
      <c r="EZ874" s="43"/>
      <c r="FA874" s="43"/>
      <c r="FB874" s="43"/>
      <c r="FC874" s="43"/>
      <c r="FD874" s="43"/>
      <c r="FE874" s="43"/>
      <c r="FF874" s="43"/>
      <c r="FG874" s="43"/>
      <c r="FH874" s="50"/>
      <c r="FI874" s="50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  <c r="BD875" s="43"/>
      <c r="BE875" s="43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43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43"/>
      <c r="CF875" s="43"/>
      <c r="CG875" s="43"/>
      <c r="CH875" s="43"/>
      <c r="CI875" s="43"/>
      <c r="CJ875" s="43"/>
      <c r="CK875" s="43"/>
      <c r="CL875" s="43"/>
      <c r="CM875" s="43"/>
      <c r="CN875" s="43"/>
      <c r="CO875" s="43"/>
      <c r="CP875" s="43"/>
      <c r="CQ875" s="43"/>
      <c r="CR875" s="43"/>
      <c r="CS875" s="43"/>
      <c r="CT875" s="43"/>
      <c r="CU875" s="43"/>
      <c r="CV875" s="43"/>
      <c r="CW875" s="43"/>
      <c r="CX875" s="43"/>
      <c r="CY875" s="43"/>
      <c r="CZ875" s="43"/>
      <c r="DA875" s="43"/>
      <c r="DB875" s="43"/>
      <c r="DC875" s="43"/>
      <c r="DD875" s="43"/>
      <c r="DE875" s="43"/>
      <c r="DF875" s="43"/>
      <c r="DG875" s="43"/>
      <c r="DH875" s="43"/>
      <c r="DI875" s="43"/>
      <c r="DJ875" s="43"/>
      <c r="DK875" s="43"/>
      <c r="DL875" s="43"/>
      <c r="DM875" s="43"/>
      <c r="DN875" s="43"/>
      <c r="DO875" s="43"/>
      <c r="DP875" s="43"/>
      <c r="DQ875" s="43"/>
      <c r="DR875" s="43"/>
      <c r="DS875" s="43"/>
      <c r="DT875" s="43"/>
      <c r="DU875" s="43"/>
      <c r="DV875" s="43"/>
      <c r="DW875" s="43"/>
      <c r="DX875" s="43"/>
      <c r="DY875" s="43"/>
      <c r="DZ875" s="43"/>
      <c r="EA875" s="43"/>
      <c r="EB875" s="43"/>
      <c r="EC875" s="43"/>
      <c r="ED875" s="43"/>
      <c r="EE875" s="43"/>
      <c r="EF875" s="43"/>
      <c r="EG875" s="43"/>
      <c r="EH875" s="43"/>
      <c r="EI875" s="43"/>
      <c r="EJ875" s="43"/>
      <c r="EK875" s="43"/>
      <c r="EL875" s="43"/>
      <c r="EM875" s="43"/>
      <c r="EN875" s="43"/>
      <c r="EO875" s="43"/>
      <c r="EP875" s="43"/>
      <c r="EQ875" s="43"/>
      <c r="ER875" s="43"/>
      <c r="ES875" s="43"/>
      <c r="ET875" s="43"/>
      <c r="EU875" s="43"/>
      <c r="EV875" s="43"/>
      <c r="EW875" s="43"/>
      <c r="EX875" s="43"/>
      <c r="EY875" s="43"/>
      <c r="EZ875" s="43"/>
      <c r="FA875" s="43"/>
      <c r="FB875" s="43"/>
      <c r="FC875" s="43"/>
      <c r="FD875" s="43"/>
      <c r="FE875" s="43"/>
      <c r="FF875" s="43"/>
      <c r="FG875" s="43"/>
      <c r="FH875" s="50"/>
      <c r="FI875" s="50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  <c r="BD876" s="43"/>
      <c r="BE876" s="43"/>
      <c r="BF876" s="43"/>
      <c r="BG876" s="43"/>
      <c r="BH876" s="43"/>
      <c r="BI876" s="43"/>
      <c r="BJ876" s="43"/>
      <c r="BK876" s="43"/>
      <c r="BL876" s="43"/>
      <c r="BM876" s="43"/>
      <c r="BN876" s="43"/>
      <c r="BO876" s="43"/>
      <c r="BP876" s="43"/>
      <c r="BQ876" s="43"/>
      <c r="BR876" s="43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43"/>
      <c r="CF876" s="43"/>
      <c r="CG876" s="43"/>
      <c r="CH876" s="43"/>
      <c r="CI876" s="43"/>
      <c r="CJ876" s="43"/>
      <c r="CK876" s="43"/>
      <c r="CL876" s="43"/>
      <c r="CM876" s="43"/>
      <c r="CN876" s="43"/>
      <c r="CO876" s="43"/>
      <c r="CP876" s="43"/>
      <c r="CQ876" s="43"/>
      <c r="CR876" s="43"/>
      <c r="CS876" s="43"/>
      <c r="CT876" s="43"/>
      <c r="CU876" s="43"/>
      <c r="CV876" s="43"/>
      <c r="CW876" s="43"/>
      <c r="CX876" s="43"/>
      <c r="CY876" s="43"/>
      <c r="CZ876" s="43"/>
      <c r="DA876" s="43"/>
      <c r="DB876" s="43"/>
      <c r="DC876" s="43"/>
      <c r="DD876" s="43"/>
      <c r="DE876" s="43"/>
      <c r="DF876" s="43"/>
      <c r="DG876" s="43"/>
      <c r="DH876" s="43"/>
      <c r="DI876" s="43"/>
      <c r="DJ876" s="43"/>
      <c r="DK876" s="43"/>
      <c r="DL876" s="43"/>
      <c r="DM876" s="43"/>
      <c r="DN876" s="43"/>
      <c r="DO876" s="43"/>
      <c r="DP876" s="43"/>
      <c r="DQ876" s="43"/>
      <c r="DR876" s="43"/>
      <c r="DS876" s="43"/>
      <c r="DT876" s="43"/>
      <c r="DU876" s="43"/>
      <c r="DV876" s="43"/>
      <c r="DW876" s="43"/>
      <c r="DX876" s="43"/>
      <c r="DY876" s="43"/>
      <c r="DZ876" s="43"/>
      <c r="EA876" s="43"/>
      <c r="EB876" s="43"/>
      <c r="EC876" s="43"/>
      <c r="ED876" s="43"/>
      <c r="EE876" s="43"/>
      <c r="EF876" s="43"/>
      <c r="EG876" s="43"/>
      <c r="EH876" s="43"/>
      <c r="EI876" s="43"/>
      <c r="EJ876" s="43"/>
      <c r="EK876" s="43"/>
      <c r="EL876" s="43"/>
      <c r="EM876" s="43"/>
      <c r="EN876" s="43"/>
      <c r="EO876" s="43"/>
      <c r="EP876" s="43"/>
      <c r="EQ876" s="43"/>
      <c r="ER876" s="43"/>
      <c r="ES876" s="43"/>
      <c r="ET876" s="43"/>
      <c r="EU876" s="43"/>
      <c r="EV876" s="43"/>
      <c r="EW876" s="43"/>
      <c r="EX876" s="43"/>
      <c r="EY876" s="43"/>
      <c r="EZ876" s="43"/>
      <c r="FA876" s="43"/>
      <c r="FB876" s="43"/>
      <c r="FC876" s="43"/>
      <c r="FD876" s="43"/>
      <c r="FE876" s="43"/>
      <c r="FF876" s="43"/>
      <c r="FG876" s="43"/>
      <c r="FH876" s="50"/>
      <c r="FI876" s="50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  <c r="BD877" s="43"/>
      <c r="BE877" s="43"/>
      <c r="BF877" s="43"/>
      <c r="BG877" s="43"/>
      <c r="BH877" s="43"/>
      <c r="BI877" s="43"/>
      <c r="BJ877" s="43"/>
      <c r="BK877" s="43"/>
      <c r="BL877" s="43"/>
      <c r="BM877" s="43"/>
      <c r="BN877" s="43"/>
      <c r="BO877" s="43"/>
      <c r="BP877" s="43"/>
      <c r="BQ877" s="43"/>
      <c r="BR877" s="43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43"/>
      <c r="CF877" s="43"/>
      <c r="CG877" s="43"/>
      <c r="CH877" s="43"/>
      <c r="CI877" s="43"/>
      <c r="CJ877" s="43"/>
      <c r="CK877" s="43"/>
      <c r="CL877" s="43"/>
      <c r="CM877" s="43"/>
      <c r="CN877" s="43"/>
      <c r="CO877" s="43"/>
      <c r="CP877" s="43"/>
      <c r="CQ877" s="43"/>
      <c r="CR877" s="43"/>
      <c r="CS877" s="43"/>
      <c r="CT877" s="43"/>
      <c r="CU877" s="43"/>
      <c r="CV877" s="43"/>
      <c r="CW877" s="43"/>
      <c r="CX877" s="43"/>
      <c r="CY877" s="43"/>
      <c r="CZ877" s="43"/>
      <c r="DA877" s="43"/>
      <c r="DB877" s="43"/>
      <c r="DC877" s="43"/>
      <c r="DD877" s="43"/>
      <c r="DE877" s="43"/>
      <c r="DF877" s="43"/>
      <c r="DG877" s="43"/>
      <c r="DH877" s="43"/>
      <c r="DI877" s="43"/>
      <c r="DJ877" s="43"/>
      <c r="DK877" s="43"/>
      <c r="DL877" s="43"/>
      <c r="DM877" s="43"/>
      <c r="DN877" s="43"/>
      <c r="DO877" s="43"/>
      <c r="DP877" s="43"/>
      <c r="DQ877" s="43"/>
      <c r="DR877" s="43"/>
      <c r="DS877" s="43"/>
      <c r="DT877" s="43"/>
      <c r="DU877" s="43"/>
      <c r="DV877" s="43"/>
      <c r="DW877" s="43"/>
      <c r="DX877" s="43"/>
      <c r="DY877" s="43"/>
      <c r="DZ877" s="43"/>
      <c r="EA877" s="43"/>
      <c r="EB877" s="43"/>
      <c r="EC877" s="43"/>
      <c r="ED877" s="43"/>
      <c r="EE877" s="43"/>
      <c r="EF877" s="43"/>
      <c r="EG877" s="43"/>
      <c r="EH877" s="43"/>
      <c r="EI877" s="43"/>
      <c r="EJ877" s="43"/>
      <c r="EK877" s="43"/>
      <c r="EL877" s="43"/>
      <c r="EM877" s="43"/>
      <c r="EN877" s="43"/>
      <c r="EO877" s="43"/>
      <c r="EP877" s="43"/>
      <c r="EQ877" s="43"/>
      <c r="ER877" s="43"/>
      <c r="ES877" s="43"/>
      <c r="ET877" s="43"/>
      <c r="EU877" s="43"/>
      <c r="EV877" s="43"/>
      <c r="EW877" s="43"/>
      <c r="EX877" s="43"/>
      <c r="EY877" s="43"/>
      <c r="EZ877" s="43"/>
      <c r="FA877" s="43"/>
      <c r="FB877" s="43"/>
      <c r="FC877" s="43"/>
      <c r="FD877" s="43"/>
      <c r="FE877" s="43"/>
      <c r="FF877" s="43"/>
      <c r="FG877" s="43"/>
      <c r="FH877" s="50"/>
      <c r="FI877" s="50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43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43"/>
      <c r="CF878" s="43"/>
      <c r="CG878" s="43"/>
      <c r="CH878" s="43"/>
      <c r="CI878" s="43"/>
      <c r="CJ878" s="43"/>
      <c r="CK878" s="43"/>
      <c r="CL878" s="43"/>
      <c r="CM878" s="43"/>
      <c r="CN878" s="43"/>
      <c r="CO878" s="43"/>
      <c r="CP878" s="43"/>
      <c r="CQ878" s="43"/>
      <c r="CR878" s="43"/>
      <c r="CS878" s="43"/>
      <c r="CT878" s="43"/>
      <c r="CU878" s="43"/>
      <c r="CV878" s="43"/>
      <c r="CW878" s="43"/>
      <c r="CX878" s="43"/>
      <c r="CY878" s="43"/>
      <c r="CZ878" s="43"/>
      <c r="DA878" s="43"/>
      <c r="DB878" s="43"/>
      <c r="DC878" s="43"/>
      <c r="DD878" s="43"/>
      <c r="DE878" s="43"/>
      <c r="DF878" s="43"/>
      <c r="DG878" s="43"/>
      <c r="DH878" s="43"/>
      <c r="DI878" s="43"/>
      <c r="DJ878" s="43"/>
      <c r="DK878" s="43"/>
      <c r="DL878" s="43"/>
      <c r="DM878" s="43"/>
      <c r="DN878" s="43"/>
      <c r="DO878" s="43"/>
      <c r="DP878" s="43"/>
      <c r="DQ878" s="43"/>
      <c r="DR878" s="43"/>
      <c r="DS878" s="43"/>
      <c r="DT878" s="43"/>
      <c r="DU878" s="43"/>
      <c r="DV878" s="43"/>
      <c r="DW878" s="43"/>
      <c r="DX878" s="43"/>
      <c r="DY878" s="43"/>
      <c r="DZ878" s="43"/>
      <c r="EA878" s="43"/>
      <c r="EB878" s="43"/>
      <c r="EC878" s="43"/>
      <c r="ED878" s="43"/>
      <c r="EE878" s="43"/>
      <c r="EF878" s="43"/>
      <c r="EG878" s="43"/>
      <c r="EH878" s="43"/>
      <c r="EI878" s="43"/>
      <c r="EJ878" s="43"/>
      <c r="EK878" s="43"/>
      <c r="EL878" s="43"/>
      <c r="EM878" s="43"/>
      <c r="EN878" s="43"/>
      <c r="EO878" s="43"/>
      <c r="EP878" s="43"/>
      <c r="EQ878" s="43"/>
      <c r="ER878" s="43"/>
      <c r="ES878" s="43"/>
      <c r="ET878" s="43"/>
      <c r="EU878" s="43"/>
      <c r="EV878" s="43"/>
      <c r="EW878" s="43"/>
      <c r="EX878" s="43"/>
      <c r="EY878" s="43"/>
      <c r="EZ878" s="43"/>
      <c r="FA878" s="43"/>
      <c r="FB878" s="43"/>
      <c r="FC878" s="43"/>
      <c r="FD878" s="43"/>
      <c r="FE878" s="43"/>
      <c r="FF878" s="43"/>
      <c r="FG878" s="43"/>
      <c r="FH878" s="50"/>
      <c r="FI878" s="50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43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43"/>
      <c r="CF879" s="43"/>
      <c r="CG879" s="43"/>
      <c r="CH879" s="43"/>
      <c r="CI879" s="43"/>
      <c r="CJ879" s="43"/>
      <c r="CK879" s="43"/>
      <c r="CL879" s="43"/>
      <c r="CM879" s="43"/>
      <c r="CN879" s="43"/>
      <c r="CO879" s="43"/>
      <c r="CP879" s="43"/>
      <c r="CQ879" s="43"/>
      <c r="CR879" s="43"/>
      <c r="CS879" s="43"/>
      <c r="CT879" s="43"/>
      <c r="CU879" s="43"/>
      <c r="CV879" s="43"/>
      <c r="CW879" s="43"/>
      <c r="CX879" s="43"/>
      <c r="CY879" s="43"/>
      <c r="CZ879" s="43"/>
      <c r="DA879" s="43"/>
      <c r="DB879" s="43"/>
      <c r="DC879" s="43"/>
      <c r="DD879" s="43"/>
      <c r="DE879" s="43"/>
      <c r="DF879" s="43"/>
      <c r="DG879" s="43"/>
      <c r="DH879" s="43"/>
      <c r="DI879" s="43"/>
      <c r="DJ879" s="43"/>
      <c r="DK879" s="43"/>
      <c r="DL879" s="43"/>
      <c r="DM879" s="43"/>
      <c r="DN879" s="43"/>
      <c r="DO879" s="43"/>
      <c r="DP879" s="43"/>
      <c r="DQ879" s="43"/>
      <c r="DR879" s="43"/>
      <c r="DS879" s="43"/>
      <c r="DT879" s="43"/>
      <c r="DU879" s="43"/>
      <c r="DV879" s="43"/>
      <c r="DW879" s="43"/>
      <c r="DX879" s="43"/>
      <c r="DY879" s="43"/>
      <c r="DZ879" s="43"/>
      <c r="EA879" s="43"/>
      <c r="EB879" s="43"/>
      <c r="EC879" s="43"/>
      <c r="ED879" s="43"/>
      <c r="EE879" s="43"/>
      <c r="EF879" s="43"/>
      <c r="EG879" s="43"/>
      <c r="EH879" s="43"/>
      <c r="EI879" s="43"/>
      <c r="EJ879" s="43"/>
      <c r="EK879" s="43"/>
      <c r="EL879" s="43"/>
      <c r="EM879" s="43"/>
      <c r="EN879" s="43"/>
      <c r="EO879" s="43"/>
      <c r="EP879" s="43"/>
      <c r="EQ879" s="43"/>
      <c r="ER879" s="43"/>
      <c r="ES879" s="43"/>
      <c r="ET879" s="43"/>
      <c r="EU879" s="43"/>
      <c r="EV879" s="43"/>
      <c r="EW879" s="43"/>
      <c r="EX879" s="43"/>
      <c r="EY879" s="43"/>
      <c r="EZ879" s="43"/>
      <c r="FA879" s="43"/>
      <c r="FB879" s="43"/>
      <c r="FC879" s="43"/>
      <c r="FD879" s="43"/>
      <c r="FE879" s="43"/>
      <c r="FF879" s="43"/>
      <c r="FG879" s="43"/>
      <c r="FH879" s="50"/>
      <c r="FI879" s="50"/>
    </row>
    <row r="880" ht="14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  <c r="AX880" s="43"/>
      <c r="AY880" s="43"/>
      <c r="AZ880" s="43"/>
      <c r="BA880" s="43"/>
      <c r="BB880" s="43"/>
      <c r="BC880" s="43"/>
      <c r="BD880" s="43"/>
      <c r="BE880" s="43"/>
      <c r="BF880" s="43"/>
      <c r="BG880" s="43"/>
      <c r="BH880" s="43"/>
      <c r="BI880" s="43"/>
      <c r="BJ880" s="43"/>
      <c r="BK880" s="43"/>
      <c r="BL880" s="43"/>
      <c r="BM880" s="43"/>
      <c r="BN880" s="43"/>
      <c r="BO880" s="43"/>
      <c r="BP880" s="43"/>
      <c r="BQ880" s="43"/>
      <c r="BR880" s="43"/>
      <c r="BS880" s="43"/>
      <c r="BT880" s="43"/>
      <c r="BU880" s="43"/>
      <c r="BV880" s="43"/>
      <c r="BW880" s="43"/>
      <c r="BX880" s="43"/>
      <c r="BY880" s="43"/>
      <c r="BZ880" s="43"/>
      <c r="CA880" s="43"/>
      <c r="CB880" s="43"/>
      <c r="CC880" s="43"/>
      <c r="CD880" s="43"/>
      <c r="CE880" s="43"/>
      <c r="CF880" s="43"/>
      <c r="CG880" s="43"/>
      <c r="CH880" s="43"/>
      <c r="CI880" s="43"/>
      <c r="CJ880" s="43"/>
      <c r="CK880" s="43"/>
      <c r="CL880" s="43"/>
      <c r="CM880" s="43"/>
      <c r="CN880" s="43"/>
      <c r="CO880" s="43"/>
      <c r="CP880" s="43"/>
      <c r="CQ880" s="43"/>
      <c r="CR880" s="43"/>
      <c r="CS880" s="43"/>
      <c r="CT880" s="43"/>
      <c r="CU880" s="43"/>
      <c r="CV880" s="43"/>
      <c r="CW880" s="43"/>
      <c r="CX880" s="43"/>
      <c r="CY880" s="43"/>
      <c r="CZ880" s="43"/>
      <c r="DA880" s="43"/>
      <c r="DB880" s="43"/>
      <c r="DC880" s="43"/>
      <c r="DD880" s="43"/>
      <c r="DE880" s="43"/>
      <c r="DF880" s="43"/>
      <c r="DG880" s="43"/>
      <c r="DH880" s="43"/>
      <c r="DI880" s="43"/>
      <c r="DJ880" s="43"/>
      <c r="DK880" s="43"/>
      <c r="DL880" s="43"/>
      <c r="DM880" s="43"/>
      <c r="DN880" s="43"/>
      <c r="DO880" s="43"/>
      <c r="DP880" s="43"/>
      <c r="DQ880" s="43"/>
      <c r="DR880" s="43"/>
      <c r="DS880" s="43"/>
      <c r="DT880" s="43"/>
      <c r="DU880" s="43"/>
      <c r="DV880" s="43"/>
      <c r="DW880" s="43"/>
      <c r="DX880" s="43"/>
      <c r="DY880" s="43"/>
      <c r="DZ880" s="43"/>
      <c r="EA880" s="43"/>
      <c r="EB880" s="43"/>
      <c r="EC880" s="43"/>
      <c r="ED880" s="43"/>
      <c r="EE880" s="43"/>
      <c r="EF880" s="43"/>
      <c r="EG880" s="43"/>
      <c r="EH880" s="43"/>
      <c r="EI880" s="43"/>
      <c r="EJ880" s="43"/>
      <c r="EK880" s="43"/>
      <c r="EL880" s="43"/>
      <c r="EM880" s="43"/>
      <c r="EN880" s="43"/>
      <c r="EO880" s="43"/>
      <c r="EP880" s="43"/>
      <c r="EQ880" s="43"/>
      <c r="ER880" s="43"/>
      <c r="ES880" s="43"/>
      <c r="ET880" s="43"/>
      <c r="EU880" s="43"/>
      <c r="EV880" s="43"/>
      <c r="EW880" s="43"/>
      <c r="EX880" s="43"/>
      <c r="EY880" s="43"/>
      <c r="EZ880" s="43"/>
      <c r="FA880" s="43"/>
      <c r="FB880" s="43"/>
      <c r="FC880" s="43"/>
      <c r="FD880" s="43"/>
      <c r="FE880" s="43"/>
      <c r="FF880" s="43"/>
      <c r="FG880" s="43"/>
      <c r="FH880" s="50"/>
      <c r="FI880" s="50"/>
    </row>
    <row r="881" ht="14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  <c r="AX881" s="43"/>
      <c r="AY881" s="43"/>
      <c r="AZ881" s="43"/>
      <c r="BA881" s="43"/>
      <c r="BB881" s="43"/>
      <c r="BC881" s="43"/>
      <c r="BD881" s="43"/>
      <c r="BE881" s="43"/>
      <c r="BF881" s="43"/>
      <c r="BG881" s="43"/>
      <c r="BH881" s="43"/>
      <c r="BI881" s="43"/>
      <c r="BJ881" s="43"/>
      <c r="BK881" s="43"/>
      <c r="BL881" s="43"/>
      <c r="BM881" s="43"/>
      <c r="BN881" s="43"/>
      <c r="BO881" s="43"/>
      <c r="BP881" s="43"/>
      <c r="BQ881" s="43"/>
      <c r="BR881" s="43"/>
      <c r="BS881" s="43"/>
      <c r="BT881" s="43"/>
      <c r="BU881" s="43"/>
      <c r="BV881" s="43"/>
      <c r="BW881" s="43"/>
      <c r="BX881" s="43"/>
      <c r="BY881" s="43"/>
      <c r="BZ881" s="43"/>
      <c r="CA881" s="43"/>
      <c r="CB881" s="43"/>
      <c r="CC881" s="43"/>
      <c r="CD881" s="43"/>
      <c r="CE881" s="43"/>
      <c r="CF881" s="43"/>
      <c r="CG881" s="43"/>
      <c r="CH881" s="43"/>
      <c r="CI881" s="43"/>
      <c r="CJ881" s="43"/>
      <c r="CK881" s="43"/>
      <c r="CL881" s="43"/>
      <c r="CM881" s="43"/>
      <c r="CN881" s="43"/>
      <c r="CO881" s="43"/>
      <c r="CP881" s="43"/>
      <c r="CQ881" s="43"/>
      <c r="CR881" s="43"/>
      <c r="CS881" s="43"/>
      <c r="CT881" s="43"/>
      <c r="CU881" s="43"/>
      <c r="CV881" s="43"/>
      <c r="CW881" s="43"/>
      <c r="CX881" s="43"/>
      <c r="CY881" s="43"/>
      <c r="CZ881" s="43"/>
      <c r="DA881" s="43"/>
      <c r="DB881" s="43"/>
      <c r="DC881" s="43"/>
      <c r="DD881" s="43"/>
      <c r="DE881" s="43"/>
      <c r="DF881" s="43"/>
      <c r="DG881" s="43"/>
      <c r="DH881" s="43"/>
      <c r="DI881" s="43"/>
      <c r="DJ881" s="43"/>
      <c r="DK881" s="43"/>
      <c r="DL881" s="43"/>
      <c r="DM881" s="43"/>
      <c r="DN881" s="43"/>
      <c r="DO881" s="43"/>
      <c r="DP881" s="43"/>
      <c r="DQ881" s="43"/>
      <c r="DR881" s="43"/>
      <c r="DS881" s="43"/>
      <c r="DT881" s="43"/>
      <c r="DU881" s="43"/>
      <c r="DV881" s="43"/>
      <c r="DW881" s="43"/>
      <c r="DX881" s="43"/>
      <c r="DY881" s="43"/>
      <c r="DZ881" s="43"/>
      <c r="EA881" s="43"/>
      <c r="EB881" s="43"/>
      <c r="EC881" s="43"/>
      <c r="ED881" s="43"/>
      <c r="EE881" s="43"/>
      <c r="EF881" s="43"/>
      <c r="EG881" s="43"/>
      <c r="EH881" s="43"/>
      <c r="EI881" s="43"/>
      <c r="EJ881" s="43"/>
      <c r="EK881" s="43"/>
      <c r="EL881" s="43"/>
      <c r="EM881" s="43"/>
      <c r="EN881" s="43"/>
      <c r="EO881" s="43"/>
      <c r="EP881" s="43"/>
      <c r="EQ881" s="43"/>
      <c r="ER881" s="43"/>
      <c r="ES881" s="43"/>
      <c r="ET881" s="43"/>
      <c r="EU881" s="43"/>
      <c r="EV881" s="43"/>
      <c r="EW881" s="43"/>
      <c r="EX881" s="43"/>
      <c r="EY881" s="43"/>
      <c r="EZ881" s="43"/>
      <c r="FA881" s="43"/>
      <c r="FB881" s="43"/>
      <c r="FC881" s="43"/>
      <c r="FD881" s="43"/>
      <c r="FE881" s="43"/>
      <c r="FF881" s="43"/>
      <c r="FG881" s="43"/>
      <c r="FH881" s="50"/>
      <c r="FI881" s="50"/>
    </row>
    <row r="882" ht="14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  <c r="AX882" s="43"/>
      <c r="AY882" s="43"/>
      <c r="AZ882" s="43"/>
      <c r="BA882" s="43"/>
      <c r="BB882" s="43"/>
      <c r="BC882" s="43"/>
      <c r="BD882" s="43"/>
      <c r="BE882" s="43"/>
      <c r="BF882" s="43"/>
      <c r="BG882" s="43"/>
      <c r="BH882" s="43"/>
      <c r="BI882" s="43"/>
      <c r="BJ882" s="43"/>
      <c r="BK882" s="43"/>
      <c r="BL882" s="43"/>
      <c r="BM882" s="43"/>
      <c r="BN882" s="43"/>
      <c r="BO882" s="43"/>
      <c r="BP882" s="43"/>
      <c r="BQ882" s="43"/>
      <c r="BR882" s="43"/>
      <c r="BS882" s="43"/>
      <c r="BT882" s="43"/>
      <c r="BU882" s="43"/>
      <c r="BV882" s="43"/>
      <c r="BW882" s="43"/>
      <c r="BX882" s="43"/>
      <c r="BY882" s="43"/>
      <c r="BZ882" s="43"/>
      <c r="CA882" s="43"/>
      <c r="CB882" s="43"/>
      <c r="CC882" s="43"/>
      <c r="CD882" s="43"/>
      <c r="CE882" s="43"/>
      <c r="CF882" s="43"/>
      <c r="CG882" s="43"/>
      <c r="CH882" s="43"/>
      <c r="CI882" s="43"/>
      <c r="CJ882" s="43"/>
      <c r="CK882" s="43"/>
      <c r="CL882" s="43"/>
      <c r="CM882" s="43"/>
      <c r="CN882" s="43"/>
      <c r="CO882" s="43"/>
      <c r="CP882" s="43"/>
      <c r="CQ882" s="43"/>
      <c r="CR882" s="43"/>
      <c r="CS882" s="43"/>
      <c r="CT882" s="43"/>
      <c r="CU882" s="43"/>
      <c r="CV882" s="43"/>
      <c r="CW882" s="43"/>
      <c r="CX882" s="43"/>
      <c r="CY882" s="43"/>
      <c r="CZ882" s="43"/>
      <c r="DA882" s="43"/>
      <c r="DB882" s="43"/>
      <c r="DC882" s="43"/>
      <c r="DD882" s="43"/>
      <c r="DE882" s="43"/>
      <c r="DF882" s="43"/>
      <c r="DG882" s="43"/>
      <c r="DH882" s="43"/>
      <c r="DI882" s="43"/>
      <c r="DJ882" s="43"/>
      <c r="DK882" s="43"/>
      <c r="DL882" s="43"/>
      <c r="DM882" s="43"/>
      <c r="DN882" s="43"/>
      <c r="DO882" s="43"/>
      <c r="DP882" s="43"/>
      <c r="DQ882" s="43"/>
      <c r="DR882" s="43"/>
      <c r="DS882" s="43"/>
      <c r="DT882" s="43"/>
      <c r="DU882" s="43"/>
      <c r="DV882" s="43"/>
      <c r="DW882" s="43"/>
      <c r="DX882" s="43"/>
      <c r="DY882" s="43"/>
      <c r="DZ882" s="43"/>
      <c r="EA882" s="43"/>
      <c r="EB882" s="43"/>
      <c r="EC882" s="43"/>
      <c r="ED882" s="43"/>
      <c r="EE882" s="43"/>
      <c r="EF882" s="43"/>
      <c r="EG882" s="43"/>
      <c r="EH882" s="43"/>
      <c r="EI882" s="43"/>
      <c r="EJ882" s="43"/>
      <c r="EK882" s="43"/>
      <c r="EL882" s="43"/>
      <c r="EM882" s="43"/>
      <c r="EN882" s="43"/>
      <c r="EO882" s="43"/>
      <c r="EP882" s="43"/>
      <c r="EQ882" s="43"/>
      <c r="ER882" s="43"/>
      <c r="ES882" s="43"/>
      <c r="ET882" s="43"/>
      <c r="EU882" s="43"/>
      <c r="EV882" s="43"/>
      <c r="EW882" s="43"/>
      <c r="EX882" s="43"/>
      <c r="EY882" s="43"/>
      <c r="EZ882" s="43"/>
      <c r="FA882" s="43"/>
      <c r="FB882" s="43"/>
      <c r="FC882" s="43"/>
      <c r="FD882" s="43"/>
      <c r="FE882" s="43"/>
      <c r="FF882" s="43"/>
      <c r="FG882" s="43"/>
      <c r="FH882" s="50"/>
      <c r="FI882" s="50"/>
    </row>
    <row r="883" ht="14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  <c r="AX883" s="43"/>
      <c r="AY883" s="43"/>
      <c r="AZ883" s="43"/>
      <c r="BA883" s="43"/>
      <c r="BB883" s="43"/>
      <c r="BC883" s="43"/>
      <c r="BD883" s="43"/>
      <c r="BE883" s="43"/>
      <c r="BF883" s="43"/>
      <c r="BG883" s="43"/>
      <c r="BH883" s="43"/>
      <c r="BI883" s="43"/>
      <c r="BJ883" s="43"/>
      <c r="BK883" s="43"/>
      <c r="BL883" s="43"/>
      <c r="BM883" s="43"/>
      <c r="BN883" s="43"/>
      <c r="BO883" s="43"/>
      <c r="BP883" s="43"/>
      <c r="BQ883" s="43"/>
      <c r="BR883" s="43"/>
      <c r="BS883" s="43"/>
      <c r="BT883" s="43"/>
      <c r="BU883" s="43"/>
      <c r="BV883" s="43"/>
      <c r="BW883" s="43"/>
      <c r="BX883" s="43"/>
      <c r="BY883" s="43"/>
      <c r="BZ883" s="43"/>
      <c r="CA883" s="43"/>
      <c r="CB883" s="43"/>
      <c r="CC883" s="43"/>
      <c r="CD883" s="43"/>
      <c r="CE883" s="43"/>
      <c r="CF883" s="43"/>
      <c r="CG883" s="43"/>
      <c r="CH883" s="43"/>
      <c r="CI883" s="43"/>
      <c r="CJ883" s="43"/>
      <c r="CK883" s="43"/>
      <c r="CL883" s="43"/>
      <c r="CM883" s="43"/>
      <c r="CN883" s="43"/>
      <c r="CO883" s="43"/>
      <c r="CP883" s="43"/>
      <c r="CQ883" s="43"/>
      <c r="CR883" s="43"/>
      <c r="CS883" s="43"/>
      <c r="CT883" s="43"/>
      <c r="CU883" s="43"/>
      <c r="CV883" s="43"/>
      <c r="CW883" s="43"/>
      <c r="CX883" s="43"/>
      <c r="CY883" s="43"/>
      <c r="CZ883" s="43"/>
      <c r="DA883" s="43"/>
      <c r="DB883" s="43"/>
      <c r="DC883" s="43"/>
      <c r="DD883" s="43"/>
      <c r="DE883" s="43"/>
      <c r="DF883" s="43"/>
      <c r="DG883" s="43"/>
      <c r="DH883" s="43"/>
      <c r="DI883" s="43"/>
      <c r="DJ883" s="43"/>
      <c r="DK883" s="43"/>
      <c r="DL883" s="43"/>
      <c r="DM883" s="43"/>
      <c r="DN883" s="43"/>
      <c r="DO883" s="43"/>
      <c r="DP883" s="43"/>
      <c r="DQ883" s="43"/>
      <c r="DR883" s="43"/>
      <c r="DS883" s="43"/>
      <c r="DT883" s="43"/>
      <c r="DU883" s="43"/>
      <c r="DV883" s="43"/>
      <c r="DW883" s="43"/>
      <c r="DX883" s="43"/>
      <c r="DY883" s="43"/>
      <c r="DZ883" s="43"/>
      <c r="EA883" s="43"/>
      <c r="EB883" s="43"/>
      <c r="EC883" s="43"/>
      <c r="ED883" s="43"/>
      <c r="EE883" s="43"/>
      <c r="EF883" s="43"/>
      <c r="EG883" s="43"/>
      <c r="EH883" s="43"/>
      <c r="EI883" s="43"/>
      <c r="EJ883" s="43"/>
      <c r="EK883" s="43"/>
      <c r="EL883" s="43"/>
      <c r="EM883" s="43"/>
      <c r="EN883" s="43"/>
      <c r="EO883" s="43"/>
      <c r="EP883" s="43"/>
      <c r="EQ883" s="43"/>
      <c r="ER883" s="43"/>
      <c r="ES883" s="43"/>
      <c r="ET883" s="43"/>
      <c r="EU883" s="43"/>
      <c r="EV883" s="43"/>
      <c r="EW883" s="43"/>
      <c r="EX883" s="43"/>
      <c r="EY883" s="43"/>
      <c r="EZ883" s="43"/>
      <c r="FA883" s="43"/>
      <c r="FB883" s="43"/>
      <c r="FC883" s="43"/>
      <c r="FD883" s="43"/>
      <c r="FE883" s="43"/>
      <c r="FF883" s="43"/>
      <c r="FG883" s="43"/>
      <c r="FH883" s="50"/>
      <c r="FI883" s="50"/>
    </row>
    <row r="884" ht="14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  <c r="AX884" s="43"/>
      <c r="AY884" s="43"/>
      <c r="AZ884" s="43"/>
      <c r="BA884" s="43"/>
      <c r="BB884" s="43"/>
      <c r="BC884" s="43"/>
      <c r="BD884" s="43"/>
      <c r="BE884" s="43"/>
      <c r="BF884" s="43"/>
      <c r="BG884" s="43"/>
      <c r="BH884" s="43"/>
      <c r="BI884" s="43"/>
      <c r="BJ884" s="43"/>
      <c r="BK884" s="43"/>
      <c r="BL884" s="43"/>
      <c r="BM884" s="43"/>
      <c r="BN884" s="43"/>
      <c r="BO884" s="43"/>
      <c r="BP884" s="43"/>
      <c r="BQ884" s="43"/>
      <c r="BR884" s="43"/>
      <c r="BS884" s="43"/>
      <c r="BT884" s="43"/>
      <c r="BU884" s="43"/>
      <c r="BV884" s="43"/>
      <c r="BW884" s="43"/>
      <c r="BX884" s="43"/>
      <c r="BY884" s="43"/>
      <c r="BZ884" s="43"/>
      <c r="CA884" s="43"/>
      <c r="CB884" s="43"/>
      <c r="CC884" s="43"/>
      <c r="CD884" s="43"/>
      <c r="CE884" s="43"/>
      <c r="CF884" s="43"/>
      <c r="CG884" s="43"/>
      <c r="CH884" s="43"/>
      <c r="CI884" s="43"/>
      <c r="CJ884" s="43"/>
      <c r="CK884" s="43"/>
      <c r="CL884" s="43"/>
      <c r="CM884" s="43"/>
      <c r="CN884" s="43"/>
      <c r="CO884" s="43"/>
      <c r="CP884" s="43"/>
      <c r="CQ884" s="43"/>
      <c r="CR884" s="43"/>
      <c r="CS884" s="43"/>
      <c r="CT884" s="43"/>
      <c r="CU884" s="43"/>
      <c r="CV884" s="43"/>
      <c r="CW884" s="43"/>
      <c r="CX884" s="43"/>
      <c r="CY884" s="43"/>
      <c r="CZ884" s="43"/>
      <c r="DA884" s="43"/>
      <c r="DB884" s="43"/>
      <c r="DC884" s="43"/>
      <c r="DD884" s="43"/>
      <c r="DE884" s="43"/>
      <c r="DF884" s="43"/>
      <c r="DG884" s="43"/>
      <c r="DH884" s="43"/>
      <c r="DI884" s="43"/>
      <c r="DJ884" s="43"/>
      <c r="DK884" s="43"/>
      <c r="DL884" s="43"/>
      <c r="DM884" s="43"/>
      <c r="DN884" s="43"/>
      <c r="DO884" s="43"/>
      <c r="DP884" s="43"/>
      <c r="DQ884" s="43"/>
      <c r="DR884" s="43"/>
      <c r="DS884" s="43"/>
      <c r="DT884" s="43"/>
      <c r="DU884" s="43"/>
      <c r="DV884" s="43"/>
      <c r="DW884" s="43"/>
      <c r="DX884" s="43"/>
      <c r="DY884" s="43"/>
      <c r="DZ884" s="43"/>
      <c r="EA884" s="43"/>
      <c r="EB884" s="43"/>
      <c r="EC884" s="43"/>
      <c r="ED884" s="43"/>
      <c r="EE884" s="43"/>
      <c r="EF884" s="43"/>
      <c r="EG884" s="43"/>
      <c r="EH884" s="43"/>
      <c r="EI884" s="43"/>
      <c r="EJ884" s="43"/>
      <c r="EK884" s="43"/>
      <c r="EL884" s="43"/>
      <c r="EM884" s="43"/>
      <c r="EN884" s="43"/>
      <c r="EO884" s="43"/>
      <c r="EP884" s="43"/>
      <c r="EQ884" s="43"/>
      <c r="ER884" s="43"/>
      <c r="ES884" s="43"/>
      <c r="ET884" s="43"/>
      <c r="EU884" s="43"/>
      <c r="EV884" s="43"/>
      <c r="EW884" s="43"/>
      <c r="EX884" s="43"/>
      <c r="EY884" s="43"/>
      <c r="EZ884" s="43"/>
      <c r="FA884" s="43"/>
      <c r="FB884" s="43"/>
      <c r="FC884" s="43"/>
      <c r="FD884" s="43"/>
      <c r="FE884" s="43"/>
      <c r="FF884" s="43"/>
      <c r="FG884" s="43"/>
      <c r="FH884" s="50"/>
      <c r="FI884" s="50"/>
    </row>
    <row r="885" ht="14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  <c r="AX885" s="43"/>
      <c r="AY885" s="43"/>
      <c r="AZ885" s="43"/>
      <c r="BA885" s="43"/>
      <c r="BB885" s="43"/>
      <c r="BC885" s="43"/>
      <c r="BD885" s="43"/>
      <c r="BE885" s="43"/>
      <c r="BF885" s="43"/>
      <c r="BG885" s="43"/>
      <c r="BH885" s="43"/>
      <c r="BI885" s="43"/>
      <c r="BJ885" s="43"/>
      <c r="BK885" s="43"/>
      <c r="BL885" s="43"/>
      <c r="BM885" s="43"/>
      <c r="BN885" s="43"/>
      <c r="BO885" s="43"/>
      <c r="BP885" s="43"/>
      <c r="BQ885" s="43"/>
      <c r="BR885" s="43"/>
      <c r="BS885" s="43"/>
      <c r="BT885" s="43"/>
      <c r="BU885" s="43"/>
      <c r="BV885" s="43"/>
      <c r="BW885" s="43"/>
      <c r="BX885" s="43"/>
      <c r="BY885" s="43"/>
      <c r="BZ885" s="43"/>
      <c r="CA885" s="43"/>
      <c r="CB885" s="43"/>
      <c r="CC885" s="43"/>
      <c r="CD885" s="43"/>
      <c r="CE885" s="43"/>
      <c r="CF885" s="43"/>
      <c r="CG885" s="43"/>
      <c r="CH885" s="43"/>
      <c r="CI885" s="43"/>
      <c r="CJ885" s="43"/>
      <c r="CK885" s="43"/>
      <c r="CL885" s="43"/>
      <c r="CM885" s="43"/>
      <c r="CN885" s="43"/>
      <c r="CO885" s="43"/>
      <c r="CP885" s="43"/>
      <c r="CQ885" s="43"/>
      <c r="CR885" s="43"/>
      <c r="CS885" s="43"/>
      <c r="CT885" s="43"/>
      <c r="CU885" s="43"/>
      <c r="CV885" s="43"/>
      <c r="CW885" s="43"/>
      <c r="CX885" s="43"/>
      <c r="CY885" s="43"/>
      <c r="CZ885" s="43"/>
      <c r="DA885" s="43"/>
      <c r="DB885" s="43"/>
      <c r="DC885" s="43"/>
      <c r="DD885" s="43"/>
      <c r="DE885" s="43"/>
      <c r="DF885" s="43"/>
      <c r="DG885" s="43"/>
      <c r="DH885" s="43"/>
      <c r="DI885" s="43"/>
      <c r="DJ885" s="43"/>
      <c r="DK885" s="43"/>
      <c r="DL885" s="43"/>
      <c r="DM885" s="43"/>
      <c r="DN885" s="43"/>
      <c r="DO885" s="43"/>
      <c r="DP885" s="43"/>
      <c r="DQ885" s="43"/>
      <c r="DR885" s="43"/>
      <c r="DS885" s="43"/>
      <c r="DT885" s="43"/>
      <c r="DU885" s="43"/>
      <c r="DV885" s="43"/>
      <c r="DW885" s="43"/>
      <c r="DX885" s="43"/>
      <c r="DY885" s="43"/>
      <c r="DZ885" s="43"/>
      <c r="EA885" s="43"/>
      <c r="EB885" s="43"/>
      <c r="EC885" s="43"/>
      <c r="ED885" s="43"/>
      <c r="EE885" s="43"/>
      <c r="EF885" s="43"/>
      <c r="EG885" s="43"/>
      <c r="EH885" s="43"/>
      <c r="EI885" s="43"/>
      <c r="EJ885" s="43"/>
      <c r="EK885" s="43"/>
      <c r="EL885" s="43"/>
      <c r="EM885" s="43"/>
      <c r="EN885" s="43"/>
      <c r="EO885" s="43"/>
      <c r="EP885" s="43"/>
      <c r="EQ885" s="43"/>
      <c r="ER885" s="43"/>
      <c r="ES885" s="43"/>
      <c r="ET885" s="43"/>
      <c r="EU885" s="43"/>
      <c r="EV885" s="43"/>
      <c r="EW885" s="43"/>
      <c r="EX885" s="43"/>
      <c r="EY885" s="43"/>
      <c r="EZ885" s="43"/>
      <c r="FA885" s="43"/>
      <c r="FB885" s="43"/>
      <c r="FC885" s="43"/>
      <c r="FD885" s="43"/>
      <c r="FE885" s="43"/>
      <c r="FF885" s="43"/>
      <c r="FG885" s="43"/>
      <c r="FH885" s="50"/>
      <c r="FI885" s="50"/>
    </row>
    <row r="886" ht="14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  <c r="AX886" s="43"/>
      <c r="AY886" s="43"/>
      <c r="AZ886" s="43"/>
      <c r="BA886" s="43"/>
      <c r="BB886" s="43"/>
      <c r="BC886" s="43"/>
      <c r="BD886" s="43"/>
      <c r="BE886" s="43"/>
      <c r="BF886" s="43"/>
      <c r="BG886" s="43"/>
      <c r="BH886" s="43"/>
      <c r="BI886" s="43"/>
      <c r="BJ886" s="43"/>
      <c r="BK886" s="43"/>
      <c r="BL886" s="43"/>
      <c r="BM886" s="43"/>
      <c r="BN886" s="43"/>
      <c r="BO886" s="43"/>
      <c r="BP886" s="43"/>
      <c r="BQ886" s="43"/>
      <c r="BR886" s="43"/>
      <c r="BS886" s="43"/>
      <c r="BT886" s="43"/>
      <c r="BU886" s="43"/>
      <c r="BV886" s="43"/>
      <c r="BW886" s="43"/>
      <c r="BX886" s="43"/>
      <c r="BY886" s="43"/>
      <c r="BZ886" s="43"/>
      <c r="CA886" s="43"/>
      <c r="CB886" s="43"/>
      <c r="CC886" s="43"/>
      <c r="CD886" s="43"/>
      <c r="CE886" s="43"/>
      <c r="CF886" s="43"/>
      <c r="CG886" s="43"/>
      <c r="CH886" s="43"/>
      <c r="CI886" s="43"/>
      <c r="CJ886" s="43"/>
      <c r="CK886" s="43"/>
      <c r="CL886" s="43"/>
      <c r="CM886" s="43"/>
      <c r="CN886" s="43"/>
      <c r="CO886" s="43"/>
      <c r="CP886" s="43"/>
      <c r="CQ886" s="43"/>
      <c r="CR886" s="43"/>
      <c r="CS886" s="43"/>
      <c r="CT886" s="43"/>
      <c r="CU886" s="43"/>
      <c r="CV886" s="43"/>
      <c r="CW886" s="43"/>
      <c r="CX886" s="43"/>
      <c r="CY886" s="43"/>
      <c r="CZ886" s="43"/>
      <c r="DA886" s="43"/>
      <c r="DB886" s="43"/>
      <c r="DC886" s="43"/>
      <c r="DD886" s="43"/>
      <c r="DE886" s="43"/>
      <c r="DF886" s="43"/>
      <c r="DG886" s="43"/>
      <c r="DH886" s="43"/>
      <c r="DI886" s="43"/>
      <c r="DJ886" s="43"/>
      <c r="DK886" s="43"/>
      <c r="DL886" s="43"/>
      <c r="DM886" s="43"/>
      <c r="DN886" s="43"/>
      <c r="DO886" s="43"/>
      <c r="DP886" s="43"/>
      <c r="DQ886" s="43"/>
      <c r="DR886" s="43"/>
      <c r="DS886" s="43"/>
      <c r="DT886" s="43"/>
      <c r="DU886" s="43"/>
      <c r="DV886" s="43"/>
      <c r="DW886" s="43"/>
      <c r="DX886" s="43"/>
      <c r="DY886" s="43"/>
      <c r="DZ886" s="43"/>
      <c r="EA886" s="43"/>
      <c r="EB886" s="43"/>
      <c r="EC886" s="43"/>
      <c r="ED886" s="43"/>
      <c r="EE886" s="43"/>
      <c r="EF886" s="43"/>
      <c r="EG886" s="43"/>
      <c r="EH886" s="43"/>
      <c r="EI886" s="43"/>
      <c r="EJ886" s="43"/>
      <c r="EK886" s="43"/>
      <c r="EL886" s="43"/>
      <c r="EM886" s="43"/>
      <c r="EN886" s="43"/>
      <c r="EO886" s="43"/>
      <c r="EP886" s="43"/>
      <c r="EQ886" s="43"/>
      <c r="ER886" s="43"/>
      <c r="ES886" s="43"/>
      <c r="ET886" s="43"/>
      <c r="EU886" s="43"/>
      <c r="EV886" s="43"/>
      <c r="EW886" s="43"/>
      <c r="EX886" s="43"/>
      <c r="EY886" s="43"/>
      <c r="EZ886" s="43"/>
      <c r="FA886" s="43"/>
      <c r="FB886" s="43"/>
      <c r="FC886" s="43"/>
      <c r="FD886" s="43"/>
      <c r="FE886" s="43"/>
      <c r="FF886" s="43"/>
      <c r="FG886" s="43"/>
      <c r="FH886" s="50"/>
      <c r="FI886" s="50"/>
    </row>
    <row r="887" ht="14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  <c r="AX887" s="43"/>
      <c r="AY887" s="43"/>
      <c r="AZ887" s="43"/>
      <c r="BA887" s="43"/>
      <c r="BB887" s="43"/>
      <c r="BC887" s="43"/>
      <c r="BD887" s="43"/>
      <c r="BE887" s="43"/>
      <c r="BF887" s="43"/>
      <c r="BG887" s="43"/>
      <c r="BH887" s="43"/>
      <c r="BI887" s="43"/>
      <c r="BJ887" s="43"/>
      <c r="BK887" s="43"/>
      <c r="BL887" s="43"/>
      <c r="BM887" s="43"/>
      <c r="BN887" s="43"/>
      <c r="BO887" s="43"/>
      <c r="BP887" s="43"/>
      <c r="BQ887" s="43"/>
      <c r="BR887" s="43"/>
      <c r="BS887" s="43"/>
      <c r="BT887" s="43"/>
      <c r="BU887" s="43"/>
      <c r="BV887" s="43"/>
      <c r="BW887" s="43"/>
      <c r="BX887" s="43"/>
      <c r="BY887" s="43"/>
      <c r="BZ887" s="43"/>
      <c r="CA887" s="43"/>
      <c r="CB887" s="43"/>
      <c r="CC887" s="43"/>
      <c r="CD887" s="43"/>
      <c r="CE887" s="43"/>
      <c r="CF887" s="43"/>
      <c r="CG887" s="43"/>
      <c r="CH887" s="43"/>
      <c r="CI887" s="43"/>
      <c r="CJ887" s="43"/>
      <c r="CK887" s="43"/>
      <c r="CL887" s="43"/>
      <c r="CM887" s="43"/>
      <c r="CN887" s="43"/>
      <c r="CO887" s="43"/>
      <c r="CP887" s="43"/>
      <c r="CQ887" s="43"/>
      <c r="CR887" s="43"/>
      <c r="CS887" s="43"/>
      <c r="CT887" s="43"/>
      <c r="CU887" s="43"/>
      <c r="CV887" s="43"/>
      <c r="CW887" s="43"/>
      <c r="CX887" s="43"/>
      <c r="CY887" s="43"/>
      <c r="CZ887" s="43"/>
      <c r="DA887" s="43"/>
      <c r="DB887" s="43"/>
      <c r="DC887" s="43"/>
      <c r="DD887" s="43"/>
      <c r="DE887" s="43"/>
      <c r="DF887" s="43"/>
      <c r="DG887" s="43"/>
      <c r="DH887" s="43"/>
      <c r="DI887" s="43"/>
      <c r="DJ887" s="43"/>
      <c r="DK887" s="43"/>
      <c r="DL887" s="43"/>
      <c r="DM887" s="43"/>
      <c r="DN887" s="43"/>
      <c r="DO887" s="43"/>
      <c r="DP887" s="43"/>
      <c r="DQ887" s="43"/>
      <c r="DR887" s="43"/>
      <c r="DS887" s="43"/>
      <c r="DT887" s="43"/>
      <c r="DU887" s="43"/>
      <c r="DV887" s="43"/>
      <c r="DW887" s="43"/>
      <c r="DX887" s="43"/>
      <c r="DY887" s="43"/>
      <c r="DZ887" s="43"/>
      <c r="EA887" s="43"/>
      <c r="EB887" s="43"/>
      <c r="EC887" s="43"/>
      <c r="ED887" s="43"/>
      <c r="EE887" s="43"/>
      <c r="EF887" s="43"/>
      <c r="EG887" s="43"/>
      <c r="EH887" s="43"/>
      <c r="EI887" s="43"/>
      <c r="EJ887" s="43"/>
      <c r="EK887" s="43"/>
      <c r="EL887" s="43"/>
      <c r="EM887" s="43"/>
      <c r="EN887" s="43"/>
      <c r="EO887" s="43"/>
      <c r="EP887" s="43"/>
      <c r="EQ887" s="43"/>
      <c r="ER887" s="43"/>
      <c r="ES887" s="43"/>
      <c r="ET887" s="43"/>
      <c r="EU887" s="43"/>
      <c r="EV887" s="43"/>
      <c r="EW887" s="43"/>
      <c r="EX887" s="43"/>
      <c r="EY887" s="43"/>
      <c r="EZ887" s="43"/>
      <c r="FA887" s="43"/>
      <c r="FB887" s="43"/>
      <c r="FC887" s="43"/>
      <c r="FD887" s="43"/>
      <c r="FE887" s="43"/>
      <c r="FF887" s="43"/>
      <c r="FG887" s="43"/>
      <c r="FH887" s="50"/>
      <c r="FI887" s="50"/>
    </row>
    <row r="888" ht="14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  <c r="AX888" s="43"/>
      <c r="AY888" s="43"/>
      <c r="AZ888" s="43"/>
      <c r="BA888" s="43"/>
      <c r="BB888" s="43"/>
      <c r="BC888" s="43"/>
      <c r="BD888" s="43"/>
      <c r="BE888" s="43"/>
      <c r="BF888" s="43"/>
      <c r="BG888" s="43"/>
      <c r="BH888" s="43"/>
      <c r="BI888" s="43"/>
      <c r="BJ888" s="43"/>
      <c r="BK888" s="43"/>
      <c r="BL888" s="43"/>
      <c r="BM888" s="43"/>
      <c r="BN888" s="43"/>
      <c r="BO888" s="43"/>
      <c r="BP888" s="43"/>
      <c r="BQ888" s="43"/>
      <c r="BR888" s="43"/>
      <c r="BS888" s="43"/>
      <c r="BT888" s="43"/>
      <c r="BU888" s="43"/>
      <c r="BV888" s="43"/>
      <c r="BW888" s="43"/>
      <c r="BX888" s="43"/>
      <c r="BY888" s="43"/>
      <c r="BZ888" s="43"/>
      <c r="CA888" s="43"/>
      <c r="CB888" s="43"/>
      <c r="CC888" s="43"/>
      <c r="CD888" s="43"/>
      <c r="CE888" s="43"/>
      <c r="CF888" s="43"/>
      <c r="CG888" s="43"/>
      <c r="CH888" s="43"/>
      <c r="CI888" s="43"/>
      <c r="CJ888" s="43"/>
      <c r="CK888" s="43"/>
      <c r="CL888" s="43"/>
      <c r="CM888" s="43"/>
      <c r="CN888" s="43"/>
      <c r="CO888" s="43"/>
      <c r="CP888" s="43"/>
      <c r="CQ888" s="43"/>
      <c r="CR888" s="43"/>
      <c r="CS888" s="43"/>
      <c r="CT888" s="43"/>
      <c r="CU888" s="43"/>
      <c r="CV888" s="43"/>
      <c r="CW888" s="43"/>
      <c r="CX888" s="43"/>
      <c r="CY888" s="43"/>
      <c r="CZ888" s="43"/>
      <c r="DA888" s="43"/>
      <c r="DB888" s="43"/>
      <c r="DC888" s="43"/>
      <c r="DD888" s="43"/>
      <c r="DE888" s="43"/>
      <c r="DF888" s="43"/>
      <c r="DG888" s="43"/>
      <c r="DH888" s="43"/>
      <c r="DI888" s="43"/>
      <c r="DJ888" s="43"/>
      <c r="DK888" s="43"/>
      <c r="DL888" s="43"/>
      <c r="DM888" s="43"/>
      <c r="DN888" s="43"/>
      <c r="DO888" s="43"/>
      <c r="DP888" s="43"/>
      <c r="DQ888" s="43"/>
      <c r="DR888" s="43"/>
      <c r="DS888" s="43"/>
      <c r="DT888" s="43"/>
      <c r="DU888" s="43"/>
      <c r="DV888" s="43"/>
      <c r="DW888" s="43"/>
      <c r="DX888" s="43"/>
      <c r="DY888" s="43"/>
      <c r="DZ888" s="43"/>
      <c r="EA888" s="43"/>
      <c r="EB888" s="43"/>
      <c r="EC888" s="43"/>
      <c r="ED888" s="43"/>
      <c r="EE888" s="43"/>
      <c r="EF888" s="43"/>
      <c r="EG888" s="43"/>
      <c r="EH888" s="43"/>
      <c r="EI888" s="43"/>
      <c r="EJ888" s="43"/>
      <c r="EK888" s="43"/>
      <c r="EL888" s="43"/>
      <c r="EM888" s="43"/>
      <c r="EN888" s="43"/>
      <c r="EO888" s="43"/>
      <c r="EP888" s="43"/>
      <c r="EQ888" s="43"/>
      <c r="ER888" s="43"/>
      <c r="ES888" s="43"/>
      <c r="ET888" s="43"/>
      <c r="EU888" s="43"/>
      <c r="EV888" s="43"/>
      <c r="EW888" s="43"/>
      <c r="EX888" s="43"/>
      <c r="EY888" s="43"/>
      <c r="EZ888" s="43"/>
      <c r="FA888" s="43"/>
      <c r="FB888" s="43"/>
      <c r="FC888" s="43"/>
      <c r="FD888" s="43"/>
      <c r="FE888" s="43"/>
      <c r="FF888" s="43"/>
      <c r="FG888" s="43"/>
      <c r="FH888" s="50"/>
      <c r="FI888" s="50"/>
    </row>
    <row r="889" ht="14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  <c r="AX889" s="43"/>
      <c r="AY889" s="43"/>
      <c r="AZ889" s="43"/>
      <c r="BA889" s="43"/>
      <c r="BB889" s="43"/>
      <c r="BC889" s="43"/>
      <c r="BD889" s="43"/>
      <c r="BE889" s="43"/>
      <c r="BF889" s="43"/>
      <c r="BG889" s="43"/>
      <c r="BH889" s="43"/>
      <c r="BI889" s="43"/>
      <c r="BJ889" s="43"/>
      <c r="BK889" s="43"/>
      <c r="BL889" s="43"/>
      <c r="BM889" s="43"/>
      <c r="BN889" s="43"/>
      <c r="BO889" s="43"/>
      <c r="BP889" s="43"/>
      <c r="BQ889" s="43"/>
      <c r="BR889" s="43"/>
      <c r="BS889" s="43"/>
      <c r="BT889" s="43"/>
      <c r="BU889" s="43"/>
      <c r="BV889" s="43"/>
      <c r="BW889" s="43"/>
      <c r="BX889" s="43"/>
      <c r="BY889" s="43"/>
      <c r="BZ889" s="43"/>
      <c r="CA889" s="43"/>
      <c r="CB889" s="43"/>
      <c r="CC889" s="43"/>
      <c r="CD889" s="43"/>
      <c r="CE889" s="43"/>
      <c r="CF889" s="43"/>
      <c r="CG889" s="43"/>
      <c r="CH889" s="43"/>
      <c r="CI889" s="43"/>
      <c r="CJ889" s="43"/>
      <c r="CK889" s="43"/>
      <c r="CL889" s="43"/>
      <c r="CM889" s="43"/>
      <c r="CN889" s="43"/>
      <c r="CO889" s="43"/>
      <c r="CP889" s="43"/>
      <c r="CQ889" s="43"/>
      <c r="CR889" s="43"/>
      <c r="CS889" s="43"/>
      <c r="CT889" s="43"/>
      <c r="CU889" s="43"/>
      <c r="CV889" s="43"/>
      <c r="CW889" s="43"/>
      <c r="CX889" s="43"/>
      <c r="CY889" s="43"/>
      <c r="CZ889" s="43"/>
      <c r="DA889" s="43"/>
      <c r="DB889" s="43"/>
      <c r="DC889" s="43"/>
      <c r="DD889" s="43"/>
      <c r="DE889" s="43"/>
      <c r="DF889" s="43"/>
      <c r="DG889" s="43"/>
      <c r="DH889" s="43"/>
      <c r="DI889" s="43"/>
      <c r="DJ889" s="43"/>
      <c r="DK889" s="43"/>
      <c r="DL889" s="43"/>
      <c r="DM889" s="43"/>
      <c r="DN889" s="43"/>
      <c r="DO889" s="43"/>
      <c r="DP889" s="43"/>
      <c r="DQ889" s="43"/>
      <c r="DR889" s="43"/>
      <c r="DS889" s="43"/>
      <c r="DT889" s="43"/>
      <c r="DU889" s="43"/>
      <c r="DV889" s="43"/>
      <c r="DW889" s="43"/>
      <c r="DX889" s="43"/>
      <c r="DY889" s="43"/>
      <c r="DZ889" s="43"/>
      <c r="EA889" s="43"/>
      <c r="EB889" s="43"/>
      <c r="EC889" s="43"/>
      <c r="ED889" s="43"/>
      <c r="EE889" s="43"/>
      <c r="EF889" s="43"/>
      <c r="EG889" s="43"/>
      <c r="EH889" s="43"/>
      <c r="EI889" s="43"/>
      <c r="EJ889" s="43"/>
      <c r="EK889" s="43"/>
      <c r="EL889" s="43"/>
      <c r="EM889" s="43"/>
      <c r="EN889" s="43"/>
      <c r="EO889" s="43"/>
      <c r="EP889" s="43"/>
      <c r="EQ889" s="43"/>
      <c r="ER889" s="43"/>
      <c r="ES889" s="43"/>
      <c r="ET889" s="43"/>
      <c r="EU889" s="43"/>
      <c r="EV889" s="43"/>
      <c r="EW889" s="43"/>
      <c r="EX889" s="43"/>
      <c r="EY889" s="43"/>
      <c r="EZ889" s="43"/>
      <c r="FA889" s="43"/>
      <c r="FB889" s="43"/>
      <c r="FC889" s="43"/>
      <c r="FD889" s="43"/>
      <c r="FE889" s="43"/>
      <c r="FF889" s="43"/>
      <c r="FG889" s="43"/>
      <c r="FH889" s="50"/>
      <c r="FI889" s="50"/>
    </row>
    <row r="890" ht="14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  <c r="AX890" s="43"/>
      <c r="AY890" s="43"/>
      <c r="AZ890" s="43"/>
      <c r="BA890" s="43"/>
      <c r="BB890" s="43"/>
      <c r="BC890" s="43"/>
      <c r="BD890" s="43"/>
      <c r="BE890" s="43"/>
      <c r="BF890" s="43"/>
      <c r="BG890" s="43"/>
      <c r="BH890" s="43"/>
      <c r="BI890" s="43"/>
      <c r="BJ890" s="43"/>
      <c r="BK890" s="43"/>
      <c r="BL890" s="43"/>
      <c r="BM890" s="43"/>
      <c r="BN890" s="43"/>
      <c r="BO890" s="43"/>
      <c r="BP890" s="43"/>
      <c r="BQ890" s="43"/>
      <c r="BR890" s="43"/>
      <c r="BS890" s="43"/>
      <c r="BT890" s="43"/>
      <c r="BU890" s="43"/>
      <c r="BV890" s="43"/>
      <c r="BW890" s="43"/>
      <c r="BX890" s="43"/>
      <c r="BY890" s="43"/>
      <c r="BZ890" s="43"/>
      <c r="CA890" s="43"/>
      <c r="CB890" s="43"/>
      <c r="CC890" s="43"/>
      <c r="CD890" s="43"/>
      <c r="CE890" s="43"/>
      <c r="CF890" s="43"/>
      <c r="CG890" s="43"/>
      <c r="CH890" s="43"/>
      <c r="CI890" s="43"/>
      <c r="CJ890" s="43"/>
      <c r="CK890" s="43"/>
      <c r="CL890" s="43"/>
      <c r="CM890" s="43"/>
      <c r="CN890" s="43"/>
      <c r="CO890" s="43"/>
      <c r="CP890" s="43"/>
      <c r="CQ890" s="43"/>
      <c r="CR890" s="43"/>
      <c r="CS890" s="43"/>
      <c r="CT890" s="43"/>
      <c r="CU890" s="43"/>
      <c r="CV890" s="43"/>
      <c r="CW890" s="43"/>
      <c r="CX890" s="43"/>
      <c r="CY890" s="43"/>
      <c r="CZ890" s="43"/>
      <c r="DA890" s="43"/>
      <c r="DB890" s="43"/>
      <c r="DC890" s="43"/>
      <c r="DD890" s="43"/>
      <c r="DE890" s="43"/>
      <c r="DF890" s="43"/>
      <c r="DG890" s="43"/>
      <c r="DH890" s="43"/>
      <c r="DI890" s="43"/>
      <c r="DJ890" s="43"/>
      <c r="DK890" s="43"/>
      <c r="DL890" s="43"/>
      <c r="DM890" s="43"/>
      <c r="DN890" s="43"/>
      <c r="DO890" s="43"/>
      <c r="DP890" s="43"/>
      <c r="DQ890" s="43"/>
      <c r="DR890" s="43"/>
      <c r="DS890" s="43"/>
      <c r="DT890" s="43"/>
      <c r="DU890" s="43"/>
      <c r="DV890" s="43"/>
      <c r="DW890" s="43"/>
      <c r="DX890" s="43"/>
      <c r="DY890" s="43"/>
      <c r="DZ890" s="43"/>
      <c r="EA890" s="43"/>
      <c r="EB890" s="43"/>
      <c r="EC890" s="43"/>
      <c r="ED890" s="43"/>
      <c r="EE890" s="43"/>
      <c r="EF890" s="43"/>
      <c r="EG890" s="43"/>
      <c r="EH890" s="43"/>
      <c r="EI890" s="43"/>
      <c r="EJ890" s="43"/>
      <c r="EK890" s="43"/>
      <c r="EL890" s="43"/>
      <c r="EM890" s="43"/>
      <c r="EN890" s="43"/>
      <c r="EO890" s="43"/>
      <c r="EP890" s="43"/>
      <c r="EQ890" s="43"/>
      <c r="ER890" s="43"/>
      <c r="ES890" s="43"/>
      <c r="ET890" s="43"/>
      <c r="EU890" s="43"/>
      <c r="EV890" s="43"/>
      <c r="EW890" s="43"/>
      <c r="EX890" s="43"/>
      <c r="EY890" s="43"/>
      <c r="EZ890" s="43"/>
      <c r="FA890" s="43"/>
      <c r="FB890" s="43"/>
      <c r="FC890" s="43"/>
      <c r="FD890" s="43"/>
      <c r="FE890" s="43"/>
      <c r="FF890" s="43"/>
      <c r="FG890" s="43"/>
      <c r="FH890" s="50"/>
      <c r="FI890" s="50"/>
    </row>
    <row r="891" ht="14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  <c r="AX891" s="43"/>
      <c r="AY891" s="43"/>
      <c r="AZ891" s="43"/>
      <c r="BA891" s="43"/>
      <c r="BB891" s="43"/>
      <c r="BC891" s="43"/>
      <c r="BD891" s="43"/>
      <c r="BE891" s="43"/>
      <c r="BF891" s="43"/>
      <c r="BG891" s="43"/>
      <c r="BH891" s="43"/>
      <c r="BI891" s="43"/>
      <c r="BJ891" s="43"/>
      <c r="BK891" s="43"/>
      <c r="BL891" s="43"/>
      <c r="BM891" s="43"/>
      <c r="BN891" s="43"/>
      <c r="BO891" s="43"/>
      <c r="BP891" s="43"/>
      <c r="BQ891" s="43"/>
      <c r="BR891" s="43"/>
      <c r="BS891" s="43"/>
      <c r="BT891" s="43"/>
      <c r="BU891" s="43"/>
      <c r="BV891" s="43"/>
      <c r="BW891" s="43"/>
      <c r="BX891" s="43"/>
      <c r="BY891" s="43"/>
      <c r="BZ891" s="43"/>
      <c r="CA891" s="43"/>
      <c r="CB891" s="43"/>
      <c r="CC891" s="43"/>
      <c r="CD891" s="43"/>
      <c r="CE891" s="43"/>
      <c r="CF891" s="43"/>
      <c r="CG891" s="43"/>
      <c r="CH891" s="43"/>
      <c r="CI891" s="43"/>
      <c r="CJ891" s="43"/>
      <c r="CK891" s="43"/>
      <c r="CL891" s="43"/>
      <c r="CM891" s="43"/>
      <c r="CN891" s="43"/>
      <c r="CO891" s="43"/>
      <c r="CP891" s="43"/>
      <c r="CQ891" s="43"/>
      <c r="CR891" s="43"/>
      <c r="CS891" s="43"/>
      <c r="CT891" s="43"/>
      <c r="CU891" s="43"/>
      <c r="CV891" s="43"/>
      <c r="CW891" s="43"/>
      <c r="CX891" s="43"/>
      <c r="CY891" s="43"/>
      <c r="CZ891" s="43"/>
      <c r="DA891" s="43"/>
      <c r="DB891" s="43"/>
      <c r="DC891" s="43"/>
      <c r="DD891" s="43"/>
      <c r="DE891" s="43"/>
      <c r="DF891" s="43"/>
      <c r="DG891" s="43"/>
      <c r="DH891" s="43"/>
      <c r="DI891" s="43"/>
      <c r="DJ891" s="43"/>
      <c r="DK891" s="43"/>
      <c r="DL891" s="43"/>
      <c r="DM891" s="43"/>
      <c r="DN891" s="43"/>
      <c r="DO891" s="43"/>
      <c r="DP891" s="43"/>
      <c r="DQ891" s="43"/>
      <c r="DR891" s="43"/>
      <c r="DS891" s="43"/>
      <c r="DT891" s="43"/>
      <c r="DU891" s="43"/>
      <c r="DV891" s="43"/>
      <c r="DW891" s="43"/>
      <c r="DX891" s="43"/>
      <c r="DY891" s="43"/>
      <c r="DZ891" s="43"/>
      <c r="EA891" s="43"/>
      <c r="EB891" s="43"/>
      <c r="EC891" s="43"/>
      <c r="ED891" s="43"/>
      <c r="EE891" s="43"/>
      <c r="EF891" s="43"/>
      <c r="EG891" s="43"/>
      <c r="EH891" s="43"/>
      <c r="EI891" s="43"/>
      <c r="EJ891" s="43"/>
      <c r="EK891" s="43"/>
      <c r="EL891" s="43"/>
      <c r="EM891" s="43"/>
      <c r="EN891" s="43"/>
      <c r="EO891" s="43"/>
      <c r="EP891" s="43"/>
      <c r="EQ891" s="43"/>
      <c r="ER891" s="43"/>
      <c r="ES891" s="43"/>
      <c r="ET891" s="43"/>
      <c r="EU891" s="43"/>
      <c r="EV891" s="43"/>
      <c r="EW891" s="43"/>
      <c r="EX891" s="43"/>
      <c r="EY891" s="43"/>
      <c r="EZ891" s="43"/>
      <c r="FA891" s="43"/>
      <c r="FB891" s="43"/>
      <c r="FC891" s="43"/>
      <c r="FD891" s="43"/>
      <c r="FE891" s="43"/>
      <c r="FF891" s="43"/>
      <c r="FG891" s="43"/>
      <c r="FH891" s="50"/>
      <c r="FI891" s="50"/>
    </row>
    <row r="892" ht="14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  <c r="AX892" s="43"/>
      <c r="AY892" s="43"/>
      <c r="AZ892" s="43"/>
      <c r="BA892" s="43"/>
      <c r="BB892" s="43"/>
      <c r="BC892" s="43"/>
      <c r="BD892" s="43"/>
      <c r="BE892" s="43"/>
      <c r="BF892" s="43"/>
      <c r="BG892" s="43"/>
      <c r="BH892" s="43"/>
      <c r="BI892" s="43"/>
      <c r="BJ892" s="43"/>
      <c r="BK892" s="43"/>
      <c r="BL892" s="43"/>
      <c r="BM892" s="43"/>
      <c r="BN892" s="43"/>
      <c r="BO892" s="43"/>
      <c r="BP892" s="43"/>
      <c r="BQ892" s="43"/>
      <c r="BR892" s="43"/>
      <c r="BS892" s="43"/>
      <c r="BT892" s="43"/>
      <c r="BU892" s="43"/>
      <c r="BV892" s="43"/>
      <c r="BW892" s="43"/>
      <c r="BX892" s="43"/>
      <c r="BY892" s="43"/>
      <c r="BZ892" s="43"/>
      <c r="CA892" s="43"/>
      <c r="CB892" s="43"/>
      <c r="CC892" s="43"/>
      <c r="CD892" s="43"/>
      <c r="CE892" s="43"/>
      <c r="CF892" s="43"/>
      <c r="CG892" s="43"/>
      <c r="CH892" s="43"/>
      <c r="CI892" s="43"/>
      <c r="CJ892" s="43"/>
      <c r="CK892" s="43"/>
      <c r="CL892" s="43"/>
      <c r="CM892" s="43"/>
      <c r="CN892" s="43"/>
      <c r="CO892" s="43"/>
      <c r="CP892" s="43"/>
      <c r="CQ892" s="43"/>
      <c r="CR892" s="43"/>
      <c r="CS892" s="43"/>
      <c r="CT892" s="43"/>
      <c r="CU892" s="43"/>
      <c r="CV892" s="43"/>
      <c r="CW892" s="43"/>
      <c r="CX892" s="43"/>
      <c r="CY892" s="43"/>
      <c r="CZ892" s="43"/>
      <c r="DA892" s="43"/>
      <c r="DB892" s="43"/>
      <c r="DC892" s="43"/>
      <c r="DD892" s="43"/>
      <c r="DE892" s="43"/>
      <c r="DF892" s="43"/>
      <c r="DG892" s="43"/>
      <c r="DH892" s="43"/>
      <c r="DI892" s="43"/>
      <c r="DJ892" s="43"/>
      <c r="DK892" s="43"/>
      <c r="DL892" s="43"/>
      <c r="DM892" s="43"/>
      <c r="DN892" s="43"/>
      <c r="DO892" s="43"/>
      <c r="DP892" s="43"/>
      <c r="DQ892" s="43"/>
      <c r="DR892" s="43"/>
      <c r="DS892" s="43"/>
      <c r="DT892" s="43"/>
      <c r="DU892" s="43"/>
      <c r="DV892" s="43"/>
      <c r="DW892" s="43"/>
      <c r="DX892" s="43"/>
      <c r="DY892" s="43"/>
      <c r="DZ892" s="43"/>
      <c r="EA892" s="43"/>
      <c r="EB892" s="43"/>
      <c r="EC892" s="43"/>
      <c r="ED892" s="43"/>
      <c r="EE892" s="43"/>
      <c r="EF892" s="43"/>
      <c r="EG892" s="43"/>
      <c r="EH892" s="43"/>
      <c r="EI892" s="43"/>
      <c r="EJ892" s="43"/>
      <c r="EK892" s="43"/>
      <c r="EL892" s="43"/>
      <c r="EM892" s="43"/>
      <c r="EN892" s="43"/>
      <c r="EO892" s="43"/>
      <c r="EP892" s="43"/>
      <c r="EQ892" s="43"/>
      <c r="ER892" s="43"/>
      <c r="ES892" s="43"/>
      <c r="ET892" s="43"/>
      <c r="EU892" s="43"/>
      <c r="EV892" s="43"/>
      <c r="EW892" s="43"/>
      <c r="EX892" s="43"/>
      <c r="EY892" s="43"/>
      <c r="EZ892" s="43"/>
      <c r="FA892" s="43"/>
      <c r="FB892" s="43"/>
      <c r="FC892" s="43"/>
      <c r="FD892" s="43"/>
      <c r="FE892" s="43"/>
      <c r="FF892" s="43"/>
      <c r="FG892" s="43"/>
      <c r="FH892" s="50"/>
      <c r="FI892" s="50"/>
    </row>
    <row r="893" ht="14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  <c r="AX893" s="43"/>
      <c r="AY893" s="43"/>
      <c r="AZ893" s="43"/>
      <c r="BA893" s="43"/>
      <c r="BB893" s="43"/>
      <c r="BC893" s="43"/>
      <c r="BD893" s="43"/>
      <c r="BE893" s="43"/>
      <c r="BF893" s="43"/>
      <c r="BG893" s="43"/>
      <c r="BH893" s="43"/>
      <c r="BI893" s="43"/>
      <c r="BJ893" s="43"/>
      <c r="BK893" s="43"/>
      <c r="BL893" s="43"/>
      <c r="BM893" s="43"/>
      <c r="BN893" s="43"/>
      <c r="BO893" s="43"/>
      <c r="BP893" s="43"/>
      <c r="BQ893" s="43"/>
      <c r="BR893" s="43"/>
      <c r="BS893" s="43"/>
      <c r="BT893" s="43"/>
      <c r="BU893" s="43"/>
      <c r="BV893" s="43"/>
      <c r="BW893" s="43"/>
      <c r="BX893" s="43"/>
      <c r="BY893" s="43"/>
      <c r="BZ893" s="43"/>
      <c r="CA893" s="43"/>
      <c r="CB893" s="43"/>
      <c r="CC893" s="43"/>
      <c r="CD893" s="43"/>
      <c r="CE893" s="43"/>
      <c r="CF893" s="43"/>
      <c r="CG893" s="43"/>
      <c r="CH893" s="43"/>
      <c r="CI893" s="43"/>
      <c r="CJ893" s="43"/>
      <c r="CK893" s="43"/>
      <c r="CL893" s="43"/>
      <c r="CM893" s="43"/>
      <c r="CN893" s="43"/>
      <c r="CO893" s="43"/>
      <c r="CP893" s="43"/>
      <c r="CQ893" s="43"/>
      <c r="CR893" s="43"/>
      <c r="CS893" s="43"/>
      <c r="CT893" s="43"/>
      <c r="CU893" s="43"/>
      <c r="CV893" s="43"/>
      <c r="CW893" s="43"/>
      <c r="CX893" s="43"/>
      <c r="CY893" s="43"/>
      <c r="CZ893" s="43"/>
      <c r="DA893" s="43"/>
      <c r="DB893" s="43"/>
      <c r="DC893" s="43"/>
      <c r="DD893" s="43"/>
      <c r="DE893" s="43"/>
      <c r="DF893" s="43"/>
      <c r="DG893" s="43"/>
      <c r="DH893" s="43"/>
      <c r="DI893" s="43"/>
      <c r="DJ893" s="43"/>
      <c r="DK893" s="43"/>
      <c r="DL893" s="43"/>
      <c r="DM893" s="43"/>
      <c r="DN893" s="43"/>
      <c r="DO893" s="43"/>
      <c r="DP893" s="43"/>
      <c r="DQ893" s="43"/>
      <c r="DR893" s="43"/>
      <c r="DS893" s="43"/>
      <c r="DT893" s="43"/>
      <c r="DU893" s="43"/>
      <c r="DV893" s="43"/>
      <c r="DW893" s="43"/>
      <c r="DX893" s="43"/>
      <c r="DY893" s="43"/>
      <c r="DZ893" s="43"/>
      <c r="EA893" s="43"/>
      <c r="EB893" s="43"/>
      <c r="EC893" s="43"/>
      <c r="ED893" s="43"/>
      <c r="EE893" s="43"/>
      <c r="EF893" s="43"/>
      <c r="EG893" s="43"/>
      <c r="EH893" s="43"/>
      <c r="EI893" s="43"/>
      <c r="EJ893" s="43"/>
      <c r="EK893" s="43"/>
      <c r="EL893" s="43"/>
      <c r="EM893" s="43"/>
      <c r="EN893" s="43"/>
      <c r="EO893" s="43"/>
      <c r="EP893" s="43"/>
      <c r="EQ893" s="43"/>
      <c r="ER893" s="43"/>
      <c r="ES893" s="43"/>
      <c r="ET893" s="43"/>
      <c r="EU893" s="43"/>
      <c r="EV893" s="43"/>
      <c r="EW893" s="43"/>
      <c r="EX893" s="43"/>
      <c r="EY893" s="43"/>
      <c r="EZ893" s="43"/>
      <c r="FA893" s="43"/>
      <c r="FB893" s="43"/>
      <c r="FC893" s="43"/>
      <c r="FD893" s="43"/>
      <c r="FE893" s="43"/>
      <c r="FF893" s="43"/>
      <c r="FG893" s="43"/>
      <c r="FH893" s="50"/>
      <c r="FI893" s="50"/>
    </row>
    <row r="894" ht="14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  <c r="AX894" s="43"/>
      <c r="AY894" s="43"/>
      <c r="AZ894" s="43"/>
      <c r="BA894" s="43"/>
      <c r="BB894" s="43"/>
      <c r="BC894" s="43"/>
      <c r="BD894" s="43"/>
      <c r="BE894" s="43"/>
      <c r="BF894" s="43"/>
      <c r="BG894" s="43"/>
      <c r="BH894" s="43"/>
      <c r="BI894" s="43"/>
      <c r="BJ894" s="43"/>
      <c r="BK894" s="43"/>
      <c r="BL894" s="43"/>
      <c r="BM894" s="43"/>
      <c r="BN894" s="43"/>
      <c r="BO894" s="43"/>
      <c r="BP894" s="43"/>
      <c r="BQ894" s="43"/>
      <c r="BR894" s="43"/>
      <c r="BS894" s="43"/>
      <c r="BT894" s="43"/>
      <c r="BU894" s="43"/>
      <c r="BV894" s="43"/>
      <c r="BW894" s="43"/>
      <c r="BX894" s="43"/>
      <c r="BY894" s="43"/>
      <c r="BZ894" s="43"/>
      <c r="CA894" s="43"/>
      <c r="CB894" s="43"/>
      <c r="CC894" s="43"/>
      <c r="CD894" s="43"/>
      <c r="CE894" s="43"/>
      <c r="CF894" s="43"/>
      <c r="CG894" s="43"/>
      <c r="CH894" s="43"/>
      <c r="CI894" s="43"/>
      <c r="CJ894" s="43"/>
      <c r="CK894" s="43"/>
      <c r="CL894" s="43"/>
      <c r="CM894" s="43"/>
      <c r="CN894" s="43"/>
      <c r="CO894" s="43"/>
      <c r="CP894" s="43"/>
      <c r="CQ894" s="43"/>
      <c r="CR894" s="43"/>
      <c r="CS894" s="43"/>
      <c r="CT894" s="43"/>
      <c r="CU894" s="43"/>
      <c r="CV894" s="43"/>
      <c r="CW894" s="43"/>
      <c r="CX894" s="43"/>
      <c r="CY894" s="43"/>
      <c r="CZ894" s="43"/>
      <c r="DA894" s="43"/>
      <c r="DB894" s="43"/>
      <c r="DC894" s="43"/>
      <c r="DD894" s="43"/>
      <c r="DE894" s="43"/>
      <c r="DF894" s="43"/>
      <c r="DG894" s="43"/>
      <c r="DH894" s="43"/>
      <c r="DI894" s="43"/>
      <c r="DJ894" s="43"/>
      <c r="DK894" s="43"/>
      <c r="DL894" s="43"/>
      <c r="DM894" s="43"/>
      <c r="DN894" s="43"/>
      <c r="DO894" s="43"/>
      <c r="DP894" s="43"/>
      <c r="DQ894" s="43"/>
      <c r="DR894" s="43"/>
      <c r="DS894" s="43"/>
      <c r="DT894" s="43"/>
      <c r="DU894" s="43"/>
      <c r="DV894" s="43"/>
      <c r="DW894" s="43"/>
      <c r="DX894" s="43"/>
      <c r="DY894" s="43"/>
      <c r="DZ894" s="43"/>
      <c r="EA894" s="43"/>
      <c r="EB894" s="43"/>
      <c r="EC894" s="43"/>
      <c r="ED894" s="43"/>
      <c r="EE894" s="43"/>
      <c r="EF894" s="43"/>
      <c r="EG894" s="43"/>
      <c r="EH894" s="43"/>
      <c r="EI894" s="43"/>
      <c r="EJ894" s="43"/>
      <c r="EK894" s="43"/>
      <c r="EL894" s="43"/>
      <c r="EM894" s="43"/>
      <c r="EN894" s="43"/>
      <c r="EO894" s="43"/>
      <c r="EP894" s="43"/>
      <c r="EQ894" s="43"/>
      <c r="ER894" s="43"/>
      <c r="ES894" s="43"/>
      <c r="ET894" s="43"/>
      <c r="EU894" s="43"/>
      <c r="EV894" s="43"/>
      <c r="EW894" s="43"/>
      <c r="EX894" s="43"/>
      <c r="EY894" s="43"/>
      <c r="EZ894" s="43"/>
      <c r="FA894" s="43"/>
      <c r="FB894" s="43"/>
      <c r="FC894" s="43"/>
      <c r="FD894" s="43"/>
      <c r="FE894" s="43"/>
      <c r="FF894" s="43"/>
      <c r="FG894" s="43"/>
      <c r="FH894" s="50"/>
      <c r="FI894" s="50"/>
    </row>
    <row r="895" ht="14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  <c r="AX895" s="43"/>
      <c r="AY895" s="43"/>
      <c r="AZ895" s="43"/>
      <c r="BA895" s="43"/>
      <c r="BB895" s="43"/>
      <c r="BC895" s="43"/>
      <c r="BD895" s="43"/>
      <c r="BE895" s="43"/>
      <c r="BF895" s="43"/>
      <c r="BG895" s="43"/>
      <c r="BH895" s="43"/>
      <c r="BI895" s="43"/>
      <c r="BJ895" s="43"/>
      <c r="BK895" s="43"/>
      <c r="BL895" s="43"/>
      <c r="BM895" s="43"/>
      <c r="BN895" s="43"/>
      <c r="BO895" s="43"/>
      <c r="BP895" s="43"/>
      <c r="BQ895" s="43"/>
      <c r="BR895" s="43"/>
      <c r="BS895" s="43"/>
      <c r="BT895" s="43"/>
      <c r="BU895" s="43"/>
      <c r="BV895" s="43"/>
      <c r="BW895" s="43"/>
      <c r="BX895" s="43"/>
      <c r="BY895" s="43"/>
      <c r="BZ895" s="43"/>
      <c r="CA895" s="43"/>
      <c r="CB895" s="43"/>
      <c r="CC895" s="43"/>
      <c r="CD895" s="43"/>
      <c r="CE895" s="43"/>
      <c r="CF895" s="43"/>
      <c r="CG895" s="43"/>
      <c r="CH895" s="43"/>
      <c r="CI895" s="43"/>
      <c r="CJ895" s="43"/>
      <c r="CK895" s="43"/>
      <c r="CL895" s="43"/>
      <c r="CM895" s="43"/>
      <c r="CN895" s="43"/>
      <c r="CO895" s="43"/>
      <c r="CP895" s="43"/>
      <c r="CQ895" s="43"/>
      <c r="CR895" s="43"/>
      <c r="CS895" s="43"/>
      <c r="CT895" s="43"/>
      <c r="CU895" s="43"/>
      <c r="CV895" s="43"/>
      <c r="CW895" s="43"/>
      <c r="CX895" s="43"/>
      <c r="CY895" s="43"/>
      <c r="CZ895" s="43"/>
      <c r="DA895" s="43"/>
      <c r="DB895" s="43"/>
      <c r="DC895" s="43"/>
      <c r="DD895" s="43"/>
      <c r="DE895" s="43"/>
      <c r="DF895" s="43"/>
      <c r="DG895" s="43"/>
      <c r="DH895" s="43"/>
      <c r="DI895" s="43"/>
      <c r="DJ895" s="43"/>
      <c r="DK895" s="43"/>
      <c r="DL895" s="43"/>
      <c r="DM895" s="43"/>
      <c r="DN895" s="43"/>
      <c r="DO895" s="43"/>
      <c r="DP895" s="43"/>
      <c r="DQ895" s="43"/>
      <c r="DR895" s="43"/>
      <c r="DS895" s="43"/>
      <c r="DT895" s="43"/>
      <c r="DU895" s="43"/>
      <c r="DV895" s="43"/>
      <c r="DW895" s="43"/>
      <c r="DX895" s="43"/>
      <c r="DY895" s="43"/>
      <c r="DZ895" s="43"/>
      <c r="EA895" s="43"/>
      <c r="EB895" s="43"/>
      <c r="EC895" s="43"/>
      <c r="ED895" s="43"/>
      <c r="EE895" s="43"/>
      <c r="EF895" s="43"/>
      <c r="EG895" s="43"/>
      <c r="EH895" s="43"/>
      <c r="EI895" s="43"/>
      <c r="EJ895" s="43"/>
      <c r="EK895" s="43"/>
      <c r="EL895" s="43"/>
      <c r="EM895" s="43"/>
      <c r="EN895" s="43"/>
      <c r="EO895" s="43"/>
      <c r="EP895" s="43"/>
      <c r="EQ895" s="43"/>
      <c r="ER895" s="43"/>
      <c r="ES895" s="43"/>
      <c r="ET895" s="43"/>
      <c r="EU895" s="43"/>
      <c r="EV895" s="43"/>
      <c r="EW895" s="43"/>
      <c r="EX895" s="43"/>
      <c r="EY895" s="43"/>
      <c r="EZ895" s="43"/>
      <c r="FA895" s="43"/>
      <c r="FB895" s="43"/>
      <c r="FC895" s="43"/>
      <c r="FD895" s="43"/>
      <c r="FE895" s="43"/>
      <c r="FF895" s="43"/>
      <c r="FG895" s="43"/>
      <c r="FH895" s="50"/>
      <c r="FI895" s="50"/>
    </row>
    <row r="896" ht="14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  <c r="AX896" s="43"/>
      <c r="AY896" s="43"/>
      <c r="AZ896" s="43"/>
      <c r="BA896" s="43"/>
      <c r="BB896" s="43"/>
      <c r="BC896" s="43"/>
      <c r="BD896" s="43"/>
      <c r="BE896" s="43"/>
      <c r="BF896" s="43"/>
      <c r="BG896" s="43"/>
      <c r="BH896" s="43"/>
      <c r="BI896" s="43"/>
      <c r="BJ896" s="43"/>
      <c r="BK896" s="43"/>
      <c r="BL896" s="43"/>
      <c r="BM896" s="43"/>
      <c r="BN896" s="43"/>
      <c r="BO896" s="43"/>
      <c r="BP896" s="43"/>
      <c r="BQ896" s="43"/>
      <c r="BR896" s="43"/>
      <c r="BS896" s="43"/>
      <c r="BT896" s="43"/>
      <c r="BU896" s="43"/>
      <c r="BV896" s="43"/>
      <c r="BW896" s="43"/>
      <c r="BX896" s="43"/>
      <c r="BY896" s="43"/>
      <c r="BZ896" s="43"/>
      <c r="CA896" s="43"/>
      <c r="CB896" s="43"/>
      <c r="CC896" s="43"/>
      <c r="CD896" s="43"/>
      <c r="CE896" s="43"/>
      <c r="CF896" s="43"/>
      <c r="CG896" s="43"/>
      <c r="CH896" s="43"/>
      <c r="CI896" s="43"/>
      <c r="CJ896" s="43"/>
      <c r="CK896" s="43"/>
      <c r="CL896" s="43"/>
      <c r="CM896" s="43"/>
      <c r="CN896" s="43"/>
      <c r="CO896" s="43"/>
      <c r="CP896" s="43"/>
      <c r="CQ896" s="43"/>
      <c r="CR896" s="43"/>
      <c r="CS896" s="43"/>
      <c r="CT896" s="43"/>
      <c r="CU896" s="43"/>
      <c r="CV896" s="43"/>
      <c r="CW896" s="43"/>
      <c r="CX896" s="43"/>
      <c r="CY896" s="43"/>
      <c r="CZ896" s="43"/>
      <c r="DA896" s="43"/>
      <c r="DB896" s="43"/>
      <c r="DC896" s="43"/>
      <c r="DD896" s="43"/>
      <c r="DE896" s="43"/>
      <c r="DF896" s="43"/>
      <c r="DG896" s="43"/>
      <c r="DH896" s="43"/>
      <c r="DI896" s="43"/>
      <c r="DJ896" s="43"/>
      <c r="DK896" s="43"/>
      <c r="DL896" s="43"/>
      <c r="DM896" s="43"/>
      <c r="DN896" s="43"/>
      <c r="DO896" s="43"/>
      <c r="DP896" s="43"/>
      <c r="DQ896" s="43"/>
      <c r="DR896" s="43"/>
      <c r="DS896" s="43"/>
      <c r="DT896" s="43"/>
      <c r="DU896" s="43"/>
      <c r="DV896" s="43"/>
      <c r="DW896" s="43"/>
      <c r="DX896" s="43"/>
      <c r="DY896" s="43"/>
      <c r="DZ896" s="43"/>
      <c r="EA896" s="43"/>
      <c r="EB896" s="43"/>
      <c r="EC896" s="43"/>
      <c r="ED896" s="43"/>
      <c r="EE896" s="43"/>
      <c r="EF896" s="43"/>
      <c r="EG896" s="43"/>
      <c r="EH896" s="43"/>
      <c r="EI896" s="43"/>
      <c r="EJ896" s="43"/>
      <c r="EK896" s="43"/>
      <c r="EL896" s="43"/>
      <c r="EM896" s="43"/>
      <c r="EN896" s="43"/>
      <c r="EO896" s="43"/>
      <c r="EP896" s="43"/>
      <c r="EQ896" s="43"/>
      <c r="ER896" s="43"/>
      <c r="ES896" s="43"/>
      <c r="ET896" s="43"/>
      <c r="EU896" s="43"/>
      <c r="EV896" s="43"/>
      <c r="EW896" s="43"/>
      <c r="EX896" s="43"/>
      <c r="EY896" s="43"/>
      <c r="EZ896" s="43"/>
      <c r="FA896" s="43"/>
      <c r="FB896" s="43"/>
      <c r="FC896" s="43"/>
      <c r="FD896" s="43"/>
      <c r="FE896" s="43"/>
      <c r="FF896" s="43"/>
      <c r="FG896" s="43"/>
      <c r="FH896" s="50"/>
      <c r="FI896" s="50"/>
    </row>
    <row r="897" ht="14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  <c r="AX897" s="43"/>
      <c r="AY897" s="43"/>
      <c r="AZ897" s="43"/>
      <c r="BA897" s="43"/>
      <c r="BB897" s="43"/>
      <c r="BC897" s="43"/>
      <c r="BD897" s="43"/>
      <c r="BE897" s="43"/>
      <c r="BF897" s="43"/>
      <c r="BG897" s="43"/>
      <c r="BH897" s="43"/>
      <c r="BI897" s="43"/>
      <c r="BJ897" s="43"/>
      <c r="BK897" s="43"/>
      <c r="BL897" s="43"/>
      <c r="BM897" s="43"/>
      <c r="BN897" s="43"/>
      <c r="BO897" s="43"/>
      <c r="BP897" s="43"/>
      <c r="BQ897" s="43"/>
      <c r="BR897" s="43"/>
      <c r="BS897" s="43"/>
      <c r="BT897" s="43"/>
      <c r="BU897" s="43"/>
      <c r="BV897" s="43"/>
      <c r="BW897" s="43"/>
      <c r="BX897" s="43"/>
      <c r="BY897" s="43"/>
      <c r="BZ897" s="43"/>
      <c r="CA897" s="43"/>
      <c r="CB897" s="43"/>
      <c r="CC897" s="43"/>
      <c r="CD897" s="43"/>
      <c r="CE897" s="43"/>
      <c r="CF897" s="43"/>
      <c r="CG897" s="43"/>
      <c r="CH897" s="43"/>
      <c r="CI897" s="43"/>
      <c r="CJ897" s="43"/>
      <c r="CK897" s="43"/>
      <c r="CL897" s="43"/>
      <c r="CM897" s="43"/>
      <c r="CN897" s="43"/>
      <c r="CO897" s="43"/>
      <c r="CP897" s="43"/>
      <c r="CQ897" s="43"/>
      <c r="CR897" s="43"/>
      <c r="CS897" s="43"/>
      <c r="CT897" s="43"/>
      <c r="CU897" s="43"/>
      <c r="CV897" s="43"/>
      <c r="CW897" s="43"/>
      <c r="CX897" s="43"/>
      <c r="CY897" s="43"/>
      <c r="CZ897" s="43"/>
      <c r="DA897" s="43"/>
      <c r="DB897" s="43"/>
      <c r="DC897" s="43"/>
      <c r="DD897" s="43"/>
      <c r="DE897" s="43"/>
      <c r="DF897" s="43"/>
      <c r="DG897" s="43"/>
      <c r="DH897" s="43"/>
      <c r="DI897" s="43"/>
      <c r="DJ897" s="43"/>
      <c r="DK897" s="43"/>
      <c r="DL897" s="43"/>
      <c r="DM897" s="43"/>
      <c r="DN897" s="43"/>
      <c r="DO897" s="43"/>
      <c r="DP897" s="43"/>
      <c r="DQ897" s="43"/>
      <c r="DR897" s="43"/>
      <c r="DS897" s="43"/>
      <c r="DT897" s="43"/>
      <c r="DU897" s="43"/>
      <c r="DV897" s="43"/>
      <c r="DW897" s="43"/>
      <c r="DX897" s="43"/>
      <c r="DY897" s="43"/>
      <c r="DZ897" s="43"/>
      <c r="EA897" s="43"/>
      <c r="EB897" s="43"/>
      <c r="EC897" s="43"/>
      <c r="ED897" s="43"/>
      <c r="EE897" s="43"/>
      <c r="EF897" s="43"/>
      <c r="EG897" s="43"/>
      <c r="EH897" s="43"/>
      <c r="EI897" s="43"/>
      <c r="EJ897" s="43"/>
      <c r="EK897" s="43"/>
      <c r="EL897" s="43"/>
      <c r="EM897" s="43"/>
      <c r="EN897" s="43"/>
      <c r="EO897" s="43"/>
      <c r="EP897" s="43"/>
      <c r="EQ897" s="43"/>
      <c r="ER897" s="43"/>
      <c r="ES897" s="43"/>
      <c r="ET897" s="43"/>
      <c r="EU897" s="43"/>
      <c r="EV897" s="43"/>
      <c r="EW897" s="43"/>
      <c r="EX897" s="43"/>
      <c r="EY897" s="43"/>
      <c r="EZ897" s="43"/>
      <c r="FA897" s="43"/>
      <c r="FB897" s="43"/>
      <c r="FC897" s="43"/>
      <c r="FD897" s="43"/>
      <c r="FE897" s="43"/>
      <c r="FF897" s="43"/>
      <c r="FG897" s="43"/>
      <c r="FH897" s="50"/>
      <c r="FI897" s="50"/>
    </row>
    <row r="898" ht="14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  <c r="AX898" s="43"/>
      <c r="AY898" s="43"/>
      <c r="AZ898" s="43"/>
      <c r="BA898" s="43"/>
      <c r="BB898" s="43"/>
      <c r="BC898" s="43"/>
      <c r="BD898" s="43"/>
      <c r="BE898" s="43"/>
      <c r="BF898" s="43"/>
      <c r="BG898" s="43"/>
      <c r="BH898" s="43"/>
      <c r="BI898" s="43"/>
      <c r="BJ898" s="43"/>
      <c r="BK898" s="43"/>
      <c r="BL898" s="43"/>
      <c r="BM898" s="43"/>
      <c r="BN898" s="43"/>
      <c r="BO898" s="43"/>
      <c r="BP898" s="43"/>
      <c r="BQ898" s="43"/>
      <c r="BR898" s="43"/>
      <c r="BS898" s="43"/>
      <c r="BT898" s="43"/>
      <c r="BU898" s="43"/>
      <c r="BV898" s="43"/>
      <c r="BW898" s="43"/>
      <c r="BX898" s="43"/>
      <c r="BY898" s="43"/>
      <c r="BZ898" s="43"/>
      <c r="CA898" s="43"/>
      <c r="CB898" s="43"/>
      <c r="CC898" s="43"/>
      <c r="CD898" s="43"/>
      <c r="CE898" s="43"/>
      <c r="CF898" s="43"/>
      <c r="CG898" s="43"/>
      <c r="CH898" s="43"/>
      <c r="CI898" s="43"/>
      <c r="CJ898" s="43"/>
      <c r="CK898" s="43"/>
      <c r="CL898" s="43"/>
      <c r="CM898" s="43"/>
      <c r="CN898" s="43"/>
      <c r="CO898" s="43"/>
      <c r="CP898" s="43"/>
      <c r="CQ898" s="43"/>
      <c r="CR898" s="43"/>
      <c r="CS898" s="43"/>
      <c r="CT898" s="43"/>
      <c r="CU898" s="43"/>
      <c r="CV898" s="43"/>
      <c r="CW898" s="43"/>
      <c r="CX898" s="43"/>
      <c r="CY898" s="43"/>
      <c r="CZ898" s="43"/>
      <c r="DA898" s="43"/>
      <c r="DB898" s="43"/>
      <c r="DC898" s="43"/>
      <c r="DD898" s="43"/>
      <c r="DE898" s="43"/>
      <c r="DF898" s="43"/>
      <c r="DG898" s="43"/>
      <c r="DH898" s="43"/>
      <c r="DI898" s="43"/>
      <c r="DJ898" s="43"/>
      <c r="DK898" s="43"/>
      <c r="DL898" s="43"/>
      <c r="DM898" s="43"/>
      <c r="DN898" s="43"/>
      <c r="DO898" s="43"/>
      <c r="DP898" s="43"/>
      <c r="DQ898" s="43"/>
      <c r="DR898" s="43"/>
      <c r="DS898" s="43"/>
      <c r="DT898" s="43"/>
      <c r="DU898" s="43"/>
      <c r="DV898" s="43"/>
      <c r="DW898" s="43"/>
      <c r="DX898" s="43"/>
      <c r="DY898" s="43"/>
      <c r="DZ898" s="43"/>
      <c r="EA898" s="43"/>
      <c r="EB898" s="43"/>
      <c r="EC898" s="43"/>
      <c r="ED898" s="43"/>
      <c r="EE898" s="43"/>
      <c r="EF898" s="43"/>
      <c r="EG898" s="43"/>
      <c r="EH898" s="43"/>
      <c r="EI898" s="43"/>
      <c r="EJ898" s="43"/>
      <c r="EK898" s="43"/>
      <c r="EL898" s="43"/>
      <c r="EM898" s="43"/>
      <c r="EN898" s="43"/>
      <c r="EO898" s="43"/>
      <c r="EP898" s="43"/>
      <c r="EQ898" s="43"/>
      <c r="ER898" s="43"/>
      <c r="ES898" s="43"/>
      <c r="ET898" s="43"/>
      <c r="EU898" s="43"/>
      <c r="EV898" s="43"/>
      <c r="EW898" s="43"/>
      <c r="EX898" s="43"/>
      <c r="EY898" s="43"/>
      <c r="EZ898" s="43"/>
      <c r="FA898" s="43"/>
      <c r="FB898" s="43"/>
      <c r="FC898" s="43"/>
      <c r="FD898" s="43"/>
      <c r="FE898" s="43"/>
      <c r="FF898" s="43"/>
      <c r="FG898" s="43"/>
      <c r="FH898" s="50"/>
      <c r="FI898" s="50"/>
    </row>
    <row r="899" ht="14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  <c r="AX899" s="43"/>
      <c r="AY899" s="43"/>
      <c r="AZ899" s="43"/>
      <c r="BA899" s="43"/>
      <c r="BB899" s="43"/>
      <c r="BC899" s="43"/>
      <c r="BD899" s="43"/>
      <c r="BE899" s="43"/>
      <c r="BF899" s="43"/>
      <c r="BG899" s="43"/>
      <c r="BH899" s="43"/>
      <c r="BI899" s="43"/>
      <c r="BJ899" s="43"/>
      <c r="BK899" s="43"/>
      <c r="BL899" s="43"/>
      <c r="BM899" s="43"/>
      <c r="BN899" s="43"/>
      <c r="BO899" s="43"/>
      <c r="BP899" s="43"/>
      <c r="BQ899" s="43"/>
      <c r="BR899" s="43"/>
      <c r="BS899" s="43"/>
      <c r="BT899" s="43"/>
      <c r="BU899" s="43"/>
      <c r="BV899" s="43"/>
      <c r="BW899" s="43"/>
      <c r="BX899" s="43"/>
      <c r="BY899" s="43"/>
      <c r="BZ899" s="43"/>
      <c r="CA899" s="43"/>
      <c r="CB899" s="43"/>
      <c r="CC899" s="43"/>
      <c r="CD899" s="43"/>
      <c r="CE899" s="43"/>
      <c r="CF899" s="43"/>
      <c r="CG899" s="43"/>
      <c r="CH899" s="43"/>
      <c r="CI899" s="43"/>
      <c r="CJ899" s="43"/>
      <c r="CK899" s="43"/>
      <c r="CL899" s="43"/>
      <c r="CM899" s="43"/>
      <c r="CN899" s="43"/>
      <c r="CO899" s="43"/>
      <c r="CP899" s="43"/>
      <c r="CQ899" s="43"/>
      <c r="CR899" s="43"/>
      <c r="CS899" s="43"/>
      <c r="CT899" s="43"/>
      <c r="CU899" s="43"/>
      <c r="CV899" s="43"/>
      <c r="CW899" s="43"/>
      <c r="CX899" s="43"/>
      <c r="CY899" s="43"/>
      <c r="CZ899" s="43"/>
      <c r="DA899" s="43"/>
      <c r="DB899" s="43"/>
      <c r="DC899" s="43"/>
      <c r="DD899" s="43"/>
      <c r="DE899" s="43"/>
      <c r="DF899" s="43"/>
      <c r="DG899" s="43"/>
      <c r="DH899" s="43"/>
      <c r="DI899" s="43"/>
      <c r="DJ899" s="43"/>
      <c r="DK899" s="43"/>
      <c r="DL899" s="43"/>
      <c r="DM899" s="43"/>
      <c r="DN899" s="43"/>
      <c r="DO899" s="43"/>
      <c r="DP899" s="43"/>
      <c r="DQ899" s="43"/>
      <c r="DR899" s="43"/>
      <c r="DS899" s="43"/>
      <c r="DT899" s="43"/>
      <c r="DU899" s="43"/>
      <c r="DV899" s="43"/>
      <c r="DW899" s="43"/>
      <c r="DX899" s="43"/>
      <c r="DY899" s="43"/>
      <c r="DZ899" s="43"/>
      <c r="EA899" s="43"/>
      <c r="EB899" s="43"/>
      <c r="EC899" s="43"/>
      <c r="ED899" s="43"/>
      <c r="EE899" s="43"/>
      <c r="EF899" s="43"/>
      <c r="EG899" s="43"/>
      <c r="EH899" s="43"/>
      <c r="EI899" s="43"/>
      <c r="EJ899" s="43"/>
      <c r="EK899" s="43"/>
      <c r="EL899" s="43"/>
      <c r="EM899" s="43"/>
      <c r="EN899" s="43"/>
      <c r="EO899" s="43"/>
      <c r="EP899" s="43"/>
      <c r="EQ899" s="43"/>
      <c r="ER899" s="43"/>
      <c r="ES899" s="43"/>
      <c r="ET899" s="43"/>
      <c r="EU899" s="43"/>
      <c r="EV899" s="43"/>
      <c r="EW899" s="43"/>
      <c r="EX899" s="43"/>
      <c r="EY899" s="43"/>
      <c r="EZ899" s="43"/>
      <c r="FA899" s="43"/>
      <c r="FB899" s="43"/>
      <c r="FC899" s="43"/>
      <c r="FD899" s="43"/>
      <c r="FE899" s="43"/>
      <c r="FF899" s="43"/>
      <c r="FG899" s="43"/>
      <c r="FH899" s="50"/>
      <c r="FI899" s="50"/>
    </row>
    <row r="900" ht="14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  <c r="AX900" s="43"/>
      <c r="AY900" s="43"/>
      <c r="AZ900" s="43"/>
      <c r="BA900" s="43"/>
      <c r="BB900" s="43"/>
      <c r="BC900" s="43"/>
      <c r="BD900" s="43"/>
      <c r="BE900" s="43"/>
      <c r="BF900" s="43"/>
      <c r="BG900" s="43"/>
      <c r="BH900" s="43"/>
      <c r="BI900" s="43"/>
      <c r="BJ900" s="43"/>
      <c r="BK900" s="43"/>
      <c r="BL900" s="43"/>
      <c r="BM900" s="43"/>
      <c r="BN900" s="43"/>
      <c r="BO900" s="43"/>
      <c r="BP900" s="43"/>
      <c r="BQ900" s="43"/>
      <c r="BR900" s="43"/>
      <c r="BS900" s="43"/>
      <c r="BT900" s="43"/>
      <c r="BU900" s="43"/>
      <c r="BV900" s="43"/>
      <c r="BW900" s="43"/>
      <c r="BX900" s="43"/>
      <c r="BY900" s="43"/>
      <c r="BZ900" s="43"/>
      <c r="CA900" s="43"/>
      <c r="CB900" s="43"/>
      <c r="CC900" s="43"/>
      <c r="CD900" s="43"/>
      <c r="CE900" s="43"/>
      <c r="CF900" s="43"/>
      <c r="CG900" s="43"/>
      <c r="CH900" s="43"/>
      <c r="CI900" s="43"/>
      <c r="CJ900" s="43"/>
      <c r="CK900" s="43"/>
      <c r="CL900" s="43"/>
      <c r="CM900" s="43"/>
      <c r="CN900" s="43"/>
      <c r="CO900" s="43"/>
      <c r="CP900" s="43"/>
      <c r="CQ900" s="43"/>
      <c r="CR900" s="43"/>
      <c r="CS900" s="43"/>
      <c r="CT900" s="43"/>
      <c r="CU900" s="43"/>
      <c r="CV900" s="43"/>
      <c r="CW900" s="43"/>
      <c r="CX900" s="43"/>
      <c r="CY900" s="43"/>
      <c r="CZ900" s="43"/>
      <c r="DA900" s="43"/>
      <c r="DB900" s="43"/>
      <c r="DC900" s="43"/>
      <c r="DD900" s="43"/>
      <c r="DE900" s="43"/>
      <c r="DF900" s="43"/>
      <c r="DG900" s="43"/>
      <c r="DH900" s="43"/>
      <c r="DI900" s="43"/>
      <c r="DJ900" s="43"/>
      <c r="DK900" s="43"/>
      <c r="DL900" s="43"/>
      <c r="DM900" s="43"/>
      <c r="DN900" s="43"/>
      <c r="DO900" s="43"/>
      <c r="DP900" s="43"/>
      <c r="DQ900" s="43"/>
      <c r="DR900" s="43"/>
      <c r="DS900" s="43"/>
      <c r="DT900" s="43"/>
      <c r="DU900" s="43"/>
      <c r="DV900" s="43"/>
      <c r="DW900" s="43"/>
      <c r="DX900" s="43"/>
      <c r="DY900" s="43"/>
      <c r="DZ900" s="43"/>
      <c r="EA900" s="43"/>
      <c r="EB900" s="43"/>
      <c r="EC900" s="43"/>
      <c r="ED900" s="43"/>
      <c r="EE900" s="43"/>
      <c r="EF900" s="43"/>
      <c r="EG900" s="43"/>
      <c r="EH900" s="43"/>
      <c r="EI900" s="43"/>
      <c r="EJ900" s="43"/>
      <c r="EK900" s="43"/>
      <c r="EL900" s="43"/>
      <c r="EM900" s="43"/>
      <c r="EN900" s="43"/>
      <c r="EO900" s="43"/>
      <c r="EP900" s="43"/>
      <c r="EQ900" s="43"/>
      <c r="ER900" s="43"/>
      <c r="ES900" s="43"/>
      <c r="ET900" s="43"/>
      <c r="EU900" s="43"/>
      <c r="EV900" s="43"/>
      <c r="EW900" s="43"/>
      <c r="EX900" s="43"/>
      <c r="EY900" s="43"/>
      <c r="EZ900" s="43"/>
      <c r="FA900" s="43"/>
      <c r="FB900" s="43"/>
      <c r="FC900" s="43"/>
      <c r="FD900" s="43"/>
      <c r="FE900" s="43"/>
      <c r="FF900" s="43"/>
      <c r="FG900" s="43"/>
      <c r="FH900" s="50"/>
      <c r="FI900" s="50"/>
    </row>
    <row r="901" ht="14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  <c r="AX901" s="43"/>
      <c r="AY901" s="43"/>
      <c r="AZ901" s="43"/>
      <c r="BA901" s="43"/>
      <c r="BB901" s="43"/>
      <c r="BC901" s="43"/>
      <c r="BD901" s="43"/>
      <c r="BE901" s="43"/>
      <c r="BF901" s="43"/>
      <c r="BG901" s="43"/>
      <c r="BH901" s="43"/>
      <c r="BI901" s="43"/>
      <c r="BJ901" s="43"/>
      <c r="BK901" s="43"/>
      <c r="BL901" s="43"/>
      <c r="BM901" s="43"/>
      <c r="BN901" s="43"/>
      <c r="BO901" s="43"/>
      <c r="BP901" s="43"/>
      <c r="BQ901" s="43"/>
      <c r="BR901" s="43"/>
      <c r="BS901" s="43"/>
      <c r="BT901" s="43"/>
      <c r="BU901" s="43"/>
      <c r="BV901" s="43"/>
      <c r="BW901" s="43"/>
      <c r="BX901" s="43"/>
      <c r="BY901" s="43"/>
      <c r="BZ901" s="43"/>
      <c r="CA901" s="43"/>
      <c r="CB901" s="43"/>
      <c r="CC901" s="43"/>
      <c r="CD901" s="43"/>
      <c r="CE901" s="43"/>
      <c r="CF901" s="43"/>
      <c r="CG901" s="43"/>
      <c r="CH901" s="43"/>
      <c r="CI901" s="43"/>
      <c r="CJ901" s="43"/>
      <c r="CK901" s="43"/>
      <c r="CL901" s="43"/>
      <c r="CM901" s="43"/>
      <c r="CN901" s="43"/>
      <c r="CO901" s="43"/>
      <c r="CP901" s="43"/>
      <c r="CQ901" s="43"/>
      <c r="CR901" s="43"/>
      <c r="CS901" s="43"/>
      <c r="CT901" s="43"/>
      <c r="CU901" s="43"/>
      <c r="CV901" s="43"/>
      <c r="CW901" s="43"/>
      <c r="CX901" s="43"/>
      <c r="CY901" s="43"/>
      <c r="CZ901" s="43"/>
      <c r="DA901" s="43"/>
      <c r="DB901" s="43"/>
      <c r="DC901" s="43"/>
      <c r="DD901" s="43"/>
      <c r="DE901" s="43"/>
      <c r="DF901" s="43"/>
      <c r="DG901" s="43"/>
      <c r="DH901" s="43"/>
      <c r="DI901" s="43"/>
      <c r="DJ901" s="43"/>
      <c r="DK901" s="43"/>
      <c r="DL901" s="43"/>
      <c r="DM901" s="43"/>
      <c r="DN901" s="43"/>
      <c r="DO901" s="43"/>
      <c r="DP901" s="43"/>
      <c r="DQ901" s="43"/>
      <c r="DR901" s="43"/>
      <c r="DS901" s="43"/>
      <c r="DT901" s="43"/>
      <c r="DU901" s="43"/>
      <c r="DV901" s="43"/>
      <c r="DW901" s="43"/>
      <c r="DX901" s="43"/>
      <c r="DY901" s="43"/>
      <c r="DZ901" s="43"/>
      <c r="EA901" s="43"/>
      <c r="EB901" s="43"/>
      <c r="EC901" s="43"/>
      <c r="ED901" s="43"/>
      <c r="EE901" s="43"/>
      <c r="EF901" s="43"/>
      <c r="EG901" s="43"/>
      <c r="EH901" s="43"/>
      <c r="EI901" s="43"/>
      <c r="EJ901" s="43"/>
      <c r="EK901" s="43"/>
      <c r="EL901" s="43"/>
      <c r="EM901" s="43"/>
      <c r="EN901" s="43"/>
      <c r="EO901" s="43"/>
      <c r="EP901" s="43"/>
      <c r="EQ901" s="43"/>
      <c r="ER901" s="43"/>
      <c r="ES901" s="43"/>
      <c r="ET901" s="43"/>
      <c r="EU901" s="43"/>
      <c r="EV901" s="43"/>
      <c r="EW901" s="43"/>
      <c r="EX901" s="43"/>
      <c r="EY901" s="43"/>
      <c r="EZ901" s="43"/>
      <c r="FA901" s="43"/>
      <c r="FB901" s="43"/>
      <c r="FC901" s="43"/>
      <c r="FD901" s="43"/>
      <c r="FE901" s="43"/>
      <c r="FF901" s="43"/>
      <c r="FG901" s="43"/>
      <c r="FH901" s="50"/>
      <c r="FI901" s="50"/>
    </row>
    <row r="902" ht="14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  <c r="AX902" s="43"/>
      <c r="AY902" s="43"/>
      <c r="AZ902" s="43"/>
      <c r="BA902" s="43"/>
      <c r="BB902" s="43"/>
      <c r="BC902" s="43"/>
      <c r="BD902" s="43"/>
      <c r="BE902" s="43"/>
      <c r="BF902" s="43"/>
      <c r="BG902" s="43"/>
      <c r="BH902" s="43"/>
      <c r="BI902" s="43"/>
      <c r="BJ902" s="43"/>
      <c r="BK902" s="43"/>
      <c r="BL902" s="43"/>
      <c r="BM902" s="43"/>
      <c r="BN902" s="43"/>
      <c r="BO902" s="43"/>
      <c r="BP902" s="43"/>
      <c r="BQ902" s="43"/>
      <c r="BR902" s="43"/>
      <c r="BS902" s="43"/>
      <c r="BT902" s="43"/>
      <c r="BU902" s="43"/>
      <c r="BV902" s="43"/>
      <c r="BW902" s="43"/>
      <c r="BX902" s="43"/>
      <c r="BY902" s="43"/>
      <c r="BZ902" s="43"/>
      <c r="CA902" s="43"/>
      <c r="CB902" s="43"/>
      <c r="CC902" s="43"/>
      <c r="CD902" s="43"/>
      <c r="CE902" s="43"/>
      <c r="CF902" s="43"/>
      <c r="CG902" s="43"/>
      <c r="CH902" s="43"/>
      <c r="CI902" s="43"/>
      <c r="CJ902" s="43"/>
      <c r="CK902" s="43"/>
      <c r="CL902" s="43"/>
      <c r="CM902" s="43"/>
      <c r="CN902" s="43"/>
      <c r="CO902" s="43"/>
      <c r="CP902" s="43"/>
      <c r="CQ902" s="43"/>
      <c r="CR902" s="43"/>
      <c r="CS902" s="43"/>
      <c r="CT902" s="43"/>
      <c r="CU902" s="43"/>
      <c r="CV902" s="43"/>
      <c r="CW902" s="43"/>
      <c r="CX902" s="43"/>
      <c r="CY902" s="43"/>
      <c r="CZ902" s="43"/>
      <c r="DA902" s="43"/>
      <c r="DB902" s="43"/>
      <c r="DC902" s="43"/>
      <c r="DD902" s="43"/>
      <c r="DE902" s="43"/>
      <c r="DF902" s="43"/>
      <c r="DG902" s="43"/>
      <c r="DH902" s="43"/>
      <c r="DI902" s="43"/>
      <c r="DJ902" s="43"/>
      <c r="DK902" s="43"/>
      <c r="DL902" s="43"/>
      <c r="DM902" s="43"/>
      <c r="DN902" s="43"/>
      <c r="DO902" s="43"/>
      <c r="DP902" s="43"/>
      <c r="DQ902" s="43"/>
      <c r="DR902" s="43"/>
      <c r="DS902" s="43"/>
      <c r="DT902" s="43"/>
      <c r="DU902" s="43"/>
      <c r="DV902" s="43"/>
      <c r="DW902" s="43"/>
      <c r="DX902" s="43"/>
      <c r="DY902" s="43"/>
      <c r="DZ902" s="43"/>
      <c r="EA902" s="43"/>
      <c r="EB902" s="43"/>
      <c r="EC902" s="43"/>
      <c r="ED902" s="43"/>
      <c r="EE902" s="43"/>
      <c r="EF902" s="43"/>
      <c r="EG902" s="43"/>
      <c r="EH902" s="43"/>
      <c r="EI902" s="43"/>
      <c r="EJ902" s="43"/>
      <c r="EK902" s="43"/>
      <c r="EL902" s="43"/>
      <c r="EM902" s="43"/>
      <c r="EN902" s="43"/>
      <c r="EO902" s="43"/>
      <c r="EP902" s="43"/>
      <c r="EQ902" s="43"/>
      <c r="ER902" s="43"/>
      <c r="ES902" s="43"/>
      <c r="ET902" s="43"/>
      <c r="EU902" s="43"/>
      <c r="EV902" s="43"/>
      <c r="EW902" s="43"/>
      <c r="EX902" s="43"/>
      <c r="EY902" s="43"/>
      <c r="EZ902" s="43"/>
      <c r="FA902" s="43"/>
      <c r="FB902" s="43"/>
      <c r="FC902" s="43"/>
      <c r="FD902" s="43"/>
      <c r="FE902" s="43"/>
      <c r="FF902" s="43"/>
      <c r="FG902" s="43"/>
      <c r="FH902" s="50"/>
      <c r="FI902" s="50"/>
    </row>
    <row r="903" ht="14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  <c r="AX903" s="43"/>
      <c r="AY903" s="43"/>
      <c r="AZ903" s="43"/>
      <c r="BA903" s="43"/>
      <c r="BB903" s="43"/>
      <c r="BC903" s="43"/>
      <c r="BD903" s="43"/>
      <c r="BE903" s="43"/>
      <c r="BF903" s="43"/>
      <c r="BG903" s="43"/>
      <c r="BH903" s="43"/>
      <c r="BI903" s="43"/>
      <c r="BJ903" s="43"/>
      <c r="BK903" s="43"/>
      <c r="BL903" s="43"/>
      <c r="BM903" s="43"/>
      <c r="BN903" s="43"/>
      <c r="BO903" s="43"/>
      <c r="BP903" s="43"/>
      <c r="BQ903" s="43"/>
      <c r="BR903" s="43"/>
      <c r="BS903" s="43"/>
      <c r="BT903" s="43"/>
      <c r="BU903" s="43"/>
      <c r="BV903" s="43"/>
      <c r="BW903" s="43"/>
      <c r="BX903" s="43"/>
      <c r="BY903" s="43"/>
      <c r="BZ903" s="43"/>
      <c r="CA903" s="43"/>
      <c r="CB903" s="43"/>
      <c r="CC903" s="43"/>
      <c r="CD903" s="43"/>
      <c r="CE903" s="43"/>
      <c r="CF903" s="43"/>
      <c r="CG903" s="43"/>
      <c r="CH903" s="43"/>
      <c r="CI903" s="43"/>
      <c r="CJ903" s="43"/>
      <c r="CK903" s="43"/>
      <c r="CL903" s="43"/>
      <c r="CM903" s="43"/>
      <c r="CN903" s="43"/>
      <c r="CO903" s="43"/>
      <c r="CP903" s="43"/>
      <c r="CQ903" s="43"/>
      <c r="CR903" s="43"/>
      <c r="CS903" s="43"/>
      <c r="CT903" s="43"/>
      <c r="CU903" s="43"/>
      <c r="CV903" s="43"/>
      <c r="CW903" s="43"/>
      <c r="CX903" s="43"/>
      <c r="CY903" s="43"/>
      <c r="CZ903" s="43"/>
      <c r="DA903" s="43"/>
      <c r="DB903" s="43"/>
      <c r="DC903" s="43"/>
      <c r="DD903" s="43"/>
      <c r="DE903" s="43"/>
      <c r="DF903" s="43"/>
      <c r="DG903" s="43"/>
      <c r="DH903" s="43"/>
      <c r="DI903" s="43"/>
      <c r="DJ903" s="43"/>
      <c r="DK903" s="43"/>
      <c r="DL903" s="43"/>
      <c r="DM903" s="43"/>
      <c r="DN903" s="43"/>
      <c r="DO903" s="43"/>
      <c r="DP903" s="43"/>
      <c r="DQ903" s="43"/>
      <c r="DR903" s="43"/>
      <c r="DS903" s="43"/>
      <c r="DT903" s="43"/>
      <c r="DU903" s="43"/>
      <c r="DV903" s="43"/>
      <c r="DW903" s="43"/>
      <c r="DX903" s="43"/>
      <c r="DY903" s="43"/>
      <c r="DZ903" s="43"/>
      <c r="EA903" s="43"/>
      <c r="EB903" s="43"/>
      <c r="EC903" s="43"/>
      <c r="ED903" s="43"/>
      <c r="EE903" s="43"/>
      <c r="EF903" s="43"/>
      <c r="EG903" s="43"/>
      <c r="EH903" s="43"/>
      <c r="EI903" s="43"/>
      <c r="EJ903" s="43"/>
      <c r="EK903" s="43"/>
      <c r="EL903" s="43"/>
      <c r="EM903" s="43"/>
      <c r="EN903" s="43"/>
      <c r="EO903" s="43"/>
      <c r="EP903" s="43"/>
      <c r="EQ903" s="43"/>
      <c r="ER903" s="43"/>
      <c r="ES903" s="43"/>
      <c r="ET903" s="43"/>
      <c r="EU903" s="43"/>
      <c r="EV903" s="43"/>
      <c r="EW903" s="43"/>
      <c r="EX903" s="43"/>
      <c r="EY903" s="43"/>
      <c r="EZ903" s="43"/>
      <c r="FA903" s="43"/>
      <c r="FB903" s="43"/>
      <c r="FC903" s="43"/>
      <c r="FD903" s="43"/>
      <c r="FE903" s="43"/>
      <c r="FF903" s="43"/>
      <c r="FG903" s="43"/>
      <c r="FH903" s="50"/>
      <c r="FI903" s="50"/>
    </row>
    <row r="904" ht="14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  <c r="AX904" s="43"/>
      <c r="AY904" s="43"/>
      <c r="AZ904" s="43"/>
      <c r="BA904" s="43"/>
      <c r="BB904" s="43"/>
      <c r="BC904" s="43"/>
      <c r="BD904" s="43"/>
      <c r="BE904" s="43"/>
      <c r="BF904" s="43"/>
      <c r="BG904" s="43"/>
      <c r="BH904" s="43"/>
      <c r="BI904" s="43"/>
      <c r="BJ904" s="43"/>
      <c r="BK904" s="43"/>
      <c r="BL904" s="43"/>
      <c r="BM904" s="43"/>
      <c r="BN904" s="43"/>
      <c r="BO904" s="43"/>
      <c r="BP904" s="43"/>
      <c r="BQ904" s="43"/>
      <c r="BR904" s="43"/>
      <c r="BS904" s="43"/>
      <c r="BT904" s="43"/>
      <c r="BU904" s="43"/>
      <c r="BV904" s="43"/>
      <c r="BW904" s="43"/>
      <c r="BX904" s="43"/>
      <c r="BY904" s="43"/>
      <c r="BZ904" s="43"/>
      <c r="CA904" s="43"/>
      <c r="CB904" s="43"/>
      <c r="CC904" s="43"/>
      <c r="CD904" s="43"/>
      <c r="CE904" s="43"/>
      <c r="CF904" s="43"/>
      <c r="CG904" s="43"/>
      <c r="CH904" s="43"/>
      <c r="CI904" s="43"/>
      <c r="CJ904" s="43"/>
      <c r="CK904" s="43"/>
      <c r="CL904" s="43"/>
      <c r="CM904" s="43"/>
      <c r="CN904" s="43"/>
      <c r="CO904" s="43"/>
      <c r="CP904" s="43"/>
      <c r="CQ904" s="43"/>
      <c r="CR904" s="43"/>
      <c r="CS904" s="43"/>
      <c r="CT904" s="43"/>
      <c r="CU904" s="43"/>
      <c r="CV904" s="43"/>
      <c r="CW904" s="43"/>
      <c r="CX904" s="43"/>
      <c r="CY904" s="43"/>
      <c r="CZ904" s="43"/>
      <c r="DA904" s="43"/>
      <c r="DB904" s="43"/>
      <c r="DC904" s="43"/>
      <c r="DD904" s="43"/>
      <c r="DE904" s="43"/>
      <c r="DF904" s="43"/>
      <c r="DG904" s="43"/>
      <c r="DH904" s="43"/>
      <c r="DI904" s="43"/>
      <c r="DJ904" s="43"/>
      <c r="DK904" s="43"/>
      <c r="DL904" s="43"/>
      <c r="DM904" s="43"/>
      <c r="DN904" s="43"/>
      <c r="DO904" s="43"/>
      <c r="DP904" s="43"/>
      <c r="DQ904" s="43"/>
      <c r="DR904" s="43"/>
      <c r="DS904" s="43"/>
      <c r="DT904" s="43"/>
      <c r="DU904" s="43"/>
      <c r="DV904" s="43"/>
      <c r="DW904" s="43"/>
      <c r="DX904" s="43"/>
      <c r="DY904" s="43"/>
      <c r="DZ904" s="43"/>
      <c r="EA904" s="43"/>
      <c r="EB904" s="43"/>
      <c r="EC904" s="43"/>
      <c r="ED904" s="43"/>
      <c r="EE904" s="43"/>
      <c r="EF904" s="43"/>
      <c r="EG904" s="43"/>
      <c r="EH904" s="43"/>
      <c r="EI904" s="43"/>
      <c r="EJ904" s="43"/>
      <c r="EK904" s="43"/>
      <c r="EL904" s="43"/>
      <c r="EM904" s="43"/>
      <c r="EN904" s="43"/>
      <c r="EO904" s="43"/>
      <c r="EP904" s="43"/>
      <c r="EQ904" s="43"/>
      <c r="ER904" s="43"/>
      <c r="ES904" s="43"/>
      <c r="ET904" s="43"/>
      <c r="EU904" s="43"/>
      <c r="EV904" s="43"/>
      <c r="EW904" s="43"/>
      <c r="EX904" s="43"/>
      <c r="EY904" s="43"/>
      <c r="EZ904" s="43"/>
      <c r="FA904" s="43"/>
      <c r="FB904" s="43"/>
      <c r="FC904" s="43"/>
      <c r="FD904" s="43"/>
      <c r="FE904" s="43"/>
      <c r="FF904" s="43"/>
      <c r="FG904" s="43"/>
      <c r="FH904" s="50"/>
      <c r="FI904" s="50"/>
    </row>
    <row r="905" ht="14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  <c r="AX905" s="43"/>
      <c r="AY905" s="43"/>
      <c r="AZ905" s="43"/>
      <c r="BA905" s="43"/>
      <c r="BB905" s="43"/>
      <c r="BC905" s="43"/>
      <c r="BD905" s="43"/>
      <c r="BE905" s="43"/>
      <c r="BF905" s="43"/>
      <c r="BG905" s="43"/>
      <c r="BH905" s="43"/>
      <c r="BI905" s="43"/>
      <c r="BJ905" s="43"/>
      <c r="BK905" s="43"/>
      <c r="BL905" s="43"/>
      <c r="BM905" s="43"/>
      <c r="BN905" s="43"/>
      <c r="BO905" s="43"/>
      <c r="BP905" s="43"/>
      <c r="BQ905" s="43"/>
      <c r="BR905" s="43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43"/>
      <c r="CF905" s="43"/>
      <c r="CG905" s="43"/>
      <c r="CH905" s="43"/>
      <c r="CI905" s="43"/>
      <c r="CJ905" s="43"/>
      <c r="CK905" s="43"/>
      <c r="CL905" s="43"/>
      <c r="CM905" s="43"/>
      <c r="CN905" s="43"/>
      <c r="CO905" s="43"/>
      <c r="CP905" s="43"/>
      <c r="CQ905" s="43"/>
      <c r="CR905" s="43"/>
      <c r="CS905" s="43"/>
      <c r="CT905" s="43"/>
      <c r="CU905" s="43"/>
      <c r="CV905" s="43"/>
      <c r="CW905" s="43"/>
      <c r="CX905" s="43"/>
      <c r="CY905" s="43"/>
      <c r="CZ905" s="43"/>
      <c r="DA905" s="43"/>
      <c r="DB905" s="43"/>
      <c r="DC905" s="43"/>
      <c r="DD905" s="43"/>
      <c r="DE905" s="43"/>
      <c r="DF905" s="43"/>
      <c r="DG905" s="43"/>
      <c r="DH905" s="43"/>
      <c r="DI905" s="43"/>
      <c r="DJ905" s="43"/>
      <c r="DK905" s="43"/>
      <c r="DL905" s="43"/>
      <c r="DM905" s="43"/>
      <c r="DN905" s="43"/>
      <c r="DO905" s="43"/>
      <c r="DP905" s="43"/>
      <c r="DQ905" s="43"/>
      <c r="DR905" s="43"/>
      <c r="DS905" s="43"/>
      <c r="DT905" s="43"/>
      <c r="DU905" s="43"/>
      <c r="DV905" s="43"/>
      <c r="DW905" s="43"/>
      <c r="DX905" s="43"/>
      <c r="DY905" s="43"/>
      <c r="DZ905" s="43"/>
      <c r="EA905" s="43"/>
      <c r="EB905" s="43"/>
      <c r="EC905" s="43"/>
      <c r="ED905" s="43"/>
      <c r="EE905" s="43"/>
      <c r="EF905" s="43"/>
      <c r="EG905" s="43"/>
      <c r="EH905" s="43"/>
      <c r="EI905" s="43"/>
      <c r="EJ905" s="43"/>
      <c r="EK905" s="43"/>
      <c r="EL905" s="43"/>
      <c r="EM905" s="43"/>
      <c r="EN905" s="43"/>
      <c r="EO905" s="43"/>
      <c r="EP905" s="43"/>
      <c r="EQ905" s="43"/>
      <c r="ER905" s="43"/>
      <c r="ES905" s="43"/>
      <c r="ET905" s="43"/>
      <c r="EU905" s="43"/>
      <c r="EV905" s="43"/>
      <c r="EW905" s="43"/>
      <c r="EX905" s="43"/>
      <c r="EY905" s="43"/>
      <c r="EZ905" s="43"/>
      <c r="FA905" s="43"/>
      <c r="FB905" s="43"/>
      <c r="FC905" s="43"/>
      <c r="FD905" s="43"/>
      <c r="FE905" s="43"/>
      <c r="FF905" s="43"/>
      <c r="FG905" s="43"/>
      <c r="FH905" s="50"/>
      <c r="FI905" s="50"/>
    </row>
    <row r="906" ht="14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  <c r="AX906" s="43"/>
      <c r="AY906" s="43"/>
      <c r="AZ906" s="43"/>
      <c r="BA906" s="43"/>
      <c r="BB906" s="43"/>
      <c r="BC906" s="43"/>
      <c r="BD906" s="43"/>
      <c r="BE906" s="43"/>
      <c r="BF906" s="43"/>
      <c r="BG906" s="43"/>
      <c r="BH906" s="43"/>
      <c r="BI906" s="43"/>
      <c r="BJ906" s="43"/>
      <c r="BK906" s="43"/>
      <c r="BL906" s="43"/>
      <c r="BM906" s="43"/>
      <c r="BN906" s="43"/>
      <c r="BO906" s="43"/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3"/>
      <c r="CA906" s="43"/>
      <c r="CB906" s="43"/>
      <c r="CC906" s="43"/>
      <c r="CD906" s="43"/>
      <c r="CE906" s="43"/>
      <c r="CF906" s="43"/>
      <c r="CG906" s="43"/>
      <c r="CH906" s="43"/>
      <c r="CI906" s="43"/>
      <c r="CJ906" s="43"/>
      <c r="CK906" s="43"/>
      <c r="CL906" s="43"/>
      <c r="CM906" s="43"/>
      <c r="CN906" s="43"/>
      <c r="CO906" s="43"/>
      <c r="CP906" s="43"/>
      <c r="CQ906" s="43"/>
      <c r="CR906" s="43"/>
      <c r="CS906" s="43"/>
      <c r="CT906" s="43"/>
      <c r="CU906" s="43"/>
      <c r="CV906" s="43"/>
      <c r="CW906" s="43"/>
      <c r="CX906" s="43"/>
      <c r="CY906" s="43"/>
      <c r="CZ906" s="43"/>
      <c r="DA906" s="43"/>
      <c r="DB906" s="43"/>
      <c r="DC906" s="43"/>
      <c r="DD906" s="43"/>
      <c r="DE906" s="43"/>
      <c r="DF906" s="43"/>
      <c r="DG906" s="43"/>
      <c r="DH906" s="43"/>
      <c r="DI906" s="43"/>
      <c r="DJ906" s="43"/>
      <c r="DK906" s="43"/>
      <c r="DL906" s="43"/>
      <c r="DM906" s="43"/>
      <c r="DN906" s="43"/>
      <c r="DO906" s="43"/>
      <c r="DP906" s="43"/>
      <c r="DQ906" s="43"/>
      <c r="DR906" s="43"/>
      <c r="DS906" s="43"/>
      <c r="DT906" s="43"/>
      <c r="DU906" s="43"/>
      <c r="DV906" s="43"/>
      <c r="DW906" s="43"/>
      <c r="DX906" s="43"/>
      <c r="DY906" s="43"/>
      <c r="DZ906" s="43"/>
      <c r="EA906" s="43"/>
      <c r="EB906" s="43"/>
      <c r="EC906" s="43"/>
      <c r="ED906" s="43"/>
      <c r="EE906" s="43"/>
      <c r="EF906" s="43"/>
      <c r="EG906" s="43"/>
      <c r="EH906" s="43"/>
      <c r="EI906" s="43"/>
      <c r="EJ906" s="43"/>
      <c r="EK906" s="43"/>
      <c r="EL906" s="43"/>
      <c r="EM906" s="43"/>
      <c r="EN906" s="43"/>
      <c r="EO906" s="43"/>
      <c r="EP906" s="43"/>
      <c r="EQ906" s="43"/>
      <c r="ER906" s="43"/>
      <c r="ES906" s="43"/>
      <c r="ET906" s="43"/>
      <c r="EU906" s="43"/>
      <c r="EV906" s="43"/>
      <c r="EW906" s="43"/>
      <c r="EX906" s="43"/>
      <c r="EY906" s="43"/>
      <c r="EZ906" s="43"/>
      <c r="FA906" s="43"/>
      <c r="FB906" s="43"/>
      <c r="FC906" s="43"/>
      <c r="FD906" s="43"/>
      <c r="FE906" s="43"/>
      <c r="FF906" s="43"/>
      <c r="FG906" s="43"/>
      <c r="FH906" s="50"/>
      <c r="FI906" s="50"/>
    </row>
    <row r="907" ht="14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  <c r="AX907" s="43"/>
      <c r="AY907" s="43"/>
      <c r="AZ907" s="43"/>
      <c r="BA907" s="43"/>
      <c r="BB907" s="43"/>
      <c r="BC907" s="43"/>
      <c r="BD907" s="43"/>
      <c r="BE907" s="43"/>
      <c r="BF907" s="43"/>
      <c r="BG907" s="43"/>
      <c r="BH907" s="43"/>
      <c r="BI907" s="43"/>
      <c r="BJ907" s="43"/>
      <c r="BK907" s="43"/>
      <c r="BL907" s="43"/>
      <c r="BM907" s="43"/>
      <c r="BN907" s="43"/>
      <c r="BO907" s="43"/>
      <c r="BP907" s="43"/>
      <c r="BQ907" s="43"/>
      <c r="BR907" s="43"/>
      <c r="BS907" s="43"/>
      <c r="BT907" s="43"/>
      <c r="BU907" s="43"/>
      <c r="BV907" s="43"/>
      <c r="BW907" s="43"/>
      <c r="BX907" s="43"/>
      <c r="BY907" s="43"/>
      <c r="BZ907" s="43"/>
      <c r="CA907" s="43"/>
      <c r="CB907" s="43"/>
      <c r="CC907" s="43"/>
      <c r="CD907" s="43"/>
      <c r="CE907" s="43"/>
      <c r="CF907" s="43"/>
      <c r="CG907" s="43"/>
      <c r="CH907" s="43"/>
      <c r="CI907" s="43"/>
      <c r="CJ907" s="43"/>
      <c r="CK907" s="43"/>
      <c r="CL907" s="43"/>
      <c r="CM907" s="43"/>
      <c r="CN907" s="43"/>
      <c r="CO907" s="43"/>
      <c r="CP907" s="43"/>
      <c r="CQ907" s="43"/>
      <c r="CR907" s="43"/>
      <c r="CS907" s="43"/>
      <c r="CT907" s="43"/>
      <c r="CU907" s="43"/>
      <c r="CV907" s="43"/>
      <c r="CW907" s="43"/>
      <c r="CX907" s="43"/>
      <c r="CY907" s="43"/>
      <c r="CZ907" s="43"/>
      <c r="DA907" s="43"/>
      <c r="DB907" s="43"/>
      <c r="DC907" s="43"/>
      <c r="DD907" s="43"/>
      <c r="DE907" s="43"/>
      <c r="DF907" s="43"/>
      <c r="DG907" s="43"/>
      <c r="DH907" s="43"/>
      <c r="DI907" s="43"/>
      <c r="DJ907" s="43"/>
      <c r="DK907" s="43"/>
      <c r="DL907" s="43"/>
      <c r="DM907" s="43"/>
      <c r="DN907" s="43"/>
      <c r="DO907" s="43"/>
      <c r="DP907" s="43"/>
      <c r="DQ907" s="43"/>
      <c r="DR907" s="43"/>
      <c r="DS907" s="43"/>
      <c r="DT907" s="43"/>
      <c r="DU907" s="43"/>
      <c r="DV907" s="43"/>
      <c r="DW907" s="43"/>
      <c r="DX907" s="43"/>
      <c r="DY907" s="43"/>
      <c r="DZ907" s="43"/>
      <c r="EA907" s="43"/>
      <c r="EB907" s="43"/>
      <c r="EC907" s="43"/>
      <c r="ED907" s="43"/>
      <c r="EE907" s="43"/>
      <c r="EF907" s="43"/>
      <c r="EG907" s="43"/>
      <c r="EH907" s="43"/>
      <c r="EI907" s="43"/>
      <c r="EJ907" s="43"/>
      <c r="EK907" s="43"/>
      <c r="EL907" s="43"/>
      <c r="EM907" s="43"/>
      <c r="EN907" s="43"/>
      <c r="EO907" s="43"/>
      <c r="EP907" s="43"/>
      <c r="EQ907" s="43"/>
      <c r="ER907" s="43"/>
      <c r="ES907" s="43"/>
      <c r="ET907" s="43"/>
      <c r="EU907" s="43"/>
      <c r="EV907" s="43"/>
      <c r="EW907" s="43"/>
      <c r="EX907" s="43"/>
      <c r="EY907" s="43"/>
      <c r="EZ907" s="43"/>
      <c r="FA907" s="43"/>
      <c r="FB907" s="43"/>
      <c r="FC907" s="43"/>
      <c r="FD907" s="43"/>
      <c r="FE907" s="43"/>
      <c r="FF907" s="43"/>
      <c r="FG907" s="43"/>
      <c r="FH907" s="50"/>
      <c r="FI907" s="50"/>
    </row>
    <row r="908" ht="14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  <c r="AX908" s="43"/>
      <c r="AY908" s="43"/>
      <c r="AZ908" s="43"/>
      <c r="BA908" s="43"/>
      <c r="BB908" s="43"/>
      <c r="BC908" s="43"/>
      <c r="BD908" s="43"/>
      <c r="BE908" s="43"/>
      <c r="BF908" s="43"/>
      <c r="BG908" s="43"/>
      <c r="BH908" s="43"/>
      <c r="BI908" s="43"/>
      <c r="BJ908" s="43"/>
      <c r="BK908" s="43"/>
      <c r="BL908" s="43"/>
      <c r="BM908" s="43"/>
      <c r="BN908" s="43"/>
      <c r="BO908" s="43"/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3"/>
      <c r="CA908" s="43"/>
      <c r="CB908" s="43"/>
      <c r="CC908" s="43"/>
      <c r="CD908" s="43"/>
      <c r="CE908" s="43"/>
      <c r="CF908" s="43"/>
      <c r="CG908" s="43"/>
      <c r="CH908" s="43"/>
      <c r="CI908" s="43"/>
      <c r="CJ908" s="43"/>
      <c r="CK908" s="43"/>
      <c r="CL908" s="43"/>
      <c r="CM908" s="43"/>
      <c r="CN908" s="43"/>
      <c r="CO908" s="43"/>
      <c r="CP908" s="43"/>
      <c r="CQ908" s="43"/>
      <c r="CR908" s="43"/>
      <c r="CS908" s="43"/>
      <c r="CT908" s="43"/>
      <c r="CU908" s="43"/>
      <c r="CV908" s="43"/>
      <c r="CW908" s="43"/>
      <c r="CX908" s="43"/>
      <c r="CY908" s="43"/>
      <c r="CZ908" s="43"/>
      <c r="DA908" s="43"/>
      <c r="DB908" s="43"/>
      <c r="DC908" s="43"/>
      <c r="DD908" s="43"/>
      <c r="DE908" s="43"/>
      <c r="DF908" s="43"/>
      <c r="DG908" s="43"/>
      <c r="DH908" s="43"/>
      <c r="DI908" s="43"/>
      <c r="DJ908" s="43"/>
      <c r="DK908" s="43"/>
      <c r="DL908" s="43"/>
      <c r="DM908" s="43"/>
      <c r="DN908" s="43"/>
      <c r="DO908" s="43"/>
      <c r="DP908" s="43"/>
      <c r="DQ908" s="43"/>
      <c r="DR908" s="43"/>
      <c r="DS908" s="43"/>
      <c r="DT908" s="43"/>
      <c r="DU908" s="43"/>
      <c r="DV908" s="43"/>
      <c r="DW908" s="43"/>
      <c r="DX908" s="43"/>
      <c r="DY908" s="43"/>
      <c r="DZ908" s="43"/>
      <c r="EA908" s="43"/>
      <c r="EB908" s="43"/>
      <c r="EC908" s="43"/>
      <c r="ED908" s="43"/>
      <c r="EE908" s="43"/>
      <c r="EF908" s="43"/>
      <c r="EG908" s="43"/>
      <c r="EH908" s="43"/>
      <c r="EI908" s="43"/>
      <c r="EJ908" s="43"/>
      <c r="EK908" s="43"/>
      <c r="EL908" s="43"/>
      <c r="EM908" s="43"/>
      <c r="EN908" s="43"/>
      <c r="EO908" s="43"/>
      <c r="EP908" s="43"/>
      <c r="EQ908" s="43"/>
      <c r="ER908" s="43"/>
      <c r="ES908" s="43"/>
      <c r="ET908" s="43"/>
      <c r="EU908" s="43"/>
      <c r="EV908" s="43"/>
      <c r="EW908" s="43"/>
      <c r="EX908" s="43"/>
      <c r="EY908" s="43"/>
      <c r="EZ908" s="43"/>
      <c r="FA908" s="43"/>
      <c r="FB908" s="43"/>
      <c r="FC908" s="43"/>
      <c r="FD908" s="43"/>
      <c r="FE908" s="43"/>
      <c r="FF908" s="43"/>
      <c r="FG908" s="43"/>
      <c r="FH908" s="50"/>
      <c r="FI908" s="50"/>
    </row>
    <row r="909" ht="14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  <c r="AX909" s="43"/>
      <c r="AY909" s="43"/>
      <c r="AZ909" s="43"/>
      <c r="BA909" s="43"/>
      <c r="BB909" s="43"/>
      <c r="BC909" s="43"/>
      <c r="BD909" s="43"/>
      <c r="BE909" s="43"/>
      <c r="BF909" s="43"/>
      <c r="BG909" s="43"/>
      <c r="BH909" s="43"/>
      <c r="BI909" s="43"/>
      <c r="BJ909" s="43"/>
      <c r="BK909" s="43"/>
      <c r="BL909" s="43"/>
      <c r="BM909" s="43"/>
      <c r="BN909" s="43"/>
      <c r="BO909" s="43"/>
      <c r="BP909" s="43"/>
      <c r="BQ909" s="43"/>
      <c r="BR909" s="43"/>
      <c r="BS909" s="43"/>
      <c r="BT909" s="43"/>
      <c r="BU909" s="43"/>
      <c r="BV909" s="43"/>
      <c r="BW909" s="43"/>
      <c r="BX909" s="43"/>
      <c r="BY909" s="43"/>
      <c r="BZ909" s="43"/>
      <c r="CA909" s="43"/>
      <c r="CB909" s="43"/>
      <c r="CC909" s="43"/>
      <c r="CD909" s="43"/>
      <c r="CE909" s="43"/>
      <c r="CF909" s="43"/>
      <c r="CG909" s="43"/>
      <c r="CH909" s="43"/>
      <c r="CI909" s="43"/>
      <c r="CJ909" s="43"/>
      <c r="CK909" s="43"/>
      <c r="CL909" s="43"/>
      <c r="CM909" s="43"/>
      <c r="CN909" s="43"/>
      <c r="CO909" s="43"/>
      <c r="CP909" s="43"/>
      <c r="CQ909" s="43"/>
      <c r="CR909" s="43"/>
      <c r="CS909" s="43"/>
      <c r="CT909" s="43"/>
      <c r="CU909" s="43"/>
      <c r="CV909" s="43"/>
      <c r="CW909" s="43"/>
      <c r="CX909" s="43"/>
      <c r="CY909" s="43"/>
      <c r="CZ909" s="43"/>
      <c r="DA909" s="43"/>
      <c r="DB909" s="43"/>
      <c r="DC909" s="43"/>
      <c r="DD909" s="43"/>
      <c r="DE909" s="43"/>
      <c r="DF909" s="43"/>
      <c r="DG909" s="43"/>
      <c r="DH909" s="43"/>
      <c r="DI909" s="43"/>
      <c r="DJ909" s="43"/>
      <c r="DK909" s="43"/>
      <c r="DL909" s="43"/>
      <c r="DM909" s="43"/>
      <c r="DN909" s="43"/>
      <c r="DO909" s="43"/>
      <c r="DP909" s="43"/>
      <c r="DQ909" s="43"/>
      <c r="DR909" s="43"/>
      <c r="DS909" s="43"/>
      <c r="DT909" s="43"/>
      <c r="DU909" s="43"/>
      <c r="DV909" s="43"/>
      <c r="DW909" s="43"/>
      <c r="DX909" s="43"/>
      <c r="DY909" s="43"/>
      <c r="DZ909" s="43"/>
      <c r="EA909" s="43"/>
      <c r="EB909" s="43"/>
      <c r="EC909" s="43"/>
      <c r="ED909" s="43"/>
      <c r="EE909" s="43"/>
      <c r="EF909" s="43"/>
      <c r="EG909" s="43"/>
      <c r="EH909" s="43"/>
      <c r="EI909" s="43"/>
      <c r="EJ909" s="43"/>
      <c r="EK909" s="43"/>
      <c r="EL909" s="43"/>
      <c r="EM909" s="43"/>
      <c r="EN909" s="43"/>
      <c r="EO909" s="43"/>
      <c r="EP909" s="43"/>
      <c r="EQ909" s="43"/>
      <c r="ER909" s="43"/>
      <c r="ES909" s="43"/>
      <c r="ET909" s="43"/>
      <c r="EU909" s="43"/>
      <c r="EV909" s="43"/>
      <c r="EW909" s="43"/>
      <c r="EX909" s="43"/>
      <c r="EY909" s="43"/>
      <c r="EZ909" s="43"/>
      <c r="FA909" s="43"/>
      <c r="FB909" s="43"/>
      <c r="FC909" s="43"/>
      <c r="FD909" s="43"/>
      <c r="FE909" s="43"/>
      <c r="FF909" s="43"/>
      <c r="FG909" s="43"/>
      <c r="FH909" s="50"/>
      <c r="FI909" s="50"/>
    </row>
    <row r="910" ht="14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  <c r="AX910" s="43"/>
      <c r="AY910" s="43"/>
      <c r="AZ910" s="43"/>
      <c r="BA910" s="43"/>
      <c r="BB910" s="43"/>
      <c r="BC910" s="43"/>
      <c r="BD910" s="43"/>
      <c r="BE910" s="43"/>
      <c r="BF910" s="43"/>
      <c r="BG910" s="43"/>
      <c r="BH910" s="43"/>
      <c r="BI910" s="43"/>
      <c r="BJ910" s="43"/>
      <c r="BK910" s="43"/>
      <c r="BL910" s="43"/>
      <c r="BM910" s="43"/>
      <c r="BN910" s="43"/>
      <c r="BO910" s="43"/>
      <c r="BP910" s="43"/>
      <c r="BQ910" s="43"/>
      <c r="BR910" s="43"/>
      <c r="BS910" s="43"/>
      <c r="BT910" s="43"/>
      <c r="BU910" s="43"/>
      <c r="BV910" s="43"/>
      <c r="BW910" s="43"/>
      <c r="BX910" s="43"/>
      <c r="BY910" s="43"/>
      <c r="BZ910" s="43"/>
      <c r="CA910" s="43"/>
      <c r="CB910" s="43"/>
      <c r="CC910" s="43"/>
      <c r="CD910" s="43"/>
      <c r="CE910" s="43"/>
      <c r="CF910" s="43"/>
      <c r="CG910" s="43"/>
      <c r="CH910" s="43"/>
      <c r="CI910" s="43"/>
      <c r="CJ910" s="43"/>
      <c r="CK910" s="43"/>
      <c r="CL910" s="43"/>
      <c r="CM910" s="43"/>
      <c r="CN910" s="43"/>
      <c r="CO910" s="43"/>
      <c r="CP910" s="43"/>
      <c r="CQ910" s="43"/>
      <c r="CR910" s="43"/>
      <c r="CS910" s="43"/>
      <c r="CT910" s="43"/>
      <c r="CU910" s="43"/>
      <c r="CV910" s="43"/>
      <c r="CW910" s="43"/>
      <c r="CX910" s="43"/>
      <c r="CY910" s="43"/>
      <c r="CZ910" s="43"/>
      <c r="DA910" s="43"/>
      <c r="DB910" s="43"/>
      <c r="DC910" s="43"/>
      <c r="DD910" s="43"/>
      <c r="DE910" s="43"/>
      <c r="DF910" s="43"/>
      <c r="DG910" s="43"/>
      <c r="DH910" s="43"/>
      <c r="DI910" s="43"/>
      <c r="DJ910" s="43"/>
      <c r="DK910" s="43"/>
      <c r="DL910" s="43"/>
      <c r="DM910" s="43"/>
      <c r="DN910" s="43"/>
      <c r="DO910" s="43"/>
      <c r="DP910" s="43"/>
      <c r="DQ910" s="43"/>
      <c r="DR910" s="43"/>
      <c r="DS910" s="43"/>
      <c r="DT910" s="43"/>
      <c r="DU910" s="43"/>
      <c r="DV910" s="43"/>
      <c r="DW910" s="43"/>
      <c r="DX910" s="43"/>
      <c r="DY910" s="43"/>
      <c r="DZ910" s="43"/>
      <c r="EA910" s="43"/>
      <c r="EB910" s="43"/>
      <c r="EC910" s="43"/>
      <c r="ED910" s="43"/>
      <c r="EE910" s="43"/>
      <c r="EF910" s="43"/>
      <c r="EG910" s="43"/>
      <c r="EH910" s="43"/>
      <c r="EI910" s="43"/>
      <c r="EJ910" s="43"/>
      <c r="EK910" s="43"/>
      <c r="EL910" s="43"/>
      <c r="EM910" s="43"/>
      <c r="EN910" s="43"/>
      <c r="EO910" s="43"/>
      <c r="EP910" s="43"/>
      <c r="EQ910" s="43"/>
      <c r="ER910" s="43"/>
      <c r="ES910" s="43"/>
      <c r="ET910" s="43"/>
      <c r="EU910" s="43"/>
      <c r="EV910" s="43"/>
      <c r="EW910" s="43"/>
      <c r="EX910" s="43"/>
      <c r="EY910" s="43"/>
      <c r="EZ910" s="43"/>
      <c r="FA910" s="43"/>
      <c r="FB910" s="43"/>
      <c r="FC910" s="43"/>
      <c r="FD910" s="43"/>
      <c r="FE910" s="43"/>
      <c r="FF910" s="43"/>
      <c r="FG910" s="43"/>
      <c r="FH910" s="50"/>
      <c r="FI910" s="50"/>
    </row>
    <row r="911" ht="14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  <c r="AX911" s="43"/>
      <c r="AY911" s="43"/>
      <c r="AZ911" s="43"/>
      <c r="BA911" s="43"/>
      <c r="BB911" s="43"/>
      <c r="BC911" s="43"/>
      <c r="BD911" s="43"/>
      <c r="BE911" s="43"/>
      <c r="BF911" s="43"/>
      <c r="BG911" s="43"/>
      <c r="BH911" s="43"/>
      <c r="BI911" s="43"/>
      <c r="BJ911" s="43"/>
      <c r="BK911" s="43"/>
      <c r="BL911" s="43"/>
      <c r="BM911" s="43"/>
      <c r="BN911" s="43"/>
      <c r="BO911" s="43"/>
      <c r="BP911" s="43"/>
      <c r="BQ911" s="43"/>
      <c r="BR911" s="43"/>
      <c r="BS911" s="43"/>
      <c r="BT911" s="43"/>
      <c r="BU911" s="43"/>
      <c r="BV911" s="43"/>
      <c r="BW911" s="43"/>
      <c r="BX911" s="43"/>
      <c r="BY911" s="43"/>
      <c r="BZ911" s="43"/>
      <c r="CA911" s="43"/>
      <c r="CB911" s="43"/>
      <c r="CC911" s="43"/>
      <c r="CD911" s="43"/>
      <c r="CE911" s="43"/>
      <c r="CF911" s="43"/>
      <c r="CG911" s="43"/>
      <c r="CH911" s="43"/>
      <c r="CI911" s="43"/>
      <c r="CJ911" s="43"/>
      <c r="CK911" s="43"/>
      <c r="CL911" s="43"/>
      <c r="CM911" s="43"/>
      <c r="CN911" s="43"/>
      <c r="CO911" s="43"/>
      <c r="CP911" s="43"/>
      <c r="CQ911" s="43"/>
      <c r="CR911" s="43"/>
      <c r="CS911" s="43"/>
      <c r="CT911" s="43"/>
      <c r="CU911" s="43"/>
      <c r="CV911" s="43"/>
      <c r="CW911" s="43"/>
      <c r="CX911" s="43"/>
      <c r="CY911" s="43"/>
      <c r="CZ911" s="43"/>
      <c r="DA911" s="43"/>
      <c r="DB911" s="43"/>
      <c r="DC911" s="43"/>
      <c r="DD911" s="43"/>
      <c r="DE911" s="43"/>
      <c r="DF911" s="43"/>
      <c r="DG911" s="43"/>
      <c r="DH911" s="43"/>
      <c r="DI911" s="43"/>
      <c r="DJ911" s="43"/>
      <c r="DK911" s="43"/>
      <c r="DL911" s="43"/>
      <c r="DM911" s="43"/>
      <c r="DN911" s="43"/>
      <c r="DO911" s="43"/>
      <c r="DP911" s="43"/>
      <c r="DQ911" s="43"/>
      <c r="DR911" s="43"/>
      <c r="DS911" s="43"/>
      <c r="DT911" s="43"/>
      <c r="DU911" s="43"/>
      <c r="DV911" s="43"/>
      <c r="DW911" s="43"/>
      <c r="DX911" s="43"/>
      <c r="DY911" s="43"/>
      <c r="DZ911" s="43"/>
      <c r="EA911" s="43"/>
      <c r="EB911" s="43"/>
      <c r="EC911" s="43"/>
      <c r="ED911" s="43"/>
      <c r="EE911" s="43"/>
      <c r="EF911" s="43"/>
      <c r="EG911" s="43"/>
      <c r="EH911" s="43"/>
      <c r="EI911" s="43"/>
      <c r="EJ911" s="43"/>
      <c r="EK911" s="43"/>
      <c r="EL911" s="43"/>
      <c r="EM911" s="43"/>
      <c r="EN911" s="43"/>
      <c r="EO911" s="43"/>
      <c r="EP911" s="43"/>
      <c r="EQ911" s="43"/>
      <c r="ER911" s="43"/>
      <c r="ES911" s="43"/>
      <c r="ET911" s="43"/>
      <c r="EU911" s="43"/>
      <c r="EV911" s="43"/>
      <c r="EW911" s="43"/>
      <c r="EX911" s="43"/>
      <c r="EY911" s="43"/>
      <c r="EZ911" s="43"/>
      <c r="FA911" s="43"/>
      <c r="FB911" s="43"/>
      <c r="FC911" s="43"/>
      <c r="FD911" s="43"/>
      <c r="FE911" s="43"/>
      <c r="FF911" s="43"/>
      <c r="FG911" s="43"/>
      <c r="FH911" s="50"/>
      <c r="FI911" s="50"/>
    </row>
    <row r="912" ht="14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  <c r="AX912" s="43"/>
      <c r="AY912" s="43"/>
      <c r="AZ912" s="43"/>
      <c r="BA912" s="43"/>
      <c r="BB912" s="43"/>
      <c r="BC912" s="43"/>
      <c r="BD912" s="43"/>
      <c r="BE912" s="43"/>
      <c r="BF912" s="43"/>
      <c r="BG912" s="43"/>
      <c r="BH912" s="43"/>
      <c r="BI912" s="43"/>
      <c r="BJ912" s="43"/>
      <c r="BK912" s="43"/>
      <c r="BL912" s="43"/>
      <c r="BM912" s="43"/>
      <c r="BN912" s="43"/>
      <c r="BO912" s="43"/>
      <c r="BP912" s="43"/>
      <c r="BQ912" s="43"/>
      <c r="BR912" s="43"/>
      <c r="BS912" s="43"/>
      <c r="BT912" s="43"/>
      <c r="BU912" s="43"/>
      <c r="BV912" s="43"/>
      <c r="BW912" s="43"/>
      <c r="BX912" s="43"/>
      <c r="BY912" s="43"/>
      <c r="BZ912" s="43"/>
      <c r="CA912" s="43"/>
      <c r="CB912" s="43"/>
      <c r="CC912" s="43"/>
      <c r="CD912" s="43"/>
      <c r="CE912" s="43"/>
      <c r="CF912" s="43"/>
      <c r="CG912" s="43"/>
      <c r="CH912" s="43"/>
      <c r="CI912" s="43"/>
      <c r="CJ912" s="43"/>
      <c r="CK912" s="43"/>
      <c r="CL912" s="43"/>
      <c r="CM912" s="43"/>
      <c r="CN912" s="43"/>
      <c r="CO912" s="43"/>
      <c r="CP912" s="43"/>
      <c r="CQ912" s="43"/>
      <c r="CR912" s="43"/>
      <c r="CS912" s="43"/>
      <c r="CT912" s="43"/>
      <c r="CU912" s="43"/>
      <c r="CV912" s="43"/>
      <c r="CW912" s="43"/>
      <c r="CX912" s="43"/>
      <c r="CY912" s="43"/>
      <c r="CZ912" s="43"/>
      <c r="DA912" s="43"/>
      <c r="DB912" s="43"/>
      <c r="DC912" s="43"/>
      <c r="DD912" s="43"/>
      <c r="DE912" s="43"/>
      <c r="DF912" s="43"/>
      <c r="DG912" s="43"/>
      <c r="DH912" s="43"/>
      <c r="DI912" s="43"/>
      <c r="DJ912" s="43"/>
      <c r="DK912" s="43"/>
      <c r="DL912" s="43"/>
      <c r="DM912" s="43"/>
      <c r="DN912" s="43"/>
      <c r="DO912" s="43"/>
      <c r="DP912" s="43"/>
      <c r="DQ912" s="43"/>
      <c r="DR912" s="43"/>
      <c r="DS912" s="43"/>
      <c r="DT912" s="43"/>
      <c r="DU912" s="43"/>
      <c r="DV912" s="43"/>
      <c r="DW912" s="43"/>
      <c r="DX912" s="43"/>
      <c r="DY912" s="43"/>
      <c r="DZ912" s="43"/>
      <c r="EA912" s="43"/>
      <c r="EB912" s="43"/>
      <c r="EC912" s="43"/>
      <c r="ED912" s="43"/>
      <c r="EE912" s="43"/>
      <c r="EF912" s="43"/>
      <c r="EG912" s="43"/>
      <c r="EH912" s="43"/>
      <c r="EI912" s="43"/>
      <c r="EJ912" s="43"/>
      <c r="EK912" s="43"/>
      <c r="EL912" s="43"/>
      <c r="EM912" s="43"/>
      <c r="EN912" s="43"/>
      <c r="EO912" s="43"/>
      <c r="EP912" s="43"/>
      <c r="EQ912" s="43"/>
      <c r="ER912" s="43"/>
      <c r="ES912" s="43"/>
      <c r="ET912" s="43"/>
      <c r="EU912" s="43"/>
      <c r="EV912" s="43"/>
      <c r="EW912" s="43"/>
      <c r="EX912" s="43"/>
      <c r="EY912" s="43"/>
      <c r="EZ912" s="43"/>
      <c r="FA912" s="43"/>
      <c r="FB912" s="43"/>
      <c r="FC912" s="43"/>
      <c r="FD912" s="43"/>
      <c r="FE912" s="43"/>
      <c r="FF912" s="43"/>
      <c r="FG912" s="43"/>
      <c r="FH912" s="50"/>
      <c r="FI912" s="50"/>
    </row>
    <row r="913" ht="14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  <c r="AX913" s="43"/>
      <c r="AY913" s="43"/>
      <c r="AZ913" s="43"/>
      <c r="BA913" s="43"/>
      <c r="BB913" s="43"/>
      <c r="BC913" s="43"/>
      <c r="BD913" s="43"/>
      <c r="BE913" s="43"/>
      <c r="BF913" s="43"/>
      <c r="BG913" s="43"/>
      <c r="BH913" s="43"/>
      <c r="BI913" s="43"/>
      <c r="BJ913" s="43"/>
      <c r="BK913" s="43"/>
      <c r="BL913" s="43"/>
      <c r="BM913" s="43"/>
      <c r="BN913" s="43"/>
      <c r="BO913" s="43"/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3"/>
      <c r="CA913" s="43"/>
      <c r="CB913" s="43"/>
      <c r="CC913" s="43"/>
      <c r="CD913" s="43"/>
      <c r="CE913" s="43"/>
      <c r="CF913" s="43"/>
      <c r="CG913" s="43"/>
      <c r="CH913" s="43"/>
      <c r="CI913" s="43"/>
      <c r="CJ913" s="43"/>
      <c r="CK913" s="43"/>
      <c r="CL913" s="43"/>
      <c r="CM913" s="43"/>
      <c r="CN913" s="43"/>
      <c r="CO913" s="43"/>
      <c r="CP913" s="43"/>
      <c r="CQ913" s="43"/>
      <c r="CR913" s="43"/>
      <c r="CS913" s="43"/>
      <c r="CT913" s="43"/>
      <c r="CU913" s="43"/>
      <c r="CV913" s="43"/>
      <c r="CW913" s="43"/>
      <c r="CX913" s="43"/>
      <c r="CY913" s="43"/>
      <c r="CZ913" s="43"/>
      <c r="DA913" s="43"/>
      <c r="DB913" s="43"/>
      <c r="DC913" s="43"/>
      <c r="DD913" s="43"/>
      <c r="DE913" s="43"/>
      <c r="DF913" s="43"/>
      <c r="DG913" s="43"/>
      <c r="DH913" s="43"/>
      <c r="DI913" s="43"/>
      <c r="DJ913" s="43"/>
      <c r="DK913" s="43"/>
      <c r="DL913" s="43"/>
      <c r="DM913" s="43"/>
      <c r="DN913" s="43"/>
      <c r="DO913" s="43"/>
      <c r="DP913" s="43"/>
      <c r="DQ913" s="43"/>
      <c r="DR913" s="43"/>
      <c r="DS913" s="43"/>
      <c r="DT913" s="43"/>
      <c r="DU913" s="43"/>
      <c r="DV913" s="43"/>
      <c r="DW913" s="43"/>
      <c r="DX913" s="43"/>
      <c r="DY913" s="43"/>
      <c r="DZ913" s="43"/>
      <c r="EA913" s="43"/>
      <c r="EB913" s="43"/>
      <c r="EC913" s="43"/>
      <c r="ED913" s="43"/>
      <c r="EE913" s="43"/>
      <c r="EF913" s="43"/>
      <c r="EG913" s="43"/>
      <c r="EH913" s="43"/>
      <c r="EI913" s="43"/>
      <c r="EJ913" s="43"/>
      <c r="EK913" s="43"/>
      <c r="EL913" s="43"/>
      <c r="EM913" s="43"/>
      <c r="EN913" s="43"/>
      <c r="EO913" s="43"/>
      <c r="EP913" s="43"/>
      <c r="EQ913" s="43"/>
      <c r="ER913" s="43"/>
      <c r="ES913" s="43"/>
      <c r="ET913" s="43"/>
      <c r="EU913" s="43"/>
      <c r="EV913" s="43"/>
      <c r="EW913" s="43"/>
      <c r="EX913" s="43"/>
      <c r="EY913" s="43"/>
      <c r="EZ913" s="43"/>
      <c r="FA913" s="43"/>
      <c r="FB913" s="43"/>
      <c r="FC913" s="43"/>
      <c r="FD913" s="43"/>
      <c r="FE913" s="43"/>
      <c r="FF913" s="43"/>
      <c r="FG913" s="43"/>
      <c r="FH913" s="50"/>
      <c r="FI913" s="50"/>
    </row>
    <row r="914" ht="14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  <c r="AX914" s="43"/>
      <c r="AY914" s="43"/>
      <c r="AZ914" s="43"/>
      <c r="BA914" s="43"/>
      <c r="BB914" s="43"/>
      <c r="BC914" s="43"/>
      <c r="BD914" s="43"/>
      <c r="BE914" s="43"/>
      <c r="BF914" s="43"/>
      <c r="BG914" s="43"/>
      <c r="BH914" s="43"/>
      <c r="BI914" s="43"/>
      <c r="BJ914" s="43"/>
      <c r="BK914" s="43"/>
      <c r="BL914" s="43"/>
      <c r="BM914" s="43"/>
      <c r="BN914" s="43"/>
      <c r="BO914" s="43"/>
      <c r="BP914" s="43"/>
      <c r="BQ914" s="43"/>
      <c r="BR914" s="43"/>
      <c r="BS914" s="43"/>
      <c r="BT914" s="43"/>
      <c r="BU914" s="43"/>
      <c r="BV914" s="43"/>
      <c r="BW914" s="43"/>
      <c r="BX914" s="43"/>
      <c r="BY914" s="43"/>
      <c r="BZ914" s="43"/>
      <c r="CA914" s="43"/>
      <c r="CB914" s="43"/>
      <c r="CC914" s="43"/>
      <c r="CD914" s="43"/>
      <c r="CE914" s="43"/>
      <c r="CF914" s="43"/>
      <c r="CG914" s="43"/>
      <c r="CH914" s="43"/>
      <c r="CI914" s="43"/>
      <c r="CJ914" s="43"/>
      <c r="CK914" s="43"/>
      <c r="CL914" s="43"/>
      <c r="CM914" s="43"/>
      <c r="CN914" s="43"/>
      <c r="CO914" s="43"/>
      <c r="CP914" s="43"/>
      <c r="CQ914" s="43"/>
      <c r="CR914" s="43"/>
      <c r="CS914" s="43"/>
      <c r="CT914" s="43"/>
      <c r="CU914" s="43"/>
      <c r="CV914" s="43"/>
      <c r="CW914" s="43"/>
      <c r="CX914" s="43"/>
      <c r="CY914" s="43"/>
      <c r="CZ914" s="43"/>
      <c r="DA914" s="43"/>
      <c r="DB914" s="43"/>
      <c r="DC914" s="43"/>
      <c r="DD914" s="43"/>
      <c r="DE914" s="43"/>
      <c r="DF914" s="43"/>
      <c r="DG914" s="43"/>
      <c r="DH914" s="43"/>
      <c r="DI914" s="43"/>
      <c r="DJ914" s="43"/>
      <c r="DK914" s="43"/>
      <c r="DL914" s="43"/>
      <c r="DM914" s="43"/>
      <c r="DN914" s="43"/>
      <c r="DO914" s="43"/>
      <c r="DP914" s="43"/>
      <c r="DQ914" s="43"/>
      <c r="DR914" s="43"/>
      <c r="DS914" s="43"/>
      <c r="DT914" s="43"/>
      <c r="DU914" s="43"/>
      <c r="DV914" s="43"/>
      <c r="DW914" s="43"/>
      <c r="DX914" s="43"/>
      <c r="DY914" s="43"/>
      <c r="DZ914" s="43"/>
      <c r="EA914" s="43"/>
      <c r="EB914" s="43"/>
      <c r="EC914" s="43"/>
      <c r="ED914" s="43"/>
      <c r="EE914" s="43"/>
      <c r="EF914" s="43"/>
      <c r="EG914" s="43"/>
      <c r="EH914" s="43"/>
      <c r="EI914" s="43"/>
      <c r="EJ914" s="43"/>
      <c r="EK914" s="43"/>
      <c r="EL914" s="43"/>
      <c r="EM914" s="43"/>
      <c r="EN914" s="43"/>
      <c r="EO914" s="43"/>
      <c r="EP914" s="43"/>
      <c r="EQ914" s="43"/>
      <c r="ER914" s="43"/>
      <c r="ES914" s="43"/>
      <c r="ET914" s="43"/>
      <c r="EU914" s="43"/>
      <c r="EV914" s="43"/>
      <c r="EW914" s="43"/>
      <c r="EX914" s="43"/>
      <c r="EY914" s="43"/>
      <c r="EZ914" s="43"/>
      <c r="FA914" s="43"/>
      <c r="FB914" s="43"/>
      <c r="FC914" s="43"/>
      <c r="FD914" s="43"/>
      <c r="FE914" s="43"/>
      <c r="FF914" s="43"/>
      <c r="FG914" s="43"/>
      <c r="FH914" s="50"/>
      <c r="FI914" s="50"/>
    </row>
    <row r="915" ht="14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  <c r="AX915" s="43"/>
      <c r="AY915" s="43"/>
      <c r="AZ915" s="43"/>
      <c r="BA915" s="43"/>
      <c r="BB915" s="43"/>
      <c r="BC915" s="43"/>
      <c r="BD915" s="43"/>
      <c r="BE915" s="43"/>
      <c r="BF915" s="43"/>
      <c r="BG915" s="43"/>
      <c r="BH915" s="43"/>
      <c r="BI915" s="43"/>
      <c r="BJ915" s="43"/>
      <c r="BK915" s="43"/>
      <c r="BL915" s="43"/>
      <c r="BM915" s="43"/>
      <c r="BN915" s="43"/>
      <c r="BO915" s="43"/>
      <c r="BP915" s="43"/>
      <c r="BQ915" s="43"/>
      <c r="BR915" s="43"/>
      <c r="BS915" s="43"/>
      <c r="BT915" s="43"/>
      <c r="BU915" s="43"/>
      <c r="BV915" s="43"/>
      <c r="BW915" s="43"/>
      <c r="BX915" s="43"/>
      <c r="BY915" s="43"/>
      <c r="BZ915" s="43"/>
      <c r="CA915" s="43"/>
      <c r="CB915" s="43"/>
      <c r="CC915" s="43"/>
      <c r="CD915" s="43"/>
      <c r="CE915" s="43"/>
      <c r="CF915" s="43"/>
      <c r="CG915" s="43"/>
      <c r="CH915" s="43"/>
      <c r="CI915" s="43"/>
      <c r="CJ915" s="43"/>
      <c r="CK915" s="43"/>
      <c r="CL915" s="43"/>
      <c r="CM915" s="43"/>
      <c r="CN915" s="43"/>
      <c r="CO915" s="43"/>
      <c r="CP915" s="43"/>
      <c r="CQ915" s="43"/>
      <c r="CR915" s="43"/>
      <c r="CS915" s="43"/>
      <c r="CT915" s="43"/>
      <c r="CU915" s="43"/>
      <c r="CV915" s="43"/>
      <c r="CW915" s="43"/>
      <c r="CX915" s="43"/>
      <c r="CY915" s="43"/>
      <c r="CZ915" s="43"/>
      <c r="DA915" s="43"/>
      <c r="DB915" s="43"/>
      <c r="DC915" s="43"/>
      <c r="DD915" s="43"/>
      <c r="DE915" s="43"/>
      <c r="DF915" s="43"/>
      <c r="DG915" s="43"/>
      <c r="DH915" s="43"/>
      <c r="DI915" s="43"/>
      <c r="DJ915" s="43"/>
      <c r="DK915" s="43"/>
      <c r="DL915" s="43"/>
      <c r="DM915" s="43"/>
      <c r="DN915" s="43"/>
      <c r="DO915" s="43"/>
      <c r="DP915" s="43"/>
      <c r="DQ915" s="43"/>
      <c r="DR915" s="43"/>
      <c r="DS915" s="43"/>
      <c r="DT915" s="43"/>
      <c r="DU915" s="43"/>
      <c r="DV915" s="43"/>
      <c r="DW915" s="43"/>
      <c r="DX915" s="43"/>
      <c r="DY915" s="43"/>
      <c r="DZ915" s="43"/>
      <c r="EA915" s="43"/>
      <c r="EB915" s="43"/>
      <c r="EC915" s="43"/>
      <c r="ED915" s="43"/>
      <c r="EE915" s="43"/>
      <c r="EF915" s="43"/>
      <c r="EG915" s="43"/>
      <c r="EH915" s="43"/>
      <c r="EI915" s="43"/>
      <c r="EJ915" s="43"/>
      <c r="EK915" s="43"/>
      <c r="EL915" s="43"/>
      <c r="EM915" s="43"/>
      <c r="EN915" s="43"/>
      <c r="EO915" s="43"/>
      <c r="EP915" s="43"/>
      <c r="EQ915" s="43"/>
      <c r="ER915" s="43"/>
      <c r="ES915" s="43"/>
      <c r="ET915" s="43"/>
      <c r="EU915" s="43"/>
      <c r="EV915" s="43"/>
      <c r="EW915" s="43"/>
      <c r="EX915" s="43"/>
      <c r="EY915" s="43"/>
      <c r="EZ915" s="43"/>
      <c r="FA915" s="43"/>
      <c r="FB915" s="43"/>
      <c r="FC915" s="43"/>
      <c r="FD915" s="43"/>
      <c r="FE915" s="43"/>
      <c r="FF915" s="43"/>
      <c r="FG915" s="43"/>
      <c r="FH915" s="50"/>
      <c r="FI915" s="50"/>
    </row>
    <row r="916" ht="14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  <c r="AX916" s="43"/>
      <c r="AY916" s="43"/>
      <c r="AZ916" s="43"/>
      <c r="BA916" s="43"/>
      <c r="BB916" s="43"/>
      <c r="BC916" s="43"/>
      <c r="BD916" s="43"/>
      <c r="BE916" s="43"/>
      <c r="BF916" s="43"/>
      <c r="BG916" s="43"/>
      <c r="BH916" s="43"/>
      <c r="BI916" s="43"/>
      <c r="BJ916" s="43"/>
      <c r="BK916" s="43"/>
      <c r="BL916" s="43"/>
      <c r="BM916" s="43"/>
      <c r="BN916" s="43"/>
      <c r="BO916" s="43"/>
      <c r="BP916" s="43"/>
      <c r="BQ916" s="43"/>
      <c r="BR916" s="43"/>
      <c r="BS916" s="43"/>
      <c r="BT916" s="43"/>
      <c r="BU916" s="43"/>
      <c r="BV916" s="43"/>
      <c r="BW916" s="43"/>
      <c r="BX916" s="43"/>
      <c r="BY916" s="43"/>
      <c r="BZ916" s="43"/>
      <c r="CA916" s="43"/>
      <c r="CB916" s="43"/>
      <c r="CC916" s="43"/>
      <c r="CD916" s="43"/>
      <c r="CE916" s="43"/>
      <c r="CF916" s="43"/>
      <c r="CG916" s="43"/>
      <c r="CH916" s="43"/>
      <c r="CI916" s="43"/>
      <c r="CJ916" s="43"/>
      <c r="CK916" s="43"/>
      <c r="CL916" s="43"/>
      <c r="CM916" s="43"/>
      <c r="CN916" s="43"/>
      <c r="CO916" s="43"/>
      <c r="CP916" s="43"/>
      <c r="CQ916" s="43"/>
      <c r="CR916" s="43"/>
      <c r="CS916" s="43"/>
      <c r="CT916" s="43"/>
      <c r="CU916" s="43"/>
      <c r="CV916" s="43"/>
      <c r="CW916" s="43"/>
      <c r="CX916" s="43"/>
      <c r="CY916" s="43"/>
      <c r="CZ916" s="43"/>
      <c r="DA916" s="43"/>
      <c r="DB916" s="43"/>
      <c r="DC916" s="43"/>
      <c r="DD916" s="43"/>
      <c r="DE916" s="43"/>
      <c r="DF916" s="43"/>
      <c r="DG916" s="43"/>
      <c r="DH916" s="43"/>
      <c r="DI916" s="43"/>
      <c r="DJ916" s="43"/>
      <c r="DK916" s="43"/>
      <c r="DL916" s="43"/>
      <c r="DM916" s="43"/>
      <c r="DN916" s="43"/>
      <c r="DO916" s="43"/>
      <c r="DP916" s="43"/>
      <c r="DQ916" s="43"/>
      <c r="DR916" s="43"/>
      <c r="DS916" s="43"/>
      <c r="DT916" s="43"/>
      <c r="DU916" s="43"/>
      <c r="DV916" s="43"/>
      <c r="DW916" s="43"/>
      <c r="DX916" s="43"/>
      <c r="DY916" s="43"/>
      <c r="DZ916" s="43"/>
      <c r="EA916" s="43"/>
      <c r="EB916" s="43"/>
      <c r="EC916" s="43"/>
      <c r="ED916" s="43"/>
      <c r="EE916" s="43"/>
      <c r="EF916" s="43"/>
      <c r="EG916" s="43"/>
      <c r="EH916" s="43"/>
      <c r="EI916" s="43"/>
      <c r="EJ916" s="43"/>
      <c r="EK916" s="43"/>
      <c r="EL916" s="43"/>
      <c r="EM916" s="43"/>
      <c r="EN916" s="43"/>
      <c r="EO916" s="43"/>
      <c r="EP916" s="43"/>
      <c r="EQ916" s="43"/>
      <c r="ER916" s="43"/>
      <c r="ES916" s="43"/>
      <c r="ET916" s="43"/>
      <c r="EU916" s="43"/>
      <c r="EV916" s="43"/>
      <c r="EW916" s="43"/>
      <c r="EX916" s="43"/>
      <c r="EY916" s="43"/>
      <c r="EZ916" s="43"/>
      <c r="FA916" s="43"/>
      <c r="FB916" s="43"/>
      <c r="FC916" s="43"/>
      <c r="FD916" s="43"/>
      <c r="FE916" s="43"/>
      <c r="FF916" s="43"/>
      <c r="FG916" s="43"/>
      <c r="FH916" s="50"/>
      <c r="FI916" s="50"/>
    </row>
    <row r="917" ht="14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  <c r="AX917" s="43"/>
      <c r="AY917" s="43"/>
      <c r="AZ917" s="43"/>
      <c r="BA917" s="43"/>
      <c r="BB917" s="43"/>
      <c r="BC917" s="43"/>
      <c r="BD917" s="43"/>
      <c r="BE917" s="43"/>
      <c r="BF917" s="43"/>
      <c r="BG917" s="43"/>
      <c r="BH917" s="43"/>
      <c r="BI917" s="43"/>
      <c r="BJ917" s="43"/>
      <c r="BK917" s="43"/>
      <c r="BL917" s="43"/>
      <c r="BM917" s="43"/>
      <c r="BN917" s="43"/>
      <c r="BO917" s="43"/>
      <c r="BP917" s="43"/>
      <c r="BQ917" s="43"/>
      <c r="BR917" s="43"/>
      <c r="BS917" s="43"/>
      <c r="BT917" s="43"/>
      <c r="BU917" s="43"/>
      <c r="BV917" s="43"/>
      <c r="BW917" s="43"/>
      <c r="BX917" s="43"/>
      <c r="BY917" s="43"/>
      <c r="BZ917" s="43"/>
      <c r="CA917" s="43"/>
      <c r="CB917" s="43"/>
      <c r="CC917" s="43"/>
      <c r="CD917" s="43"/>
      <c r="CE917" s="43"/>
      <c r="CF917" s="43"/>
      <c r="CG917" s="43"/>
      <c r="CH917" s="43"/>
      <c r="CI917" s="43"/>
      <c r="CJ917" s="43"/>
      <c r="CK917" s="43"/>
      <c r="CL917" s="43"/>
      <c r="CM917" s="43"/>
      <c r="CN917" s="43"/>
      <c r="CO917" s="43"/>
      <c r="CP917" s="43"/>
      <c r="CQ917" s="43"/>
      <c r="CR917" s="43"/>
      <c r="CS917" s="43"/>
      <c r="CT917" s="43"/>
      <c r="CU917" s="43"/>
      <c r="CV917" s="43"/>
      <c r="CW917" s="43"/>
      <c r="CX917" s="43"/>
      <c r="CY917" s="43"/>
      <c r="CZ917" s="43"/>
      <c r="DA917" s="43"/>
      <c r="DB917" s="43"/>
      <c r="DC917" s="43"/>
      <c r="DD917" s="43"/>
      <c r="DE917" s="43"/>
      <c r="DF917" s="43"/>
      <c r="DG917" s="43"/>
      <c r="DH917" s="43"/>
      <c r="DI917" s="43"/>
      <c r="DJ917" s="43"/>
      <c r="DK917" s="43"/>
      <c r="DL917" s="43"/>
      <c r="DM917" s="43"/>
      <c r="DN917" s="43"/>
      <c r="DO917" s="43"/>
      <c r="DP917" s="43"/>
      <c r="DQ917" s="43"/>
      <c r="DR917" s="43"/>
      <c r="DS917" s="43"/>
      <c r="DT917" s="43"/>
      <c r="DU917" s="43"/>
      <c r="DV917" s="43"/>
      <c r="DW917" s="43"/>
      <c r="DX917" s="43"/>
      <c r="DY917" s="43"/>
      <c r="DZ917" s="43"/>
      <c r="EA917" s="43"/>
      <c r="EB917" s="43"/>
      <c r="EC917" s="43"/>
      <c r="ED917" s="43"/>
      <c r="EE917" s="43"/>
      <c r="EF917" s="43"/>
      <c r="EG917" s="43"/>
      <c r="EH917" s="43"/>
      <c r="EI917" s="43"/>
      <c r="EJ917" s="43"/>
      <c r="EK917" s="43"/>
      <c r="EL917" s="43"/>
      <c r="EM917" s="43"/>
      <c r="EN917" s="43"/>
      <c r="EO917" s="43"/>
      <c r="EP917" s="43"/>
      <c r="EQ917" s="43"/>
      <c r="ER917" s="43"/>
      <c r="ES917" s="43"/>
      <c r="ET917" s="43"/>
      <c r="EU917" s="43"/>
      <c r="EV917" s="43"/>
      <c r="EW917" s="43"/>
      <c r="EX917" s="43"/>
      <c r="EY917" s="43"/>
      <c r="EZ917" s="43"/>
      <c r="FA917" s="43"/>
      <c r="FB917" s="43"/>
      <c r="FC917" s="43"/>
      <c r="FD917" s="43"/>
      <c r="FE917" s="43"/>
      <c r="FF917" s="43"/>
      <c r="FG917" s="43"/>
      <c r="FH917" s="50"/>
      <c r="FI917" s="50"/>
    </row>
    <row r="918" ht="14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  <c r="AX918" s="43"/>
      <c r="AY918" s="43"/>
      <c r="AZ918" s="43"/>
      <c r="BA918" s="43"/>
      <c r="BB918" s="43"/>
      <c r="BC918" s="43"/>
      <c r="BD918" s="43"/>
      <c r="BE918" s="43"/>
      <c r="BF918" s="43"/>
      <c r="BG918" s="43"/>
      <c r="BH918" s="43"/>
      <c r="BI918" s="43"/>
      <c r="BJ918" s="43"/>
      <c r="BK918" s="43"/>
      <c r="BL918" s="43"/>
      <c r="BM918" s="43"/>
      <c r="BN918" s="43"/>
      <c r="BO918" s="43"/>
      <c r="BP918" s="43"/>
      <c r="BQ918" s="43"/>
      <c r="BR918" s="43"/>
      <c r="BS918" s="43"/>
      <c r="BT918" s="43"/>
      <c r="BU918" s="43"/>
      <c r="BV918" s="43"/>
      <c r="BW918" s="43"/>
      <c r="BX918" s="43"/>
      <c r="BY918" s="43"/>
      <c r="BZ918" s="43"/>
      <c r="CA918" s="43"/>
      <c r="CB918" s="43"/>
      <c r="CC918" s="43"/>
      <c r="CD918" s="43"/>
      <c r="CE918" s="43"/>
      <c r="CF918" s="43"/>
      <c r="CG918" s="43"/>
      <c r="CH918" s="43"/>
      <c r="CI918" s="43"/>
      <c r="CJ918" s="43"/>
      <c r="CK918" s="43"/>
      <c r="CL918" s="43"/>
      <c r="CM918" s="43"/>
      <c r="CN918" s="43"/>
      <c r="CO918" s="43"/>
      <c r="CP918" s="43"/>
      <c r="CQ918" s="43"/>
      <c r="CR918" s="43"/>
      <c r="CS918" s="43"/>
      <c r="CT918" s="43"/>
      <c r="CU918" s="43"/>
      <c r="CV918" s="43"/>
      <c r="CW918" s="43"/>
      <c r="CX918" s="43"/>
      <c r="CY918" s="43"/>
      <c r="CZ918" s="43"/>
      <c r="DA918" s="43"/>
      <c r="DB918" s="43"/>
      <c r="DC918" s="43"/>
      <c r="DD918" s="43"/>
      <c r="DE918" s="43"/>
      <c r="DF918" s="43"/>
      <c r="DG918" s="43"/>
      <c r="DH918" s="43"/>
      <c r="DI918" s="43"/>
      <c r="DJ918" s="43"/>
      <c r="DK918" s="43"/>
      <c r="DL918" s="43"/>
      <c r="DM918" s="43"/>
      <c r="DN918" s="43"/>
      <c r="DO918" s="43"/>
      <c r="DP918" s="43"/>
      <c r="DQ918" s="43"/>
      <c r="DR918" s="43"/>
      <c r="DS918" s="43"/>
      <c r="DT918" s="43"/>
      <c r="DU918" s="43"/>
      <c r="DV918" s="43"/>
      <c r="DW918" s="43"/>
      <c r="DX918" s="43"/>
      <c r="DY918" s="43"/>
      <c r="DZ918" s="43"/>
      <c r="EA918" s="43"/>
      <c r="EB918" s="43"/>
      <c r="EC918" s="43"/>
      <c r="ED918" s="43"/>
      <c r="EE918" s="43"/>
      <c r="EF918" s="43"/>
      <c r="EG918" s="43"/>
      <c r="EH918" s="43"/>
      <c r="EI918" s="43"/>
      <c r="EJ918" s="43"/>
      <c r="EK918" s="43"/>
      <c r="EL918" s="43"/>
      <c r="EM918" s="43"/>
      <c r="EN918" s="43"/>
      <c r="EO918" s="43"/>
      <c r="EP918" s="43"/>
      <c r="EQ918" s="43"/>
      <c r="ER918" s="43"/>
      <c r="ES918" s="43"/>
      <c r="ET918" s="43"/>
      <c r="EU918" s="43"/>
      <c r="EV918" s="43"/>
      <c r="EW918" s="43"/>
      <c r="EX918" s="43"/>
      <c r="EY918" s="43"/>
      <c r="EZ918" s="43"/>
      <c r="FA918" s="43"/>
      <c r="FB918" s="43"/>
      <c r="FC918" s="43"/>
      <c r="FD918" s="43"/>
      <c r="FE918" s="43"/>
      <c r="FF918" s="43"/>
      <c r="FG918" s="43"/>
      <c r="FH918" s="50"/>
      <c r="FI918" s="50"/>
    </row>
    <row r="919" ht="14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  <c r="AX919" s="43"/>
      <c r="AY919" s="43"/>
      <c r="AZ919" s="43"/>
      <c r="BA919" s="43"/>
      <c r="BB919" s="43"/>
      <c r="BC919" s="43"/>
      <c r="BD919" s="43"/>
      <c r="BE919" s="43"/>
      <c r="BF919" s="43"/>
      <c r="BG919" s="43"/>
      <c r="BH919" s="43"/>
      <c r="BI919" s="43"/>
      <c r="BJ919" s="43"/>
      <c r="BK919" s="43"/>
      <c r="BL919" s="43"/>
      <c r="BM919" s="43"/>
      <c r="BN919" s="43"/>
      <c r="BO919" s="43"/>
      <c r="BP919" s="43"/>
      <c r="BQ919" s="43"/>
      <c r="BR919" s="43"/>
      <c r="BS919" s="43"/>
      <c r="BT919" s="43"/>
      <c r="BU919" s="43"/>
      <c r="BV919" s="43"/>
      <c r="BW919" s="43"/>
      <c r="BX919" s="43"/>
      <c r="BY919" s="43"/>
      <c r="BZ919" s="43"/>
      <c r="CA919" s="43"/>
      <c r="CB919" s="43"/>
      <c r="CC919" s="43"/>
      <c r="CD919" s="43"/>
      <c r="CE919" s="43"/>
      <c r="CF919" s="43"/>
      <c r="CG919" s="43"/>
      <c r="CH919" s="43"/>
      <c r="CI919" s="43"/>
      <c r="CJ919" s="43"/>
      <c r="CK919" s="43"/>
      <c r="CL919" s="43"/>
      <c r="CM919" s="43"/>
      <c r="CN919" s="43"/>
      <c r="CO919" s="43"/>
      <c r="CP919" s="43"/>
      <c r="CQ919" s="43"/>
      <c r="CR919" s="43"/>
      <c r="CS919" s="43"/>
      <c r="CT919" s="43"/>
      <c r="CU919" s="43"/>
      <c r="CV919" s="43"/>
      <c r="CW919" s="43"/>
      <c r="CX919" s="43"/>
      <c r="CY919" s="43"/>
      <c r="CZ919" s="43"/>
      <c r="DA919" s="43"/>
      <c r="DB919" s="43"/>
      <c r="DC919" s="43"/>
      <c r="DD919" s="43"/>
      <c r="DE919" s="43"/>
      <c r="DF919" s="43"/>
      <c r="DG919" s="43"/>
      <c r="DH919" s="43"/>
      <c r="DI919" s="43"/>
      <c r="DJ919" s="43"/>
      <c r="DK919" s="43"/>
      <c r="DL919" s="43"/>
      <c r="DM919" s="43"/>
      <c r="DN919" s="43"/>
      <c r="DO919" s="43"/>
      <c r="DP919" s="43"/>
      <c r="DQ919" s="43"/>
      <c r="DR919" s="43"/>
      <c r="DS919" s="43"/>
      <c r="DT919" s="43"/>
      <c r="DU919" s="43"/>
      <c r="DV919" s="43"/>
      <c r="DW919" s="43"/>
      <c r="DX919" s="43"/>
      <c r="DY919" s="43"/>
      <c r="DZ919" s="43"/>
      <c r="EA919" s="43"/>
      <c r="EB919" s="43"/>
      <c r="EC919" s="43"/>
      <c r="ED919" s="43"/>
      <c r="EE919" s="43"/>
      <c r="EF919" s="43"/>
      <c r="EG919" s="43"/>
      <c r="EH919" s="43"/>
      <c r="EI919" s="43"/>
      <c r="EJ919" s="43"/>
      <c r="EK919" s="43"/>
      <c r="EL919" s="43"/>
      <c r="EM919" s="43"/>
      <c r="EN919" s="43"/>
      <c r="EO919" s="43"/>
      <c r="EP919" s="43"/>
      <c r="EQ919" s="43"/>
      <c r="ER919" s="43"/>
      <c r="ES919" s="43"/>
      <c r="ET919" s="43"/>
      <c r="EU919" s="43"/>
      <c r="EV919" s="43"/>
      <c r="EW919" s="43"/>
      <c r="EX919" s="43"/>
      <c r="EY919" s="43"/>
      <c r="EZ919" s="43"/>
      <c r="FA919" s="43"/>
      <c r="FB919" s="43"/>
      <c r="FC919" s="43"/>
      <c r="FD919" s="43"/>
      <c r="FE919" s="43"/>
      <c r="FF919" s="43"/>
      <c r="FG919" s="43"/>
      <c r="FH919" s="50"/>
      <c r="FI919" s="50"/>
    </row>
    <row r="920" ht="14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  <c r="AX920" s="43"/>
      <c r="AY920" s="43"/>
      <c r="AZ920" s="43"/>
      <c r="BA920" s="43"/>
      <c r="BB920" s="43"/>
      <c r="BC920" s="43"/>
      <c r="BD920" s="43"/>
      <c r="BE920" s="43"/>
      <c r="BF920" s="43"/>
      <c r="BG920" s="43"/>
      <c r="BH920" s="43"/>
      <c r="BI920" s="43"/>
      <c r="BJ920" s="43"/>
      <c r="BK920" s="43"/>
      <c r="BL920" s="43"/>
      <c r="BM920" s="43"/>
      <c r="BN920" s="43"/>
      <c r="BO920" s="43"/>
      <c r="BP920" s="43"/>
      <c r="BQ920" s="43"/>
      <c r="BR920" s="43"/>
      <c r="BS920" s="43"/>
      <c r="BT920" s="43"/>
      <c r="BU920" s="43"/>
      <c r="BV920" s="43"/>
      <c r="BW920" s="43"/>
      <c r="BX920" s="43"/>
      <c r="BY920" s="43"/>
      <c r="BZ920" s="43"/>
      <c r="CA920" s="43"/>
      <c r="CB920" s="43"/>
      <c r="CC920" s="43"/>
      <c r="CD920" s="43"/>
      <c r="CE920" s="43"/>
      <c r="CF920" s="43"/>
      <c r="CG920" s="43"/>
      <c r="CH920" s="43"/>
      <c r="CI920" s="43"/>
      <c r="CJ920" s="43"/>
      <c r="CK920" s="43"/>
      <c r="CL920" s="43"/>
      <c r="CM920" s="43"/>
      <c r="CN920" s="43"/>
      <c r="CO920" s="43"/>
      <c r="CP920" s="43"/>
      <c r="CQ920" s="43"/>
      <c r="CR920" s="43"/>
      <c r="CS920" s="43"/>
      <c r="CT920" s="43"/>
      <c r="CU920" s="43"/>
      <c r="CV920" s="43"/>
      <c r="CW920" s="43"/>
      <c r="CX920" s="43"/>
      <c r="CY920" s="43"/>
      <c r="CZ920" s="43"/>
      <c r="DA920" s="43"/>
      <c r="DB920" s="43"/>
      <c r="DC920" s="43"/>
      <c r="DD920" s="43"/>
      <c r="DE920" s="43"/>
      <c r="DF920" s="43"/>
      <c r="DG920" s="43"/>
      <c r="DH920" s="43"/>
      <c r="DI920" s="43"/>
      <c r="DJ920" s="43"/>
      <c r="DK920" s="43"/>
      <c r="DL920" s="43"/>
      <c r="DM920" s="43"/>
      <c r="DN920" s="43"/>
      <c r="DO920" s="43"/>
      <c r="DP920" s="43"/>
      <c r="DQ920" s="43"/>
      <c r="DR920" s="43"/>
      <c r="DS920" s="43"/>
      <c r="DT920" s="43"/>
      <c r="DU920" s="43"/>
      <c r="DV920" s="43"/>
      <c r="DW920" s="43"/>
      <c r="DX920" s="43"/>
      <c r="DY920" s="43"/>
      <c r="DZ920" s="43"/>
      <c r="EA920" s="43"/>
      <c r="EB920" s="43"/>
      <c r="EC920" s="43"/>
      <c r="ED920" s="43"/>
      <c r="EE920" s="43"/>
      <c r="EF920" s="43"/>
      <c r="EG920" s="43"/>
      <c r="EH920" s="43"/>
      <c r="EI920" s="43"/>
      <c r="EJ920" s="43"/>
      <c r="EK920" s="43"/>
      <c r="EL920" s="43"/>
      <c r="EM920" s="43"/>
      <c r="EN920" s="43"/>
      <c r="EO920" s="43"/>
      <c r="EP920" s="43"/>
      <c r="EQ920" s="43"/>
      <c r="ER920" s="43"/>
      <c r="ES920" s="43"/>
      <c r="ET920" s="43"/>
      <c r="EU920" s="43"/>
      <c r="EV920" s="43"/>
      <c r="EW920" s="43"/>
      <c r="EX920" s="43"/>
      <c r="EY920" s="43"/>
      <c r="EZ920" s="43"/>
      <c r="FA920" s="43"/>
      <c r="FB920" s="43"/>
      <c r="FC920" s="43"/>
      <c r="FD920" s="43"/>
      <c r="FE920" s="43"/>
      <c r="FF920" s="43"/>
      <c r="FG920" s="43"/>
      <c r="FH920" s="50"/>
      <c r="FI920" s="50"/>
    </row>
    <row r="921" ht="14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  <c r="AX921" s="43"/>
      <c r="AY921" s="43"/>
      <c r="AZ921" s="43"/>
      <c r="BA921" s="43"/>
      <c r="BB921" s="43"/>
      <c r="BC921" s="43"/>
      <c r="BD921" s="43"/>
      <c r="BE921" s="43"/>
      <c r="BF921" s="43"/>
      <c r="BG921" s="43"/>
      <c r="BH921" s="43"/>
      <c r="BI921" s="43"/>
      <c r="BJ921" s="43"/>
      <c r="BK921" s="43"/>
      <c r="BL921" s="43"/>
      <c r="BM921" s="43"/>
      <c r="BN921" s="43"/>
      <c r="BO921" s="43"/>
      <c r="BP921" s="43"/>
      <c r="BQ921" s="43"/>
      <c r="BR921" s="43"/>
      <c r="BS921" s="43"/>
      <c r="BT921" s="43"/>
      <c r="BU921" s="43"/>
      <c r="BV921" s="43"/>
      <c r="BW921" s="43"/>
      <c r="BX921" s="43"/>
      <c r="BY921" s="43"/>
      <c r="BZ921" s="43"/>
      <c r="CA921" s="43"/>
      <c r="CB921" s="43"/>
      <c r="CC921" s="43"/>
      <c r="CD921" s="43"/>
      <c r="CE921" s="43"/>
      <c r="CF921" s="43"/>
      <c r="CG921" s="43"/>
      <c r="CH921" s="43"/>
      <c r="CI921" s="43"/>
      <c r="CJ921" s="43"/>
      <c r="CK921" s="43"/>
      <c r="CL921" s="43"/>
      <c r="CM921" s="43"/>
      <c r="CN921" s="43"/>
      <c r="CO921" s="43"/>
      <c r="CP921" s="43"/>
      <c r="CQ921" s="43"/>
      <c r="CR921" s="43"/>
      <c r="CS921" s="43"/>
      <c r="CT921" s="43"/>
      <c r="CU921" s="43"/>
      <c r="CV921" s="43"/>
      <c r="CW921" s="43"/>
      <c r="CX921" s="43"/>
      <c r="CY921" s="43"/>
      <c r="CZ921" s="43"/>
      <c r="DA921" s="43"/>
      <c r="DB921" s="43"/>
      <c r="DC921" s="43"/>
      <c r="DD921" s="43"/>
      <c r="DE921" s="43"/>
      <c r="DF921" s="43"/>
      <c r="DG921" s="43"/>
      <c r="DH921" s="43"/>
      <c r="DI921" s="43"/>
      <c r="DJ921" s="43"/>
      <c r="DK921" s="43"/>
      <c r="DL921" s="43"/>
      <c r="DM921" s="43"/>
      <c r="DN921" s="43"/>
      <c r="DO921" s="43"/>
      <c r="DP921" s="43"/>
      <c r="DQ921" s="43"/>
      <c r="DR921" s="43"/>
      <c r="DS921" s="43"/>
      <c r="DT921" s="43"/>
      <c r="DU921" s="43"/>
      <c r="DV921" s="43"/>
      <c r="DW921" s="43"/>
      <c r="DX921" s="43"/>
      <c r="DY921" s="43"/>
      <c r="DZ921" s="43"/>
      <c r="EA921" s="43"/>
      <c r="EB921" s="43"/>
      <c r="EC921" s="43"/>
      <c r="ED921" s="43"/>
      <c r="EE921" s="43"/>
      <c r="EF921" s="43"/>
      <c r="EG921" s="43"/>
      <c r="EH921" s="43"/>
      <c r="EI921" s="43"/>
      <c r="EJ921" s="43"/>
      <c r="EK921" s="43"/>
      <c r="EL921" s="43"/>
      <c r="EM921" s="43"/>
      <c r="EN921" s="43"/>
      <c r="EO921" s="43"/>
      <c r="EP921" s="43"/>
      <c r="EQ921" s="43"/>
      <c r="ER921" s="43"/>
      <c r="ES921" s="43"/>
      <c r="ET921" s="43"/>
      <c r="EU921" s="43"/>
      <c r="EV921" s="43"/>
      <c r="EW921" s="43"/>
      <c r="EX921" s="43"/>
      <c r="EY921" s="43"/>
      <c r="EZ921" s="43"/>
      <c r="FA921" s="43"/>
      <c r="FB921" s="43"/>
      <c r="FC921" s="43"/>
      <c r="FD921" s="43"/>
      <c r="FE921" s="43"/>
      <c r="FF921" s="43"/>
      <c r="FG921" s="43"/>
      <c r="FH921" s="50"/>
      <c r="FI921" s="50"/>
    </row>
    <row r="922" ht="14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  <c r="AX922" s="43"/>
      <c r="AY922" s="43"/>
      <c r="AZ922" s="43"/>
      <c r="BA922" s="43"/>
      <c r="BB922" s="43"/>
      <c r="BC922" s="43"/>
      <c r="BD922" s="43"/>
      <c r="BE922" s="43"/>
      <c r="BF922" s="43"/>
      <c r="BG922" s="43"/>
      <c r="BH922" s="43"/>
      <c r="BI922" s="43"/>
      <c r="BJ922" s="43"/>
      <c r="BK922" s="43"/>
      <c r="BL922" s="43"/>
      <c r="BM922" s="43"/>
      <c r="BN922" s="43"/>
      <c r="BO922" s="43"/>
      <c r="BP922" s="43"/>
      <c r="BQ922" s="43"/>
      <c r="BR922" s="43"/>
      <c r="BS922" s="43"/>
      <c r="BT922" s="43"/>
      <c r="BU922" s="43"/>
      <c r="BV922" s="43"/>
      <c r="BW922" s="43"/>
      <c r="BX922" s="43"/>
      <c r="BY922" s="43"/>
      <c r="BZ922" s="43"/>
      <c r="CA922" s="43"/>
      <c r="CB922" s="43"/>
      <c r="CC922" s="43"/>
      <c r="CD922" s="43"/>
      <c r="CE922" s="43"/>
      <c r="CF922" s="43"/>
      <c r="CG922" s="43"/>
      <c r="CH922" s="43"/>
      <c r="CI922" s="43"/>
      <c r="CJ922" s="43"/>
      <c r="CK922" s="43"/>
      <c r="CL922" s="43"/>
      <c r="CM922" s="43"/>
      <c r="CN922" s="43"/>
      <c r="CO922" s="43"/>
      <c r="CP922" s="43"/>
      <c r="CQ922" s="43"/>
      <c r="CR922" s="43"/>
      <c r="CS922" s="43"/>
      <c r="CT922" s="43"/>
      <c r="CU922" s="43"/>
      <c r="CV922" s="43"/>
      <c r="CW922" s="43"/>
      <c r="CX922" s="43"/>
      <c r="CY922" s="43"/>
      <c r="CZ922" s="43"/>
      <c r="DA922" s="43"/>
      <c r="DB922" s="43"/>
      <c r="DC922" s="43"/>
      <c r="DD922" s="43"/>
      <c r="DE922" s="43"/>
      <c r="DF922" s="43"/>
      <c r="DG922" s="43"/>
      <c r="DH922" s="43"/>
      <c r="DI922" s="43"/>
      <c r="DJ922" s="43"/>
      <c r="DK922" s="43"/>
      <c r="DL922" s="43"/>
      <c r="DM922" s="43"/>
      <c r="DN922" s="43"/>
      <c r="DO922" s="43"/>
      <c r="DP922" s="43"/>
      <c r="DQ922" s="43"/>
      <c r="DR922" s="43"/>
      <c r="DS922" s="43"/>
      <c r="DT922" s="43"/>
      <c r="DU922" s="43"/>
      <c r="DV922" s="43"/>
      <c r="DW922" s="43"/>
      <c r="DX922" s="43"/>
      <c r="DY922" s="43"/>
      <c r="DZ922" s="43"/>
      <c r="EA922" s="43"/>
      <c r="EB922" s="43"/>
      <c r="EC922" s="43"/>
      <c r="ED922" s="43"/>
      <c r="EE922" s="43"/>
      <c r="EF922" s="43"/>
      <c r="EG922" s="43"/>
      <c r="EH922" s="43"/>
      <c r="EI922" s="43"/>
      <c r="EJ922" s="43"/>
      <c r="EK922" s="43"/>
      <c r="EL922" s="43"/>
      <c r="EM922" s="43"/>
      <c r="EN922" s="43"/>
      <c r="EO922" s="43"/>
      <c r="EP922" s="43"/>
      <c r="EQ922" s="43"/>
      <c r="ER922" s="43"/>
      <c r="ES922" s="43"/>
      <c r="ET922" s="43"/>
      <c r="EU922" s="43"/>
      <c r="EV922" s="43"/>
      <c r="EW922" s="43"/>
      <c r="EX922" s="43"/>
      <c r="EY922" s="43"/>
      <c r="EZ922" s="43"/>
      <c r="FA922" s="43"/>
      <c r="FB922" s="43"/>
      <c r="FC922" s="43"/>
      <c r="FD922" s="43"/>
      <c r="FE922" s="43"/>
      <c r="FF922" s="43"/>
      <c r="FG922" s="43"/>
      <c r="FH922" s="50"/>
      <c r="FI922" s="50"/>
    </row>
    <row r="923" ht="14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  <c r="AX923" s="43"/>
      <c r="AY923" s="43"/>
      <c r="AZ923" s="43"/>
      <c r="BA923" s="43"/>
      <c r="BB923" s="43"/>
      <c r="BC923" s="43"/>
      <c r="BD923" s="43"/>
      <c r="BE923" s="43"/>
      <c r="BF923" s="43"/>
      <c r="BG923" s="43"/>
      <c r="BH923" s="43"/>
      <c r="BI923" s="43"/>
      <c r="BJ923" s="43"/>
      <c r="BK923" s="43"/>
      <c r="BL923" s="43"/>
      <c r="BM923" s="43"/>
      <c r="BN923" s="43"/>
      <c r="BO923" s="43"/>
      <c r="BP923" s="43"/>
      <c r="BQ923" s="43"/>
      <c r="BR923" s="43"/>
      <c r="BS923" s="43"/>
      <c r="BT923" s="43"/>
      <c r="BU923" s="43"/>
      <c r="BV923" s="43"/>
      <c r="BW923" s="43"/>
      <c r="BX923" s="43"/>
      <c r="BY923" s="43"/>
      <c r="BZ923" s="43"/>
      <c r="CA923" s="43"/>
      <c r="CB923" s="43"/>
      <c r="CC923" s="43"/>
      <c r="CD923" s="43"/>
      <c r="CE923" s="43"/>
      <c r="CF923" s="43"/>
      <c r="CG923" s="43"/>
      <c r="CH923" s="43"/>
      <c r="CI923" s="43"/>
      <c r="CJ923" s="43"/>
      <c r="CK923" s="43"/>
      <c r="CL923" s="43"/>
      <c r="CM923" s="43"/>
      <c r="CN923" s="43"/>
      <c r="CO923" s="43"/>
      <c r="CP923" s="43"/>
      <c r="CQ923" s="43"/>
      <c r="CR923" s="43"/>
      <c r="CS923" s="43"/>
      <c r="CT923" s="43"/>
      <c r="CU923" s="43"/>
      <c r="CV923" s="43"/>
      <c r="CW923" s="43"/>
      <c r="CX923" s="43"/>
      <c r="CY923" s="43"/>
      <c r="CZ923" s="43"/>
      <c r="DA923" s="43"/>
      <c r="DB923" s="43"/>
      <c r="DC923" s="43"/>
      <c r="DD923" s="43"/>
      <c r="DE923" s="43"/>
      <c r="DF923" s="43"/>
      <c r="DG923" s="43"/>
      <c r="DH923" s="43"/>
      <c r="DI923" s="43"/>
      <c r="DJ923" s="43"/>
      <c r="DK923" s="43"/>
      <c r="DL923" s="43"/>
      <c r="DM923" s="43"/>
      <c r="DN923" s="43"/>
      <c r="DO923" s="43"/>
      <c r="DP923" s="43"/>
      <c r="DQ923" s="43"/>
      <c r="DR923" s="43"/>
      <c r="DS923" s="43"/>
      <c r="DT923" s="43"/>
      <c r="DU923" s="43"/>
      <c r="DV923" s="43"/>
      <c r="DW923" s="43"/>
      <c r="DX923" s="43"/>
      <c r="DY923" s="43"/>
      <c r="DZ923" s="43"/>
      <c r="EA923" s="43"/>
      <c r="EB923" s="43"/>
      <c r="EC923" s="43"/>
      <c r="ED923" s="43"/>
      <c r="EE923" s="43"/>
      <c r="EF923" s="43"/>
      <c r="EG923" s="43"/>
      <c r="EH923" s="43"/>
      <c r="EI923" s="43"/>
      <c r="EJ923" s="43"/>
      <c r="EK923" s="43"/>
      <c r="EL923" s="43"/>
      <c r="EM923" s="43"/>
      <c r="EN923" s="43"/>
      <c r="EO923" s="43"/>
      <c r="EP923" s="43"/>
      <c r="EQ923" s="43"/>
      <c r="ER923" s="43"/>
      <c r="ES923" s="43"/>
      <c r="ET923" s="43"/>
      <c r="EU923" s="43"/>
      <c r="EV923" s="43"/>
      <c r="EW923" s="43"/>
      <c r="EX923" s="43"/>
      <c r="EY923" s="43"/>
      <c r="EZ923" s="43"/>
      <c r="FA923" s="43"/>
      <c r="FB923" s="43"/>
      <c r="FC923" s="43"/>
      <c r="FD923" s="43"/>
      <c r="FE923" s="43"/>
      <c r="FF923" s="43"/>
      <c r="FG923" s="43"/>
      <c r="FH923" s="50"/>
      <c r="FI923" s="50"/>
    </row>
    <row r="924" ht="14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  <c r="AX924" s="43"/>
      <c r="AY924" s="43"/>
      <c r="AZ924" s="43"/>
      <c r="BA924" s="43"/>
      <c r="BB924" s="43"/>
      <c r="BC924" s="43"/>
      <c r="BD924" s="43"/>
      <c r="BE924" s="43"/>
      <c r="BF924" s="43"/>
      <c r="BG924" s="43"/>
      <c r="BH924" s="43"/>
      <c r="BI924" s="43"/>
      <c r="BJ924" s="43"/>
      <c r="BK924" s="43"/>
      <c r="BL924" s="43"/>
      <c r="BM924" s="43"/>
      <c r="BN924" s="43"/>
      <c r="BO924" s="43"/>
      <c r="BP924" s="43"/>
      <c r="BQ924" s="43"/>
      <c r="BR924" s="43"/>
      <c r="BS924" s="43"/>
      <c r="BT924" s="43"/>
      <c r="BU924" s="43"/>
      <c r="BV924" s="43"/>
      <c r="BW924" s="43"/>
      <c r="BX924" s="43"/>
      <c r="BY924" s="43"/>
      <c r="BZ924" s="43"/>
      <c r="CA924" s="43"/>
      <c r="CB924" s="43"/>
      <c r="CC924" s="43"/>
      <c r="CD924" s="43"/>
      <c r="CE924" s="43"/>
      <c r="CF924" s="43"/>
      <c r="CG924" s="43"/>
      <c r="CH924" s="43"/>
      <c r="CI924" s="43"/>
      <c r="CJ924" s="43"/>
      <c r="CK924" s="43"/>
      <c r="CL924" s="43"/>
      <c r="CM924" s="43"/>
      <c r="CN924" s="43"/>
      <c r="CO924" s="43"/>
      <c r="CP924" s="43"/>
      <c r="CQ924" s="43"/>
      <c r="CR924" s="43"/>
      <c r="CS924" s="43"/>
      <c r="CT924" s="43"/>
      <c r="CU924" s="43"/>
      <c r="CV924" s="43"/>
      <c r="CW924" s="43"/>
      <c r="CX924" s="43"/>
      <c r="CY924" s="43"/>
      <c r="CZ924" s="43"/>
      <c r="DA924" s="43"/>
      <c r="DB924" s="43"/>
      <c r="DC924" s="43"/>
      <c r="DD924" s="43"/>
      <c r="DE924" s="43"/>
      <c r="DF924" s="43"/>
      <c r="DG924" s="43"/>
      <c r="DH924" s="43"/>
      <c r="DI924" s="43"/>
      <c r="DJ924" s="43"/>
      <c r="DK924" s="43"/>
      <c r="DL924" s="43"/>
      <c r="DM924" s="43"/>
      <c r="DN924" s="43"/>
      <c r="DO924" s="43"/>
      <c r="DP924" s="43"/>
      <c r="DQ924" s="43"/>
      <c r="DR924" s="43"/>
      <c r="DS924" s="43"/>
      <c r="DT924" s="43"/>
      <c r="DU924" s="43"/>
      <c r="DV924" s="43"/>
      <c r="DW924" s="43"/>
      <c r="DX924" s="43"/>
      <c r="DY924" s="43"/>
      <c r="DZ924" s="43"/>
      <c r="EA924" s="43"/>
      <c r="EB924" s="43"/>
      <c r="EC924" s="43"/>
      <c r="ED924" s="43"/>
      <c r="EE924" s="43"/>
      <c r="EF924" s="43"/>
      <c r="EG924" s="43"/>
      <c r="EH924" s="43"/>
      <c r="EI924" s="43"/>
      <c r="EJ924" s="43"/>
      <c r="EK924" s="43"/>
      <c r="EL924" s="43"/>
      <c r="EM924" s="43"/>
      <c r="EN924" s="43"/>
      <c r="EO924" s="43"/>
      <c r="EP924" s="43"/>
      <c r="EQ924" s="43"/>
      <c r="ER924" s="43"/>
      <c r="ES924" s="43"/>
      <c r="ET924" s="43"/>
      <c r="EU924" s="43"/>
      <c r="EV924" s="43"/>
      <c r="EW924" s="43"/>
      <c r="EX924" s="43"/>
      <c r="EY924" s="43"/>
      <c r="EZ924" s="43"/>
      <c r="FA924" s="43"/>
      <c r="FB924" s="43"/>
      <c r="FC924" s="43"/>
      <c r="FD924" s="43"/>
      <c r="FE924" s="43"/>
      <c r="FF924" s="43"/>
      <c r="FG924" s="43"/>
      <c r="FH924" s="50"/>
      <c r="FI924" s="50"/>
    </row>
    <row r="925" ht="14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  <c r="AX925" s="43"/>
      <c r="AY925" s="43"/>
      <c r="AZ925" s="43"/>
      <c r="BA925" s="43"/>
      <c r="BB925" s="43"/>
      <c r="BC925" s="43"/>
      <c r="BD925" s="43"/>
      <c r="BE925" s="43"/>
      <c r="BF925" s="43"/>
      <c r="BG925" s="43"/>
      <c r="BH925" s="43"/>
      <c r="BI925" s="43"/>
      <c r="BJ925" s="43"/>
      <c r="BK925" s="43"/>
      <c r="BL925" s="43"/>
      <c r="BM925" s="43"/>
      <c r="BN925" s="43"/>
      <c r="BO925" s="43"/>
      <c r="BP925" s="43"/>
      <c r="BQ925" s="43"/>
      <c r="BR925" s="43"/>
      <c r="BS925" s="43"/>
      <c r="BT925" s="43"/>
      <c r="BU925" s="43"/>
      <c r="BV925" s="43"/>
      <c r="BW925" s="43"/>
      <c r="BX925" s="43"/>
      <c r="BY925" s="43"/>
      <c r="BZ925" s="43"/>
      <c r="CA925" s="43"/>
      <c r="CB925" s="43"/>
      <c r="CC925" s="43"/>
      <c r="CD925" s="43"/>
      <c r="CE925" s="43"/>
      <c r="CF925" s="43"/>
      <c r="CG925" s="43"/>
      <c r="CH925" s="43"/>
      <c r="CI925" s="43"/>
      <c r="CJ925" s="43"/>
      <c r="CK925" s="43"/>
      <c r="CL925" s="43"/>
      <c r="CM925" s="43"/>
      <c r="CN925" s="43"/>
      <c r="CO925" s="43"/>
      <c r="CP925" s="43"/>
      <c r="CQ925" s="43"/>
      <c r="CR925" s="43"/>
      <c r="CS925" s="43"/>
      <c r="CT925" s="43"/>
      <c r="CU925" s="43"/>
      <c r="CV925" s="43"/>
      <c r="CW925" s="43"/>
      <c r="CX925" s="43"/>
      <c r="CY925" s="43"/>
      <c r="CZ925" s="43"/>
      <c r="DA925" s="43"/>
      <c r="DB925" s="43"/>
      <c r="DC925" s="43"/>
      <c r="DD925" s="43"/>
      <c r="DE925" s="43"/>
      <c r="DF925" s="43"/>
      <c r="DG925" s="43"/>
      <c r="DH925" s="43"/>
      <c r="DI925" s="43"/>
      <c r="DJ925" s="43"/>
      <c r="DK925" s="43"/>
      <c r="DL925" s="43"/>
      <c r="DM925" s="43"/>
      <c r="DN925" s="43"/>
      <c r="DO925" s="43"/>
      <c r="DP925" s="43"/>
      <c r="DQ925" s="43"/>
      <c r="DR925" s="43"/>
      <c r="DS925" s="43"/>
      <c r="DT925" s="43"/>
      <c r="DU925" s="43"/>
      <c r="DV925" s="43"/>
      <c r="DW925" s="43"/>
      <c r="DX925" s="43"/>
      <c r="DY925" s="43"/>
      <c r="DZ925" s="43"/>
      <c r="EA925" s="43"/>
      <c r="EB925" s="43"/>
      <c r="EC925" s="43"/>
      <c r="ED925" s="43"/>
      <c r="EE925" s="43"/>
      <c r="EF925" s="43"/>
      <c r="EG925" s="43"/>
      <c r="EH925" s="43"/>
      <c r="EI925" s="43"/>
      <c r="EJ925" s="43"/>
      <c r="EK925" s="43"/>
      <c r="EL925" s="43"/>
      <c r="EM925" s="43"/>
      <c r="EN925" s="43"/>
      <c r="EO925" s="43"/>
      <c r="EP925" s="43"/>
      <c r="EQ925" s="43"/>
      <c r="ER925" s="43"/>
      <c r="ES925" s="43"/>
      <c r="ET925" s="43"/>
      <c r="EU925" s="43"/>
      <c r="EV925" s="43"/>
      <c r="EW925" s="43"/>
      <c r="EX925" s="43"/>
      <c r="EY925" s="43"/>
      <c r="EZ925" s="43"/>
      <c r="FA925" s="43"/>
      <c r="FB925" s="43"/>
      <c r="FC925" s="43"/>
      <c r="FD925" s="43"/>
      <c r="FE925" s="43"/>
      <c r="FF925" s="43"/>
      <c r="FG925" s="43"/>
      <c r="FH925" s="50"/>
      <c r="FI925" s="50"/>
    </row>
    <row r="926" ht="14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  <c r="AX926" s="43"/>
      <c r="AY926" s="43"/>
      <c r="AZ926" s="43"/>
      <c r="BA926" s="43"/>
      <c r="BB926" s="43"/>
      <c r="BC926" s="43"/>
      <c r="BD926" s="43"/>
      <c r="BE926" s="43"/>
      <c r="BF926" s="43"/>
      <c r="BG926" s="43"/>
      <c r="BH926" s="43"/>
      <c r="BI926" s="43"/>
      <c r="BJ926" s="43"/>
      <c r="BK926" s="43"/>
      <c r="BL926" s="43"/>
      <c r="BM926" s="43"/>
      <c r="BN926" s="43"/>
      <c r="BO926" s="43"/>
      <c r="BP926" s="43"/>
      <c r="BQ926" s="43"/>
      <c r="BR926" s="43"/>
      <c r="BS926" s="43"/>
      <c r="BT926" s="43"/>
      <c r="BU926" s="43"/>
      <c r="BV926" s="43"/>
      <c r="BW926" s="43"/>
      <c r="BX926" s="43"/>
      <c r="BY926" s="43"/>
      <c r="BZ926" s="43"/>
      <c r="CA926" s="43"/>
      <c r="CB926" s="43"/>
      <c r="CC926" s="43"/>
      <c r="CD926" s="43"/>
      <c r="CE926" s="43"/>
      <c r="CF926" s="43"/>
      <c r="CG926" s="43"/>
      <c r="CH926" s="43"/>
      <c r="CI926" s="43"/>
      <c r="CJ926" s="43"/>
      <c r="CK926" s="43"/>
      <c r="CL926" s="43"/>
      <c r="CM926" s="43"/>
      <c r="CN926" s="43"/>
      <c r="CO926" s="43"/>
      <c r="CP926" s="43"/>
      <c r="CQ926" s="43"/>
      <c r="CR926" s="43"/>
      <c r="CS926" s="43"/>
      <c r="CT926" s="43"/>
      <c r="CU926" s="43"/>
      <c r="CV926" s="43"/>
      <c r="CW926" s="43"/>
      <c r="CX926" s="43"/>
      <c r="CY926" s="43"/>
      <c r="CZ926" s="43"/>
      <c r="DA926" s="43"/>
      <c r="DB926" s="43"/>
      <c r="DC926" s="43"/>
      <c r="DD926" s="43"/>
      <c r="DE926" s="43"/>
      <c r="DF926" s="43"/>
      <c r="DG926" s="43"/>
      <c r="DH926" s="43"/>
      <c r="DI926" s="43"/>
      <c r="DJ926" s="43"/>
      <c r="DK926" s="43"/>
      <c r="DL926" s="43"/>
      <c r="DM926" s="43"/>
      <c r="DN926" s="43"/>
      <c r="DO926" s="43"/>
      <c r="DP926" s="43"/>
      <c r="DQ926" s="43"/>
      <c r="DR926" s="43"/>
      <c r="DS926" s="43"/>
      <c r="DT926" s="43"/>
      <c r="DU926" s="43"/>
      <c r="DV926" s="43"/>
      <c r="DW926" s="43"/>
      <c r="DX926" s="43"/>
      <c r="DY926" s="43"/>
      <c r="DZ926" s="43"/>
      <c r="EA926" s="43"/>
      <c r="EB926" s="43"/>
      <c r="EC926" s="43"/>
      <c r="ED926" s="43"/>
      <c r="EE926" s="43"/>
      <c r="EF926" s="43"/>
      <c r="EG926" s="43"/>
      <c r="EH926" s="43"/>
      <c r="EI926" s="43"/>
      <c r="EJ926" s="43"/>
      <c r="EK926" s="43"/>
      <c r="EL926" s="43"/>
      <c r="EM926" s="43"/>
      <c r="EN926" s="43"/>
      <c r="EO926" s="43"/>
      <c r="EP926" s="43"/>
      <c r="EQ926" s="43"/>
      <c r="ER926" s="43"/>
      <c r="ES926" s="43"/>
      <c r="ET926" s="43"/>
      <c r="EU926" s="43"/>
      <c r="EV926" s="43"/>
      <c r="EW926" s="43"/>
      <c r="EX926" s="43"/>
      <c r="EY926" s="43"/>
      <c r="EZ926" s="43"/>
      <c r="FA926" s="43"/>
      <c r="FB926" s="43"/>
      <c r="FC926" s="43"/>
      <c r="FD926" s="43"/>
      <c r="FE926" s="43"/>
      <c r="FF926" s="43"/>
      <c r="FG926" s="43"/>
      <c r="FH926" s="50"/>
      <c r="FI926" s="50"/>
    </row>
    <row r="927" ht="14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  <c r="AX927" s="43"/>
      <c r="AY927" s="43"/>
      <c r="AZ927" s="43"/>
      <c r="BA927" s="43"/>
      <c r="BB927" s="43"/>
      <c r="BC927" s="43"/>
      <c r="BD927" s="43"/>
      <c r="BE927" s="43"/>
      <c r="BF927" s="43"/>
      <c r="BG927" s="43"/>
      <c r="BH927" s="43"/>
      <c r="BI927" s="43"/>
      <c r="BJ927" s="43"/>
      <c r="BK927" s="43"/>
      <c r="BL927" s="43"/>
      <c r="BM927" s="43"/>
      <c r="BN927" s="43"/>
      <c r="BO927" s="43"/>
      <c r="BP927" s="43"/>
      <c r="BQ927" s="43"/>
      <c r="BR927" s="43"/>
      <c r="BS927" s="43"/>
      <c r="BT927" s="43"/>
      <c r="BU927" s="43"/>
      <c r="BV927" s="43"/>
      <c r="BW927" s="43"/>
      <c r="BX927" s="43"/>
      <c r="BY927" s="43"/>
      <c r="BZ927" s="43"/>
      <c r="CA927" s="43"/>
      <c r="CB927" s="43"/>
      <c r="CC927" s="43"/>
      <c r="CD927" s="43"/>
      <c r="CE927" s="43"/>
      <c r="CF927" s="43"/>
      <c r="CG927" s="43"/>
      <c r="CH927" s="43"/>
      <c r="CI927" s="43"/>
      <c r="CJ927" s="43"/>
      <c r="CK927" s="43"/>
      <c r="CL927" s="43"/>
      <c r="CM927" s="43"/>
      <c r="CN927" s="43"/>
      <c r="CO927" s="43"/>
      <c r="CP927" s="43"/>
      <c r="CQ927" s="43"/>
      <c r="CR927" s="43"/>
      <c r="CS927" s="43"/>
      <c r="CT927" s="43"/>
      <c r="CU927" s="43"/>
      <c r="CV927" s="43"/>
      <c r="CW927" s="43"/>
      <c r="CX927" s="43"/>
      <c r="CY927" s="43"/>
      <c r="CZ927" s="43"/>
      <c r="DA927" s="43"/>
      <c r="DB927" s="43"/>
      <c r="DC927" s="43"/>
      <c r="DD927" s="43"/>
      <c r="DE927" s="43"/>
      <c r="DF927" s="43"/>
      <c r="DG927" s="43"/>
      <c r="DH927" s="43"/>
      <c r="DI927" s="43"/>
      <c r="DJ927" s="43"/>
      <c r="DK927" s="43"/>
      <c r="DL927" s="43"/>
      <c r="DM927" s="43"/>
      <c r="DN927" s="43"/>
      <c r="DO927" s="43"/>
      <c r="DP927" s="43"/>
      <c r="DQ927" s="43"/>
      <c r="DR927" s="43"/>
      <c r="DS927" s="43"/>
      <c r="DT927" s="43"/>
      <c r="DU927" s="43"/>
      <c r="DV927" s="43"/>
      <c r="DW927" s="43"/>
      <c r="DX927" s="43"/>
      <c r="DY927" s="43"/>
      <c r="DZ927" s="43"/>
      <c r="EA927" s="43"/>
      <c r="EB927" s="43"/>
      <c r="EC927" s="43"/>
      <c r="ED927" s="43"/>
      <c r="EE927" s="43"/>
      <c r="EF927" s="43"/>
      <c r="EG927" s="43"/>
      <c r="EH927" s="43"/>
      <c r="EI927" s="43"/>
      <c r="EJ927" s="43"/>
      <c r="EK927" s="43"/>
      <c r="EL927" s="43"/>
      <c r="EM927" s="43"/>
      <c r="EN927" s="43"/>
      <c r="EO927" s="43"/>
      <c r="EP927" s="43"/>
      <c r="EQ927" s="43"/>
      <c r="ER927" s="43"/>
      <c r="ES927" s="43"/>
      <c r="ET927" s="43"/>
      <c r="EU927" s="43"/>
      <c r="EV927" s="43"/>
      <c r="EW927" s="43"/>
      <c r="EX927" s="43"/>
      <c r="EY927" s="43"/>
      <c r="EZ927" s="43"/>
      <c r="FA927" s="43"/>
      <c r="FB927" s="43"/>
      <c r="FC927" s="43"/>
      <c r="FD927" s="43"/>
      <c r="FE927" s="43"/>
      <c r="FF927" s="43"/>
      <c r="FG927" s="43"/>
      <c r="FH927" s="50"/>
      <c r="FI927" s="50"/>
    </row>
    <row r="928" ht="14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  <c r="AX928" s="43"/>
      <c r="AY928" s="43"/>
      <c r="AZ928" s="43"/>
      <c r="BA928" s="43"/>
      <c r="BB928" s="43"/>
      <c r="BC928" s="43"/>
      <c r="BD928" s="43"/>
      <c r="BE928" s="43"/>
      <c r="BF928" s="43"/>
      <c r="BG928" s="43"/>
      <c r="BH928" s="43"/>
      <c r="BI928" s="43"/>
      <c r="BJ928" s="43"/>
      <c r="BK928" s="43"/>
      <c r="BL928" s="43"/>
      <c r="BM928" s="43"/>
      <c r="BN928" s="43"/>
      <c r="BO928" s="43"/>
      <c r="BP928" s="43"/>
      <c r="BQ928" s="43"/>
      <c r="BR928" s="43"/>
      <c r="BS928" s="43"/>
      <c r="BT928" s="43"/>
      <c r="BU928" s="43"/>
      <c r="BV928" s="43"/>
      <c r="BW928" s="43"/>
      <c r="BX928" s="43"/>
      <c r="BY928" s="43"/>
      <c r="BZ928" s="43"/>
      <c r="CA928" s="43"/>
      <c r="CB928" s="43"/>
      <c r="CC928" s="43"/>
      <c r="CD928" s="43"/>
      <c r="CE928" s="43"/>
      <c r="CF928" s="43"/>
      <c r="CG928" s="43"/>
      <c r="CH928" s="43"/>
      <c r="CI928" s="43"/>
      <c r="CJ928" s="43"/>
      <c r="CK928" s="43"/>
      <c r="CL928" s="43"/>
      <c r="CM928" s="43"/>
      <c r="CN928" s="43"/>
      <c r="CO928" s="43"/>
      <c r="CP928" s="43"/>
      <c r="CQ928" s="43"/>
      <c r="CR928" s="43"/>
      <c r="CS928" s="43"/>
      <c r="CT928" s="43"/>
      <c r="CU928" s="43"/>
      <c r="CV928" s="43"/>
      <c r="CW928" s="43"/>
      <c r="CX928" s="43"/>
      <c r="CY928" s="43"/>
      <c r="CZ928" s="43"/>
      <c r="DA928" s="43"/>
      <c r="DB928" s="43"/>
      <c r="DC928" s="43"/>
      <c r="DD928" s="43"/>
      <c r="DE928" s="43"/>
      <c r="DF928" s="43"/>
      <c r="DG928" s="43"/>
      <c r="DH928" s="43"/>
      <c r="DI928" s="43"/>
      <c r="DJ928" s="43"/>
      <c r="DK928" s="43"/>
      <c r="DL928" s="43"/>
      <c r="DM928" s="43"/>
      <c r="DN928" s="43"/>
      <c r="DO928" s="43"/>
      <c r="DP928" s="43"/>
      <c r="DQ928" s="43"/>
      <c r="DR928" s="43"/>
      <c r="DS928" s="43"/>
      <c r="DT928" s="43"/>
      <c r="DU928" s="43"/>
      <c r="DV928" s="43"/>
      <c r="DW928" s="43"/>
      <c r="DX928" s="43"/>
      <c r="DY928" s="43"/>
      <c r="DZ928" s="43"/>
      <c r="EA928" s="43"/>
      <c r="EB928" s="43"/>
      <c r="EC928" s="43"/>
      <c r="ED928" s="43"/>
      <c r="EE928" s="43"/>
      <c r="EF928" s="43"/>
      <c r="EG928" s="43"/>
      <c r="EH928" s="43"/>
      <c r="EI928" s="43"/>
      <c r="EJ928" s="43"/>
      <c r="EK928" s="43"/>
      <c r="EL928" s="43"/>
      <c r="EM928" s="43"/>
      <c r="EN928" s="43"/>
      <c r="EO928" s="43"/>
      <c r="EP928" s="43"/>
      <c r="EQ928" s="43"/>
      <c r="ER928" s="43"/>
      <c r="ES928" s="43"/>
      <c r="ET928" s="43"/>
      <c r="EU928" s="43"/>
      <c r="EV928" s="43"/>
      <c r="EW928" s="43"/>
      <c r="EX928" s="43"/>
      <c r="EY928" s="43"/>
      <c r="EZ928" s="43"/>
      <c r="FA928" s="43"/>
      <c r="FB928" s="43"/>
      <c r="FC928" s="43"/>
      <c r="FD928" s="43"/>
      <c r="FE928" s="43"/>
      <c r="FF928" s="43"/>
      <c r="FG928" s="43"/>
      <c r="FH928" s="50"/>
      <c r="FI928" s="50"/>
    </row>
    <row r="929" ht="14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  <c r="AX929" s="43"/>
      <c r="AY929" s="43"/>
      <c r="AZ929" s="43"/>
      <c r="BA929" s="43"/>
      <c r="BB929" s="43"/>
      <c r="BC929" s="43"/>
      <c r="BD929" s="43"/>
      <c r="BE929" s="43"/>
      <c r="BF929" s="43"/>
      <c r="BG929" s="43"/>
      <c r="BH929" s="43"/>
      <c r="BI929" s="43"/>
      <c r="BJ929" s="43"/>
      <c r="BK929" s="43"/>
      <c r="BL929" s="43"/>
      <c r="BM929" s="43"/>
      <c r="BN929" s="43"/>
      <c r="BO929" s="43"/>
      <c r="BP929" s="43"/>
      <c r="BQ929" s="43"/>
      <c r="BR929" s="43"/>
      <c r="BS929" s="43"/>
      <c r="BT929" s="43"/>
      <c r="BU929" s="43"/>
      <c r="BV929" s="43"/>
      <c r="BW929" s="43"/>
      <c r="BX929" s="43"/>
      <c r="BY929" s="43"/>
      <c r="BZ929" s="43"/>
      <c r="CA929" s="43"/>
      <c r="CB929" s="43"/>
      <c r="CC929" s="43"/>
      <c r="CD929" s="43"/>
      <c r="CE929" s="43"/>
      <c r="CF929" s="43"/>
      <c r="CG929" s="43"/>
      <c r="CH929" s="43"/>
      <c r="CI929" s="43"/>
      <c r="CJ929" s="43"/>
      <c r="CK929" s="43"/>
      <c r="CL929" s="43"/>
      <c r="CM929" s="43"/>
      <c r="CN929" s="43"/>
      <c r="CO929" s="43"/>
      <c r="CP929" s="43"/>
      <c r="CQ929" s="43"/>
      <c r="CR929" s="43"/>
      <c r="CS929" s="43"/>
      <c r="CT929" s="43"/>
      <c r="CU929" s="43"/>
      <c r="CV929" s="43"/>
      <c r="CW929" s="43"/>
      <c r="CX929" s="43"/>
      <c r="CY929" s="43"/>
      <c r="CZ929" s="43"/>
      <c r="DA929" s="43"/>
      <c r="DB929" s="43"/>
      <c r="DC929" s="43"/>
      <c r="DD929" s="43"/>
      <c r="DE929" s="43"/>
      <c r="DF929" s="43"/>
      <c r="DG929" s="43"/>
      <c r="DH929" s="43"/>
      <c r="DI929" s="43"/>
      <c r="DJ929" s="43"/>
      <c r="DK929" s="43"/>
      <c r="DL929" s="43"/>
      <c r="DM929" s="43"/>
      <c r="DN929" s="43"/>
      <c r="DO929" s="43"/>
      <c r="DP929" s="43"/>
      <c r="DQ929" s="43"/>
      <c r="DR929" s="43"/>
      <c r="DS929" s="43"/>
      <c r="DT929" s="43"/>
      <c r="DU929" s="43"/>
      <c r="DV929" s="43"/>
      <c r="DW929" s="43"/>
      <c r="DX929" s="43"/>
      <c r="DY929" s="43"/>
      <c r="DZ929" s="43"/>
      <c r="EA929" s="43"/>
      <c r="EB929" s="43"/>
      <c r="EC929" s="43"/>
      <c r="ED929" s="43"/>
      <c r="EE929" s="43"/>
      <c r="EF929" s="43"/>
      <c r="EG929" s="43"/>
      <c r="EH929" s="43"/>
      <c r="EI929" s="43"/>
      <c r="EJ929" s="43"/>
      <c r="EK929" s="43"/>
      <c r="EL929" s="43"/>
      <c r="EM929" s="43"/>
      <c r="EN929" s="43"/>
      <c r="EO929" s="43"/>
      <c r="EP929" s="43"/>
      <c r="EQ929" s="43"/>
      <c r="ER929" s="43"/>
      <c r="ES929" s="43"/>
      <c r="ET929" s="43"/>
      <c r="EU929" s="43"/>
      <c r="EV929" s="43"/>
      <c r="EW929" s="43"/>
      <c r="EX929" s="43"/>
      <c r="EY929" s="43"/>
      <c r="EZ929" s="43"/>
      <c r="FA929" s="43"/>
      <c r="FB929" s="43"/>
      <c r="FC929" s="43"/>
      <c r="FD929" s="43"/>
      <c r="FE929" s="43"/>
      <c r="FF929" s="43"/>
      <c r="FG929" s="43"/>
      <c r="FH929" s="50"/>
      <c r="FI929" s="50"/>
    </row>
    <row r="930" ht="14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  <c r="AX930" s="43"/>
      <c r="AY930" s="43"/>
      <c r="AZ930" s="43"/>
      <c r="BA930" s="43"/>
      <c r="BB930" s="43"/>
      <c r="BC930" s="43"/>
      <c r="BD930" s="43"/>
      <c r="BE930" s="43"/>
      <c r="BF930" s="43"/>
      <c r="BG930" s="43"/>
      <c r="BH930" s="43"/>
      <c r="BI930" s="43"/>
      <c r="BJ930" s="43"/>
      <c r="BK930" s="43"/>
      <c r="BL930" s="43"/>
      <c r="BM930" s="43"/>
      <c r="BN930" s="43"/>
      <c r="BO930" s="43"/>
      <c r="BP930" s="43"/>
      <c r="BQ930" s="43"/>
      <c r="BR930" s="43"/>
      <c r="BS930" s="43"/>
      <c r="BT930" s="43"/>
      <c r="BU930" s="43"/>
      <c r="BV930" s="43"/>
      <c r="BW930" s="43"/>
      <c r="BX930" s="43"/>
      <c r="BY930" s="43"/>
      <c r="BZ930" s="43"/>
      <c r="CA930" s="43"/>
      <c r="CB930" s="43"/>
      <c r="CC930" s="43"/>
      <c r="CD930" s="43"/>
      <c r="CE930" s="43"/>
      <c r="CF930" s="43"/>
      <c r="CG930" s="43"/>
      <c r="CH930" s="43"/>
      <c r="CI930" s="43"/>
      <c r="CJ930" s="43"/>
      <c r="CK930" s="43"/>
      <c r="CL930" s="43"/>
      <c r="CM930" s="43"/>
      <c r="CN930" s="43"/>
      <c r="CO930" s="43"/>
      <c r="CP930" s="43"/>
      <c r="CQ930" s="43"/>
      <c r="CR930" s="43"/>
      <c r="CS930" s="43"/>
      <c r="CT930" s="43"/>
      <c r="CU930" s="43"/>
      <c r="CV930" s="43"/>
      <c r="CW930" s="43"/>
      <c r="CX930" s="43"/>
      <c r="CY930" s="43"/>
      <c r="CZ930" s="43"/>
      <c r="DA930" s="43"/>
      <c r="DB930" s="43"/>
      <c r="DC930" s="43"/>
      <c r="DD930" s="43"/>
      <c r="DE930" s="43"/>
      <c r="DF930" s="43"/>
      <c r="DG930" s="43"/>
      <c r="DH930" s="43"/>
      <c r="DI930" s="43"/>
      <c r="DJ930" s="43"/>
      <c r="DK930" s="43"/>
      <c r="DL930" s="43"/>
      <c r="DM930" s="43"/>
      <c r="DN930" s="43"/>
      <c r="DO930" s="43"/>
      <c r="DP930" s="43"/>
      <c r="DQ930" s="43"/>
      <c r="DR930" s="43"/>
      <c r="DS930" s="43"/>
      <c r="DT930" s="43"/>
      <c r="DU930" s="43"/>
      <c r="DV930" s="43"/>
      <c r="DW930" s="43"/>
      <c r="DX930" s="43"/>
      <c r="DY930" s="43"/>
      <c r="DZ930" s="43"/>
      <c r="EA930" s="43"/>
      <c r="EB930" s="43"/>
      <c r="EC930" s="43"/>
      <c r="ED930" s="43"/>
      <c r="EE930" s="43"/>
      <c r="EF930" s="43"/>
      <c r="EG930" s="43"/>
      <c r="EH930" s="43"/>
      <c r="EI930" s="43"/>
      <c r="EJ930" s="43"/>
      <c r="EK930" s="43"/>
      <c r="EL930" s="43"/>
      <c r="EM930" s="43"/>
      <c r="EN930" s="43"/>
      <c r="EO930" s="43"/>
      <c r="EP930" s="43"/>
      <c r="EQ930" s="43"/>
      <c r="ER930" s="43"/>
      <c r="ES930" s="43"/>
      <c r="ET930" s="43"/>
      <c r="EU930" s="43"/>
      <c r="EV930" s="43"/>
      <c r="EW930" s="43"/>
      <c r="EX930" s="43"/>
      <c r="EY930" s="43"/>
      <c r="EZ930" s="43"/>
      <c r="FA930" s="43"/>
      <c r="FB930" s="43"/>
      <c r="FC930" s="43"/>
      <c r="FD930" s="43"/>
      <c r="FE930" s="43"/>
      <c r="FF930" s="43"/>
      <c r="FG930" s="43"/>
      <c r="FH930" s="50"/>
      <c r="FI930" s="50"/>
    </row>
    <row r="931" ht="14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  <c r="AX931" s="43"/>
      <c r="AY931" s="43"/>
      <c r="AZ931" s="43"/>
      <c r="BA931" s="43"/>
      <c r="BB931" s="43"/>
      <c r="BC931" s="43"/>
      <c r="BD931" s="43"/>
      <c r="BE931" s="43"/>
      <c r="BF931" s="43"/>
      <c r="BG931" s="43"/>
      <c r="BH931" s="43"/>
      <c r="BI931" s="43"/>
      <c r="BJ931" s="43"/>
      <c r="BK931" s="43"/>
      <c r="BL931" s="43"/>
      <c r="BM931" s="43"/>
      <c r="BN931" s="43"/>
      <c r="BO931" s="43"/>
      <c r="BP931" s="43"/>
      <c r="BQ931" s="43"/>
      <c r="BR931" s="43"/>
      <c r="BS931" s="43"/>
      <c r="BT931" s="43"/>
      <c r="BU931" s="43"/>
      <c r="BV931" s="43"/>
      <c r="BW931" s="43"/>
      <c r="BX931" s="43"/>
      <c r="BY931" s="43"/>
      <c r="BZ931" s="43"/>
      <c r="CA931" s="43"/>
      <c r="CB931" s="43"/>
      <c r="CC931" s="43"/>
      <c r="CD931" s="43"/>
      <c r="CE931" s="43"/>
      <c r="CF931" s="43"/>
      <c r="CG931" s="43"/>
      <c r="CH931" s="43"/>
      <c r="CI931" s="43"/>
      <c r="CJ931" s="43"/>
      <c r="CK931" s="43"/>
      <c r="CL931" s="43"/>
      <c r="CM931" s="43"/>
      <c r="CN931" s="43"/>
      <c r="CO931" s="43"/>
      <c r="CP931" s="43"/>
      <c r="CQ931" s="43"/>
      <c r="CR931" s="43"/>
      <c r="CS931" s="43"/>
      <c r="CT931" s="43"/>
      <c r="CU931" s="43"/>
      <c r="CV931" s="43"/>
      <c r="CW931" s="43"/>
      <c r="CX931" s="43"/>
      <c r="CY931" s="43"/>
      <c r="CZ931" s="43"/>
      <c r="DA931" s="43"/>
      <c r="DB931" s="43"/>
      <c r="DC931" s="43"/>
      <c r="DD931" s="43"/>
      <c r="DE931" s="43"/>
      <c r="DF931" s="43"/>
      <c r="DG931" s="43"/>
      <c r="DH931" s="43"/>
      <c r="DI931" s="43"/>
      <c r="DJ931" s="43"/>
      <c r="DK931" s="43"/>
      <c r="DL931" s="43"/>
      <c r="DM931" s="43"/>
      <c r="DN931" s="43"/>
      <c r="DO931" s="43"/>
      <c r="DP931" s="43"/>
      <c r="DQ931" s="43"/>
      <c r="DR931" s="43"/>
      <c r="DS931" s="43"/>
      <c r="DT931" s="43"/>
      <c r="DU931" s="43"/>
      <c r="DV931" s="43"/>
      <c r="DW931" s="43"/>
      <c r="DX931" s="43"/>
      <c r="DY931" s="43"/>
      <c r="DZ931" s="43"/>
      <c r="EA931" s="43"/>
      <c r="EB931" s="43"/>
      <c r="EC931" s="43"/>
      <c r="ED931" s="43"/>
      <c r="EE931" s="43"/>
      <c r="EF931" s="43"/>
      <c r="EG931" s="43"/>
      <c r="EH931" s="43"/>
      <c r="EI931" s="43"/>
      <c r="EJ931" s="43"/>
      <c r="EK931" s="43"/>
      <c r="EL931" s="43"/>
      <c r="EM931" s="43"/>
      <c r="EN931" s="43"/>
      <c r="EO931" s="43"/>
      <c r="EP931" s="43"/>
      <c r="EQ931" s="43"/>
      <c r="ER931" s="43"/>
      <c r="ES931" s="43"/>
      <c r="ET931" s="43"/>
      <c r="EU931" s="43"/>
      <c r="EV931" s="43"/>
      <c r="EW931" s="43"/>
      <c r="EX931" s="43"/>
      <c r="EY931" s="43"/>
      <c r="EZ931" s="43"/>
      <c r="FA931" s="43"/>
      <c r="FB931" s="43"/>
      <c r="FC931" s="43"/>
      <c r="FD931" s="43"/>
      <c r="FE931" s="43"/>
      <c r="FF931" s="43"/>
      <c r="FG931" s="43"/>
      <c r="FH931" s="50"/>
      <c r="FI931" s="50"/>
    </row>
    <row r="932" ht="14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  <c r="AX932" s="43"/>
      <c r="AY932" s="43"/>
      <c r="AZ932" s="43"/>
      <c r="BA932" s="43"/>
      <c r="BB932" s="43"/>
      <c r="BC932" s="43"/>
      <c r="BD932" s="43"/>
      <c r="BE932" s="43"/>
      <c r="BF932" s="43"/>
      <c r="BG932" s="43"/>
      <c r="BH932" s="43"/>
      <c r="BI932" s="43"/>
      <c r="BJ932" s="43"/>
      <c r="BK932" s="43"/>
      <c r="BL932" s="43"/>
      <c r="BM932" s="43"/>
      <c r="BN932" s="43"/>
      <c r="BO932" s="43"/>
      <c r="BP932" s="43"/>
      <c r="BQ932" s="43"/>
      <c r="BR932" s="43"/>
      <c r="BS932" s="43"/>
      <c r="BT932" s="43"/>
      <c r="BU932" s="43"/>
      <c r="BV932" s="43"/>
      <c r="BW932" s="43"/>
      <c r="BX932" s="43"/>
      <c r="BY932" s="43"/>
      <c r="BZ932" s="43"/>
      <c r="CA932" s="43"/>
      <c r="CB932" s="43"/>
      <c r="CC932" s="43"/>
      <c r="CD932" s="43"/>
      <c r="CE932" s="43"/>
      <c r="CF932" s="43"/>
      <c r="CG932" s="43"/>
      <c r="CH932" s="43"/>
      <c r="CI932" s="43"/>
      <c r="CJ932" s="43"/>
      <c r="CK932" s="43"/>
      <c r="CL932" s="43"/>
      <c r="CM932" s="43"/>
      <c r="CN932" s="43"/>
      <c r="CO932" s="43"/>
      <c r="CP932" s="43"/>
      <c r="CQ932" s="43"/>
      <c r="CR932" s="43"/>
      <c r="CS932" s="43"/>
      <c r="CT932" s="43"/>
      <c r="CU932" s="43"/>
      <c r="CV932" s="43"/>
      <c r="CW932" s="43"/>
      <c r="CX932" s="43"/>
      <c r="CY932" s="43"/>
      <c r="CZ932" s="43"/>
      <c r="DA932" s="43"/>
      <c r="DB932" s="43"/>
      <c r="DC932" s="43"/>
      <c r="DD932" s="43"/>
      <c r="DE932" s="43"/>
      <c r="DF932" s="43"/>
      <c r="DG932" s="43"/>
      <c r="DH932" s="43"/>
      <c r="DI932" s="43"/>
      <c r="DJ932" s="43"/>
      <c r="DK932" s="43"/>
      <c r="DL932" s="43"/>
      <c r="DM932" s="43"/>
      <c r="DN932" s="43"/>
      <c r="DO932" s="43"/>
      <c r="DP932" s="43"/>
      <c r="DQ932" s="43"/>
      <c r="DR932" s="43"/>
      <c r="DS932" s="43"/>
      <c r="DT932" s="43"/>
      <c r="DU932" s="43"/>
      <c r="DV932" s="43"/>
      <c r="DW932" s="43"/>
      <c r="DX932" s="43"/>
      <c r="DY932" s="43"/>
      <c r="DZ932" s="43"/>
      <c r="EA932" s="43"/>
      <c r="EB932" s="43"/>
      <c r="EC932" s="43"/>
      <c r="ED932" s="43"/>
      <c r="EE932" s="43"/>
      <c r="EF932" s="43"/>
      <c r="EG932" s="43"/>
      <c r="EH932" s="43"/>
      <c r="EI932" s="43"/>
      <c r="EJ932" s="43"/>
      <c r="EK932" s="43"/>
      <c r="EL932" s="43"/>
      <c r="EM932" s="43"/>
      <c r="EN932" s="43"/>
      <c r="EO932" s="43"/>
      <c r="EP932" s="43"/>
      <c r="EQ932" s="43"/>
      <c r="ER932" s="43"/>
      <c r="ES932" s="43"/>
      <c r="ET932" s="43"/>
      <c r="EU932" s="43"/>
      <c r="EV932" s="43"/>
      <c r="EW932" s="43"/>
      <c r="EX932" s="43"/>
      <c r="EY932" s="43"/>
      <c r="EZ932" s="43"/>
      <c r="FA932" s="43"/>
      <c r="FB932" s="43"/>
      <c r="FC932" s="43"/>
      <c r="FD932" s="43"/>
      <c r="FE932" s="43"/>
      <c r="FF932" s="43"/>
      <c r="FG932" s="43"/>
      <c r="FH932" s="50"/>
      <c r="FI932" s="50"/>
    </row>
    <row r="933" ht="14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  <c r="AX933" s="43"/>
      <c r="AY933" s="43"/>
      <c r="AZ933" s="43"/>
      <c r="BA933" s="43"/>
      <c r="BB933" s="43"/>
      <c r="BC933" s="43"/>
      <c r="BD933" s="43"/>
      <c r="BE933" s="43"/>
      <c r="BF933" s="43"/>
      <c r="BG933" s="43"/>
      <c r="BH933" s="43"/>
      <c r="BI933" s="43"/>
      <c r="BJ933" s="43"/>
      <c r="BK933" s="43"/>
      <c r="BL933" s="43"/>
      <c r="BM933" s="43"/>
      <c r="BN933" s="43"/>
      <c r="BO933" s="43"/>
      <c r="BP933" s="43"/>
      <c r="BQ933" s="43"/>
      <c r="BR933" s="43"/>
      <c r="BS933" s="43"/>
      <c r="BT933" s="43"/>
      <c r="BU933" s="43"/>
      <c r="BV933" s="43"/>
      <c r="BW933" s="43"/>
      <c r="BX933" s="43"/>
      <c r="BY933" s="43"/>
      <c r="BZ933" s="43"/>
      <c r="CA933" s="43"/>
      <c r="CB933" s="43"/>
      <c r="CC933" s="43"/>
      <c r="CD933" s="43"/>
      <c r="CE933" s="43"/>
      <c r="CF933" s="43"/>
      <c r="CG933" s="43"/>
      <c r="CH933" s="43"/>
      <c r="CI933" s="43"/>
      <c r="CJ933" s="43"/>
      <c r="CK933" s="43"/>
      <c r="CL933" s="43"/>
      <c r="CM933" s="43"/>
      <c r="CN933" s="43"/>
      <c r="CO933" s="43"/>
      <c r="CP933" s="43"/>
      <c r="CQ933" s="43"/>
      <c r="CR933" s="43"/>
      <c r="CS933" s="43"/>
      <c r="CT933" s="43"/>
      <c r="CU933" s="43"/>
      <c r="CV933" s="43"/>
      <c r="CW933" s="43"/>
      <c r="CX933" s="43"/>
      <c r="CY933" s="43"/>
      <c r="CZ933" s="43"/>
      <c r="DA933" s="43"/>
      <c r="DB933" s="43"/>
      <c r="DC933" s="43"/>
      <c r="DD933" s="43"/>
      <c r="DE933" s="43"/>
      <c r="DF933" s="43"/>
      <c r="DG933" s="43"/>
      <c r="DH933" s="43"/>
      <c r="DI933" s="43"/>
      <c r="DJ933" s="43"/>
      <c r="DK933" s="43"/>
      <c r="DL933" s="43"/>
      <c r="DM933" s="43"/>
      <c r="DN933" s="43"/>
      <c r="DO933" s="43"/>
      <c r="DP933" s="43"/>
      <c r="DQ933" s="43"/>
      <c r="DR933" s="43"/>
      <c r="DS933" s="43"/>
      <c r="DT933" s="43"/>
      <c r="DU933" s="43"/>
      <c r="DV933" s="43"/>
      <c r="DW933" s="43"/>
      <c r="DX933" s="43"/>
      <c r="DY933" s="43"/>
      <c r="DZ933" s="43"/>
      <c r="EA933" s="43"/>
      <c r="EB933" s="43"/>
      <c r="EC933" s="43"/>
      <c r="ED933" s="43"/>
      <c r="EE933" s="43"/>
      <c r="EF933" s="43"/>
      <c r="EG933" s="43"/>
      <c r="EH933" s="43"/>
      <c r="EI933" s="43"/>
      <c r="EJ933" s="43"/>
      <c r="EK933" s="43"/>
      <c r="EL933" s="43"/>
      <c r="EM933" s="43"/>
      <c r="EN933" s="43"/>
      <c r="EO933" s="43"/>
      <c r="EP933" s="43"/>
      <c r="EQ933" s="43"/>
      <c r="ER933" s="43"/>
      <c r="ES933" s="43"/>
      <c r="ET933" s="43"/>
      <c r="EU933" s="43"/>
      <c r="EV933" s="43"/>
      <c r="EW933" s="43"/>
      <c r="EX933" s="43"/>
      <c r="EY933" s="43"/>
      <c r="EZ933" s="43"/>
      <c r="FA933" s="43"/>
      <c r="FB933" s="43"/>
      <c r="FC933" s="43"/>
      <c r="FD933" s="43"/>
      <c r="FE933" s="43"/>
      <c r="FF933" s="43"/>
      <c r="FG933" s="43"/>
      <c r="FH933" s="50"/>
      <c r="FI933" s="50"/>
    </row>
    <row r="934" ht="14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  <c r="AX934" s="43"/>
      <c r="AY934" s="43"/>
      <c r="AZ934" s="43"/>
      <c r="BA934" s="43"/>
      <c r="BB934" s="43"/>
      <c r="BC934" s="43"/>
      <c r="BD934" s="43"/>
      <c r="BE934" s="43"/>
      <c r="BF934" s="43"/>
      <c r="BG934" s="43"/>
      <c r="BH934" s="43"/>
      <c r="BI934" s="43"/>
      <c r="BJ934" s="43"/>
      <c r="BK934" s="43"/>
      <c r="BL934" s="43"/>
      <c r="BM934" s="43"/>
      <c r="BN934" s="43"/>
      <c r="BO934" s="43"/>
      <c r="BP934" s="43"/>
      <c r="BQ934" s="43"/>
      <c r="BR934" s="43"/>
      <c r="BS934" s="43"/>
      <c r="BT934" s="43"/>
      <c r="BU934" s="43"/>
      <c r="BV934" s="43"/>
      <c r="BW934" s="43"/>
      <c r="BX934" s="43"/>
      <c r="BY934" s="43"/>
      <c r="BZ934" s="43"/>
      <c r="CA934" s="43"/>
      <c r="CB934" s="43"/>
      <c r="CC934" s="43"/>
      <c r="CD934" s="43"/>
      <c r="CE934" s="43"/>
      <c r="CF934" s="43"/>
      <c r="CG934" s="43"/>
      <c r="CH934" s="43"/>
      <c r="CI934" s="43"/>
      <c r="CJ934" s="43"/>
      <c r="CK934" s="43"/>
      <c r="CL934" s="43"/>
      <c r="CM934" s="43"/>
      <c r="CN934" s="43"/>
      <c r="CO934" s="43"/>
      <c r="CP934" s="43"/>
      <c r="CQ934" s="43"/>
      <c r="CR934" s="43"/>
      <c r="CS934" s="43"/>
      <c r="CT934" s="43"/>
      <c r="CU934" s="43"/>
      <c r="CV934" s="43"/>
      <c r="CW934" s="43"/>
      <c r="CX934" s="43"/>
      <c r="CY934" s="43"/>
      <c r="CZ934" s="43"/>
      <c r="DA934" s="43"/>
      <c r="DB934" s="43"/>
      <c r="DC934" s="43"/>
      <c r="DD934" s="43"/>
      <c r="DE934" s="43"/>
      <c r="DF934" s="43"/>
      <c r="DG934" s="43"/>
      <c r="DH934" s="43"/>
      <c r="DI934" s="43"/>
      <c r="DJ934" s="43"/>
      <c r="DK934" s="43"/>
      <c r="DL934" s="43"/>
      <c r="DM934" s="43"/>
      <c r="DN934" s="43"/>
      <c r="DO934" s="43"/>
      <c r="DP934" s="43"/>
      <c r="DQ934" s="43"/>
      <c r="DR934" s="43"/>
      <c r="DS934" s="43"/>
      <c r="DT934" s="43"/>
      <c r="DU934" s="43"/>
      <c r="DV934" s="43"/>
      <c r="DW934" s="43"/>
      <c r="DX934" s="43"/>
      <c r="DY934" s="43"/>
      <c r="DZ934" s="43"/>
      <c r="EA934" s="43"/>
      <c r="EB934" s="43"/>
      <c r="EC934" s="43"/>
      <c r="ED934" s="43"/>
      <c r="EE934" s="43"/>
      <c r="EF934" s="43"/>
      <c r="EG934" s="43"/>
      <c r="EH934" s="43"/>
      <c r="EI934" s="43"/>
      <c r="EJ934" s="43"/>
      <c r="EK934" s="43"/>
      <c r="EL934" s="43"/>
      <c r="EM934" s="43"/>
      <c r="EN934" s="43"/>
      <c r="EO934" s="43"/>
      <c r="EP934" s="43"/>
      <c r="EQ934" s="43"/>
      <c r="ER934" s="43"/>
      <c r="ES934" s="43"/>
      <c r="ET934" s="43"/>
      <c r="EU934" s="43"/>
      <c r="EV934" s="43"/>
      <c r="EW934" s="43"/>
      <c r="EX934" s="43"/>
      <c r="EY934" s="43"/>
      <c r="EZ934" s="43"/>
      <c r="FA934" s="43"/>
      <c r="FB934" s="43"/>
      <c r="FC934" s="43"/>
      <c r="FD934" s="43"/>
      <c r="FE934" s="43"/>
      <c r="FF934" s="43"/>
      <c r="FG934" s="43"/>
      <c r="FH934" s="50"/>
      <c r="FI934" s="50"/>
    </row>
    <row r="935" ht="14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  <c r="AX935" s="43"/>
      <c r="AY935" s="43"/>
      <c r="AZ935" s="43"/>
      <c r="BA935" s="43"/>
      <c r="BB935" s="43"/>
      <c r="BC935" s="43"/>
      <c r="BD935" s="43"/>
      <c r="BE935" s="43"/>
      <c r="BF935" s="43"/>
      <c r="BG935" s="43"/>
      <c r="BH935" s="43"/>
      <c r="BI935" s="43"/>
      <c r="BJ935" s="43"/>
      <c r="BK935" s="43"/>
      <c r="BL935" s="43"/>
      <c r="BM935" s="43"/>
      <c r="BN935" s="43"/>
      <c r="BO935" s="43"/>
      <c r="BP935" s="43"/>
      <c r="BQ935" s="43"/>
      <c r="BR935" s="43"/>
      <c r="BS935" s="43"/>
      <c r="BT935" s="43"/>
      <c r="BU935" s="43"/>
      <c r="BV935" s="43"/>
      <c r="BW935" s="43"/>
      <c r="BX935" s="43"/>
      <c r="BY935" s="43"/>
      <c r="BZ935" s="43"/>
      <c r="CA935" s="43"/>
      <c r="CB935" s="43"/>
      <c r="CC935" s="43"/>
      <c r="CD935" s="43"/>
      <c r="CE935" s="43"/>
      <c r="CF935" s="43"/>
      <c r="CG935" s="43"/>
      <c r="CH935" s="43"/>
      <c r="CI935" s="43"/>
      <c r="CJ935" s="43"/>
      <c r="CK935" s="43"/>
      <c r="CL935" s="43"/>
      <c r="CM935" s="43"/>
      <c r="CN935" s="43"/>
      <c r="CO935" s="43"/>
      <c r="CP935" s="43"/>
      <c r="CQ935" s="43"/>
      <c r="CR935" s="43"/>
      <c r="CS935" s="43"/>
      <c r="CT935" s="43"/>
      <c r="CU935" s="43"/>
      <c r="CV935" s="43"/>
      <c r="CW935" s="43"/>
      <c r="CX935" s="43"/>
      <c r="CY935" s="43"/>
      <c r="CZ935" s="43"/>
      <c r="DA935" s="43"/>
      <c r="DB935" s="43"/>
      <c r="DC935" s="43"/>
      <c r="DD935" s="43"/>
      <c r="DE935" s="43"/>
      <c r="DF935" s="43"/>
      <c r="DG935" s="43"/>
      <c r="DH935" s="43"/>
      <c r="DI935" s="43"/>
      <c r="DJ935" s="43"/>
      <c r="DK935" s="43"/>
      <c r="DL935" s="43"/>
      <c r="DM935" s="43"/>
      <c r="DN935" s="43"/>
      <c r="DO935" s="43"/>
      <c r="DP935" s="43"/>
      <c r="DQ935" s="43"/>
      <c r="DR935" s="43"/>
      <c r="DS935" s="43"/>
      <c r="DT935" s="43"/>
      <c r="DU935" s="43"/>
      <c r="DV935" s="43"/>
      <c r="DW935" s="43"/>
      <c r="DX935" s="43"/>
      <c r="DY935" s="43"/>
      <c r="DZ935" s="43"/>
      <c r="EA935" s="43"/>
      <c r="EB935" s="43"/>
      <c r="EC935" s="43"/>
      <c r="ED935" s="43"/>
      <c r="EE935" s="43"/>
      <c r="EF935" s="43"/>
      <c r="EG935" s="43"/>
      <c r="EH935" s="43"/>
      <c r="EI935" s="43"/>
      <c r="EJ935" s="43"/>
      <c r="EK935" s="43"/>
      <c r="EL935" s="43"/>
      <c r="EM935" s="43"/>
      <c r="EN935" s="43"/>
      <c r="EO935" s="43"/>
      <c r="EP935" s="43"/>
      <c r="EQ935" s="43"/>
      <c r="ER935" s="43"/>
      <c r="ES935" s="43"/>
      <c r="ET935" s="43"/>
      <c r="EU935" s="43"/>
      <c r="EV935" s="43"/>
      <c r="EW935" s="43"/>
      <c r="EX935" s="43"/>
      <c r="EY935" s="43"/>
      <c r="EZ935" s="43"/>
      <c r="FA935" s="43"/>
      <c r="FB935" s="43"/>
      <c r="FC935" s="43"/>
      <c r="FD935" s="43"/>
      <c r="FE935" s="43"/>
      <c r="FF935" s="43"/>
      <c r="FG935" s="43"/>
      <c r="FH935" s="50"/>
      <c r="FI935" s="50"/>
    </row>
    <row r="936" ht="14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  <c r="AX936" s="43"/>
      <c r="AY936" s="43"/>
      <c r="AZ936" s="43"/>
      <c r="BA936" s="43"/>
      <c r="BB936" s="43"/>
      <c r="BC936" s="43"/>
      <c r="BD936" s="43"/>
      <c r="BE936" s="43"/>
      <c r="BF936" s="43"/>
      <c r="BG936" s="43"/>
      <c r="BH936" s="43"/>
      <c r="BI936" s="43"/>
      <c r="BJ936" s="43"/>
      <c r="BK936" s="43"/>
      <c r="BL936" s="43"/>
      <c r="BM936" s="43"/>
      <c r="BN936" s="43"/>
      <c r="BO936" s="43"/>
      <c r="BP936" s="43"/>
      <c r="BQ936" s="43"/>
      <c r="BR936" s="43"/>
      <c r="BS936" s="43"/>
      <c r="BT936" s="43"/>
      <c r="BU936" s="43"/>
      <c r="BV936" s="43"/>
      <c r="BW936" s="43"/>
      <c r="BX936" s="43"/>
      <c r="BY936" s="43"/>
      <c r="BZ936" s="43"/>
      <c r="CA936" s="43"/>
      <c r="CB936" s="43"/>
      <c r="CC936" s="43"/>
      <c r="CD936" s="43"/>
      <c r="CE936" s="43"/>
      <c r="CF936" s="43"/>
      <c r="CG936" s="43"/>
      <c r="CH936" s="43"/>
      <c r="CI936" s="43"/>
      <c r="CJ936" s="43"/>
      <c r="CK936" s="43"/>
      <c r="CL936" s="43"/>
      <c r="CM936" s="43"/>
      <c r="CN936" s="43"/>
      <c r="CO936" s="43"/>
      <c r="CP936" s="43"/>
      <c r="CQ936" s="43"/>
      <c r="CR936" s="43"/>
      <c r="CS936" s="43"/>
      <c r="CT936" s="43"/>
      <c r="CU936" s="43"/>
      <c r="CV936" s="43"/>
      <c r="CW936" s="43"/>
      <c r="CX936" s="43"/>
      <c r="CY936" s="43"/>
      <c r="CZ936" s="43"/>
      <c r="DA936" s="43"/>
      <c r="DB936" s="43"/>
      <c r="DC936" s="43"/>
      <c r="DD936" s="43"/>
      <c r="DE936" s="43"/>
      <c r="DF936" s="43"/>
      <c r="DG936" s="43"/>
      <c r="DH936" s="43"/>
      <c r="DI936" s="43"/>
      <c r="DJ936" s="43"/>
      <c r="DK936" s="43"/>
      <c r="DL936" s="43"/>
      <c r="DM936" s="43"/>
      <c r="DN936" s="43"/>
      <c r="DO936" s="43"/>
      <c r="DP936" s="43"/>
      <c r="DQ936" s="43"/>
      <c r="DR936" s="43"/>
      <c r="DS936" s="43"/>
      <c r="DT936" s="43"/>
      <c r="DU936" s="43"/>
      <c r="DV936" s="43"/>
      <c r="DW936" s="43"/>
      <c r="DX936" s="43"/>
      <c r="DY936" s="43"/>
      <c r="DZ936" s="43"/>
      <c r="EA936" s="43"/>
      <c r="EB936" s="43"/>
      <c r="EC936" s="43"/>
      <c r="ED936" s="43"/>
      <c r="EE936" s="43"/>
      <c r="EF936" s="43"/>
      <c r="EG936" s="43"/>
      <c r="EH936" s="43"/>
      <c r="EI936" s="43"/>
      <c r="EJ936" s="43"/>
      <c r="EK936" s="43"/>
      <c r="EL936" s="43"/>
      <c r="EM936" s="43"/>
      <c r="EN936" s="43"/>
      <c r="EO936" s="43"/>
      <c r="EP936" s="43"/>
      <c r="EQ936" s="43"/>
      <c r="ER936" s="43"/>
      <c r="ES936" s="43"/>
      <c r="ET936" s="43"/>
      <c r="EU936" s="43"/>
      <c r="EV936" s="43"/>
      <c r="EW936" s="43"/>
      <c r="EX936" s="43"/>
      <c r="EY936" s="43"/>
      <c r="EZ936" s="43"/>
      <c r="FA936" s="43"/>
      <c r="FB936" s="43"/>
      <c r="FC936" s="43"/>
      <c r="FD936" s="43"/>
      <c r="FE936" s="43"/>
      <c r="FF936" s="43"/>
      <c r="FG936" s="43"/>
      <c r="FH936" s="50"/>
      <c r="FI936" s="50"/>
    </row>
    <row r="937" ht="14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  <c r="AX937" s="43"/>
      <c r="AY937" s="43"/>
      <c r="AZ937" s="43"/>
      <c r="BA937" s="43"/>
      <c r="BB937" s="43"/>
      <c r="BC937" s="43"/>
      <c r="BD937" s="43"/>
      <c r="BE937" s="43"/>
      <c r="BF937" s="43"/>
      <c r="BG937" s="43"/>
      <c r="BH937" s="43"/>
      <c r="BI937" s="43"/>
      <c r="BJ937" s="43"/>
      <c r="BK937" s="43"/>
      <c r="BL937" s="43"/>
      <c r="BM937" s="43"/>
      <c r="BN937" s="43"/>
      <c r="BO937" s="43"/>
      <c r="BP937" s="43"/>
      <c r="BQ937" s="43"/>
      <c r="BR937" s="43"/>
      <c r="BS937" s="43"/>
      <c r="BT937" s="43"/>
      <c r="BU937" s="43"/>
      <c r="BV937" s="43"/>
      <c r="BW937" s="43"/>
      <c r="BX937" s="43"/>
      <c r="BY937" s="43"/>
      <c r="BZ937" s="43"/>
      <c r="CA937" s="43"/>
      <c r="CB937" s="43"/>
      <c r="CC937" s="43"/>
      <c r="CD937" s="43"/>
      <c r="CE937" s="43"/>
      <c r="CF937" s="43"/>
      <c r="CG937" s="43"/>
      <c r="CH937" s="43"/>
      <c r="CI937" s="43"/>
      <c r="CJ937" s="43"/>
      <c r="CK937" s="43"/>
      <c r="CL937" s="43"/>
      <c r="CM937" s="43"/>
      <c r="CN937" s="43"/>
      <c r="CO937" s="43"/>
      <c r="CP937" s="43"/>
      <c r="CQ937" s="43"/>
      <c r="CR937" s="43"/>
      <c r="CS937" s="43"/>
      <c r="CT937" s="43"/>
      <c r="CU937" s="43"/>
      <c r="CV937" s="43"/>
      <c r="CW937" s="43"/>
      <c r="CX937" s="43"/>
      <c r="CY937" s="43"/>
      <c r="CZ937" s="43"/>
      <c r="DA937" s="43"/>
      <c r="DB937" s="43"/>
      <c r="DC937" s="43"/>
      <c r="DD937" s="43"/>
      <c r="DE937" s="43"/>
      <c r="DF937" s="43"/>
      <c r="DG937" s="43"/>
      <c r="DH937" s="43"/>
      <c r="DI937" s="43"/>
      <c r="DJ937" s="43"/>
      <c r="DK937" s="43"/>
      <c r="DL937" s="43"/>
      <c r="DM937" s="43"/>
      <c r="DN937" s="43"/>
      <c r="DO937" s="43"/>
      <c r="DP937" s="43"/>
      <c r="DQ937" s="43"/>
      <c r="DR937" s="43"/>
      <c r="DS937" s="43"/>
      <c r="DT937" s="43"/>
      <c r="DU937" s="43"/>
      <c r="DV937" s="43"/>
      <c r="DW937" s="43"/>
      <c r="DX937" s="43"/>
      <c r="DY937" s="43"/>
      <c r="DZ937" s="43"/>
      <c r="EA937" s="43"/>
      <c r="EB937" s="43"/>
      <c r="EC937" s="43"/>
      <c r="ED937" s="43"/>
      <c r="EE937" s="43"/>
      <c r="EF937" s="43"/>
      <c r="EG937" s="43"/>
      <c r="EH937" s="43"/>
      <c r="EI937" s="43"/>
      <c r="EJ937" s="43"/>
      <c r="EK937" s="43"/>
      <c r="EL937" s="43"/>
      <c r="EM937" s="43"/>
      <c r="EN937" s="43"/>
      <c r="EO937" s="43"/>
      <c r="EP937" s="43"/>
      <c r="EQ937" s="43"/>
      <c r="ER937" s="43"/>
      <c r="ES937" s="43"/>
      <c r="ET937" s="43"/>
      <c r="EU937" s="43"/>
      <c r="EV937" s="43"/>
      <c r="EW937" s="43"/>
      <c r="EX937" s="43"/>
      <c r="EY937" s="43"/>
      <c r="EZ937" s="43"/>
      <c r="FA937" s="43"/>
      <c r="FB937" s="43"/>
      <c r="FC937" s="43"/>
      <c r="FD937" s="43"/>
      <c r="FE937" s="43"/>
      <c r="FF937" s="43"/>
      <c r="FG937" s="43"/>
      <c r="FH937" s="50"/>
      <c r="FI937" s="50"/>
    </row>
    <row r="938" ht="14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  <c r="AX938" s="43"/>
      <c r="AY938" s="43"/>
      <c r="AZ938" s="43"/>
      <c r="BA938" s="43"/>
      <c r="BB938" s="43"/>
      <c r="BC938" s="43"/>
      <c r="BD938" s="43"/>
      <c r="BE938" s="43"/>
      <c r="BF938" s="43"/>
      <c r="BG938" s="43"/>
      <c r="BH938" s="43"/>
      <c r="BI938" s="43"/>
      <c r="BJ938" s="43"/>
      <c r="BK938" s="43"/>
      <c r="BL938" s="43"/>
      <c r="BM938" s="43"/>
      <c r="BN938" s="43"/>
      <c r="BO938" s="43"/>
      <c r="BP938" s="43"/>
      <c r="BQ938" s="43"/>
      <c r="BR938" s="43"/>
      <c r="BS938" s="43"/>
      <c r="BT938" s="43"/>
      <c r="BU938" s="43"/>
      <c r="BV938" s="43"/>
      <c r="BW938" s="43"/>
      <c r="BX938" s="43"/>
      <c r="BY938" s="43"/>
      <c r="BZ938" s="43"/>
      <c r="CA938" s="43"/>
      <c r="CB938" s="43"/>
      <c r="CC938" s="43"/>
      <c r="CD938" s="43"/>
      <c r="CE938" s="43"/>
      <c r="CF938" s="43"/>
      <c r="CG938" s="43"/>
      <c r="CH938" s="43"/>
      <c r="CI938" s="43"/>
      <c r="CJ938" s="43"/>
      <c r="CK938" s="43"/>
      <c r="CL938" s="43"/>
      <c r="CM938" s="43"/>
      <c r="CN938" s="43"/>
      <c r="CO938" s="43"/>
      <c r="CP938" s="43"/>
      <c r="CQ938" s="43"/>
      <c r="CR938" s="43"/>
      <c r="CS938" s="43"/>
      <c r="CT938" s="43"/>
      <c r="CU938" s="43"/>
      <c r="CV938" s="43"/>
      <c r="CW938" s="43"/>
      <c r="CX938" s="43"/>
      <c r="CY938" s="43"/>
      <c r="CZ938" s="43"/>
      <c r="DA938" s="43"/>
      <c r="DB938" s="43"/>
      <c r="DC938" s="43"/>
      <c r="DD938" s="43"/>
      <c r="DE938" s="43"/>
      <c r="DF938" s="43"/>
      <c r="DG938" s="43"/>
      <c r="DH938" s="43"/>
      <c r="DI938" s="43"/>
      <c r="DJ938" s="43"/>
      <c r="DK938" s="43"/>
      <c r="DL938" s="43"/>
      <c r="DM938" s="43"/>
      <c r="DN938" s="43"/>
      <c r="DO938" s="43"/>
      <c r="DP938" s="43"/>
      <c r="DQ938" s="43"/>
      <c r="DR938" s="43"/>
      <c r="DS938" s="43"/>
      <c r="DT938" s="43"/>
      <c r="DU938" s="43"/>
      <c r="DV938" s="43"/>
      <c r="DW938" s="43"/>
      <c r="DX938" s="43"/>
      <c r="DY938" s="43"/>
      <c r="DZ938" s="43"/>
      <c r="EA938" s="43"/>
      <c r="EB938" s="43"/>
      <c r="EC938" s="43"/>
      <c r="ED938" s="43"/>
      <c r="EE938" s="43"/>
      <c r="EF938" s="43"/>
      <c r="EG938" s="43"/>
      <c r="EH938" s="43"/>
      <c r="EI938" s="43"/>
      <c r="EJ938" s="43"/>
      <c r="EK938" s="43"/>
      <c r="EL938" s="43"/>
      <c r="EM938" s="43"/>
      <c r="EN938" s="43"/>
      <c r="EO938" s="43"/>
      <c r="EP938" s="43"/>
      <c r="EQ938" s="43"/>
      <c r="ER938" s="43"/>
      <c r="ES938" s="43"/>
      <c r="ET938" s="43"/>
      <c r="EU938" s="43"/>
      <c r="EV938" s="43"/>
      <c r="EW938" s="43"/>
      <c r="EX938" s="43"/>
      <c r="EY938" s="43"/>
      <c r="EZ938" s="43"/>
      <c r="FA938" s="43"/>
      <c r="FB938" s="43"/>
      <c r="FC938" s="43"/>
      <c r="FD938" s="43"/>
      <c r="FE938" s="43"/>
      <c r="FF938" s="43"/>
      <c r="FG938" s="43"/>
      <c r="FH938" s="50"/>
      <c r="FI938" s="50"/>
    </row>
    <row r="939" ht="14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  <c r="AX939" s="43"/>
      <c r="AY939" s="43"/>
      <c r="AZ939" s="43"/>
      <c r="BA939" s="43"/>
      <c r="BB939" s="43"/>
      <c r="BC939" s="43"/>
      <c r="BD939" s="43"/>
      <c r="BE939" s="43"/>
      <c r="BF939" s="43"/>
      <c r="BG939" s="43"/>
      <c r="BH939" s="43"/>
      <c r="BI939" s="43"/>
      <c r="BJ939" s="43"/>
      <c r="BK939" s="43"/>
      <c r="BL939" s="43"/>
      <c r="BM939" s="43"/>
      <c r="BN939" s="43"/>
      <c r="BO939" s="43"/>
      <c r="BP939" s="43"/>
      <c r="BQ939" s="43"/>
      <c r="BR939" s="43"/>
      <c r="BS939" s="43"/>
      <c r="BT939" s="43"/>
      <c r="BU939" s="43"/>
      <c r="BV939" s="43"/>
      <c r="BW939" s="43"/>
      <c r="BX939" s="43"/>
      <c r="BY939" s="43"/>
      <c r="BZ939" s="43"/>
      <c r="CA939" s="43"/>
      <c r="CB939" s="43"/>
      <c r="CC939" s="43"/>
      <c r="CD939" s="43"/>
      <c r="CE939" s="43"/>
      <c r="CF939" s="43"/>
      <c r="CG939" s="43"/>
      <c r="CH939" s="43"/>
      <c r="CI939" s="43"/>
      <c r="CJ939" s="43"/>
      <c r="CK939" s="43"/>
      <c r="CL939" s="43"/>
      <c r="CM939" s="43"/>
      <c r="CN939" s="43"/>
      <c r="CO939" s="43"/>
      <c r="CP939" s="43"/>
      <c r="CQ939" s="43"/>
      <c r="CR939" s="43"/>
      <c r="CS939" s="43"/>
      <c r="CT939" s="43"/>
      <c r="CU939" s="43"/>
      <c r="CV939" s="43"/>
      <c r="CW939" s="43"/>
      <c r="CX939" s="43"/>
      <c r="CY939" s="43"/>
      <c r="CZ939" s="43"/>
      <c r="DA939" s="43"/>
      <c r="DB939" s="43"/>
      <c r="DC939" s="43"/>
      <c r="DD939" s="43"/>
      <c r="DE939" s="43"/>
      <c r="DF939" s="43"/>
      <c r="DG939" s="43"/>
      <c r="DH939" s="43"/>
      <c r="DI939" s="43"/>
      <c r="DJ939" s="43"/>
      <c r="DK939" s="43"/>
      <c r="DL939" s="43"/>
      <c r="DM939" s="43"/>
      <c r="DN939" s="43"/>
      <c r="DO939" s="43"/>
      <c r="DP939" s="43"/>
      <c r="DQ939" s="43"/>
      <c r="DR939" s="43"/>
      <c r="DS939" s="43"/>
      <c r="DT939" s="43"/>
      <c r="DU939" s="43"/>
      <c r="DV939" s="43"/>
      <c r="DW939" s="43"/>
      <c r="DX939" s="43"/>
      <c r="DY939" s="43"/>
      <c r="DZ939" s="43"/>
      <c r="EA939" s="43"/>
      <c r="EB939" s="43"/>
      <c r="EC939" s="43"/>
      <c r="ED939" s="43"/>
      <c r="EE939" s="43"/>
      <c r="EF939" s="43"/>
      <c r="EG939" s="43"/>
      <c r="EH939" s="43"/>
      <c r="EI939" s="43"/>
      <c r="EJ939" s="43"/>
      <c r="EK939" s="43"/>
      <c r="EL939" s="43"/>
      <c r="EM939" s="43"/>
      <c r="EN939" s="43"/>
      <c r="EO939" s="43"/>
      <c r="EP939" s="43"/>
      <c r="EQ939" s="43"/>
      <c r="ER939" s="43"/>
      <c r="ES939" s="43"/>
      <c r="ET939" s="43"/>
      <c r="EU939" s="43"/>
      <c r="EV939" s="43"/>
      <c r="EW939" s="43"/>
      <c r="EX939" s="43"/>
      <c r="EY939" s="43"/>
      <c r="EZ939" s="43"/>
      <c r="FA939" s="43"/>
      <c r="FB939" s="43"/>
      <c r="FC939" s="43"/>
      <c r="FD939" s="43"/>
      <c r="FE939" s="43"/>
      <c r="FF939" s="43"/>
      <c r="FG939" s="43"/>
      <c r="FH939" s="50"/>
      <c r="FI939" s="50"/>
    </row>
    <row r="940" ht="14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  <c r="AX940" s="43"/>
      <c r="AY940" s="43"/>
      <c r="AZ940" s="43"/>
      <c r="BA940" s="43"/>
      <c r="BB940" s="43"/>
      <c r="BC940" s="43"/>
      <c r="BD940" s="43"/>
      <c r="BE940" s="43"/>
      <c r="BF940" s="43"/>
      <c r="BG940" s="43"/>
      <c r="BH940" s="43"/>
      <c r="BI940" s="43"/>
      <c r="BJ940" s="43"/>
      <c r="BK940" s="43"/>
      <c r="BL940" s="43"/>
      <c r="BM940" s="43"/>
      <c r="BN940" s="43"/>
      <c r="BO940" s="43"/>
      <c r="BP940" s="43"/>
      <c r="BQ940" s="43"/>
      <c r="BR940" s="43"/>
      <c r="BS940" s="43"/>
      <c r="BT940" s="43"/>
      <c r="BU940" s="43"/>
      <c r="BV940" s="43"/>
      <c r="BW940" s="43"/>
      <c r="BX940" s="43"/>
      <c r="BY940" s="43"/>
      <c r="BZ940" s="43"/>
      <c r="CA940" s="43"/>
      <c r="CB940" s="43"/>
      <c r="CC940" s="43"/>
      <c r="CD940" s="43"/>
      <c r="CE940" s="43"/>
      <c r="CF940" s="43"/>
      <c r="CG940" s="43"/>
      <c r="CH940" s="43"/>
      <c r="CI940" s="43"/>
      <c r="CJ940" s="43"/>
      <c r="CK940" s="43"/>
      <c r="CL940" s="43"/>
      <c r="CM940" s="43"/>
      <c r="CN940" s="43"/>
      <c r="CO940" s="43"/>
      <c r="CP940" s="43"/>
      <c r="CQ940" s="43"/>
      <c r="CR940" s="43"/>
      <c r="CS940" s="43"/>
      <c r="CT940" s="43"/>
      <c r="CU940" s="43"/>
      <c r="CV940" s="43"/>
      <c r="CW940" s="43"/>
      <c r="CX940" s="43"/>
      <c r="CY940" s="43"/>
      <c r="CZ940" s="43"/>
      <c r="DA940" s="43"/>
      <c r="DB940" s="43"/>
      <c r="DC940" s="43"/>
      <c r="DD940" s="43"/>
      <c r="DE940" s="43"/>
      <c r="DF940" s="43"/>
      <c r="DG940" s="43"/>
      <c r="DH940" s="43"/>
      <c r="DI940" s="43"/>
      <c r="DJ940" s="43"/>
      <c r="DK940" s="43"/>
      <c r="DL940" s="43"/>
      <c r="DM940" s="43"/>
      <c r="DN940" s="43"/>
      <c r="DO940" s="43"/>
      <c r="DP940" s="43"/>
      <c r="DQ940" s="43"/>
      <c r="DR940" s="43"/>
      <c r="DS940" s="43"/>
      <c r="DT940" s="43"/>
      <c r="DU940" s="43"/>
      <c r="DV940" s="43"/>
      <c r="DW940" s="43"/>
      <c r="DX940" s="43"/>
      <c r="DY940" s="43"/>
      <c r="DZ940" s="43"/>
      <c r="EA940" s="43"/>
      <c r="EB940" s="43"/>
      <c r="EC940" s="43"/>
      <c r="ED940" s="43"/>
      <c r="EE940" s="43"/>
      <c r="EF940" s="43"/>
      <c r="EG940" s="43"/>
      <c r="EH940" s="43"/>
      <c r="EI940" s="43"/>
      <c r="EJ940" s="43"/>
      <c r="EK940" s="43"/>
      <c r="EL940" s="43"/>
      <c r="EM940" s="43"/>
      <c r="EN940" s="43"/>
      <c r="EO940" s="43"/>
      <c r="EP940" s="43"/>
      <c r="EQ940" s="43"/>
      <c r="ER940" s="43"/>
      <c r="ES940" s="43"/>
      <c r="ET940" s="43"/>
      <c r="EU940" s="43"/>
      <c r="EV940" s="43"/>
      <c r="EW940" s="43"/>
      <c r="EX940" s="43"/>
      <c r="EY940" s="43"/>
      <c r="EZ940" s="43"/>
      <c r="FA940" s="43"/>
      <c r="FB940" s="43"/>
      <c r="FC940" s="43"/>
      <c r="FD940" s="43"/>
      <c r="FE940" s="43"/>
      <c r="FF940" s="43"/>
      <c r="FG940" s="43"/>
      <c r="FH940" s="50"/>
      <c r="FI940" s="50"/>
    </row>
    <row r="941" ht="14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  <c r="AX941" s="43"/>
      <c r="AY941" s="43"/>
      <c r="AZ941" s="43"/>
      <c r="BA941" s="43"/>
      <c r="BB941" s="43"/>
      <c r="BC941" s="43"/>
      <c r="BD941" s="43"/>
      <c r="BE941" s="43"/>
      <c r="BF941" s="43"/>
      <c r="BG941" s="43"/>
      <c r="BH941" s="43"/>
      <c r="BI941" s="43"/>
      <c r="BJ941" s="43"/>
      <c r="BK941" s="43"/>
      <c r="BL941" s="43"/>
      <c r="BM941" s="43"/>
      <c r="BN941" s="43"/>
      <c r="BO941" s="43"/>
      <c r="BP941" s="43"/>
      <c r="BQ941" s="43"/>
      <c r="BR941" s="43"/>
      <c r="BS941" s="43"/>
      <c r="BT941" s="43"/>
      <c r="BU941" s="43"/>
      <c r="BV941" s="43"/>
      <c r="BW941" s="43"/>
      <c r="BX941" s="43"/>
      <c r="BY941" s="43"/>
      <c r="BZ941" s="43"/>
      <c r="CA941" s="43"/>
      <c r="CB941" s="43"/>
      <c r="CC941" s="43"/>
      <c r="CD941" s="43"/>
      <c r="CE941" s="43"/>
      <c r="CF941" s="43"/>
      <c r="CG941" s="43"/>
      <c r="CH941" s="43"/>
      <c r="CI941" s="43"/>
      <c r="CJ941" s="43"/>
      <c r="CK941" s="43"/>
      <c r="CL941" s="43"/>
      <c r="CM941" s="43"/>
      <c r="CN941" s="43"/>
      <c r="CO941" s="43"/>
      <c r="CP941" s="43"/>
      <c r="CQ941" s="43"/>
      <c r="CR941" s="43"/>
      <c r="CS941" s="43"/>
      <c r="CT941" s="43"/>
      <c r="CU941" s="43"/>
      <c r="CV941" s="43"/>
      <c r="CW941" s="43"/>
      <c r="CX941" s="43"/>
      <c r="CY941" s="43"/>
      <c r="CZ941" s="43"/>
      <c r="DA941" s="43"/>
      <c r="DB941" s="43"/>
      <c r="DC941" s="43"/>
      <c r="DD941" s="43"/>
      <c r="DE941" s="43"/>
      <c r="DF941" s="43"/>
      <c r="DG941" s="43"/>
      <c r="DH941" s="43"/>
      <c r="DI941" s="43"/>
      <c r="DJ941" s="43"/>
      <c r="DK941" s="43"/>
      <c r="DL941" s="43"/>
      <c r="DM941" s="43"/>
      <c r="DN941" s="43"/>
      <c r="DO941" s="43"/>
      <c r="DP941" s="43"/>
      <c r="DQ941" s="43"/>
      <c r="DR941" s="43"/>
      <c r="DS941" s="43"/>
      <c r="DT941" s="43"/>
      <c r="DU941" s="43"/>
      <c r="DV941" s="43"/>
      <c r="DW941" s="43"/>
      <c r="DX941" s="43"/>
      <c r="DY941" s="43"/>
      <c r="DZ941" s="43"/>
      <c r="EA941" s="43"/>
      <c r="EB941" s="43"/>
      <c r="EC941" s="43"/>
      <c r="ED941" s="43"/>
      <c r="EE941" s="43"/>
      <c r="EF941" s="43"/>
      <c r="EG941" s="43"/>
      <c r="EH941" s="43"/>
      <c r="EI941" s="43"/>
      <c r="EJ941" s="43"/>
      <c r="EK941" s="43"/>
      <c r="EL941" s="43"/>
      <c r="EM941" s="43"/>
      <c r="EN941" s="43"/>
      <c r="EO941" s="43"/>
      <c r="EP941" s="43"/>
      <c r="EQ941" s="43"/>
      <c r="ER941" s="43"/>
      <c r="ES941" s="43"/>
      <c r="ET941" s="43"/>
      <c r="EU941" s="43"/>
      <c r="EV941" s="43"/>
      <c r="EW941" s="43"/>
      <c r="EX941" s="43"/>
      <c r="EY941" s="43"/>
      <c r="EZ941" s="43"/>
      <c r="FA941" s="43"/>
      <c r="FB941" s="43"/>
      <c r="FC941" s="43"/>
      <c r="FD941" s="43"/>
      <c r="FE941" s="43"/>
      <c r="FF941" s="43"/>
      <c r="FG941" s="43"/>
      <c r="FH941" s="50"/>
      <c r="FI941" s="50"/>
    </row>
    <row r="942" ht="14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  <c r="AX942" s="43"/>
      <c r="AY942" s="43"/>
      <c r="AZ942" s="43"/>
      <c r="BA942" s="43"/>
      <c r="BB942" s="43"/>
      <c r="BC942" s="43"/>
      <c r="BD942" s="43"/>
      <c r="BE942" s="43"/>
      <c r="BF942" s="43"/>
      <c r="BG942" s="43"/>
      <c r="BH942" s="43"/>
      <c r="BI942" s="43"/>
      <c r="BJ942" s="43"/>
      <c r="BK942" s="43"/>
      <c r="BL942" s="43"/>
      <c r="BM942" s="43"/>
      <c r="BN942" s="43"/>
      <c r="BO942" s="43"/>
      <c r="BP942" s="43"/>
      <c r="BQ942" s="43"/>
      <c r="BR942" s="43"/>
      <c r="BS942" s="43"/>
      <c r="BT942" s="43"/>
      <c r="BU942" s="43"/>
      <c r="BV942" s="43"/>
      <c r="BW942" s="43"/>
      <c r="BX942" s="43"/>
      <c r="BY942" s="43"/>
      <c r="BZ942" s="43"/>
      <c r="CA942" s="43"/>
      <c r="CB942" s="43"/>
      <c r="CC942" s="43"/>
      <c r="CD942" s="43"/>
      <c r="CE942" s="43"/>
      <c r="CF942" s="43"/>
      <c r="CG942" s="43"/>
      <c r="CH942" s="43"/>
      <c r="CI942" s="43"/>
      <c r="CJ942" s="43"/>
      <c r="CK942" s="43"/>
      <c r="CL942" s="43"/>
      <c r="CM942" s="43"/>
      <c r="CN942" s="43"/>
      <c r="CO942" s="43"/>
      <c r="CP942" s="43"/>
      <c r="CQ942" s="43"/>
      <c r="CR942" s="43"/>
      <c r="CS942" s="43"/>
      <c r="CT942" s="43"/>
      <c r="CU942" s="43"/>
      <c r="CV942" s="43"/>
      <c r="CW942" s="43"/>
      <c r="CX942" s="43"/>
      <c r="CY942" s="43"/>
      <c r="CZ942" s="43"/>
      <c r="DA942" s="43"/>
      <c r="DB942" s="43"/>
      <c r="DC942" s="43"/>
      <c r="DD942" s="43"/>
      <c r="DE942" s="43"/>
      <c r="DF942" s="43"/>
      <c r="DG942" s="43"/>
      <c r="DH942" s="43"/>
      <c r="DI942" s="43"/>
      <c r="DJ942" s="43"/>
      <c r="DK942" s="43"/>
      <c r="DL942" s="43"/>
      <c r="DM942" s="43"/>
      <c r="DN942" s="43"/>
      <c r="DO942" s="43"/>
      <c r="DP942" s="43"/>
      <c r="DQ942" s="43"/>
      <c r="DR942" s="43"/>
      <c r="DS942" s="43"/>
      <c r="DT942" s="43"/>
      <c r="DU942" s="43"/>
      <c r="DV942" s="43"/>
      <c r="DW942" s="43"/>
      <c r="DX942" s="43"/>
      <c r="DY942" s="43"/>
      <c r="DZ942" s="43"/>
      <c r="EA942" s="43"/>
      <c r="EB942" s="43"/>
      <c r="EC942" s="43"/>
      <c r="ED942" s="43"/>
      <c r="EE942" s="43"/>
      <c r="EF942" s="43"/>
      <c r="EG942" s="43"/>
      <c r="EH942" s="43"/>
      <c r="EI942" s="43"/>
      <c r="EJ942" s="43"/>
      <c r="EK942" s="43"/>
      <c r="EL942" s="43"/>
      <c r="EM942" s="43"/>
      <c r="EN942" s="43"/>
      <c r="EO942" s="43"/>
      <c r="EP942" s="43"/>
      <c r="EQ942" s="43"/>
      <c r="ER942" s="43"/>
      <c r="ES942" s="43"/>
      <c r="ET942" s="43"/>
      <c r="EU942" s="43"/>
      <c r="EV942" s="43"/>
      <c r="EW942" s="43"/>
      <c r="EX942" s="43"/>
      <c r="EY942" s="43"/>
      <c r="EZ942" s="43"/>
      <c r="FA942" s="43"/>
      <c r="FB942" s="43"/>
      <c r="FC942" s="43"/>
      <c r="FD942" s="43"/>
      <c r="FE942" s="43"/>
      <c r="FF942" s="43"/>
      <c r="FG942" s="43"/>
      <c r="FH942" s="50"/>
      <c r="FI942" s="50"/>
    </row>
    <row r="943" ht="14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  <c r="AX943" s="43"/>
      <c r="AY943" s="43"/>
      <c r="AZ943" s="43"/>
      <c r="BA943" s="43"/>
      <c r="BB943" s="43"/>
      <c r="BC943" s="43"/>
      <c r="BD943" s="43"/>
      <c r="BE943" s="43"/>
      <c r="BF943" s="43"/>
      <c r="BG943" s="43"/>
      <c r="BH943" s="43"/>
      <c r="BI943" s="43"/>
      <c r="BJ943" s="43"/>
      <c r="BK943" s="43"/>
      <c r="BL943" s="43"/>
      <c r="BM943" s="43"/>
      <c r="BN943" s="43"/>
      <c r="BO943" s="43"/>
      <c r="BP943" s="43"/>
      <c r="BQ943" s="43"/>
      <c r="BR943" s="43"/>
      <c r="BS943" s="43"/>
      <c r="BT943" s="43"/>
      <c r="BU943" s="43"/>
      <c r="BV943" s="43"/>
      <c r="BW943" s="43"/>
      <c r="BX943" s="43"/>
      <c r="BY943" s="43"/>
      <c r="BZ943" s="43"/>
      <c r="CA943" s="43"/>
      <c r="CB943" s="43"/>
      <c r="CC943" s="43"/>
      <c r="CD943" s="43"/>
      <c r="CE943" s="43"/>
      <c r="CF943" s="43"/>
      <c r="CG943" s="43"/>
      <c r="CH943" s="43"/>
      <c r="CI943" s="43"/>
      <c r="CJ943" s="43"/>
      <c r="CK943" s="43"/>
      <c r="CL943" s="43"/>
      <c r="CM943" s="43"/>
      <c r="CN943" s="43"/>
      <c r="CO943" s="43"/>
      <c r="CP943" s="43"/>
      <c r="CQ943" s="43"/>
      <c r="CR943" s="43"/>
      <c r="CS943" s="43"/>
      <c r="CT943" s="43"/>
      <c r="CU943" s="43"/>
      <c r="CV943" s="43"/>
      <c r="CW943" s="43"/>
      <c r="CX943" s="43"/>
      <c r="CY943" s="43"/>
      <c r="CZ943" s="43"/>
      <c r="DA943" s="43"/>
      <c r="DB943" s="43"/>
      <c r="DC943" s="43"/>
      <c r="DD943" s="43"/>
      <c r="DE943" s="43"/>
      <c r="DF943" s="43"/>
      <c r="DG943" s="43"/>
      <c r="DH943" s="43"/>
      <c r="DI943" s="43"/>
      <c r="DJ943" s="43"/>
      <c r="DK943" s="43"/>
      <c r="DL943" s="43"/>
      <c r="DM943" s="43"/>
      <c r="DN943" s="43"/>
      <c r="DO943" s="43"/>
      <c r="DP943" s="43"/>
      <c r="DQ943" s="43"/>
      <c r="DR943" s="43"/>
      <c r="DS943" s="43"/>
      <c r="DT943" s="43"/>
      <c r="DU943" s="43"/>
      <c r="DV943" s="43"/>
      <c r="DW943" s="43"/>
      <c r="DX943" s="43"/>
      <c r="DY943" s="43"/>
      <c r="DZ943" s="43"/>
      <c r="EA943" s="43"/>
      <c r="EB943" s="43"/>
      <c r="EC943" s="43"/>
      <c r="ED943" s="43"/>
      <c r="EE943" s="43"/>
      <c r="EF943" s="43"/>
      <c r="EG943" s="43"/>
      <c r="EH943" s="43"/>
      <c r="EI943" s="43"/>
      <c r="EJ943" s="43"/>
      <c r="EK943" s="43"/>
      <c r="EL943" s="43"/>
      <c r="EM943" s="43"/>
      <c r="EN943" s="43"/>
      <c r="EO943" s="43"/>
      <c r="EP943" s="43"/>
      <c r="EQ943" s="43"/>
      <c r="ER943" s="43"/>
      <c r="ES943" s="43"/>
      <c r="ET943" s="43"/>
      <c r="EU943" s="43"/>
      <c r="EV943" s="43"/>
      <c r="EW943" s="43"/>
      <c r="EX943" s="43"/>
      <c r="EY943" s="43"/>
      <c r="EZ943" s="43"/>
      <c r="FA943" s="43"/>
      <c r="FB943" s="43"/>
      <c r="FC943" s="43"/>
      <c r="FD943" s="43"/>
      <c r="FE943" s="43"/>
      <c r="FF943" s="43"/>
      <c r="FG943" s="43"/>
      <c r="FH943" s="50"/>
      <c r="FI943" s="50"/>
    </row>
    <row r="944" ht="14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  <c r="AX944" s="43"/>
      <c r="AY944" s="43"/>
      <c r="AZ944" s="43"/>
      <c r="BA944" s="43"/>
      <c r="BB944" s="43"/>
      <c r="BC944" s="43"/>
      <c r="BD944" s="43"/>
      <c r="BE944" s="43"/>
      <c r="BF944" s="43"/>
      <c r="BG944" s="43"/>
      <c r="BH944" s="43"/>
      <c r="BI944" s="43"/>
      <c r="BJ944" s="43"/>
      <c r="BK944" s="43"/>
      <c r="BL944" s="43"/>
      <c r="BM944" s="43"/>
      <c r="BN944" s="43"/>
      <c r="BO944" s="43"/>
      <c r="BP944" s="43"/>
      <c r="BQ944" s="43"/>
      <c r="BR944" s="43"/>
      <c r="BS944" s="43"/>
      <c r="BT944" s="43"/>
      <c r="BU944" s="43"/>
      <c r="BV944" s="43"/>
      <c r="BW944" s="43"/>
      <c r="BX944" s="43"/>
      <c r="BY944" s="43"/>
      <c r="BZ944" s="43"/>
      <c r="CA944" s="43"/>
      <c r="CB944" s="43"/>
      <c r="CC944" s="43"/>
      <c r="CD944" s="43"/>
      <c r="CE944" s="43"/>
      <c r="CF944" s="43"/>
      <c r="CG944" s="43"/>
      <c r="CH944" s="43"/>
      <c r="CI944" s="43"/>
      <c r="CJ944" s="43"/>
      <c r="CK944" s="43"/>
      <c r="CL944" s="43"/>
      <c r="CM944" s="43"/>
      <c r="CN944" s="43"/>
      <c r="CO944" s="43"/>
      <c r="CP944" s="43"/>
      <c r="CQ944" s="43"/>
      <c r="CR944" s="43"/>
      <c r="CS944" s="43"/>
      <c r="CT944" s="43"/>
      <c r="CU944" s="43"/>
      <c r="CV944" s="43"/>
      <c r="CW944" s="43"/>
      <c r="CX944" s="43"/>
      <c r="CY944" s="43"/>
      <c r="CZ944" s="43"/>
      <c r="DA944" s="43"/>
      <c r="DB944" s="43"/>
      <c r="DC944" s="43"/>
      <c r="DD944" s="43"/>
      <c r="DE944" s="43"/>
      <c r="DF944" s="43"/>
      <c r="DG944" s="43"/>
      <c r="DH944" s="43"/>
      <c r="DI944" s="43"/>
      <c r="DJ944" s="43"/>
      <c r="DK944" s="43"/>
      <c r="DL944" s="43"/>
      <c r="DM944" s="43"/>
      <c r="DN944" s="43"/>
      <c r="DO944" s="43"/>
      <c r="DP944" s="43"/>
      <c r="DQ944" s="43"/>
      <c r="DR944" s="43"/>
      <c r="DS944" s="43"/>
      <c r="DT944" s="43"/>
      <c r="DU944" s="43"/>
      <c r="DV944" s="43"/>
      <c r="DW944" s="43"/>
      <c r="DX944" s="43"/>
      <c r="DY944" s="43"/>
      <c r="DZ944" s="43"/>
      <c r="EA944" s="43"/>
      <c r="EB944" s="43"/>
      <c r="EC944" s="43"/>
      <c r="ED944" s="43"/>
      <c r="EE944" s="43"/>
      <c r="EF944" s="43"/>
      <c r="EG944" s="43"/>
      <c r="EH944" s="43"/>
      <c r="EI944" s="43"/>
      <c r="EJ944" s="43"/>
      <c r="EK944" s="43"/>
      <c r="EL944" s="43"/>
      <c r="EM944" s="43"/>
      <c r="EN944" s="43"/>
      <c r="EO944" s="43"/>
      <c r="EP944" s="43"/>
      <c r="EQ944" s="43"/>
      <c r="ER944" s="43"/>
      <c r="ES944" s="43"/>
      <c r="ET944" s="43"/>
      <c r="EU944" s="43"/>
      <c r="EV944" s="43"/>
      <c r="EW944" s="43"/>
      <c r="EX944" s="43"/>
      <c r="EY944" s="43"/>
      <c r="EZ944" s="43"/>
      <c r="FA944" s="43"/>
      <c r="FB944" s="43"/>
      <c r="FC944" s="43"/>
      <c r="FD944" s="43"/>
      <c r="FE944" s="43"/>
      <c r="FF944" s="43"/>
      <c r="FG944" s="43"/>
      <c r="FH944" s="50"/>
      <c r="FI944" s="50"/>
    </row>
    <row r="945" ht="14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  <c r="AX945" s="43"/>
      <c r="AY945" s="43"/>
      <c r="AZ945" s="43"/>
      <c r="BA945" s="43"/>
      <c r="BB945" s="43"/>
      <c r="BC945" s="43"/>
      <c r="BD945" s="43"/>
      <c r="BE945" s="43"/>
      <c r="BF945" s="43"/>
      <c r="BG945" s="43"/>
      <c r="BH945" s="43"/>
      <c r="BI945" s="43"/>
      <c r="BJ945" s="43"/>
      <c r="BK945" s="43"/>
      <c r="BL945" s="43"/>
      <c r="BM945" s="43"/>
      <c r="BN945" s="43"/>
      <c r="BO945" s="43"/>
      <c r="BP945" s="43"/>
      <c r="BQ945" s="43"/>
      <c r="BR945" s="43"/>
      <c r="BS945" s="43"/>
      <c r="BT945" s="43"/>
      <c r="BU945" s="43"/>
      <c r="BV945" s="43"/>
      <c r="BW945" s="43"/>
      <c r="BX945" s="43"/>
      <c r="BY945" s="43"/>
      <c r="BZ945" s="43"/>
      <c r="CA945" s="43"/>
      <c r="CB945" s="43"/>
      <c r="CC945" s="43"/>
      <c r="CD945" s="43"/>
      <c r="CE945" s="43"/>
      <c r="CF945" s="43"/>
      <c r="CG945" s="43"/>
      <c r="CH945" s="43"/>
      <c r="CI945" s="43"/>
      <c r="CJ945" s="43"/>
      <c r="CK945" s="43"/>
      <c r="CL945" s="43"/>
      <c r="CM945" s="43"/>
      <c r="CN945" s="43"/>
      <c r="CO945" s="43"/>
      <c r="CP945" s="43"/>
      <c r="CQ945" s="43"/>
      <c r="CR945" s="43"/>
      <c r="CS945" s="43"/>
      <c r="CT945" s="43"/>
      <c r="CU945" s="43"/>
      <c r="CV945" s="43"/>
      <c r="CW945" s="43"/>
      <c r="CX945" s="43"/>
      <c r="CY945" s="43"/>
      <c r="CZ945" s="43"/>
      <c r="DA945" s="43"/>
      <c r="DB945" s="43"/>
      <c r="DC945" s="43"/>
      <c r="DD945" s="43"/>
      <c r="DE945" s="43"/>
      <c r="DF945" s="43"/>
      <c r="DG945" s="43"/>
      <c r="DH945" s="43"/>
      <c r="DI945" s="43"/>
      <c r="DJ945" s="43"/>
      <c r="DK945" s="43"/>
      <c r="DL945" s="43"/>
      <c r="DM945" s="43"/>
      <c r="DN945" s="43"/>
      <c r="DO945" s="43"/>
      <c r="DP945" s="43"/>
      <c r="DQ945" s="43"/>
      <c r="DR945" s="43"/>
      <c r="DS945" s="43"/>
      <c r="DT945" s="43"/>
      <c r="DU945" s="43"/>
      <c r="DV945" s="43"/>
      <c r="DW945" s="43"/>
      <c r="DX945" s="43"/>
      <c r="DY945" s="43"/>
      <c r="DZ945" s="43"/>
      <c r="EA945" s="43"/>
      <c r="EB945" s="43"/>
      <c r="EC945" s="43"/>
      <c r="ED945" s="43"/>
      <c r="EE945" s="43"/>
      <c r="EF945" s="43"/>
      <c r="EG945" s="43"/>
      <c r="EH945" s="43"/>
      <c r="EI945" s="43"/>
      <c r="EJ945" s="43"/>
      <c r="EK945" s="43"/>
      <c r="EL945" s="43"/>
      <c r="EM945" s="43"/>
      <c r="EN945" s="43"/>
      <c r="EO945" s="43"/>
      <c r="EP945" s="43"/>
      <c r="EQ945" s="43"/>
      <c r="ER945" s="43"/>
      <c r="ES945" s="43"/>
      <c r="ET945" s="43"/>
      <c r="EU945" s="43"/>
      <c r="EV945" s="43"/>
      <c r="EW945" s="43"/>
      <c r="EX945" s="43"/>
      <c r="EY945" s="43"/>
      <c r="EZ945" s="43"/>
      <c r="FA945" s="43"/>
      <c r="FB945" s="43"/>
      <c r="FC945" s="43"/>
      <c r="FD945" s="43"/>
      <c r="FE945" s="43"/>
      <c r="FF945" s="43"/>
      <c r="FG945" s="43"/>
      <c r="FH945" s="50"/>
      <c r="FI945" s="50"/>
    </row>
    <row r="946" ht="14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  <c r="AX946" s="43"/>
      <c r="AY946" s="43"/>
      <c r="AZ946" s="43"/>
      <c r="BA946" s="43"/>
      <c r="BB946" s="43"/>
      <c r="BC946" s="43"/>
      <c r="BD946" s="43"/>
      <c r="BE946" s="43"/>
      <c r="BF946" s="43"/>
      <c r="BG946" s="43"/>
      <c r="BH946" s="43"/>
      <c r="BI946" s="43"/>
      <c r="BJ946" s="43"/>
      <c r="BK946" s="43"/>
      <c r="BL946" s="43"/>
      <c r="BM946" s="43"/>
      <c r="BN946" s="43"/>
      <c r="BO946" s="43"/>
      <c r="BP946" s="43"/>
      <c r="BQ946" s="43"/>
      <c r="BR946" s="43"/>
      <c r="BS946" s="43"/>
      <c r="BT946" s="43"/>
      <c r="BU946" s="43"/>
      <c r="BV946" s="43"/>
      <c r="BW946" s="43"/>
      <c r="BX946" s="43"/>
      <c r="BY946" s="43"/>
      <c r="BZ946" s="43"/>
      <c r="CA946" s="43"/>
      <c r="CB946" s="43"/>
      <c r="CC946" s="43"/>
      <c r="CD946" s="43"/>
      <c r="CE946" s="43"/>
      <c r="CF946" s="43"/>
      <c r="CG946" s="43"/>
      <c r="CH946" s="43"/>
      <c r="CI946" s="43"/>
      <c r="CJ946" s="43"/>
      <c r="CK946" s="43"/>
      <c r="CL946" s="43"/>
      <c r="CM946" s="43"/>
      <c r="CN946" s="43"/>
      <c r="CO946" s="43"/>
      <c r="CP946" s="43"/>
      <c r="CQ946" s="43"/>
      <c r="CR946" s="43"/>
      <c r="CS946" s="43"/>
      <c r="CT946" s="43"/>
      <c r="CU946" s="43"/>
      <c r="CV946" s="43"/>
      <c r="CW946" s="43"/>
      <c r="CX946" s="43"/>
      <c r="CY946" s="43"/>
      <c r="CZ946" s="43"/>
      <c r="DA946" s="43"/>
      <c r="DB946" s="43"/>
      <c r="DC946" s="43"/>
      <c r="DD946" s="43"/>
      <c r="DE946" s="43"/>
      <c r="DF946" s="43"/>
      <c r="DG946" s="43"/>
      <c r="DH946" s="43"/>
      <c r="DI946" s="43"/>
      <c r="DJ946" s="43"/>
      <c r="DK946" s="43"/>
      <c r="DL946" s="43"/>
      <c r="DM946" s="43"/>
      <c r="DN946" s="43"/>
      <c r="DO946" s="43"/>
      <c r="DP946" s="43"/>
      <c r="DQ946" s="43"/>
      <c r="DR946" s="43"/>
      <c r="DS946" s="43"/>
      <c r="DT946" s="43"/>
      <c r="DU946" s="43"/>
      <c r="DV946" s="43"/>
      <c r="DW946" s="43"/>
      <c r="DX946" s="43"/>
      <c r="DY946" s="43"/>
      <c r="DZ946" s="43"/>
      <c r="EA946" s="43"/>
      <c r="EB946" s="43"/>
      <c r="EC946" s="43"/>
      <c r="ED946" s="43"/>
      <c r="EE946" s="43"/>
      <c r="EF946" s="43"/>
      <c r="EG946" s="43"/>
      <c r="EH946" s="43"/>
      <c r="EI946" s="43"/>
      <c r="EJ946" s="43"/>
      <c r="EK946" s="43"/>
      <c r="EL946" s="43"/>
      <c r="EM946" s="43"/>
      <c r="EN946" s="43"/>
      <c r="EO946" s="43"/>
      <c r="EP946" s="43"/>
      <c r="EQ946" s="43"/>
      <c r="ER946" s="43"/>
      <c r="ES946" s="43"/>
      <c r="ET946" s="43"/>
      <c r="EU946" s="43"/>
      <c r="EV946" s="43"/>
      <c r="EW946" s="43"/>
      <c r="EX946" s="43"/>
      <c r="EY946" s="43"/>
      <c r="EZ946" s="43"/>
      <c r="FA946" s="43"/>
      <c r="FB946" s="43"/>
      <c r="FC946" s="43"/>
      <c r="FD946" s="43"/>
      <c r="FE946" s="43"/>
      <c r="FF946" s="43"/>
      <c r="FG946" s="43"/>
      <c r="FH946" s="50"/>
      <c r="FI946" s="50"/>
    </row>
    <row r="947" ht="14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  <c r="AX947" s="43"/>
      <c r="AY947" s="43"/>
      <c r="AZ947" s="43"/>
      <c r="BA947" s="43"/>
      <c r="BB947" s="43"/>
      <c r="BC947" s="43"/>
      <c r="BD947" s="43"/>
      <c r="BE947" s="43"/>
      <c r="BF947" s="43"/>
      <c r="BG947" s="43"/>
      <c r="BH947" s="43"/>
      <c r="BI947" s="43"/>
      <c r="BJ947" s="43"/>
      <c r="BK947" s="43"/>
      <c r="BL947" s="43"/>
      <c r="BM947" s="43"/>
      <c r="BN947" s="43"/>
      <c r="BO947" s="43"/>
      <c r="BP947" s="43"/>
      <c r="BQ947" s="43"/>
      <c r="BR947" s="43"/>
      <c r="BS947" s="43"/>
      <c r="BT947" s="43"/>
      <c r="BU947" s="43"/>
      <c r="BV947" s="43"/>
      <c r="BW947" s="43"/>
      <c r="BX947" s="43"/>
      <c r="BY947" s="43"/>
      <c r="BZ947" s="43"/>
      <c r="CA947" s="43"/>
      <c r="CB947" s="43"/>
      <c r="CC947" s="43"/>
      <c r="CD947" s="43"/>
      <c r="CE947" s="43"/>
      <c r="CF947" s="43"/>
      <c r="CG947" s="43"/>
      <c r="CH947" s="43"/>
      <c r="CI947" s="43"/>
      <c r="CJ947" s="43"/>
      <c r="CK947" s="43"/>
      <c r="CL947" s="43"/>
      <c r="CM947" s="43"/>
      <c r="CN947" s="43"/>
      <c r="CO947" s="43"/>
      <c r="CP947" s="43"/>
      <c r="CQ947" s="43"/>
      <c r="CR947" s="43"/>
      <c r="CS947" s="43"/>
      <c r="CT947" s="43"/>
      <c r="CU947" s="43"/>
      <c r="CV947" s="43"/>
      <c r="CW947" s="43"/>
      <c r="CX947" s="43"/>
      <c r="CY947" s="43"/>
      <c r="CZ947" s="43"/>
      <c r="DA947" s="43"/>
      <c r="DB947" s="43"/>
      <c r="DC947" s="43"/>
      <c r="DD947" s="43"/>
      <c r="DE947" s="43"/>
      <c r="DF947" s="43"/>
      <c r="DG947" s="43"/>
      <c r="DH947" s="43"/>
      <c r="DI947" s="43"/>
      <c r="DJ947" s="43"/>
      <c r="DK947" s="43"/>
      <c r="DL947" s="43"/>
      <c r="DM947" s="43"/>
      <c r="DN947" s="43"/>
      <c r="DO947" s="43"/>
      <c r="DP947" s="43"/>
      <c r="DQ947" s="43"/>
      <c r="DR947" s="43"/>
      <c r="DS947" s="43"/>
      <c r="DT947" s="43"/>
      <c r="DU947" s="43"/>
      <c r="DV947" s="43"/>
      <c r="DW947" s="43"/>
      <c r="DX947" s="43"/>
      <c r="DY947" s="43"/>
      <c r="DZ947" s="43"/>
      <c r="EA947" s="43"/>
      <c r="EB947" s="43"/>
      <c r="EC947" s="43"/>
      <c r="ED947" s="43"/>
      <c r="EE947" s="43"/>
      <c r="EF947" s="43"/>
      <c r="EG947" s="43"/>
      <c r="EH947" s="43"/>
      <c r="EI947" s="43"/>
      <c r="EJ947" s="43"/>
      <c r="EK947" s="43"/>
      <c r="EL947" s="43"/>
      <c r="EM947" s="43"/>
      <c r="EN947" s="43"/>
      <c r="EO947" s="43"/>
      <c r="EP947" s="43"/>
      <c r="EQ947" s="43"/>
      <c r="ER947" s="43"/>
      <c r="ES947" s="43"/>
      <c r="ET947" s="43"/>
      <c r="EU947" s="43"/>
      <c r="EV947" s="43"/>
      <c r="EW947" s="43"/>
      <c r="EX947" s="43"/>
      <c r="EY947" s="43"/>
      <c r="EZ947" s="43"/>
      <c r="FA947" s="43"/>
      <c r="FB947" s="43"/>
      <c r="FC947" s="43"/>
      <c r="FD947" s="43"/>
      <c r="FE947" s="43"/>
      <c r="FF947" s="43"/>
      <c r="FG947" s="43"/>
      <c r="FH947" s="50"/>
      <c r="FI947" s="50"/>
    </row>
    <row r="948" ht="14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  <c r="AX948" s="43"/>
      <c r="AY948" s="43"/>
      <c r="AZ948" s="43"/>
      <c r="BA948" s="43"/>
      <c r="BB948" s="43"/>
      <c r="BC948" s="43"/>
      <c r="BD948" s="43"/>
      <c r="BE948" s="43"/>
      <c r="BF948" s="43"/>
      <c r="BG948" s="43"/>
      <c r="BH948" s="43"/>
      <c r="BI948" s="43"/>
      <c r="BJ948" s="43"/>
      <c r="BK948" s="43"/>
      <c r="BL948" s="43"/>
      <c r="BM948" s="43"/>
      <c r="BN948" s="43"/>
      <c r="BO948" s="43"/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3"/>
      <c r="CA948" s="43"/>
      <c r="CB948" s="43"/>
      <c r="CC948" s="43"/>
      <c r="CD948" s="43"/>
      <c r="CE948" s="43"/>
      <c r="CF948" s="43"/>
      <c r="CG948" s="43"/>
      <c r="CH948" s="43"/>
      <c r="CI948" s="43"/>
      <c r="CJ948" s="43"/>
      <c r="CK948" s="43"/>
      <c r="CL948" s="43"/>
      <c r="CM948" s="43"/>
      <c r="CN948" s="43"/>
      <c r="CO948" s="43"/>
      <c r="CP948" s="43"/>
      <c r="CQ948" s="43"/>
      <c r="CR948" s="43"/>
      <c r="CS948" s="43"/>
      <c r="CT948" s="43"/>
      <c r="CU948" s="43"/>
      <c r="CV948" s="43"/>
      <c r="CW948" s="43"/>
      <c r="CX948" s="43"/>
      <c r="CY948" s="43"/>
      <c r="CZ948" s="43"/>
      <c r="DA948" s="43"/>
      <c r="DB948" s="43"/>
      <c r="DC948" s="43"/>
      <c r="DD948" s="43"/>
      <c r="DE948" s="43"/>
      <c r="DF948" s="43"/>
      <c r="DG948" s="43"/>
      <c r="DH948" s="43"/>
      <c r="DI948" s="43"/>
      <c r="DJ948" s="43"/>
      <c r="DK948" s="43"/>
      <c r="DL948" s="43"/>
      <c r="DM948" s="43"/>
      <c r="DN948" s="43"/>
      <c r="DO948" s="43"/>
      <c r="DP948" s="43"/>
      <c r="DQ948" s="43"/>
      <c r="DR948" s="43"/>
      <c r="DS948" s="43"/>
      <c r="DT948" s="43"/>
      <c r="DU948" s="43"/>
      <c r="DV948" s="43"/>
      <c r="DW948" s="43"/>
      <c r="DX948" s="43"/>
      <c r="DY948" s="43"/>
      <c r="DZ948" s="43"/>
      <c r="EA948" s="43"/>
      <c r="EB948" s="43"/>
      <c r="EC948" s="43"/>
      <c r="ED948" s="43"/>
      <c r="EE948" s="43"/>
      <c r="EF948" s="43"/>
      <c r="EG948" s="43"/>
      <c r="EH948" s="43"/>
      <c r="EI948" s="43"/>
      <c r="EJ948" s="43"/>
      <c r="EK948" s="43"/>
      <c r="EL948" s="43"/>
      <c r="EM948" s="43"/>
      <c r="EN948" s="43"/>
      <c r="EO948" s="43"/>
      <c r="EP948" s="43"/>
      <c r="EQ948" s="43"/>
      <c r="ER948" s="43"/>
      <c r="ES948" s="43"/>
      <c r="ET948" s="43"/>
      <c r="EU948" s="43"/>
      <c r="EV948" s="43"/>
      <c r="EW948" s="43"/>
      <c r="EX948" s="43"/>
      <c r="EY948" s="43"/>
      <c r="EZ948" s="43"/>
      <c r="FA948" s="43"/>
      <c r="FB948" s="43"/>
      <c r="FC948" s="43"/>
      <c r="FD948" s="43"/>
      <c r="FE948" s="43"/>
      <c r="FF948" s="43"/>
      <c r="FG948" s="43"/>
      <c r="FH948" s="50"/>
      <c r="FI948" s="50"/>
    </row>
    <row r="949" ht="14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  <c r="AX949" s="43"/>
      <c r="AY949" s="43"/>
      <c r="AZ949" s="43"/>
      <c r="BA949" s="43"/>
      <c r="BB949" s="43"/>
      <c r="BC949" s="43"/>
      <c r="BD949" s="43"/>
      <c r="BE949" s="43"/>
      <c r="BF949" s="43"/>
      <c r="BG949" s="43"/>
      <c r="BH949" s="43"/>
      <c r="BI949" s="43"/>
      <c r="BJ949" s="43"/>
      <c r="BK949" s="43"/>
      <c r="BL949" s="43"/>
      <c r="BM949" s="43"/>
      <c r="BN949" s="43"/>
      <c r="BO949" s="43"/>
      <c r="BP949" s="43"/>
      <c r="BQ949" s="43"/>
      <c r="BR949" s="43"/>
      <c r="BS949" s="43"/>
      <c r="BT949" s="43"/>
      <c r="BU949" s="43"/>
      <c r="BV949" s="43"/>
      <c r="BW949" s="43"/>
      <c r="BX949" s="43"/>
      <c r="BY949" s="43"/>
      <c r="BZ949" s="43"/>
      <c r="CA949" s="43"/>
      <c r="CB949" s="43"/>
      <c r="CC949" s="43"/>
      <c r="CD949" s="43"/>
      <c r="CE949" s="43"/>
      <c r="CF949" s="43"/>
      <c r="CG949" s="43"/>
      <c r="CH949" s="43"/>
      <c r="CI949" s="43"/>
      <c r="CJ949" s="43"/>
      <c r="CK949" s="43"/>
      <c r="CL949" s="43"/>
      <c r="CM949" s="43"/>
      <c r="CN949" s="43"/>
      <c r="CO949" s="43"/>
      <c r="CP949" s="43"/>
      <c r="CQ949" s="43"/>
      <c r="CR949" s="43"/>
      <c r="CS949" s="43"/>
      <c r="CT949" s="43"/>
      <c r="CU949" s="43"/>
      <c r="CV949" s="43"/>
      <c r="CW949" s="43"/>
      <c r="CX949" s="43"/>
      <c r="CY949" s="43"/>
      <c r="CZ949" s="43"/>
      <c r="DA949" s="43"/>
      <c r="DB949" s="43"/>
      <c r="DC949" s="43"/>
      <c r="DD949" s="43"/>
      <c r="DE949" s="43"/>
      <c r="DF949" s="43"/>
      <c r="DG949" s="43"/>
      <c r="DH949" s="43"/>
      <c r="DI949" s="43"/>
      <c r="DJ949" s="43"/>
      <c r="DK949" s="43"/>
      <c r="DL949" s="43"/>
      <c r="DM949" s="43"/>
      <c r="DN949" s="43"/>
      <c r="DO949" s="43"/>
      <c r="DP949" s="43"/>
      <c r="DQ949" s="43"/>
      <c r="DR949" s="43"/>
      <c r="DS949" s="43"/>
      <c r="DT949" s="43"/>
      <c r="DU949" s="43"/>
      <c r="DV949" s="43"/>
      <c r="DW949" s="43"/>
      <c r="DX949" s="43"/>
      <c r="DY949" s="43"/>
      <c r="DZ949" s="43"/>
      <c r="EA949" s="43"/>
      <c r="EB949" s="43"/>
      <c r="EC949" s="43"/>
      <c r="ED949" s="43"/>
      <c r="EE949" s="43"/>
      <c r="EF949" s="43"/>
      <c r="EG949" s="43"/>
      <c r="EH949" s="43"/>
      <c r="EI949" s="43"/>
      <c r="EJ949" s="43"/>
      <c r="EK949" s="43"/>
      <c r="EL949" s="43"/>
      <c r="EM949" s="43"/>
      <c r="EN949" s="43"/>
      <c r="EO949" s="43"/>
      <c r="EP949" s="43"/>
      <c r="EQ949" s="43"/>
      <c r="ER949" s="43"/>
      <c r="ES949" s="43"/>
      <c r="ET949" s="43"/>
      <c r="EU949" s="43"/>
      <c r="EV949" s="43"/>
      <c r="EW949" s="43"/>
      <c r="EX949" s="43"/>
      <c r="EY949" s="43"/>
      <c r="EZ949" s="43"/>
      <c r="FA949" s="43"/>
      <c r="FB949" s="43"/>
      <c r="FC949" s="43"/>
      <c r="FD949" s="43"/>
      <c r="FE949" s="43"/>
      <c r="FF949" s="43"/>
      <c r="FG949" s="43"/>
      <c r="FH949" s="50"/>
      <c r="FI949" s="50"/>
    </row>
    <row r="950" ht="14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  <c r="AX950" s="43"/>
      <c r="AY950" s="43"/>
      <c r="AZ950" s="43"/>
      <c r="BA950" s="43"/>
      <c r="BB950" s="43"/>
      <c r="BC950" s="43"/>
      <c r="BD950" s="43"/>
      <c r="BE950" s="43"/>
      <c r="BF950" s="43"/>
      <c r="BG950" s="43"/>
      <c r="BH950" s="43"/>
      <c r="BI950" s="43"/>
      <c r="BJ950" s="43"/>
      <c r="BK950" s="43"/>
      <c r="BL950" s="43"/>
      <c r="BM950" s="43"/>
      <c r="BN950" s="43"/>
      <c r="BO950" s="43"/>
      <c r="BP950" s="43"/>
      <c r="BQ950" s="43"/>
      <c r="BR950" s="43"/>
      <c r="BS950" s="43"/>
      <c r="BT950" s="43"/>
      <c r="BU950" s="43"/>
      <c r="BV950" s="43"/>
      <c r="BW950" s="43"/>
      <c r="BX950" s="43"/>
      <c r="BY950" s="43"/>
      <c r="BZ950" s="43"/>
      <c r="CA950" s="43"/>
      <c r="CB950" s="43"/>
      <c r="CC950" s="43"/>
      <c r="CD950" s="43"/>
      <c r="CE950" s="43"/>
      <c r="CF950" s="43"/>
      <c r="CG950" s="43"/>
      <c r="CH950" s="43"/>
      <c r="CI950" s="43"/>
      <c r="CJ950" s="43"/>
      <c r="CK950" s="43"/>
      <c r="CL950" s="43"/>
      <c r="CM950" s="43"/>
      <c r="CN950" s="43"/>
      <c r="CO950" s="43"/>
      <c r="CP950" s="43"/>
      <c r="CQ950" s="43"/>
      <c r="CR950" s="43"/>
      <c r="CS950" s="43"/>
      <c r="CT950" s="43"/>
      <c r="CU950" s="43"/>
      <c r="CV950" s="43"/>
      <c r="CW950" s="43"/>
      <c r="CX950" s="43"/>
      <c r="CY950" s="43"/>
      <c r="CZ950" s="43"/>
      <c r="DA950" s="43"/>
      <c r="DB950" s="43"/>
      <c r="DC950" s="43"/>
      <c r="DD950" s="43"/>
      <c r="DE950" s="43"/>
      <c r="DF950" s="43"/>
      <c r="DG950" s="43"/>
      <c r="DH950" s="43"/>
      <c r="DI950" s="43"/>
      <c r="DJ950" s="43"/>
      <c r="DK950" s="43"/>
      <c r="DL950" s="43"/>
      <c r="DM950" s="43"/>
      <c r="DN950" s="43"/>
      <c r="DO950" s="43"/>
      <c r="DP950" s="43"/>
      <c r="DQ950" s="43"/>
      <c r="DR950" s="43"/>
      <c r="DS950" s="43"/>
      <c r="DT950" s="43"/>
      <c r="DU950" s="43"/>
      <c r="DV950" s="43"/>
      <c r="DW950" s="43"/>
      <c r="DX950" s="43"/>
      <c r="DY950" s="43"/>
      <c r="DZ950" s="43"/>
      <c r="EA950" s="43"/>
      <c r="EB950" s="43"/>
      <c r="EC950" s="43"/>
      <c r="ED950" s="43"/>
      <c r="EE950" s="43"/>
      <c r="EF950" s="43"/>
      <c r="EG950" s="43"/>
      <c r="EH950" s="43"/>
      <c r="EI950" s="43"/>
      <c r="EJ950" s="43"/>
      <c r="EK950" s="43"/>
      <c r="EL950" s="43"/>
      <c r="EM950" s="43"/>
      <c r="EN950" s="43"/>
      <c r="EO950" s="43"/>
      <c r="EP950" s="43"/>
      <c r="EQ950" s="43"/>
      <c r="ER950" s="43"/>
      <c r="ES950" s="43"/>
      <c r="ET950" s="43"/>
      <c r="EU950" s="43"/>
      <c r="EV950" s="43"/>
      <c r="EW950" s="43"/>
      <c r="EX950" s="43"/>
      <c r="EY950" s="43"/>
      <c r="EZ950" s="43"/>
      <c r="FA950" s="43"/>
      <c r="FB950" s="43"/>
      <c r="FC950" s="43"/>
      <c r="FD950" s="43"/>
      <c r="FE950" s="43"/>
      <c r="FF950" s="43"/>
      <c r="FG950" s="43"/>
      <c r="FH950" s="50"/>
      <c r="FI950" s="50"/>
    </row>
    <row r="951" ht="14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  <c r="AX951" s="43"/>
      <c r="AY951" s="43"/>
      <c r="AZ951" s="43"/>
      <c r="BA951" s="43"/>
      <c r="BB951" s="43"/>
      <c r="BC951" s="43"/>
      <c r="BD951" s="43"/>
      <c r="BE951" s="43"/>
      <c r="BF951" s="43"/>
      <c r="BG951" s="43"/>
      <c r="BH951" s="43"/>
      <c r="BI951" s="43"/>
      <c r="BJ951" s="43"/>
      <c r="BK951" s="43"/>
      <c r="BL951" s="43"/>
      <c r="BM951" s="43"/>
      <c r="BN951" s="43"/>
      <c r="BO951" s="43"/>
      <c r="BP951" s="43"/>
      <c r="BQ951" s="43"/>
      <c r="BR951" s="43"/>
      <c r="BS951" s="43"/>
      <c r="BT951" s="43"/>
      <c r="BU951" s="43"/>
      <c r="BV951" s="43"/>
      <c r="BW951" s="43"/>
      <c r="BX951" s="43"/>
      <c r="BY951" s="43"/>
      <c r="BZ951" s="43"/>
      <c r="CA951" s="43"/>
      <c r="CB951" s="43"/>
      <c r="CC951" s="43"/>
      <c r="CD951" s="43"/>
      <c r="CE951" s="43"/>
      <c r="CF951" s="43"/>
      <c r="CG951" s="43"/>
      <c r="CH951" s="43"/>
      <c r="CI951" s="43"/>
      <c r="CJ951" s="43"/>
      <c r="CK951" s="43"/>
      <c r="CL951" s="43"/>
      <c r="CM951" s="43"/>
      <c r="CN951" s="43"/>
      <c r="CO951" s="43"/>
      <c r="CP951" s="43"/>
      <c r="CQ951" s="43"/>
      <c r="CR951" s="43"/>
      <c r="CS951" s="43"/>
      <c r="CT951" s="43"/>
      <c r="CU951" s="43"/>
      <c r="CV951" s="43"/>
      <c r="CW951" s="43"/>
      <c r="CX951" s="43"/>
      <c r="CY951" s="43"/>
      <c r="CZ951" s="43"/>
      <c r="DA951" s="43"/>
      <c r="DB951" s="43"/>
      <c r="DC951" s="43"/>
      <c r="DD951" s="43"/>
      <c r="DE951" s="43"/>
      <c r="DF951" s="43"/>
      <c r="DG951" s="43"/>
      <c r="DH951" s="43"/>
      <c r="DI951" s="43"/>
      <c r="DJ951" s="43"/>
      <c r="DK951" s="43"/>
      <c r="DL951" s="43"/>
      <c r="DM951" s="43"/>
      <c r="DN951" s="43"/>
      <c r="DO951" s="43"/>
      <c r="DP951" s="43"/>
      <c r="DQ951" s="43"/>
      <c r="DR951" s="43"/>
      <c r="DS951" s="43"/>
      <c r="DT951" s="43"/>
      <c r="DU951" s="43"/>
      <c r="DV951" s="43"/>
      <c r="DW951" s="43"/>
      <c r="DX951" s="43"/>
      <c r="DY951" s="43"/>
      <c r="DZ951" s="43"/>
      <c r="EA951" s="43"/>
      <c r="EB951" s="43"/>
      <c r="EC951" s="43"/>
      <c r="ED951" s="43"/>
      <c r="EE951" s="43"/>
      <c r="EF951" s="43"/>
      <c r="EG951" s="43"/>
      <c r="EH951" s="43"/>
      <c r="EI951" s="43"/>
      <c r="EJ951" s="43"/>
      <c r="EK951" s="43"/>
      <c r="EL951" s="43"/>
      <c r="EM951" s="43"/>
      <c r="EN951" s="43"/>
      <c r="EO951" s="43"/>
      <c r="EP951" s="43"/>
      <c r="EQ951" s="43"/>
      <c r="ER951" s="43"/>
      <c r="ES951" s="43"/>
      <c r="ET951" s="43"/>
      <c r="EU951" s="43"/>
      <c r="EV951" s="43"/>
      <c r="EW951" s="43"/>
      <c r="EX951" s="43"/>
      <c r="EY951" s="43"/>
      <c r="EZ951" s="43"/>
      <c r="FA951" s="43"/>
      <c r="FB951" s="43"/>
      <c r="FC951" s="43"/>
      <c r="FD951" s="43"/>
      <c r="FE951" s="43"/>
      <c r="FF951" s="43"/>
      <c r="FG951" s="43"/>
      <c r="FH951" s="50"/>
      <c r="FI951" s="50"/>
    </row>
    <row r="952" ht="14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  <c r="AX952" s="43"/>
      <c r="AY952" s="43"/>
      <c r="AZ952" s="43"/>
      <c r="BA952" s="43"/>
      <c r="BB952" s="43"/>
      <c r="BC952" s="43"/>
      <c r="BD952" s="43"/>
      <c r="BE952" s="43"/>
      <c r="BF952" s="43"/>
      <c r="BG952" s="43"/>
      <c r="BH952" s="43"/>
      <c r="BI952" s="43"/>
      <c r="BJ952" s="43"/>
      <c r="BK952" s="43"/>
      <c r="BL952" s="43"/>
      <c r="BM952" s="43"/>
      <c r="BN952" s="43"/>
      <c r="BO952" s="43"/>
      <c r="BP952" s="43"/>
      <c r="BQ952" s="43"/>
      <c r="BR952" s="43"/>
      <c r="BS952" s="43"/>
      <c r="BT952" s="43"/>
      <c r="BU952" s="43"/>
      <c r="BV952" s="43"/>
      <c r="BW952" s="43"/>
      <c r="BX952" s="43"/>
      <c r="BY952" s="43"/>
      <c r="BZ952" s="43"/>
      <c r="CA952" s="43"/>
      <c r="CB952" s="43"/>
      <c r="CC952" s="43"/>
      <c r="CD952" s="43"/>
      <c r="CE952" s="43"/>
      <c r="CF952" s="43"/>
      <c r="CG952" s="43"/>
      <c r="CH952" s="43"/>
      <c r="CI952" s="43"/>
      <c r="CJ952" s="43"/>
      <c r="CK952" s="43"/>
      <c r="CL952" s="43"/>
      <c r="CM952" s="43"/>
      <c r="CN952" s="43"/>
      <c r="CO952" s="43"/>
      <c r="CP952" s="43"/>
      <c r="CQ952" s="43"/>
      <c r="CR952" s="43"/>
      <c r="CS952" s="43"/>
      <c r="CT952" s="43"/>
      <c r="CU952" s="43"/>
      <c r="CV952" s="43"/>
      <c r="CW952" s="43"/>
      <c r="CX952" s="43"/>
      <c r="CY952" s="43"/>
      <c r="CZ952" s="43"/>
      <c r="DA952" s="43"/>
      <c r="DB952" s="43"/>
      <c r="DC952" s="43"/>
      <c r="DD952" s="43"/>
      <c r="DE952" s="43"/>
      <c r="DF952" s="43"/>
      <c r="DG952" s="43"/>
      <c r="DH952" s="43"/>
      <c r="DI952" s="43"/>
      <c r="DJ952" s="43"/>
      <c r="DK952" s="43"/>
      <c r="DL952" s="43"/>
      <c r="DM952" s="43"/>
      <c r="DN952" s="43"/>
      <c r="DO952" s="43"/>
      <c r="DP952" s="43"/>
      <c r="DQ952" s="43"/>
      <c r="DR952" s="43"/>
      <c r="DS952" s="43"/>
      <c r="DT952" s="43"/>
      <c r="DU952" s="43"/>
      <c r="DV952" s="43"/>
      <c r="DW952" s="43"/>
      <c r="DX952" s="43"/>
      <c r="DY952" s="43"/>
      <c r="DZ952" s="43"/>
      <c r="EA952" s="43"/>
      <c r="EB952" s="43"/>
      <c r="EC952" s="43"/>
      <c r="ED952" s="43"/>
      <c r="EE952" s="43"/>
      <c r="EF952" s="43"/>
      <c r="EG952" s="43"/>
      <c r="EH952" s="43"/>
      <c r="EI952" s="43"/>
      <c r="EJ952" s="43"/>
      <c r="EK952" s="43"/>
      <c r="EL952" s="43"/>
      <c r="EM952" s="43"/>
      <c r="EN952" s="43"/>
      <c r="EO952" s="43"/>
      <c r="EP952" s="43"/>
      <c r="EQ952" s="43"/>
      <c r="ER952" s="43"/>
      <c r="ES952" s="43"/>
      <c r="ET952" s="43"/>
      <c r="EU952" s="43"/>
      <c r="EV952" s="43"/>
      <c r="EW952" s="43"/>
      <c r="EX952" s="43"/>
      <c r="EY952" s="43"/>
      <c r="EZ952" s="43"/>
      <c r="FA952" s="43"/>
      <c r="FB952" s="43"/>
      <c r="FC952" s="43"/>
      <c r="FD952" s="43"/>
      <c r="FE952" s="43"/>
      <c r="FF952" s="43"/>
      <c r="FG952" s="43"/>
      <c r="FH952" s="50"/>
      <c r="FI952" s="50"/>
    </row>
    <row r="953" ht="14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  <c r="AX953" s="43"/>
      <c r="AY953" s="43"/>
      <c r="AZ953" s="43"/>
      <c r="BA953" s="43"/>
      <c r="BB953" s="43"/>
      <c r="BC953" s="43"/>
      <c r="BD953" s="43"/>
      <c r="BE953" s="43"/>
      <c r="BF953" s="43"/>
      <c r="BG953" s="43"/>
      <c r="BH953" s="43"/>
      <c r="BI953" s="43"/>
      <c r="BJ953" s="43"/>
      <c r="BK953" s="43"/>
      <c r="BL953" s="43"/>
      <c r="BM953" s="43"/>
      <c r="BN953" s="43"/>
      <c r="BO953" s="43"/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3"/>
      <c r="CA953" s="43"/>
      <c r="CB953" s="43"/>
      <c r="CC953" s="43"/>
      <c r="CD953" s="43"/>
      <c r="CE953" s="43"/>
      <c r="CF953" s="43"/>
      <c r="CG953" s="43"/>
      <c r="CH953" s="43"/>
      <c r="CI953" s="43"/>
      <c r="CJ953" s="43"/>
      <c r="CK953" s="43"/>
      <c r="CL953" s="43"/>
      <c r="CM953" s="43"/>
      <c r="CN953" s="43"/>
      <c r="CO953" s="43"/>
      <c r="CP953" s="43"/>
      <c r="CQ953" s="43"/>
      <c r="CR953" s="43"/>
      <c r="CS953" s="43"/>
      <c r="CT953" s="43"/>
      <c r="CU953" s="43"/>
      <c r="CV953" s="43"/>
      <c r="CW953" s="43"/>
      <c r="CX953" s="43"/>
      <c r="CY953" s="43"/>
      <c r="CZ953" s="43"/>
      <c r="DA953" s="43"/>
      <c r="DB953" s="43"/>
      <c r="DC953" s="43"/>
      <c r="DD953" s="43"/>
      <c r="DE953" s="43"/>
      <c r="DF953" s="43"/>
      <c r="DG953" s="43"/>
      <c r="DH953" s="43"/>
      <c r="DI953" s="43"/>
      <c r="DJ953" s="43"/>
      <c r="DK953" s="43"/>
      <c r="DL953" s="43"/>
      <c r="DM953" s="43"/>
      <c r="DN953" s="43"/>
      <c r="DO953" s="43"/>
      <c r="DP953" s="43"/>
      <c r="DQ953" s="43"/>
      <c r="DR953" s="43"/>
      <c r="DS953" s="43"/>
      <c r="DT953" s="43"/>
      <c r="DU953" s="43"/>
      <c r="DV953" s="43"/>
      <c r="DW953" s="43"/>
      <c r="DX953" s="43"/>
      <c r="DY953" s="43"/>
      <c r="DZ953" s="43"/>
      <c r="EA953" s="43"/>
      <c r="EB953" s="43"/>
      <c r="EC953" s="43"/>
      <c r="ED953" s="43"/>
      <c r="EE953" s="43"/>
      <c r="EF953" s="43"/>
      <c r="EG953" s="43"/>
      <c r="EH953" s="43"/>
      <c r="EI953" s="43"/>
      <c r="EJ953" s="43"/>
      <c r="EK953" s="43"/>
      <c r="EL953" s="43"/>
      <c r="EM953" s="43"/>
      <c r="EN953" s="43"/>
      <c r="EO953" s="43"/>
      <c r="EP953" s="43"/>
      <c r="EQ953" s="43"/>
      <c r="ER953" s="43"/>
      <c r="ES953" s="43"/>
      <c r="ET953" s="43"/>
      <c r="EU953" s="43"/>
      <c r="EV953" s="43"/>
      <c r="EW953" s="43"/>
      <c r="EX953" s="43"/>
      <c r="EY953" s="43"/>
      <c r="EZ953" s="43"/>
      <c r="FA953" s="43"/>
      <c r="FB953" s="43"/>
      <c r="FC953" s="43"/>
      <c r="FD953" s="43"/>
      <c r="FE953" s="43"/>
      <c r="FF953" s="43"/>
      <c r="FG953" s="43"/>
      <c r="FH953" s="50"/>
      <c r="FI953" s="50"/>
    </row>
    <row r="954" ht="14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  <c r="AX954" s="43"/>
      <c r="AY954" s="43"/>
      <c r="AZ954" s="43"/>
      <c r="BA954" s="43"/>
      <c r="BB954" s="43"/>
      <c r="BC954" s="43"/>
      <c r="BD954" s="43"/>
      <c r="BE954" s="43"/>
      <c r="BF954" s="43"/>
      <c r="BG954" s="43"/>
      <c r="BH954" s="43"/>
      <c r="BI954" s="43"/>
      <c r="BJ954" s="43"/>
      <c r="BK954" s="43"/>
      <c r="BL954" s="43"/>
      <c r="BM954" s="43"/>
      <c r="BN954" s="43"/>
      <c r="BO954" s="43"/>
      <c r="BP954" s="43"/>
      <c r="BQ954" s="43"/>
      <c r="BR954" s="43"/>
      <c r="BS954" s="43"/>
      <c r="BT954" s="43"/>
      <c r="BU954" s="43"/>
      <c r="BV954" s="43"/>
      <c r="BW954" s="43"/>
      <c r="BX954" s="43"/>
      <c r="BY954" s="43"/>
      <c r="BZ954" s="43"/>
      <c r="CA954" s="43"/>
      <c r="CB954" s="43"/>
      <c r="CC954" s="43"/>
      <c r="CD954" s="43"/>
      <c r="CE954" s="43"/>
      <c r="CF954" s="43"/>
      <c r="CG954" s="43"/>
      <c r="CH954" s="43"/>
      <c r="CI954" s="43"/>
      <c r="CJ954" s="43"/>
      <c r="CK954" s="43"/>
      <c r="CL954" s="43"/>
      <c r="CM954" s="43"/>
      <c r="CN954" s="43"/>
      <c r="CO954" s="43"/>
      <c r="CP954" s="43"/>
      <c r="CQ954" s="43"/>
      <c r="CR954" s="43"/>
      <c r="CS954" s="43"/>
      <c r="CT954" s="43"/>
      <c r="CU954" s="43"/>
      <c r="CV954" s="43"/>
      <c r="CW954" s="43"/>
      <c r="CX954" s="43"/>
      <c r="CY954" s="43"/>
      <c r="CZ954" s="43"/>
      <c r="DA954" s="43"/>
      <c r="DB954" s="43"/>
      <c r="DC954" s="43"/>
      <c r="DD954" s="43"/>
      <c r="DE954" s="43"/>
      <c r="DF954" s="43"/>
      <c r="DG954" s="43"/>
      <c r="DH954" s="43"/>
      <c r="DI954" s="43"/>
      <c r="DJ954" s="43"/>
      <c r="DK954" s="43"/>
      <c r="DL954" s="43"/>
      <c r="DM954" s="43"/>
      <c r="DN954" s="43"/>
      <c r="DO954" s="43"/>
      <c r="DP954" s="43"/>
      <c r="DQ954" s="43"/>
      <c r="DR954" s="43"/>
      <c r="DS954" s="43"/>
      <c r="DT954" s="43"/>
      <c r="DU954" s="43"/>
      <c r="DV954" s="43"/>
      <c r="DW954" s="43"/>
      <c r="DX954" s="43"/>
      <c r="DY954" s="43"/>
      <c r="DZ954" s="43"/>
      <c r="EA954" s="43"/>
      <c r="EB954" s="43"/>
      <c r="EC954" s="43"/>
      <c r="ED954" s="43"/>
      <c r="EE954" s="43"/>
      <c r="EF954" s="43"/>
      <c r="EG954" s="43"/>
      <c r="EH954" s="43"/>
      <c r="EI954" s="43"/>
      <c r="EJ954" s="43"/>
      <c r="EK954" s="43"/>
      <c r="EL954" s="43"/>
      <c r="EM954" s="43"/>
      <c r="EN954" s="43"/>
      <c r="EO954" s="43"/>
      <c r="EP954" s="43"/>
      <c r="EQ954" s="43"/>
      <c r="ER954" s="43"/>
      <c r="ES954" s="43"/>
      <c r="ET954" s="43"/>
      <c r="EU954" s="43"/>
      <c r="EV954" s="43"/>
      <c r="EW954" s="43"/>
      <c r="EX954" s="43"/>
      <c r="EY954" s="43"/>
      <c r="EZ954" s="43"/>
      <c r="FA954" s="43"/>
      <c r="FB954" s="43"/>
      <c r="FC954" s="43"/>
      <c r="FD954" s="43"/>
      <c r="FE954" s="43"/>
      <c r="FF954" s="43"/>
      <c r="FG954" s="43"/>
      <c r="FH954" s="50"/>
      <c r="FI954" s="50"/>
    </row>
    <row r="955" ht="14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  <c r="AX955" s="43"/>
      <c r="AY955" s="43"/>
      <c r="AZ955" s="43"/>
      <c r="BA955" s="43"/>
      <c r="BB955" s="43"/>
      <c r="BC955" s="43"/>
      <c r="BD955" s="43"/>
      <c r="BE955" s="43"/>
      <c r="BF955" s="43"/>
      <c r="BG955" s="43"/>
      <c r="BH955" s="43"/>
      <c r="BI955" s="43"/>
      <c r="BJ955" s="43"/>
      <c r="BK955" s="43"/>
      <c r="BL955" s="43"/>
      <c r="BM955" s="43"/>
      <c r="BN955" s="43"/>
      <c r="BO955" s="43"/>
      <c r="BP955" s="43"/>
      <c r="BQ955" s="43"/>
      <c r="BR955" s="43"/>
      <c r="BS955" s="43"/>
      <c r="BT955" s="43"/>
      <c r="BU955" s="43"/>
      <c r="BV955" s="43"/>
      <c r="BW955" s="43"/>
      <c r="BX955" s="43"/>
      <c r="BY955" s="43"/>
      <c r="BZ955" s="43"/>
      <c r="CA955" s="43"/>
      <c r="CB955" s="43"/>
      <c r="CC955" s="43"/>
      <c r="CD955" s="43"/>
      <c r="CE955" s="43"/>
      <c r="CF955" s="43"/>
      <c r="CG955" s="43"/>
      <c r="CH955" s="43"/>
      <c r="CI955" s="43"/>
      <c r="CJ955" s="43"/>
      <c r="CK955" s="43"/>
      <c r="CL955" s="43"/>
      <c r="CM955" s="43"/>
      <c r="CN955" s="43"/>
      <c r="CO955" s="43"/>
      <c r="CP955" s="43"/>
      <c r="CQ955" s="43"/>
      <c r="CR955" s="43"/>
      <c r="CS955" s="43"/>
      <c r="CT955" s="43"/>
      <c r="CU955" s="43"/>
      <c r="CV955" s="43"/>
      <c r="CW955" s="43"/>
      <c r="CX955" s="43"/>
      <c r="CY955" s="43"/>
      <c r="CZ955" s="43"/>
      <c r="DA955" s="43"/>
      <c r="DB955" s="43"/>
      <c r="DC955" s="43"/>
      <c r="DD955" s="43"/>
      <c r="DE955" s="43"/>
      <c r="DF955" s="43"/>
      <c r="DG955" s="43"/>
      <c r="DH955" s="43"/>
      <c r="DI955" s="43"/>
      <c r="DJ955" s="43"/>
      <c r="DK955" s="43"/>
      <c r="DL955" s="43"/>
      <c r="DM955" s="43"/>
      <c r="DN955" s="43"/>
      <c r="DO955" s="43"/>
      <c r="DP955" s="43"/>
      <c r="DQ955" s="43"/>
      <c r="DR955" s="43"/>
      <c r="DS955" s="43"/>
      <c r="DT955" s="43"/>
      <c r="DU955" s="43"/>
      <c r="DV955" s="43"/>
      <c r="DW955" s="43"/>
      <c r="DX955" s="43"/>
      <c r="DY955" s="43"/>
      <c r="DZ955" s="43"/>
      <c r="EA955" s="43"/>
      <c r="EB955" s="43"/>
      <c r="EC955" s="43"/>
      <c r="ED955" s="43"/>
      <c r="EE955" s="43"/>
      <c r="EF955" s="43"/>
      <c r="EG955" s="43"/>
      <c r="EH955" s="43"/>
      <c r="EI955" s="43"/>
      <c r="EJ955" s="43"/>
      <c r="EK955" s="43"/>
      <c r="EL955" s="43"/>
      <c r="EM955" s="43"/>
      <c r="EN955" s="43"/>
      <c r="EO955" s="43"/>
      <c r="EP955" s="43"/>
      <c r="EQ955" s="43"/>
      <c r="ER955" s="43"/>
      <c r="ES955" s="43"/>
      <c r="ET955" s="43"/>
      <c r="EU955" s="43"/>
      <c r="EV955" s="43"/>
      <c r="EW955" s="43"/>
      <c r="EX955" s="43"/>
      <c r="EY955" s="43"/>
      <c r="EZ955" s="43"/>
      <c r="FA955" s="43"/>
      <c r="FB955" s="43"/>
      <c r="FC955" s="43"/>
      <c r="FD955" s="43"/>
      <c r="FE955" s="43"/>
      <c r="FF955" s="43"/>
      <c r="FG955" s="43"/>
      <c r="FH955" s="50"/>
      <c r="FI955" s="50"/>
    </row>
    <row r="956" ht="14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  <c r="AX956" s="43"/>
      <c r="AY956" s="43"/>
      <c r="AZ956" s="43"/>
      <c r="BA956" s="43"/>
      <c r="BB956" s="43"/>
      <c r="BC956" s="43"/>
      <c r="BD956" s="43"/>
      <c r="BE956" s="43"/>
      <c r="BF956" s="43"/>
      <c r="BG956" s="43"/>
      <c r="BH956" s="43"/>
      <c r="BI956" s="43"/>
      <c r="BJ956" s="43"/>
      <c r="BK956" s="43"/>
      <c r="BL956" s="43"/>
      <c r="BM956" s="43"/>
      <c r="BN956" s="43"/>
      <c r="BO956" s="43"/>
      <c r="BP956" s="43"/>
      <c r="BQ956" s="43"/>
      <c r="BR956" s="43"/>
      <c r="BS956" s="43"/>
      <c r="BT956" s="43"/>
      <c r="BU956" s="43"/>
      <c r="BV956" s="43"/>
      <c r="BW956" s="43"/>
      <c r="BX956" s="43"/>
      <c r="BY956" s="43"/>
      <c r="BZ956" s="43"/>
      <c r="CA956" s="43"/>
      <c r="CB956" s="43"/>
      <c r="CC956" s="43"/>
      <c r="CD956" s="43"/>
      <c r="CE956" s="43"/>
      <c r="CF956" s="43"/>
      <c r="CG956" s="43"/>
      <c r="CH956" s="43"/>
      <c r="CI956" s="43"/>
      <c r="CJ956" s="43"/>
      <c r="CK956" s="43"/>
      <c r="CL956" s="43"/>
      <c r="CM956" s="43"/>
      <c r="CN956" s="43"/>
      <c r="CO956" s="43"/>
      <c r="CP956" s="43"/>
      <c r="CQ956" s="43"/>
      <c r="CR956" s="43"/>
      <c r="CS956" s="43"/>
      <c r="CT956" s="43"/>
      <c r="CU956" s="43"/>
      <c r="CV956" s="43"/>
      <c r="CW956" s="43"/>
      <c r="CX956" s="43"/>
      <c r="CY956" s="43"/>
      <c r="CZ956" s="43"/>
      <c r="DA956" s="43"/>
      <c r="DB956" s="43"/>
      <c r="DC956" s="43"/>
      <c r="DD956" s="43"/>
      <c r="DE956" s="43"/>
      <c r="DF956" s="43"/>
      <c r="DG956" s="43"/>
      <c r="DH956" s="43"/>
      <c r="DI956" s="43"/>
      <c r="DJ956" s="43"/>
      <c r="DK956" s="43"/>
      <c r="DL956" s="43"/>
      <c r="DM956" s="43"/>
      <c r="DN956" s="43"/>
      <c r="DO956" s="43"/>
      <c r="DP956" s="43"/>
      <c r="DQ956" s="43"/>
      <c r="DR956" s="43"/>
      <c r="DS956" s="43"/>
      <c r="DT956" s="43"/>
      <c r="DU956" s="43"/>
      <c r="DV956" s="43"/>
      <c r="DW956" s="43"/>
      <c r="DX956" s="43"/>
      <c r="DY956" s="43"/>
      <c r="DZ956" s="43"/>
      <c r="EA956" s="43"/>
      <c r="EB956" s="43"/>
      <c r="EC956" s="43"/>
      <c r="ED956" s="43"/>
      <c r="EE956" s="43"/>
      <c r="EF956" s="43"/>
      <c r="EG956" s="43"/>
      <c r="EH956" s="43"/>
      <c r="EI956" s="43"/>
      <c r="EJ956" s="43"/>
      <c r="EK956" s="43"/>
      <c r="EL956" s="43"/>
      <c r="EM956" s="43"/>
      <c r="EN956" s="43"/>
      <c r="EO956" s="43"/>
      <c r="EP956" s="43"/>
      <c r="EQ956" s="43"/>
      <c r="ER956" s="43"/>
      <c r="ES956" s="43"/>
      <c r="ET956" s="43"/>
      <c r="EU956" s="43"/>
      <c r="EV956" s="43"/>
      <c r="EW956" s="43"/>
      <c r="EX956" s="43"/>
      <c r="EY956" s="43"/>
      <c r="EZ956" s="43"/>
      <c r="FA956" s="43"/>
      <c r="FB956" s="43"/>
      <c r="FC956" s="43"/>
      <c r="FD956" s="43"/>
      <c r="FE956" s="43"/>
      <c r="FF956" s="43"/>
      <c r="FG956" s="43"/>
      <c r="FH956" s="50"/>
      <c r="FI956" s="50"/>
    </row>
    <row r="957" ht="14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  <c r="AX957" s="43"/>
      <c r="AY957" s="43"/>
      <c r="AZ957" s="43"/>
      <c r="BA957" s="43"/>
      <c r="BB957" s="43"/>
      <c r="BC957" s="43"/>
      <c r="BD957" s="43"/>
      <c r="BE957" s="43"/>
      <c r="BF957" s="43"/>
      <c r="BG957" s="43"/>
      <c r="BH957" s="43"/>
      <c r="BI957" s="43"/>
      <c r="BJ957" s="43"/>
      <c r="BK957" s="43"/>
      <c r="BL957" s="43"/>
      <c r="BM957" s="43"/>
      <c r="BN957" s="43"/>
      <c r="BO957" s="43"/>
      <c r="BP957" s="43"/>
      <c r="BQ957" s="43"/>
      <c r="BR957" s="43"/>
      <c r="BS957" s="43"/>
      <c r="BT957" s="43"/>
      <c r="BU957" s="43"/>
      <c r="BV957" s="43"/>
      <c r="BW957" s="43"/>
      <c r="BX957" s="43"/>
      <c r="BY957" s="43"/>
      <c r="BZ957" s="43"/>
      <c r="CA957" s="43"/>
      <c r="CB957" s="43"/>
      <c r="CC957" s="43"/>
      <c r="CD957" s="43"/>
      <c r="CE957" s="43"/>
      <c r="CF957" s="43"/>
      <c r="CG957" s="43"/>
      <c r="CH957" s="43"/>
      <c r="CI957" s="43"/>
      <c r="CJ957" s="43"/>
      <c r="CK957" s="43"/>
      <c r="CL957" s="43"/>
      <c r="CM957" s="43"/>
      <c r="CN957" s="43"/>
      <c r="CO957" s="43"/>
      <c r="CP957" s="43"/>
      <c r="CQ957" s="43"/>
      <c r="CR957" s="43"/>
      <c r="CS957" s="43"/>
      <c r="CT957" s="43"/>
      <c r="CU957" s="43"/>
      <c r="CV957" s="43"/>
      <c r="CW957" s="43"/>
      <c r="CX957" s="43"/>
      <c r="CY957" s="43"/>
      <c r="CZ957" s="43"/>
      <c r="DA957" s="43"/>
      <c r="DB957" s="43"/>
      <c r="DC957" s="43"/>
      <c r="DD957" s="43"/>
      <c r="DE957" s="43"/>
      <c r="DF957" s="43"/>
      <c r="DG957" s="43"/>
      <c r="DH957" s="43"/>
      <c r="DI957" s="43"/>
      <c r="DJ957" s="43"/>
      <c r="DK957" s="43"/>
      <c r="DL957" s="43"/>
      <c r="DM957" s="43"/>
      <c r="DN957" s="43"/>
      <c r="DO957" s="43"/>
      <c r="DP957" s="43"/>
      <c r="DQ957" s="43"/>
      <c r="DR957" s="43"/>
      <c r="DS957" s="43"/>
      <c r="DT957" s="43"/>
      <c r="DU957" s="43"/>
      <c r="DV957" s="43"/>
      <c r="DW957" s="43"/>
      <c r="DX957" s="43"/>
      <c r="DY957" s="43"/>
      <c r="DZ957" s="43"/>
      <c r="EA957" s="43"/>
      <c r="EB957" s="43"/>
      <c r="EC957" s="43"/>
      <c r="ED957" s="43"/>
      <c r="EE957" s="43"/>
      <c r="EF957" s="43"/>
      <c r="EG957" s="43"/>
      <c r="EH957" s="43"/>
      <c r="EI957" s="43"/>
      <c r="EJ957" s="43"/>
      <c r="EK957" s="43"/>
      <c r="EL957" s="43"/>
      <c r="EM957" s="43"/>
      <c r="EN957" s="43"/>
      <c r="EO957" s="43"/>
      <c r="EP957" s="43"/>
      <c r="EQ957" s="43"/>
      <c r="ER957" s="43"/>
      <c r="ES957" s="43"/>
      <c r="ET957" s="43"/>
      <c r="EU957" s="43"/>
      <c r="EV957" s="43"/>
      <c r="EW957" s="43"/>
      <c r="EX957" s="43"/>
      <c r="EY957" s="43"/>
      <c r="EZ957" s="43"/>
      <c r="FA957" s="43"/>
      <c r="FB957" s="43"/>
      <c r="FC957" s="43"/>
      <c r="FD957" s="43"/>
      <c r="FE957" s="43"/>
      <c r="FF957" s="43"/>
      <c r="FG957" s="43"/>
      <c r="FH957" s="50"/>
      <c r="FI957" s="50"/>
    </row>
    <row r="958" ht="14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  <c r="AX958" s="43"/>
      <c r="AY958" s="43"/>
      <c r="AZ958" s="43"/>
      <c r="BA958" s="43"/>
      <c r="BB958" s="43"/>
      <c r="BC958" s="43"/>
      <c r="BD958" s="43"/>
      <c r="BE958" s="43"/>
      <c r="BF958" s="43"/>
      <c r="BG958" s="43"/>
      <c r="BH958" s="43"/>
      <c r="BI958" s="43"/>
      <c r="BJ958" s="43"/>
      <c r="BK958" s="43"/>
      <c r="BL958" s="43"/>
      <c r="BM958" s="43"/>
      <c r="BN958" s="43"/>
      <c r="BO958" s="43"/>
      <c r="BP958" s="43"/>
      <c r="BQ958" s="43"/>
      <c r="BR958" s="43"/>
      <c r="BS958" s="43"/>
      <c r="BT958" s="43"/>
      <c r="BU958" s="43"/>
      <c r="BV958" s="43"/>
      <c r="BW958" s="43"/>
      <c r="BX958" s="43"/>
      <c r="BY958" s="43"/>
      <c r="BZ958" s="43"/>
      <c r="CA958" s="43"/>
      <c r="CB958" s="43"/>
      <c r="CC958" s="43"/>
      <c r="CD958" s="43"/>
      <c r="CE958" s="43"/>
      <c r="CF958" s="43"/>
      <c r="CG958" s="43"/>
      <c r="CH958" s="43"/>
      <c r="CI958" s="43"/>
      <c r="CJ958" s="43"/>
      <c r="CK958" s="43"/>
      <c r="CL958" s="43"/>
      <c r="CM958" s="43"/>
      <c r="CN958" s="43"/>
      <c r="CO958" s="43"/>
      <c r="CP958" s="43"/>
      <c r="CQ958" s="43"/>
      <c r="CR958" s="43"/>
      <c r="CS958" s="43"/>
      <c r="CT958" s="43"/>
      <c r="CU958" s="43"/>
      <c r="CV958" s="43"/>
      <c r="CW958" s="43"/>
      <c r="CX958" s="43"/>
      <c r="CY958" s="43"/>
      <c r="CZ958" s="43"/>
      <c r="DA958" s="43"/>
      <c r="DB958" s="43"/>
      <c r="DC958" s="43"/>
      <c r="DD958" s="43"/>
      <c r="DE958" s="43"/>
      <c r="DF958" s="43"/>
      <c r="DG958" s="43"/>
      <c r="DH958" s="43"/>
      <c r="DI958" s="43"/>
      <c r="DJ958" s="43"/>
      <c r="DK958" s="43"/>
      <c r="DL958" s="43"/>
      <c r="DM958" s="43"/>
      <c r="DN958" s="43"/>
      <c r="DO958" s="43"/>
      <c r="DP958" s="43"/>
      <c r="DQ958" s="43"/>
      <c r="DR958" s="43"/>
      <c r="DS958" s="43"/>
      <c r="DT958" s="43"/>
      <c r="DU958" s="43"/>
      <c r="DV958" s="43"/>
      <c r="DW958" s="43"/>
      <c r="DX958" s="43"/>
      <c r="DY958" s="43"/>
      <c r="DZ958" s="43"/>
      <c r="EA958" s="43"/>
      <c r="EB958" s="43"/>
      <c r="EC958" s="43"/>
      <c r="ED958" s="43"/>
      <c r="EE958" s="43"/>
      <c r="EF958" s="43"/>
      <c r="EG958" s="43"/>
      <c r="EH958" s="43"/>
      <c r="EI958" s="43"/>
      <c r="EJ958" s="43"/>
      <c r="EK958" s="43"/>
      <c r="EL958" s="43"/>
      <c r="EM958" s="43"/>
      <c r="EN958" s="43"/>
      <c r="EO958" s="43"/>
      <c r="EP958" s="43"/>
      <c r="EQ958" s="43"/>
      <c r="ER958" s="43"/>
      <c r="ES958" s="43"/>
      <c r="ET958" s="43"/>
      <c r="EU958" s="43"/>
      <c r="EV958" s="43"/>
      <c r="EW958" s="43"/>
      <c r="EX958" s="43"/>
      <c r="EY958" s="43"/>
      <c r="EZ958" s="43"/>
      <c r="FA958" s="43"/>
      <c r="FB958" s="43"/>
      <c r="FC958" s="43"/>
      <c r="FD958" s="43"/>
      <c r="FE958" s="43"/>
      <c r="FF958" s="43"/>
      <c r="FG958" s="43"/>
      <c r="FH958" s="50"/>
      <c r="FI958" s="50"/>
    </row>
    <row r="959" ht="14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  <c r="AX959" s="43"/>
      <c r="AY959" s="43"/>
      <c r="AZ959" s="43"/>
      <c r="BA959" s="43"/>
      <c r="BB959" s="43"/>
      <c r="BC959" s="43"/>
      <c r="BD959" s="43"/>
      <c r="BE959" s="43"/>
      <c r="BF959" s="43"/>
      <c r="BG959" s="43"/>
      <c r="BH959" s="43"/>
      <c r="BI959" s="43"/>
      <c r="BJ959" s="43"/>
      <c r="BK959" s="43"/>
      <c r="BL959" s="43"/>
      <c r="BM959" s="43"/>
      <c r="BN959" s="43"/>
      <c r="BO959" s="43"/>
      <c r="BP959" s="43"/>
      <c r="BQ959" s="43"/>
      <c r="BR959" s="43"/>
      <c r="BS959" s="43"/>
      <c r="BT959" s="43"/>
      <c r="BU959" s="43"/>
      <c r="BV959" s="43"/>
      <c r="BW959" s="43"/>
      <c r="BX959" s="43"/>
      <c r="BY959" s="43"/>
      <c r="BZ959" s="43"/>
      <c r="CA959" s="43"/>
      <c r="CB959" s="43"/>
      <c r="CC959" s="43"/>
      <c r="CD959" s="43"/>
      <c r="CE959" s="43"/>
      <c r="CF959" s="43"/>
      <c r="CG959" s="43"/>
      <c r="CH959" s="43"/>
      <c r="CI959" s="43"/>
      <c r="CJ959" s="43"/>
      <c r="CK959" s="43"/>
      <c r="CL959" s="43"/>
      <c r="CM959" s="43"/>
      <c r="CN959" s="43"/>
      <c r="CO959" s="43"/>
      <c r="CP959" s="43"/>
      <c r="CQ959" s="43"/>
      <c r="CR959" s="43"/>
      <c r="CS959" s="43"/>
      <c r="CT959" s="43"/>
      <c r="CU959" s="43"/>
      <c r="CV959" s="43"/>
      <c r="CW959" s="43"/>
      <c r="CX959" s="43"/>
      <c r="CY959" s="43"/>
      <c r="CZ959" s="43"/>
      <c r="DA959" s="43"/>
      <c r="DB959" s="43"/>
      <c r="DC959" s="43"/>
      <c r="DD959" s="43"/>
      <c r="DE959" s="43"/>
      <c r="DF959" s="43"/>
      <c r="DG959" s="43"/>
      <c r="DH959" s="43"/>
      <c r="DI959" s="43"/>
      <c r="DJ959" s="43"/>
      <c r="DK959" s="43"/>
      <c r="DL959" s="43"/>
      <c r="DM959" s="43"/>
      <c r="DN959" s="43"/>
      <c r="DO959" s="43"/>
      <c r="DP959" s="43"/>
      <c r="DQ959" s="43"/>
      <c r="DR959" s="43"/>
      <c r="DS959" s="43"/>
      <c r="DT959" s="43"/>
      <c r="DU959" s="43"/>
      <c r="DV959" s="43"/>
      <c r="DW959" s="43"/>
      <c r="DX959" s="43"/>
      <c r="DY959" s="43"/>
      <c r="DZ959" s="43"/>
      <c r="EA959" s="43"/>
      <c r="EB959" s="43"/>
      <c r="EC959" s="43"/>
      <c r="ED959" s="43"/>
      <c r="EE959" s="43"/>
      <c r="EF959" s="43"/>
      <c r="EG959" s="43"/>
      <c r="EH959" s="43"/>
      <c r="EI959" s="43"/>
      <c r="EJ959" s="43"/>
      <c r="EK959" s="43"/>
      <c r="EL959" s="43"/>
      <c r="EM959" s="43"/>
      <c r="EN959" s="43"/>
      <c r="EO959" s="43"/>
      <c r="EP959" s="43"/>
      <c r="EQ959" s="43"/>
      <c r="ER959" s="43"/>
      <c r="ES959" s="43"/>
      <c r="ET959" s="43"/>
      <c r="EU959" s="43"/>
      <c r="EV959" s="43"/>
      <c r="EW959" s="43"/>
      <c r="EX959" s="43"/>
      <c r="EY959" s="43"/>
      <c r="EZ959" s="43"/>
      <c r="FA959" s="43"/>
      <c r="FB959" s="43"/>
      <c r="FC959" s="43"/>
      <c r="FD959" s="43"/>
      <c r="FE959" s="43"/>
      <c r="FF959" s="43"/>
      <c r="FG959" s="43"/>
      <c r="FH959" s="50"/>
      <c r="FI959" s="50"/>
    </row>
    <row r="960" ht="14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  <c r="AX960" s="43"/>
      <c r="AY960" s="43"/>
      <c r="AZ960" s="43"/>
      <c r="BA960" s="43"/>
      <c r="BB960" s="43"/>
      <c r="BC960" s="43"/>
      <c r="BD960" s="43"/>
      <c r="BE960" s="43"/>
      <c r="BF960" s="43"/>
      <c r="BG960" s="43"/>
      <c r="BH960" s="43"/>
      <c r="BI960" s="43"/>
      <c r="BJ960" s="43"/>
      <c r="BK960" s="43"/>
      <c r="BL960" s="43"/>
      <c r="BM960" s="43"/>
      <c r="BN960" s="43"/>
      <c r="BO960" s="43"/>
      <c r="BP960" s="43"/>
      <c r="BQ960" s="43"/>
      <c r="BR960" s="43"/>
      <c r="BS960" s="43"/>
      <c r="BT960" s="43"/>
      <c r="BU960" s="43"/>
      <c r="BV960" s="43"/>
      <c r="BW960" s="43"/>
      <c r="BX960" s="43"/>
      <c r="BY960" s="43"/>
      <c r="BZ960" s="43"/>
      <c r="CA960" s="43"/>
      <c r="CB960" s="43"/>
      <c r="CC960" s="43"/>
      <c r="CD960" s="43"/>
      <c r="CE960" s="43"/>
      <c r="CF960" s="43"/>
      <c r="CG960" s="43"/>
      <c r="CH960" s="43"/>
      <c r="CI960" s="43"/>
      <c r="CJ960" s="43"/>
      <c r="CK960" s="43"/>
      <c r="CL960" s="43"/>
      <c r="CM960" s="43"/>
      <c r="CN960" s="43"/>
      <c r="CO960" s="43"/>
      <c r="CP960" s="43"/>
      <c r="CQ960" s="43"/>
      <c r="CR960" s="43"/>
      <c r="CS960" s="43"/>
      <c r="CT960" s="43"/>
      <c r="CU960" s="43"/>
      <c r="CV960" s="43"/>
      <c r="CW960" s="43"/>
      <c r="CX960" s="43"/>
      <c r="CY960" s="43"/>
      <c r="CZ960" s="43"/>
      <c r="DA960" s="43"/>
      <c r="DB960" s="43"/>
      <c r="DC960" s="43"/>
      <c r="DD960" s="43"/>
      <c r="DE960" s="43"/>
      <c r="DF960" s="43"/>
      <c r="DG960" s="43"/>
      <c r="DH960" s="43"/>
      <c r="DI960" s="43"/>
      <c r="DJ960" s="43"/>
      <c r="DK960" s="43"/>
      <c r="DL960" s="43"/>
      <c r="DM960" s="43"/>
      <c r="DN960" s="43"/>
      <c r="DO960" s="43"/>
      <c r="DP960" s="43"/>
      <c r="DQ960" s="43"/>
      <c r="DR960" s="43"/>
      <c r="DS960" s="43"/>
      <c r="DT960" s="43"/>
      <c r="DU960" s="43"/>
      <c r="DV960" s="43"/>
      <c r="DW960" s="43"/>
      <c r="DX960" s="43"/>
      <c r="DY960" s="43"/>
      <c r="DZ960" s="43"/>
      <c r="EA960" s="43"/>
      <c r="EB960" s="43"/>
      <c r="EC960" s="43"/>
      <c r="ED960" s="43"/>
      <c r="EE960" s="43"/>
      <c r="EF960" s="43"/>
      <c r="EG960" s="43"/>
      <c r="EH960" s="43"/>
      <c r="EI960" s="43"/>
      <c r="EJ960" s="43"/>
      <c r="EK960" s="43"/>
      <c r="EL960" s="43"/>
      <c r="EM960" s="43"/>
      <c r="EN960" s="43"/>
      <c r="EO960" s="43"/>
      <c r="EP960" s="43"/>
      <c r="EQ960" s="43"/>
      <c r="ER960" s="43"/>
      <c r="ES960" s="43"/>
      <c r="ET960" s="43"/>
      <c r="EU960" s="43"/>
      <c r="EV960" s="43"/>
      <c r="EW960" s="43"/>
      <c r="EX960" s="43"/>
      <c r="EY960" s="43"/>
      <c r="EZ960" s="43"/>
      <c r="FA960" s="43"/>
      <c r="FB960" s="43"/>
      <c r="FC960" s="43"/>
      <c r="FD960" s="43"/>
      <c r="FE960" s="43"/>
      <c r="FF960" s="43"/>
      <c r="FG960" s="43"/>
      <c r="FH960" s="50"/>
      <c r="FI960" s="50"/>
    </row>
    <row r="961" ht="14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  <c r="AX961" s="43"/>
      <c r="AY961" s="43"/>
      <c r="AZ961" s="43"/>
      <c r="BA961" s="43"/>
      <c r="BB961" s="43"/>
      <c r="BC961" s="43"/>
      <c r="BD961" s="43"/>
      <c r="BE961" s="43"/>
      <c r="BF961" s="43"/>
      <c r="BG961" s="43"/>
      <c r="BH961" s="43"/>
      <c r="BI961" s="43"/>
      <c r="BJ961" s="43"/>
      <c r="BK961" s="43"/>
      <c r="BL961" s="43"/>
      <c r="BM961" s="43"/>
      <c r="BN961" s="43"/>
      <c r="BO961" s="43"/>
      <c r="BP961" s="43"/>
      <c r="BQ961" s="43"/>
      <c r="BR961" s="43"/>
      <c r="BS961" s="43"/>
      <c r="BT961" s="43"/>
      <c r="BU961" s="43"/>
      <c r="BV961" s="43"/>
      <c r="BW961" s="43"/>
      <c r="BX961" s="43"/>
      <c r="BY961" s="43"/>
      <c r="BZ961" s="43"/>
      <c r="CA961" s="43"/>
      <c r="CB961" s="43"/>
      <c r="CC961" s="43"/>
      <c r="CD961" s="43"/>
      <c r="CE961" s="43"/>
      <c r="CF961" s="43"/>
      <c r="CG961" s="43"/>
      <c r="CH961" s="43"/>
      <c r="CI961" s="43"/>
      <c r="CJ961" s="43"/>
      <c r="CK961" s="43"/>
      <c r="CL961" s="43"/>
      <c r="CM961" s="43"/>
      <c r="CN961" s="43"/>
      <c r="CO961" s="43"/>
      <c r="CP961" s="43"/>
      <c r="CQ961" s="43"/>
      <c r="CR961" s="43"/>
      <c r="CS961" s="43"/>
      <c r="CT961" s="43"/>
      <c r="CU961" s="43"/>
      <c r="CV961" s="43"/>
      <c r="CW961" s="43"/>
      <c r="CX961" s="43"/>
      <c r="CY961" s="43"/>
      <c r="CZ961" s="43"/>
      <c r="DA961" s="43"/>
      <c r="DB961" s="43"/>
      <c r="DC961" s="43"/>
      <c r="DD961" s="43"/>
      <c r="DE961" s="43"/>
      <c r="DF961" s="43"/>
      <c r="DG961" s="43"/>
      <c r="DH961" s="43"/>
      <c r="DI961" s="43"/>
      <c r="DJ961" s="43"/>
      <c r="DK961" s="43"/>
      <c r="DL961" s="43"/>
      <c r="DM961" s="43"/>
      <c r="DN961" s="43"/>
      <c r="DO961" s="43"/>
      <c r="DP961" s="43"/>
      <c r="DQ961" s="43"/>
      <c r="DR961" s="43"/>
      <c r="DS961" s="43"/>
      <c r="DT961" s="43"/>
      <c r="DU961" s="43"/>
      <c r="DV961" s="43"/>
      <c r="DW961" s="43"/>
      <c r="DX961" s="43"/>
      <c r="DY961" s="43"/>
      <c r="DZ961" s="43"/>
      <c r="EA961" s="43"/>
      <c r="EB961" s="43"/>
      <c r="EC961" s="43"/>
      <c r="ED961" s="43"/>
      <c r="EE961" s="43"/>
      <c r="EF961" s="43"/>
      <c r="EG961" s="43"/>
      <c r="EH961" s="43"/>
      <c r="EI961" s="43"/>
      <c r="EJ961" s="43"/>
      <c r="EK961" s="43"/>
      <c r="EL961" s="43"/>
      <c r="EM961" s="43"/>
      <c r="EN961" s="43"/>
      <c r="EO961" s="43"/>
      <c r="EP961" s="43"/>
      <c r="EQ961" s="43"/>
      <c r="ER961" s="43"/>
      <c r="ES961" s="43"/>
      <c r="ET961" s="43"/>
      <c r="EU961" s="43"/>
      <c r="EV961" s="43"/>
      <c r="EW961" s="43"/>
      <c r="EX961" s="43"/>
      <c r="EY961" s="43"/>
      <c r="EZ961" s="43"/>
      <c r="FA961" s="43"/>
      <c r="FB961" s="43"/>
      <c r="FC961" s="43"/>
      <c r="FD961" s="43"/>
      <c r="FE961" s="43"/>
      <c r="FF961" s="43"/>
      <c r="FG961" s="43"/>
      <c r="FH961" s="50"/>
      <c r="FI961" s="50"/>
    </row>
    <row r="962" ht="14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  <c r="AX962" s="43"/>
      <c r="AY962" s="43"/>
      <c r="AZ962" s="43"/>
      <c r="BA962" s="43"/>
      <c r="BB962" s="43"/>
      <c r="BC962" s="43"/>
      <c r="BD962" s="43"/>
      <c r="BE962" s="43"/>
      <c r="BF962" s="43"/>
      <c r="BG962" s="43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R962" s="43"/>
      <c r="BS962" s="43"/>
      <c r="BT962" s="43"/>
      <c r="BU962" s="43"/>
      <c r="BV962" s="43"/>
      <c r="BW962" s="43"/>
      <c r="BX962" s="43"/>
      <c r="BY962" s="43"/>
      <c r="BZ962" s="43"/>
      <c r="CA962" s="43"/>
      <c r="CB962" s="43"/>
      <c r="CC962" s="43"/>
      <c r="CD962" s="43"/>
      <c r="CE962" s="43"/>
      <c r="CF962" s="43"/>
      <c r="CG962" s="43"/>
      <c r="CH962" s="43"/>
      <c r="CI962" s="43"/>
      <c r="CJ962" s="43"/>
      <c r="CK962" s="43"/>
      <c r="CL962" s="43"/>
      <c r="CM962" s="43"/>
      <c r="CN962" s="43"/>
      <c r="CO962" s="43"/>
      <c r="CP962" s="43"/>
      <c r="CQ962" s="43"/>
      <c r="CR962" s="43"/>
      <c r="CS962" s="43"/>
      <c r="CT962" s="43"/>
      <c r="CU962" s="43"/>
      <c r="CV962" s="43"/>
      <c r="CW962" s="43"/>
      <c r="CX962" s="43"/>
      <c r="CY962" s="43"/>
      <c r="CZ962" s="43"/>
      <c r="DA962" s="43"/>
      <c r="DB962" s="43"/>
      <c r="DC962" s="43"/>
      <c r="DD962" s="43"/>
      <c r="DE962" s="43"/>
      <c r="DF962" s="43"/>
      <c r="DG962" s="43"/>
      <c r="DH962" s="43"/>
      <c r="DI962" s="43"/>
      <c r="DJ962" s="43"/>
      <c r="DK962" s="43"/>
      <c r="DL962" s="43"/>
      <c r="DM962" s="43"/>
      <c r="DN962" s="43"/>
      <c r="DO962" s="43"/>
      <c r="DP962" s="43"/>
      <c r="DQ962" s="43"/>
      <c r="DR962" s="43"/>
      <c r="DS962" s="43"/>
      <c r="DT962" s="43"/>
      <c r="DU962" s="43"/>
      <c r="DV962" s="43"/>
      <c r="DW962" s="43"/>
      <c r="DX962" s="43"/>
      <c r="DY962" s="43"/>
      <c r="DZ962" s="43"/>
      <c r="EA962" s="43"/>
      <c r="EB962" s="43"/>
      <c r="EC962" s="43"/>
      <c r="ED962" s="43"/>
      <c r="EE962" s="43"/>
      <c r="EF962" s="43"/>
      <c r="EG962" s="43"/>
      <c r="EH962" s="43"/>
      <c r="EI962" s="43"/>
      <c r="EJ962" s="43"/>
      <c r="EK962" s="43"/>
      <c r="EL962" s="43"/>
      <c r="EM962" s="43"/>
      <c r="EN962" s="43"/>
      <c r="EO962" s="43"/>
      <c r="EP962" s="43"/>
      <c r="EQ962" s="43"/>
      <c r="ER962" s="43"/>
      <c r="ES962" s="43"/>
      <c r="ET962" s="43"/>
      <c r="EU962" s="43"/>
      <c r="EV962" s="43"/>
      <c r="EW962" s="43"/>
      <c r="EX962" s="43"/>
      <c r="EY962" s="43"/>
      <c r="EZ962" s="43"/>
      <c r="FA962" s="43"/>
      <c r="FB962" s="43"/>
      <c r="FC962" s="43"/>
      <c r="FD962" s="43"/>
      <c r="FE962" s="43"/>
      <c r="FF962" s="43"/>
      <c r="FG962" s="43"/>
      <c r="FH962" s="50"/>
      <c r="FI962" s="50"/>
    </row>
    <row r="963" ht="14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  <c r="AX963" s="43"/>
      <c r="AY963" s="43"/>
      <c r="AZ963" s="43"/>
      <c r="BA963" s="43"/>
      <c r="BB963" s="43"/>
      <c r="BC963" s="43"/>
      <c r="BD963" s="43"/>
      <c r="BE963" s="43"/>
      <c r="BF963" s="43"/>
      <c r="BG963" s="43"/>
      <c r="BH963" s="43"/>
      <c r="BI963" s="43"/>
      <c r="BJ963" s="43"/>
      <c r="BK963" s="43"/>
      <c r="BL963" s="43"/>
      <c r="BM963" s="43"/>
      <c r="BN963" s="43"/>
      <c r="BO963" s="43"/>
      <c r="BP963" s="43"/>
      <c r="BQ963" s="43"/>
      <c r="BR963" s="43"/>
      <c r="BS963" s="43"/>
      <c r="BT963" s="43"/>
      <c r="BU963" s="43"/>
      <c r="BV963" s="43"/>
      <c r="BW963" s="43"/>
      <c r="BX963" s="43"/>
      <c r="BY963" s="43"/>
      <c r="BZ963" s="43"/>
      <c r="CA963" s="43"/>
      <c r="CB963" s="43"/>
      <c r="CC963" s="43"/>
      <c r="CD963" s="43"/>
      <c r="CE963" s="43"/>
      <c r="CF963" s="43"/>
      <c r="CG963" s="43"/>
      <c r="CH963" s="43"/>
      <c r="CI963" s="43"/>
      <c r="CJ963" s="43"/>
      <c r="CK963" s="43"/>
      <c r="CL963" s="43"/>
      <c r="CM963" s="43"/>
      <c r="CN963" s="43"/>
      <c r="CO963" s="43"/>
      <c r="CP963" s="43"/>
      <c r="CQ963" s="43"/>
      <c r="CR963" s="43"/>
      <c r="CS963" s="43"/>
      <c r="CT963" s="43"/>
      <c r="CU963" s="43"/>
      <c r="CV963" s="43"/>
      <c r="CW963" s="43"/>
      <c r="CX963" s="43"/>
      <c r="CY963" s="43"/>
      <c r="CZ963" s="43"/>
      <c r="DA963" s="43"/>
      <c r="DB963" s="43"/>
      <c r="DC963" s="43"/>
      <c r="DD963" s="43"/>
      <c r="DE963" s="43"/>
      <c r="DF963" s="43"/>
      <c r="DG963" s="43"/>
      <c r="DH963" s="43"/>
      <c r="DI963" s="43"/>
      <c r="DJ963" s="43"/>
      <c r="DK963" s="43"/>
      <c r="DL963" s="43"/>
      <c r="DM963" s="43"/>
      <c r="DN963" s="43"/>
      <c r="DO963" s="43"/>
      <c r="DP963" s="43"/>
      <c r="DQ963" s="43"/>
      <c r="DR963" s="43"/>
      <c r="DS963" s="43"/>
      <c r="DT963" s="43"/>
      <c r="DU963" s="43"/>
      <c r="DV963" s="43"/>
      <c r="DW963" s="43"/>
      <c r="DX963" s="43"/>
      <c r="DY963" s="43"/>
      <c r="DZ963" s="43"/>
      <c r="EA963" s="43"/>
      <c r="EB963" s="43"/>
      <c r="EC963" s="43"/>
      <c r="ED963" s="43"/>
      <c r="EE963" s="43"/>
      <c r="EF963" s="43"/>
      <c r="EG963" s="43"/>
      <c r="EH963" s="43"/>
      <c r="EI963" s="43"/>
      <c r="EJ963" s="43"/>
      <c r="EK963" s="43"/>
      <c r="EL963" s="43"/>
      <c r="EM963" s="43"/>
      <c r="EN963" s="43"/>
      <c r="EO963" s="43"/>
      <c r="EP963" s="43"/>
      <c r="EQ963" s="43"/>
      <c r="ER963" s="43"/>
      <c r="ES963" s="43"/>
      <c r="ET963" s="43"/>
      <c r="EU963" s="43"/>
      <c r="EV963" s="43"/>
      <c r="EW963" s="43"/>
      <c r="EX963" s="43"/>
      <c r="EY963" s="43"/>
      <c r="EZ963" s="43"/>
      <c r="FA963" s="43"/>
      <c r="FB963" s="43"/>
      <c r="FC963" s="43"/>
      <c r="FD963" s="43"/>
      <c r="FE963" s="43"/>
      <c r="FF963" s="43"/>
      <c r="FG963" s="43"/>
      <c r="FH963" s="50"/>
      <c r="FI963" s="50"/>
    </row>
    <row r="964" ht="14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  <c r="AX964" s="43"/>
      <c r="AY964" s="43"/>
      <c r="AZ964" s="43"/>
      <c r="BA964" s="43"/>
      <c r="BB964" s="43"/>
      <c r="BC964" s="43"/>
      <c r="BD964" s="43"/>
      <c r="BE964" s="43"/>
      <c r="BF964" s="43"/>
      <c r="BG964" s="43"/>
      <c r="BH964" s="43"/>
      <c r="BI964" s="43"/>
      <c r="BJ964" s="43"/>
      <c r="BK964" s="43"/>
      <c r="BL964" s="43"/>
      <c r="BM964" s="43"/>
      <c r="BN964" s="43"/>
      <c r="BO964" s="43"/>
      <c r="BP964" s="43"/>
      <c r="BQ964" s="43"/>
      <c r="BR964" s="43"/>
      <c r="BS964" s="43"/>
      <c r="BT964" s="43"/>
      <c r="BU964" s="43"/>
      <c r="BV964" s="43"/>
      <c r="BW964" s="43"/>
      <c r="BX964" s="43"/>
      <c r="BY964" s="43"/>
      <c r="BZ964" s="43"/>
      <c r="CA964" s="43"/>
      <c r="CB964" s="43"/>
      <c r="CC964" s="43"/>
      <c r="CD964" s="43"/>
      <c r="CE964" s="43"/>
      <c r="CF964" s="43"/>
      <c r="CG964" s="43"/>
      <c r="CH964" s="43"/>
      <c r="CI964" s="43"/>
      <c r="CJ964" s="43"/>
      <c r="CK964" s="43"/>
      <c r="CL964" s="43"/>
      <c r="CM964" s="43"/>
      <c r="CN964" s="43"/>
      <c r="CO964" s="43"/>
      <c r="CP964" s="43"/>
      <c r="CQ964" s="43"/>
      <c r="CR964" s="43"/>
      <c r="CS964" s="43"/>
      <c r="CT964" s="43"/>
      <c r="CU964" s="43"/>
      <c r="CV964" s="43"/>
      <c r="CW964" s="43"/>
      <c r="CX964" s="43"/>
      <c r="CY964" s="43"/>
      <c r="CZ964" s="43"/>
      <c r="DA964" s="43"/>
      <c r="DB964" s="43"/>
      <c r="DC964" s="43"/>
      <c r="DD964" s="43"/>
      <c r="DE964" s="43"/>
      <c r="DF964" s="43"/>
      <c r="DG964" s="43"/>
      <c r="DH964" s="43"/>
      <c r="DI964" s="43"/>
      <c r="DJ964" s="43"/>
      <c r="DK964" s="43"/>
      <c r="DL964" s="43"/>
      <c r="DM964" s="43"/>
      <c r="DN964" s="43"/>
      <c r="DO964" s="43"/>
      <c r="DP964" s="43"/>
      <c r="DQ964" s="43"/>
      <c r="DR964" s="43"/>
      <c r="DS964" s="43"/>
      <c r="DT964" s="43"/>
      <c r="DU964" s="43"/>
      <c r="DV964" s="43"/>
      <c r="DW964" s="43"/>
      <c r="DX964" s="43"/>
      <c r="DY964" s="43"/>
      <c r="DZ964" s="43"/>
      <c r="EA964" s="43"/>
      <c r="EB964" s="43"/>
      <c r="EC964" s="43"/>
      <c r="ED964" s="43"/>
      <c r="EE964" s="43"/>
      <c r="EF964" s="43"/>
      <c r="EG964" s="43"/>
      <c r="EH964" s="43"/>
      <c r="EI964" s="43"/>
      <c r="EJ964" s="43"/>
      <c r="EK964" s="43"/>
      <c r="EL964" s="43"/>
      <c r="EM964" s="43"/>
      <c r="EN964" s="43"/>
      <c r="EO964" s="43"/>
      <c r="EP964" s="43"/>
      <c r="EQ964" s="43"/>
      <c r="ER964" s="43"/>
      <c r="ES964" s="43"/>
      <c r="ET964" s="43"/>
      <c r="EU964" s="43"/>
      <c r="EV964" s="43"/>
      <c r="EW964" s="43"/>
      <c r="EX964" s="43"/>
      <c r="EY964" s="43"/>
      <c r="EZ964" s="43"/>
      <c r="FA964" s="43"/>
      <c r="FB964" s="43"/>
      <c r="FC964" s="43"/>
      <c r="FD964" s="43"/>
      <c r="FE964" s="43"/>
      <c r="FF964" s="43"/>
      <c r="FG964" s="43"/>
      <c r="FH964" s="50"/>
      <c r="FI964" s="50"/>
    </row>
    <row r="965" ht="14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  <c r="AX965" s="43"/>
      <c r="AY965" s="43"/>
      <c r="AZ965" s="43"/>
      <c r="BA965" s="43"/>
      <c r="BB965" s="43"/>
      <c r="BC965" s="43"/>
      <c r="BD965" s="43"/>
      <c r="BE965" s="43"/>
      <c r="BF965" s="43"/>
      <c r="BG965" s="43"/>
      <c r="BH965" s="43"/>
      <c r="BI965" s="43"/>
      <c r="BJ965" s="43"/>
      <c r="BK965" s="43"/>
      <c r="BL965" s="43"/>
      <c r="BM965" s="43"/>
      <c r="BN965" s="43"/>
      <c r="BO965" s="43"/>
      <c r="BP965" s="43"/>
      <c r="BQ965" s="43"/>
      <c r="BR965" s="43"/>
      <c r="BS965" s="43"/>
      <c r="BT965" s="43"/>
      <c r="BU965" s="43"/>
      <c r="BV965" s="43"/>
      <c r="BW965" s="43"/>
      <c r="BX965" s="43"/>
      <c r="BY965" s="43"/>
      <c r="BZ965" s="43"/>
      <c r="CA965" s="43"/>
      <c r="CB965" s="43"/>
      <c r="CC965" s="43"/>
      <c r="CD965" s="43"/>
      <c r="CE965" s="43"/>
      <c r="CF965" s="43"/>
      <c r="CG965" s="43"/>
      <c r="CH965" s="43"/>
      <c r="CI965" s="43"/>
      <c r="CJ965" s="43"/>
      <c r="CK965" s="43"/>
      <c r="CL965" s="43"/>
      <c r="CM965" s="43"/>
      <c r="CN965" s="43"/>
      <c r="CO965" s="43"/>
      <c r="CP965" s="43"/>
      <c r="CQ965" s="43"/>
      <c r="CR965" s="43"/>
      <c r="CS965" s="43"/>
      <c r="CT965" s="43"/>
      <c r="CU965" s="43"/>
      <c r="CV965" s="43"/>
      <c r="CW965" s="43"/>
      <c r="CX965" s="43"/>
      <c r="CY965" s="43"/>
      <c r="CZ965" s="43"/>
      <c r="DA965" s="43"/>
      <c r="DB965" s="43"/>
      <c r="DC965" s="43"/>
      <c r="DD965" s="43"/>
      <c r="DE965" s="43"/>
      <c r="DF965" s="43"/>
      <c r="DG965" s="43"/>
      <c r="DH965" s="43"/>
      <c r="DI965" s="43"/>
      <c r="DJ965" s="43"/>
      <c r="DK965" s="43"/>
      <c r="DL965" s="43"/>
      <c r="DM965" s="43"/>
      <c r="DN965" s="43"/>
      <c r="DO965" s="43"/>
      <c r="DP965" s="43"/>
      <c r="DQ965" s="43"/>
      <c r="DR965" s="43"/>
      <c r="DS965" s="43"/>
      <c r="DT965" s="43"/>
      <c r="DU965" s="43"/>
      <c r="DV965" s="43"/>
      <c r="DW965" s="43"/>
      <c r="DX965" s="43"/>
      <c r="DY965" s="43"/>
      <c r="DZ965" s="43"/>
      <c r="EA965" s="43"/>
      <c r="EB965" s="43"/>
      <c r="EC965" s="43"/>
      <c r="ED965" s="43"/>
      <c r="EE965" s="43"/>
      <c r="EF965" s="43"/>
      <c r="EG965" s="43"/>
      <c r="EH965" s="43"/>
      <c r="EI965" s="43"/>
      <c r="EJ965" s="43"/>
      <c r="EK965" s="43"/>
      <c r="EL965" s="43"/>
      <c r="EM965" s="43"/>
      <c r="EN965" s="43"/>
      <c r="EO965" s="43"/>
      <c r="EP965" s="43"/>
      <c r="EQ965" s="43"/>
      <c r="ER965" s="43"/>
      <c r="ES965" s="43"/>
      <c r="ET965" s="43"/>
      <c r="EU965" s="43"/>
      <c r="EV965" s="43"/>
      <c r="EW965" s="43"/>
      <c r="EX965" s="43"/>
      <c r="EY965" s="43"/>
      <c r="EZ965" s="43"/>
      <c r="FA965" s="43"/>
      <c r="FB965" s="43"/>
      <c r="FC965" s="43"/>
      <c r="FD965" s="43"/>
      <c r="FE965" s="43"/>
      <c r="FF965" s="43"/>
      <c r="FG965" s="43"/>
      <c r="FH965" s="50"/>
      <c r="FI965" s="50"/>
    </row>
    <row r="966" ht="14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  <c r="AX966" s="43"/>
      <c r="AY966" s="43"/>
      <c r="AZ966" s="43"/>
      <c r="BA966" s="43"/>
      <c r="BB966" s="43"/>
      <c r="BC966" s="43"/>
      <c r="BD966" s="43"/>
      <c r="BE966" s="43"/>
      <c r="BF966" s="43"/>
      <c r="BG966" s="43"/>
      <c r="BH966" s="43"/>
      <c r="BI966" s="43"/>
      <c r="BJ966" s="43"/>
      <c r="BK966" s="43"/>
      <c r="BL966" s="43"/>
      <c r="BM966" s="43"/>
      <c r="BN966" s="43"/>
      <c r="BO966" s="43"/>
      <c r="BP966" s="43"/>
      <c r="BQ966" s="43"/>
      <c r="BR966" s="43"/>
      <c r="BS966" s="43"/>
      <c r="BT966" s="43"/>
      <c r="BU966" s="43"/>
      <c r="BV966" s="43"/>
      <c r="BW966" s="43"/>
      <c r="BX966" s="43"/>
      <c r="BY966" s="43"/>
      <c r="BZ966" s="43"/>
      <c r="CA966" s="43"/>
      <c r="CB966" s="43"/>
      <c r="CC966" s="43"/>
      <c r="CD966" s="43"/>
      <c r="CE966" s="43"/>
      <c r="CF966" s="43"/>
      <c r="CG966" s="43"/>
      <c r="CH966" s="43"/>
      <c r="CI966" s="43"/>
      <c r="CJ966" s="43"/>
      <c r="CK966" s="43"/>
      <c r="CL966" s="43"/>
      <c r="CM966" s="43"/>
      <c r="CN966" s="43"/>
      <c r="CO966" s="43"/>
      <c r="CP966" s="43"/>
      <c r="CQ966" s="43"/>
      <c r="CR966" s="43"/>
      <c r="CS966" s="43"/>
      <c r="CT966" s="43"/>
      <c r="CU966" s="43"/>
      <c r="CV966" s="43"/>
      <c r="CW966" s="43"/>
      <c r="CX966" s="43"/>
      <c r="CY966" s="43"/>
      <c r="CZ966" s="43"/>
      <c r="DA966" s="43"/>
      <c r="DB966" s="43"/>
      <c r="DC966" s="43"/>
      <c r="DD966" s="43"/>
      <c r="DE966" s="43"/>
      <c r="DF966" s="43"/>
      <c r="DG966" s="43"/>
      <c r="DH966" s="43"/>
      <c r="DI966" s="43"/>
      <c r="DJ966" s="43"/>
      <c r="DK966" s="43"/>
      <c r="DL966" s="43"/>
      <c r="DM966" s="43"/>
      <c r="DN966" s="43"/>
      <c r="DO966" s="43"/>
      <c r="DP966" s="43"/>
      <c r="DQ966" s="43"/>
      <c r="DR966" s="43"/>
      <c r="DS966" s="43"/>
      <c r="DT966" s="43"/>
      <c r="DU966" s="43"/>
      <c r="DV966" s="43"/>
      <c r="DW966" s="43"/>
      <c r="DX966" s="43"/>
      <c r="DY966" s="43"/>
      <c r="DZ966" s="43"/>
      <c r="EA966" s="43"/>
      <c r="EB966" s="43"/>
      <c r="EC966" s="43"/>
      <c r="ED966" s="43"/>
      <c r="EE966" s="43"/>
      <c r="EF966" s="43"/>
      <c r="EG966" s="43"/>
      <c r="EH966" s="43"/>
      <c r="EI966" s="43"/>
      <c r="EJ966" s="43"/>
      <c r="EK966" s="43"/>
      <c r="EL966" s="43"/>
      <c r="EM966" s="43"/>
      <c r="EN966" s="43"/>
      <c r="EO966" s="43"/>
      <c r="EP966" s="43"/>
      <c r="EQ966" s="43"/>
      <c r="ER966" s="43"/>
      <c r="ES966" s="43"/>
      <c r="ET966" s="43"/>
      <c r="EU966" s="43"/>
      <c r="EV966" s="43"/>
      <c r="EW966" s="43"/>
      <c r="EX966" s="43"/>
      <c r="EY966" s="43"/>
      <c r="EZ966" s="43"/>
      <c r="FA966" s="43"/>
      <c r="FB966" s="43"/>
      <c r="FC966" s="43"/>
      <c r="FD966" s="43"/>
      <c r="FE966" s="43"/>
      <c r="FF966" s="43"/>
      <c r="FG966" s="43"/>
      <c r="FH966" s="50"/>
      <c r="FI966" s="50"/>
    </row>
    <row r="967" ht="14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  <c r="AX967" s="43"/>
      <c r="AY967" s="43"/>
      <c r="AZ967" s="43"/>
      <c r="BA967" s="43"/>
      <c r="BB967" s="43"/>
      <c r="BC967" s="43"/>
      <c r="BD967" s="43"/>
      <c r="BE967" s="43"/>
      <c r="BF967" s="43"/>
      <c r="BG967" s="43"/>
      <c r="BH967" s="43"/>
      <c r="BI967" s="43"/>
      <c r="BJ967" s="43"/>
      <c r="BK967" s="43"/>
      <c r="BL967" s="43"/>
      <c r="BM967" s="43"/>
      <c r="BN967" s="43"/>
      <c r="BO967" s="43"/>
      <c r="BP967" s="43"/>
      <c r="BQ967" s="43"/>
      <c r="BR967" s="43"/>
      <c r="BS967" s="43"/>
      <c r="BT967" s="43"/>
      <c r="BU967" s="43"/>
      <c r="BV967" s="43"/>
      <c r="BW967" s="43"/>
      <c r="BX967" s="43"/>
      <c r="BY967" s="43"/>
      <c r="BZ967" s="43"/>
      <c r="CA967" s="43"/>
      <c r="CB967" s="43"/>
      <c r="CC967" s="43"/>
      <c r="CD967" s="43"/>
      <c r="CE967" s="43"/>
      <c r="CF967" s="43"/>
      <c r="CG967" s="43"/>
      <c r="CH967" s="43"/>
      <c r="CI967" s="43"/>
      <c r="CJ967" s="43"/>
      <c r="CK967" s="43"/>
      <c r="CL967" s="43"/>
      <c r="CM967" s="43"/>
      <c r="CN967" s="43"/>
      <c r="CO967" s="43"/>
      <c r="CP967" s="43"/>
      <c r="CQ967" s="43"/>
      <c r="CR967" s="43"/>
      <c r="CS967" s="43"/>
      <c r="CT967" s="43"/>
      <c r="CU967" s="43"/>
      <c r="CV967" s="43"/>
      <c r="CW967" s="43"/>
      <c r="CX967" s="43"/>
      <c r="CY967" s="43"/>
      <c r="CZ967" s="43"/>
      <c r="DA967" s="43"/>
      <c r="DB967" s="43"/>
      <c r="DC967" s="43"/>
      <c r="DD967" s="43"/>
      <c r="DE967" s="43"/>
      <c r="DF967" s="43"/>
      <c r="DG967" s="43"/>
      <c r="DH967" s="43"/>
      <c r="DI967" s="43"/>
      <c r="DJ967" s="43"/>
      <c r="DK967" s="43"/>
      <c r="DL967" s="43"/>
      <c r="DM967" s="43"/>
      <c r="DN967" s="43"/>
      <c r="DO967" s="43"/>
      <c r="DP967" s="43"/>
      <c r="DQ967" s="43"/>
      <c r="DR967" s="43"/>
      <c r="DS967" s="43"/>
      <c r="DT967" s="43"/>
      <c r="DU967" s="43"/>
      <c r="DV967" s="43"/>
      <c r="DW967" s="43"/>
      <c r="DX967" s="43"/>
      <c r="DY967" s="43"/>
      <c r="DZ967" s="43"/>
      <c r="EA967" s="43"/>
      <c r="EB967" s="43"/>
      <c r="EC967" s="43"/>
      <c r="ED967" s="43"/>
      <c r="EE967" s="43"/>
      <c r="EF967" s="43"/>
      <c r="EG967" s="43"/>
      <c r="EH967" s="43"/>
      <c r="EI967" s="43"/>
      <c r="EJ967" s="43"/>
      <c r="EK967" s="43"/>
      <c r="EL967" s="43"/>
      <c r="EM967" s="43"/>
      <c r="EN967" s="43"/>
      <c r="EO967" s="43"/>
      <c r="EP967" s="43"/>
      <c r="EQ967" s="43"/>
      <c r="ER967" s="43"/>
      <c r="ES967" s="43"/>
      <c r="ET967" s="43"/>
      <c r="EU967" s="43"/>
      <c r="EV967" s="43"/>
      <c r="EW967" s="43"/>
      <c r="EX967" s="43"/>
      <c r="EY967" s="43"/>
      <c r="EZ967" s="43"/>
      <c r="FA967" s="43"/>
      <c r="FB967" s="43"/>
      <c r="FC967" s="43"/>
      <c r="FD967" s="43"/>
      <c r="FE967" s="43"/>
      <c r="FF967" s="43"/>
      <c r="FG967" s="43"/>
      <c r="FH967" s="50"/>
      <c r="FI967" s="50"/>
    </row>
    <row r="968" ht="14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  <c r="AX968" s="43"/>
      <c r="AY968" s="43"/>
      <c r="AZ968" s="43"/>
      <c r="BA968" s="43"/>
      <c r="BB968" s="43"/>
      <c r="BC968" s="43"/>
      <c r="BD968" s="43"/>
      <c r="BE968" s="43"/>
      <c r="BF968" s="43"/>
      <c r="BG968" s="43"/>
      <c r="BH968" s="43"/>
      <c r="BI968" s="43"/>
      <c r="BJ968" s="43"/>
      <c r="BK968" s="43"/>
      <c r="BL968" s="43"/>
      <c r="BM968" s="43"/>
      <c r="BN968" s="43"/>
      <c r="BO968" s="43"/>
      <c r="BP968" s="43"/>
      <c r="BQ968" s="43"/>
      <c r="BR968" s="43"/>
      <c r="BS968" s="43"/>
      <c r="BT968" s="43"/>
      <c r="BU968" s="43"/>
      <c r="BV968" s="43"/>
      <c r="BW968" s="43"/>
      <c r="BX968" s="43"/>
      <c r="BY968" s="43"/>
      <c r="BZ968" s="43"/>
      <c r="CA968" s="43"/>
      <c r="CB968" s="43"/>
      <c r="CC968" s="43"/>
      <c r="CD968" s="43"/>
      <c r="CE968" s="43"/>
      <c r="CF968" s="43"/>
      <c r="CG968" s="43"/>
      <c r="CH968" s="43"/>
      <c r="CI968" s="43"/>
      <c r="CJ968" s="43"/>
      <c r="CK968" s="43"/>
      <c r="CL968" s="43"/>
      <c r="CM968" s="43"/>
      <c r="CN968" s="43"/>
      <c r="CO968" s="43"/>
      <c r="CP968" s="43"/>
      <c r="CQ968" s="43"/>
      <c r="CR968" s="43"/>
      <c r="CS968" s="43"/>
      <c r="CT968" s="43"/>
      <c r="CU968" s="43"/>
      <c r="CV968" s="43"/>
      <c r="CW968" s="43"/>
      <c r="CX968" s="43"/>
      <c r="CY968" s="43"/>
      <c r="CZ968" s="43"/>
      <c r="DA968" s="43"/>
      <c r="DB968" s="43"/>
      <c r="DC968" s="43"/>
      <c r="DD968" s="43"/>
      <c r="DE968" s="43"/>
      <c r="DF968" s="43"/>
      <c r="DG968" s="43"/>
      <c r="DH968" s="43"/>
      <c r="DI968" s="43"/>
      <c r="DJ968" s="43"/>
      <c r="DK968" s="43"/>
      <c r="DL968" s="43"/>
      <c r="DM968" s="43"/>
      <c r="DN968" s="43"/>
      <c r="DO968" s="43"/>
      <c r="DP968" s="43"/>
      <c r="DQ968" s="43"/>
      <c r="DR968" s="43"/>
      <c r="DS968" s="43"/>
      <c r="DT968" s="43"/>
      <c r="DU968" s="43"/>
      <c r="DV968" s="43"/>
      <c r="DW968" s="43"/>
      <c r="DX968" s="43"/>
      <c r="DY968" s="43"/>
      <c r="DZ968" s="43"/>
      <c r="EA968" s="43"/>
      <c r="EB968" s="43"/>
      <c r="EC968" s="43"/>
      <c r="ED968" s="43"/>
      <c r="EE968" s="43"/>
      <c r="EF968" s="43"/>
      <c r="EG968" s="43"/>
      <c r="EH968" s="43"/>
      <c r="EI968" s="43"/>
      <c r="EJ968" s="43"/>
      <c r="EK968" s="43"/>
      <c r="EL968" s="43"/>
      <c r="EM968" s="43"/>
      <c r="EN968" s="43"/>
      <c r="EO968" s="43"/>
      <c r="EP968" s="43"/>
      <c r="EQ968" s="43"/>
      <c r="ER968" s="43"/>
      <c r="ES968" s="43"/>
      <c r="ET968" s="43"/>
      <c r="EU968" s="43"/>
      <c r="EV968" s="43"/>
      <c r="EW968" s="43"/>
      <c r="EX968" s="43"/>
      <c r="EY968" s="43"/>
      <c r="EZ968" s="43"/>
      <c r="FA968" s="43"/>
      <c r="FB968" s="43"/>
      <c r="FC968" s="43"/>
      <c r="FD968" s="43"/>
      <c r="FE968" s="43"/>
      <c r="FF968" s="43"/>
      <c r="FG968" s="43"/>
      <c r="FH968" s="50"/>
      <c r="FI968" s="50"/>
    </row>
    <row r="969" ht="14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  <c r="AX969" s="43"/>
      <c r="AY969" s="43"/>
      <c r="AZ969" s="43"/>
      <c r="BA969" s="43"/>
      <c r="BB969" s="43"/>
      <c r="BC969" s="43"/>
      <c r="BD969" s="43"/>
      <c r="BE969" s="43"/>
      <c r="BF969" s="43"/>
      <c r="BG969" s="43"/>
      <c r="BH969" s="43"/>
      <c r="BI969" s="43"/>
      <c r="BJ969" s="43"/>
      <c r="BK969" s="43"/>
      <c r="BL969" s="43"/>
      <c r="BM969" s="43"/>
      <c r="BN969" s="43"/>
      <c r="BO969" s="43"/>
      <c r="BP969" s="43"/>
      <c r="BQ969" s="43"/>
      <c r="BR969" s="43"/>
      <c r="BS969" s="43"/>
      <c r="BT969" s="43"/>
      <c r="BU969" s="43"/>
      <c r="BV969" s="43"/>
      <c r="BW969" s="43"/>
      <c r="BX969" s="43"/>
      <c r="BY969" s="43"/>
      <c r="BZ969" s="43"/>
      <c r="CA969" s="43"/>
      <c r="CB969" s="43"/>
      <c r="CC969" s="43"/>
      <c r="CD969" s="43"/>
      <c r="CE969" s="43"/>
      <c r="CF969" s="43"/>
      <c r="CG969" s="43"/>
      <c r="CH969" s="43"/>
      <c r="CI969" s="43"/>
      <c r="CJ969" s="43"/>
      <c r="CK969" s="43"/>
      <c r="CL969" s="43"/>
      <c r="CM969" s="43"/>
      <c r="CN969" s="43"/>
      <c r="CO969" s="43"/>
      <c r="CP969" s="43"/>
      <c r="CQ969" s="43"/>
      <c r="CR969" s="43"/>
      <c r="CS969" s="43"/>
      <c r="CT969" s="43"/>
      <c r="CU969" s="43"/>
      <c r="CV969" s="43"/>
      <c r="CW969" s="43"/>
      <c r="CX969" s="43"/>
      <c r="CY969" s="43"/>
      <c r="CZ969" s="43"/>
      <c r="DA969" s="43"/>
      <c r="DB969" s="43"/>
      <c r="DC969" s="43"/>
      <c r="DD969" s="43"/>
      <c r="DE969" s="43"/>
      <c r="DF969" s="43"/>
      <c r="DG969" s="43"/>
      <c r="DH969" s="43"/>
      <c r="DI969" s="43"/>
      <c r="DJ969" s="43"/>
      <c r="DK969" s="43"/>
      <c r="DL969" s="43"/>
      <c r="DM969" s="43"/>
      <c r="DN969" s="43"/>
      <c r="DO969" s="43"/>
      <c r="DP969" s="43"/>
      <c r="DQ969" s="43"/>
      <c r="DR969" s="43"/>
      <c r="DS969" s="43"/>
      <c r="DT969" s="43"/>
      <c r="DU969" s="43"/>
      <c r="DV969" s="43"/>
      <c r="DW969" s="43"/>
      <c r="DX969" s="43"/>
      <c r="DY969" s="43"/>
      <c r="DZ969" s="43"/>
      <c r="EA969" s="43"/>
      <c r="EB969" s="43"/>
      <c r="EC969" s="43"/>
      <c r="ED969" s="43"/>
      <c r="EE969" s="43"/>
      <c r="EF969" s="43"/>
      <c r="EG969" s="43"/>
      <c r="EH969" s="43"/>
      <c r="EI969" s="43"/>
      <c r="EJ969" s="43"/>
      <c r="EK969" s="43"/>
      <c r="EL969" s="43"/>
      <c r="EM969" s="43"/>
      <c r="EN969" s="43"/>
      <c r="EO969" s="43"/>
      <c r="EP969" s="43"/>
      <c r="EQ969" s="43"/>
      <c r="ER969" s="43"/>
      <c r="ES969" s="43"/>
      <c r="ET969" s="43"/>
      <c r="EU969" s="43"/>
      <c r="EV969" s="43"/>
      <c r="EW969" s="43"/>
      <c r="EX969" s="43"/>
      <c r="EY969" s="43"/>
      <c r="EZ969" s="43"/>
      <c r="FA969" s="43"/>
      <c r="FB969" s="43"/>
      <c r="FC969" s="43"/>
      <c r="FD969" s="43"/>
      <c r="FE969" s="43"/>
      <c r="FF969" s="43"/>
      <c r="FG969" s="43"/>
      <c r="FH969" s="50"/>
      <c r="FI969" s="50"/>
    </row>
    <row r="970" ht="14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  <c r="AX970" s="43"/>
      <c r="AY970" s="43"/>
      <c r="AZ970" s="43"/>
      <c r="BA970" s="43"/>
      <c r="BB970" s="43"/>
      <c r="BC970" s="43"/>
      <c r="BD970" s="43"/>
      <c r="BE970" s="43"/>
      <c r="BF970" s="43"/>
      <c r="BG970" s="43"/>
      <c r="BH970" s="43"/>
      <c r="BI970" s="43"/>
      <c r="BJ970" s="43"/>
      <c r="BK970" s="43"/>
      <c r="BL970" s="43"/>
      <c r="BM970" s="43"/>
      <c r="BN970" s="43"/>
      <c r="BO970" s="43"/>
      <c r="BP970" s="43"/>
      <c r="BQ970" s="43"/>
      <c r="BR970" s="43"/>
      <c r="BS970" s="43"/>
      <c r="BT970" s="43"/>
      <c r="BU970" s="43"/>
      <c r="BV970" s="43"/>
      <c r="BW970" s="43"/>
      <c r="BX970" s="43"/>
      <c r="BY970" s="43"/>
      <c r="BZ970" s="43"/>
      <c r="CA970" s="43"/>
      <c r="CB970" s="43"/>
      <c r="CC970" s="43"/>
      <c r="CD970" s="43"/>
      <c r="CE970" s="43"/>
      <c r="CF970" s="43"/>
      <c r="CG970" s="43"/>
      <c r="CH970" s="43"/>
      <c r="CI970" s="43"/>
      <c r="CJ970" s="43"/>
      <c r="CK970" s="43"/>
      <c r="CL970" s="43"/>
      <c r="CM970" s="43"/>
      <c r="CN970" s="43"/>
      <c r="CO970" s="43"/>
      <c r="CP970" s="43"/>
      <c r="CQ970" s="43"/>
      <c r="CR970" s="43"/>
      <c r="CS970" s="43"/>
      <c r="CT970" s="43"/>
      <c r="CU970" s="43"/>
      <c r="CV970" s="43"/>
      <c r="CW970" s="43"/>
      <c r="CX970" s="43"/>
      <c r="CY970" s="43"/>
      <c r="CZ970" s="43"/>
      <c r="DA970" s="43"/>
      <c r="DB970" s="43"/>
      <c r="DC970" s="43"/>
      <c r="DD970" s="43"/>
      <c r="DE970" s="43"/>
      <c r="DF970" s="43"/>
      <c r="DG970" s="43"/>
      <c r="DH970" s="43"/>
      <c r="DI970" s="43"/>
      <c r="DJ970" s="43"/>
      <c r="DK970" s="43"/>
      <c r="DL970" s="43"/>
      <c r="DM970" s="43"/>
      <c r="DN970" s="43"/>
      <c r="DO970" s="43"/>
      <c r="DP970" s="43"/>
      <c r="DQ970" s="43"/>
      <c r="DR970" s="43"/>
      <c r="DS970" s="43"/>
      <c r="DT970" s="43"/>
      <c r="DU970" s="43"/>
      <c r="DV970" s="43"/>
      <c r="DW970" s="43"/>
      <c r="DX970" s="43"/>
      <c r="DY970" s="43"/>
      <c r="DZ970" s="43"/>
      <c r="EA970" s="43"/>
      <c r="EB970" s="43"/>
      <c r="EC970" s="43"/>
      <c r="ED970" s="43"/>
      <c r="EE970" s="43"/>
      <c r="EF970" s="43"/>
      <c r="EG970" s="43"/>
      <c r="EH970" s="43"/>
      <c r="EI970" s="43"/>
      <c r="EJ970" s="43"/>
      <c r="EK970" s="43"/>
      <c r="EL970" s="43"/>
      <c r="EM970" s="43"/>
      <c r="EN970" s="43"/>
      <c r="EO970" s="43"/>
      <c r="EP970" s="43"/>
      <c r="EQ970" s="43"/>
      <c r="ER970" s="43"/>
      <c r="ES970" s="43"/>
      <c r="ET970" s="43"/>
      <c r="EU970" s="43"/>
      <c r="EV970" s="43"/>
      <c r="EW970" s="43"/>
      <c r="EX970" s="43"/>
      <c r="EY970" s="43"/>
      <c r="EZ970" s="43"/>
      <c r="FA970" s="43"/>
      <c r="FB970" s="43"/>
      <c r="FC970" s="43"/>
      <c r="FD970" s="43"/>
      <c r="FE970" s="43"/>
      <c r="FF970" s="43"/>
      <c r="FG970" s="43"/>
      <c r="FH970" s="50"/>
      <c r="FI970" s="50"/>
    </row>
    <row r="971" ht="14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  <c r="AX971" s="43"/>
      <c r="AY971" s="43"/>
      <c r="AZ971" s="43"/>
      <c r="BA971" s="43"/>
      <c r="BB971" s="43"/>
      <c r="BC971" s="43"/>
      <c r="BD971" s="43"/>
      <c r="BE971" s="43"/>
      <c r="BF971" s="43"/>
      <c r="BG971" s="43"/>
      <c r="BH971" s="43"/>
      <c r="BI971" s="43"/>
      <c r="BJ971" s="43"/>
      <c r="BK971" s="43"/>
      <c r="BL971" s="43"/>
      <c r="BM971" s="43"/>
      <c r="BN971" s="43"/>
      <c r="BO971" s="43"/>
      <c r="BP971" s="43"/>
      <c r="BQ971" s="43"/>
      <c r="BR971" s="43"/>
      <c r="BS971" s="43"/>
      <c r="BT971" s="43"/>
      <c r="BU971" s="43"/>
      <c r="BV971" s="43"/>
      <c r="BW971" s="43"/>
      <c r="BX971" s="43"/>
      <c r="BY971" s="43"/>
      <c r="BZ971" s="43"/>
      <c r="CA971" s="43"/>
      <c r="CB971" s="43"/>
      <c r="CC971" s="43"/>
      <c r="CD971" s="43"/>
      <c r="CE971" s="43"/>
      <c r="CF971" s="43"/>
      <c r="CG971" s="43"/>
      <c r="CH971" s="43"/>
      <c r="CI971" s="43"/>
      <c r="CJ971" s="43"/>
      <c r="CK971" s="43"/>
      <c r="CL971" s="43"/>
      <c r="CM971" s="43"/>
      <c r="CN971" s="43"/>
      <c r="CO971" s="43"/>
      <c r="CP971" s="43"/>
      <c r="CQ971" s="43"/>
      <c r="CR971" s="43"/>
      <c r="CS971" s="43"/>
      <c r="CT971" s="43"/>
      <c r="CU971" s="43"/>
      <c r="CV971" s="43"/>
      <c r="CW971" s="43"/>
      <c r="CX971" s="43"/>
      <c r="CY971" s="43"/>
      <c r="CZ971" s="43"/>
      <c r="DA971" s="43"/>
      <c r="DB971" s="43"/>
      <c r="DC971" s="43"/>
      <c r="DD971" s="43"/>
      <c r="DE971" s="43"/>
      <c r="DF971" s="43"/>
      <c r="DG971" s="43"/>
      <c r="DH971" s="43"/>
      <c r="DI971" s="43"/>
      <c r="DJ971" s="43"/>
      <c r="DK971" s="43"/>
      <c r="DL971" s="43"/>
      <c r="DM971" s="43"/>
      <c r="DN971" s="43"/>
      <c r="DO971" s="43"/>
      <c r="DP971" s="43"/>
      <c r="DQ971" s="43"/>
      <c r="DR971" s="43"/>
      <c r="DS971" s="43"/>
      <c r="DT971" s="43"/>
      <c r="DU971" s="43"/>
      <c r="DV971" s="43"/>
      <c r="DW971" s="43"/>
      <c r="DX971" s="43"/>
      <c r="DY971" s="43"/>
      <c r="DZ971" s="43"/>
      <c r="EA971" s="43"/>
      <c r="EB971" s="43"/>
      <c r="EC971" s="43"/>
      <c r="ED971" s="43"/>
      <c r="EE971" s="43"/>
      <c r="EF971" s="43"/>
      <c r="EG971" s="43"/>
      <c r="EH971" s="43"/>
      <c r="EI971" s="43"/>
      <c r="EJ971" s="43"/>
      <c r="EK971" s="43"/>
      <c r="EL971" s="43"/>
      <c r="EM971" s="43"/>
      <c r="EN971" s="43"/>
      <c r="EO971" s="43"/>
      <c r="EP971" s="43"/>
      <c r="EQ971" s="43"/>
      <c r="ER971" s="43"/>
      <c r="ES971" s="43"/>
      <c r="ET971" s="43"/>
      <c r="EU971" s="43"/>
      <c r="EV971" s="43"/>
      <c r="EW971" s="43"/>
      <c r="EX971" s="43"/>
      <c r="EY971" s="43"/>
      <c r="EZ971" s="43"/>
      <c r="FA971" s="43"/>
      <c r="FB971" s="43"/>
      <c r="FC971" s="43"/>
      <c r="FD971" s="43"/>
      <c r="FE971" s="43"/>
      <c r="FF971" s="43"/>
      <c r="FG971" s="43"/>
      <c r="FH971" s="50"/>
      <c r="FI971" s="50"/>
    </row>
    <row r="972" ht="14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  <c r="AX972" s="43"/>
      <c r="AY972" s="43"/>
      <c r="AZ972" s="43"/>
      <c r="BA972" s="43"/>
      <c r="BB972" s="43"/>
      <c r="BC972" s="43"/>
      <c r="BD972" s="43"/>
      <c r="BE972" s="43"/>
      <c r="BF972" s="43"/>
      <c r="BG972" s="43"/>
      <c r="BH972" s="43"/>
      <c r="BI972" s="43"/>
      <c r="BJ972" s="43"/>
      <c r="BK972" s="43"/>
      <c r="BL972" s="43"/>
      <c r="BM972" s="43"/>
      <c r="BN972" s="43"/>
      <c r="BO972" s="43"/>
      <c r="BP972" s="43"/>
      <c r="BQ972" s="43"/>
      <c r="BR972" s="43"/>
      <c r="BS972" s="43"/>
      <c r="BT972" s="43"/>
      <c r="BU972" s="43"/>
      <c r="BV972" s="43"/>
      <c r="BW972" s="43"/>
      <c r="BX972" s="43"/>
      <c r="BY972" s="43"/>
      <c r="BZ972" s="43"/>
      <c r="CA972" s="43"/>
      <c r="CB972" s="43"/>
      <c r="CC972" s="43"/>
      <c r="CD972" s="43"/>
      <c r="CE972" s="43"/>
      <c r="CF972" s="43"/>
      <c r="CG972" s="43"/>
      <c r="CH972" s="43"/>
      <c r="CI972" s="43"/>
      <c r="CJ972" s="43"/>
      <c r="CK972" s="43"/>
      <c r="CL972" s="43"/>
      <c r="CM972" s="43"/>
      <c r="CN972" s="43"/>
      <c r="CO972" s="43"/>
      <c r="CP972" s="43"/>
      <c r="CQ972" s="43"/>
      <c r="CR972" s="43"/>
      <c r="CS972" s="43"/>
      <c r="CT972" s="43"/>
      <c r="CU972" s="43"/>
      <c r="CV972" s="43"/>
      <c r="CW972" s="43"/>
      <c r="CX972" s="43"/>
      <c r="CY972" s="43"/>
      <c r="CZ972" s="43"/>
      <c r="DA972" s="43"/>
      <c r="DB972" s="43"/>
      <c r="DC972" s="43"/>
      <c r="DD972" s="43"/>
      <c r="DE972" s="43"/>
      <c r="DF972" s="43"/>
      <c r="DG972" s="43"/>
      <c r="DH972" s="43"/>
      <c r="DI972" s="43"/>
      <c r="DJ972" s="43"/>
      <c r="DK972" s="43"/>
      <c r="DL972" s="43"/>
      <c r="DM972" s="43"/>
      <c r="DN972" s="43"/>
      <c r="DO972" s="43"/>
      <c r="DP972" s="43"/>
      <c r="DQ972" s="43"/>
      <c r="DR972" s="43"/>
      <c r="DS972" s="43"/>
      <c r="DT972" s="43"/>
      <c r="DU972" s="43"/>
      <c r="DV972" s="43"/>
      <c r="DW972" s="43"/>
      <c r="DX972" s="43"/>
      <c r="DY972" s="43"/>
      <c r="DZ972" s="43"/>
      <c r="EA972" s="43"/>
      <c r="EB972" s="43"/>
      <c r="EC972" s="43"/>
      <c r="ED972" s="43"/>
      <c r="EE972" s="43"/>
      <c r="EF972" s="43"/>
      <c r="EG972" s="43"/>
      <c r="EH972" s="43"/>
      <c r="EI972" s="43"/>
      <c r="EJ972" s="43"/>
      <c r="EK972" s="43"/>
      <c r="EL972" s="43"/>
      <c r="EM972" s="43"/>
      <c r="EN972" s="43"/>
      <c r="EO972" s="43"/>
      <c r="EP972" s="43"/>
      <c r="EQ972" s="43"/>
      <c r="ER972" s="43"/>
      <c r="ES972" s="43"/>
      <c r="ET972" s="43"/>
      <c r="EU972" s="43"/>
      <c r="EV972" s="43"/>
      <c r="EW972" s="43"/>
      <c r="EX972" s="43"/>
      <c r="EY972" s="43"/>
      <c r="EZ972" s="43"/>
      <c r="FA972" s="43"/>
      <c r="FB972" s="43"/>
      <c r="FC972" s="43"/>
      <c r="FD972" s="43"/>
      <c r="FE972" s="43"/>
      <c r="FF972" s="43"/>
      <c r="FG972" s="43"/>
      <c r="FH972" s="50"/>
      <c r="FI972" s="50"/>
    </row>
    <row r="973" ht="14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  <c r="AX973" s="43"/>
      <c r="AY973" s="43"/>
      <c r="AZ973" s="43"/>
      <c r="BA973" s="43"/>
      <c r="BB973" s="43"/>
      <c r="BC973" s="43"/>
      <c r="BD973" s="43"/>
      <c r="BE973" s="43"/>
      <c r="BF973" s="43"/>
      <c r="BG973" s="43"/>
      <c r="BH973" s="43"/>
      <c r="BI973" s="43"/>
      <c r="BJ973" s="43"/>
      <c r="BK973" s="43"/>
      <c r="BL973" s="43"/>
      <c r="BM973" s="43"/>
      <c r="BN973" s="43"/>
      <c r="BO973" s="43"/>
      <c r="BP973" s="43"/>
      <c r="BQ973" s="43"/>
      <c r="BR973" s="43"/>
      <c r="BS973" s="43"/>
      <c r="BT973" s="43"/>
      <c r="BU973" s="43"/>
      <c r="BV973" s="43"/>
      <c r="BW973" s="43"/>
      <c r="BX973" s="43"/>
      <c r="BY973" s="43"/>
      <c r="BZ973" s="43"/>
      <c r="CA973" s="43"/>
      <c r="CB973" s="43"/>
      <c r="CC973" s="43"/>
      <c r="CD973" s="43"/>
      <c r="CE973" s="43"/>
      <c r="CF973" s="43"/>
      <c r="CG973" s="43"/>
      <c r="CH973" s="43"/>
      <c r="CI973" s="43"/>
      <c r="CJ973" s="43"/>
      <c r="CK973" s="43"/>
      <c r="CL973" s="43"/>
      <c r="CM973" s="43"/>
      <c r="CN973" s="43"/>
      <c r="CO973" s="43"/>
      <c r="CP973" s="43"/>
      <c r="CQ973" s="43"/>
      <c r="CR973" s="43"/>
      <c r="CS973" s="43"/>
      <c r="CT973" s="43"/>
      <c r="CU973" s="43"/>
      <c r="CV973" s="43"/>
      <c r="CW973" s="43"/>
      <c r="CX973" s="43"/>
      <c r="CY973" s="43"/>
      <c r="CZ973" s="43"/>
      <c r="DA973" s="43"/>
      <c r="DB973" s="43"/>
      <c r="DC973" s="43"/>
      <c r="DD973" s="43"/>
      <c r="DE973" s="43"/>
      <c r="DF973" s="43"/>
      <c r="DG973" s="43"/>
      <c r="DH973" s="43"/>
      <c r="DI973" s="43"/>
      <c r="DJ973" s="43"/>
      <c r="DK973" s="43"/>
      <c r="DL973" s="43"/>
      <c r="DM973" s="43"/>
      <c r="DN973" s="43"/>
      <c r="DO973" s="43"/>
      <c r="DP973" s="43"/>
      <c r="DQ973" s="43"/>
      <c r="DR973" s="43"/>
      <c r="DS973" s="43"/>
      <c r="DT973" s="43"/>
      <c r="DU973" s="43"/>
      <c r="DV973" s="43"/>
      <c r="DW973" s="43"/>
      <c r="DX973" s="43"/>
      <c r="DY973" s="43"/>
      <c r="DZ973" s="43"/>
      <c r="EA973" s="43"/>
      <c r="EB973" s="43"/>
      <c r="EC973" s="43"/>
      <c r="ED973" s="43"/>
      <c r="EE973" s="43"/>
      <c r="EF973" s="43"/>
      <c r="EG973" s="43"/>
      <c r="EH973" s="43"/>
      <c r="EI973" s="43"/>
      <c r="EJ973" s="43"/>
      <c r="EK973" s="43"/>
      <c r="EL973" s="43"/>
      <c r="EM973" s="43"/>
      <c r="EN973" s="43"/>
      <c r="EO973" s="43"/>
      <c r="EP973" s="43"/>
      <c r="EQ973" s="43"/>
      <c r="ER973" s="43"/>
      <c r="ES973" s="43"/>
      <c r="ET973" s="43"/>
      <c r="EU973" s="43"/>
      <c r="EV973" s="43"/>
      <c r="EW973" s="43"/>
      <c r="EX973" s="43"/>
      <c r="EY973" s="43"/>
      <c r="EZ973" s="43"/>
      <c r="FA973" s="43"/>
      <c r="FB973" s="43"/>
      <c r="FC973" s="43"/>
      <c r="FD973" s="43"/>
      <c r="FE973" s="43"/>
      <c r="FF973" s="43"/>
      <c r="FG973" s="43"/>
      <c r="FH973" s="50"/>
      <c r="FI973" s="50"/>
    </row>
    <row r="974" ht="14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  <c r="AX974" s="43"/>
      <c r="AY974" s="43"/>
      <c r="AZ974" s="43"/>
      <c r="BA974" s="43"/>
      <c r="BB974" s="43"/>
      <c r="BC974" s="43"/>
      <c r="BD974" s="43"/>
      <c r="BE974" s="43"/>
      <c r="BF974" s="43"/>
      <c r="BG974" s="43"/>
      <c r="BH974" s="43"/>
      <c r="BI974" s="43"/>
      <c r="BJ974" s="43"/>
      <c r="BK974" s="43"/>
      <c r="BL974" s="43"/>
      <c r="BM974" s="43"/>
      <c r="BN974" s="43"/>
      <c r="BO974" s="43"/>
      <c r="BP974" s="43"/>
      <c r="BQ974" s="43"/>
      <c r="BR974" s="43"/>
      <c r="BS974" s="43"/>
      <c r="BT974" s="43"/>
      <c r="BU974" s="43"/>
      <c r="BV974" s="43"/>
      <c r="BW974" s="43"/>
      <c r="BX974" s="43"/>
      <c r="BY974" s="43"/>
      <c r="BZ974" s="43"/>
      <c r="CA974" s="43"/>
      <c r="CB974" s="43"/>
      <c r="CC974" s="43"/>
      <c r="CD974" s="43"/>
      <c r="CE974" s="43"/>
      <c r="CF974" s="43"/>
      <c r="CG974" s="43"/>
      <c r="CH974" s="43"/>
      <c r="CI974" s="43"/>
      <c r="CJ974" s="43"/>
      <c r="CK974" s="43"/>
      <c r="CL974" s="43"/>
      <c r="CM974" s="43"/>
      <c r="CN974" s="43"/>
      <c r="CO974" s="43"/>
      <c r="CP974" s="43"/>
      <c r="CQ974" s="43"/>
      <c r="CR974" s="43"/>
      <c r="CS974" s="43"/>
      <c r="CT974" s="43"/>
      <c r="CU974" s="43"/>
      <c r="CV974" s="43"/>
      <c r="CW974" s="43"/>
      <c r="CX974" s="43"/>
      <c r="CY974" s="43"/>
      <c r="CZ974" s="43"/>
      <c r="DA974" s="43"/>
      <c r="DB974" s="43"/>
      <c r="DC974" s="43"/>
      <c r="DD974" s="43"/>
      <c r="DE974" s="43"/>
      <c r="DF974" s="43"/>
      <c r="DG974" s="43"/>
      <c r="DH974" s="43"/>
      <c r="DI974" s="43"/>
      <c r="DJ974" s="43"/>
      <c r="DK974" s="43"/>
      <c r="DL974" s="43"/>
      <c r="DM974" s="43"/>
      <c r="DN974" s="43"/>
      <c r="DO974" s="43"/>
      <c r="DP974" s="43"/>
      <c r="DQ974" s="43"/>
      <c r="DR974" s="43"/>
      <c r="DS974" s="43"/>
      <c r="DT974" s="43"/>
      <c r="DU974" s="43"/>
      <c r="DV974" s="43"/>
      <c r="DW974" s="43"/>
      <c r="DX974" s="43"/>
      <c r="DY974" s="43"/>
      <c r="DZ974" s="43"/>
      <c r="EA974" s="43"/>
      <c r="EB974" s="43"/>
      <c r="EC974" s="43"/>
      <c r="ED974" s="43"/>
      <c r="EE974" s="43"/>
      <c r="EF974" s="43"/>
      <c r="EG974" s="43"/>
      <c r="EH974" s="43"/>
      <c r="EI974" s="43"/>
      <c r="EJ974" s="43"/>
      <c r="EK974" s="43"/>
      <c r="EL974" s="43"/>
      <c r="EM974" s="43"/>
      <c r="EN974" s="43"/>
      <c r="EO974" s="43"/>
      <c r="EP974" s="43"/>
      <c r="EQ974" s="43"/>
      <c r="ER974" s="43"/>
      <c r="ES974" s="43"/>
      <c r="ET974" s="43"/>
      <c r="EU974" s="43"/>
      <c r="EV974" s="43"/>
      <c r="EW974" s="43"/>
      <c r="EX974" s="43"/>
      <c r="EY974" s="43"/>
      <c r="EZ974" s="43"/>
      <c r="FA974" s="43"/>
      <c r="FB974" s="43"/>
      <c r="FC974" s="43"/>
      <c r="FD974" s="43"/>
      <c r="FE974" s="43"/>
      <c r="FF974" s="43"/>
      <c r="FG974" s="43"/>
      <c r="FH974" s="50"/>
      <c r="FI974" s="50"/>
    </row>
    <row r="975" ht="14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  <c r="AX975" s="43"/>
      <c r="AY975" s="43"/>
      <c r="AZ975" s="43"/>
      <c r="BA975" s="43"/>
      <c r="BB975" s="43"/>
      <c r="BC975" s="43"/>
      <c r="BD975" s="43"/>
      <c r="BE975" s="43"/>
      <c r="BF975" s="43"/>
      <c r="BG975" s="43"/>
      <c r="BH975" s="43"/>
      <c r="BI975" s="43"/>
      <c r="BJ975" s="43"/>
      <c r="BK975" s="43"/>
      <c r="BL975" s="43"/>
      <c r="BM975" s="43"/>
      <c r="BN975" s="43"/>
      <c r="BO975" s="43"/>
      <c r="BP975" s="43"/>
      <c r="BQ975" s="43"/>
      <c r="BR975" s="43"/>
      <c r="BS975" s="43"/>
      <c r="BT975" s="43"/>
      <c r="BU975" s="43"/>
      <c r="BV975" s="43"/>
      <c r="BW975" s="43"/>
      <c r="BX975" s="43"/>
      <c r="BY975" s="43"/>
      <c r="BZ975" s="43"/>
      <c r="CA975" s="43"/>
      <c r="CB975" s="43"/>
      <c r="CC975" s="43"/>
      <c r="CD975" s="43"/>
      <c r="CE975" s="43"/>
      <c r="CF975" s="43"/>
      <c r="CG975" s="43"/>
      <c r="CH975" s="43"/>
      <c r="CI975" s="43"/>
      <c r="CJ975" s="43"/>
      <c r="CK975" s="43"/>
      <c r="CL975" s="43"/>
      <c r="CM975" s="43"/>
      <c r="CN975" s="43"/>
      <c r="CO975" s="43"/>
      <c r="CP975" s="43"/>
      <c r="CQ975" s="43"/>
      <c r="CR975" s="43"/>
      <c r="CS975" s="43"/>
      <c r="CT975" s="43"/>
      <c r="CU975" s="43"/>
      <c r="CV975" s="43"/>
      <c r="CW975" s="43"/>
      <c r="CX975" s="43"/>
      <c r="CY975" s="43"/>
      <c r="CZ975" s="43"/>
      <c r="DA975" s="43"/>
      <c r="DB975" s="43"/>
      <c r="DC975" s="43"/>
      <c r="DD975" s="43"/>
      <c r="DE975" s="43"/>
      <c r="DF975" s="43"/>
      <c r="DG975" s="43"/>
      <c r="DH975" s="43"/>
      <c r="DI975" s="43"/>
      <c r="DJ975" s="43"/>
      <c r="DK975" s="43"/>
      <c r="DL975" s="43"/>
      <c r="DM975" s="43"/>
      <c r="DN975" s="43"/>
      <c r="DO975" s="43"/>
      <c r="DP975" s="43"/>
      <c r="DQ975" s="43"/>
      <c r="DR975" s="43"/>
      <c r="DS975" s="43"/>
      <c r="DT975" s="43"/>
      <c r="DU975" s="43"/>
      <c r="DV975" s="43"/>
      <c r="DW975" s="43"/>
      <c r="DX975" s="43"/>
      <c r="DY975" s="43"/>
      <c r="DZ975" s="43"/>
      <c r="EA975" s="43"/>
      <c r="EB975" s="43"/>
      <c r="EC975" s="43"/>
      <c r="ED975" s="43"/>
      <c r="EE975" s="43"/>
      <c r="EF975" s="43"/>
      <c r="EG975" s="43"/>
      <c r="EH975" s="43"/>
      <c r="EI975" s="43"/>
      <c r="EJ975" s="43"/>
      <c r="EK975" s="43"/>
      <c r="EL975" s="43"/>
      <c r="EM975" s="43"/>
      <c r="EN975" s="43"/>
      <c r="EO975" s="43"/>
      <c r="EP975" s="43"/>
      <c r="EQ975" s="43"/>
      <c r="ER975" s="43"/>
      <c r="ES975" s="43"/>
      <c r="ET975" s="43"/>
      <c r="EU975" s="43"/>
      <c r="EV975" s="43"/>
      <c r="EW975" s="43"/>
      <c r="EX975" s="43"/>
      <c r="EY975" s="43"/>
      <c r="EZ975" s="43"/>
      <c r="FA975" s="43"/>
      <c r="FB975" s="43"/>
      <c r="FC975" s="43"/>
      <c r="FD975" s="43"/>
      <c r="FE975" s="43"/>
      <c r="FF975" s="43"/>
      <c r="FG975" s="43"/>
      <c r="FH975" s="50"/>
      <c r="FI975" s="50"/>
    </row>
    <row r="976" ht="14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  <c r="AX976" s="43"/>
      <c r="AY976" s="43"/>
      <c r="AZ976" s="43"/>
      <c r="BA976" s="43"/>
      <c r="BB976" s="43"/>
      <c r="BC976" s="43"/>
      <c r="BD976" s="43"/>
      <c r="BE976" s="43"/>
      <c r="BF976" s="43"/>
      <c r="BG976" s="43"/>
      <c r="BH976" s="43"/>
      <c r="BI976" s="43"/>
      <c r="BJ976" s="43"/>
      <c r="BK976" s="43"/>
      <c r="BL976" s="43"/>
      <c r="BM976" s="43"/>
      <c r="BN976" s="43"/>
      <c r="BO976" s="43"/>
      <c r="BP976" s="43"/>
      <c r="BQ976" s="43"/>
      <c r="BR976" s="43"/>
      <c r="BS976" s="43"/>
      <c r="BT976" s="43"/>
      <c r="BU976" s="43"/>
      <c r="BV976" s="43"/>
      <c r="BW976" s="43"/>
      <c r="BX976" s="43"/>
      <c r="BY976" s="43"/>
      <c r="BZ976" s="43"/>
      <c r="CA976" s="43"/>
      <c r="CB976" s="43"/>
      <c r="CC976" s="43"/>
      <c r="CD976" s="43"/>
      <c r="CE976" s="43"/>
      <c r="CF976" s="43"/>
      <c r="CG976" s="43"/>
      <c r="CH976" s="43"/>
      <c r="CI976" s="43"/>
      <c r="CJ976" s="43"/>
      <c r="CK976" s="43"/>
      <c r="CL976" s="43"/>
      <c r="CM976" s="43"/>
      <c r="CN976" s="43"/>
      <c r="CO976" s="43"/>
      <c r="CP976" s="43"/>
      <c r="CQ976" s="43"/>
      <c r="CR976" s="43"/>
      <c r="CS976" s="43"/>
      <c r="CT976" s="43"/>
      <c r="CU976" s="43"/>
      <c r="CV976" s="43"/>
      <c r="CW976" s="43"/>
      <c r="CX976" s="43"/>
      <c r="CY976" s="43"/>
      <c r="CZ976" s="43"/>
      <c r="DA976" s="43"/>
      <c r="DB976" s="43"/>
      <c r="DC976" s="43"/>
      <c r="DD976" s="43"/>
      <c r="DE976" s="43"/>
      <c r="DF976" s="43"/>
      <c r="DG976" s="43"/>
      <c r="DH976" s="43"/>
      <c r="DI976" s="43"/>
      <c r="DJ976" s="43"/>
      <c r="DK976" s="43"/>
      <c r="DL976" s="43"/>
      <c r="DM976" s="43"/>
      <c r="DN976" s="43"/>
      <c r="DO976" s="43"/>
      <c r="DP976" s="43"/>
      <c r="DQ976" s="43"/>
      <c r="DR976" s="43"/>
      <c r="DS976" s="43"/>
      <c r="DT976" s="43"/>
      <c r="DU976" s="43"/>
      <c r="DV976" s="43"/>
      <c r="DW976" s="43"/>
      <c r="DX976" s="43"/>
      <c r="DY976" s="43"/>
      <c r="DZ976" s="43"/>
      <c r="EA976" s="43"/>
      <c r="EB976" s="43"/>
      <c r="EC976" s="43"/>
      <c r="ED976" s="43"/>
      <c r="EE976" s="43"/>
      <c r="EF976" s="43"/>
      <c r="EG976" s="43"/>
      <c r="EH976" s="43"/>
      <c r="EI976" s="43"/>
      <c r="EJ976" s="43"/>
      <c r="EK976" s="43"/>
      <c r="EL976" s="43"/>
      <c r="EM976" s="43"/>
      <c r="EN976" s="43"/>
      <c r="EO976" s="43"/>
      <c r="EP976" s="43"/>
      <c r="EQ976" s="43"/>
      <c r="ER976" s="43"/>
      <c r="ES976" s="43"/>
      <c r="ET976" s="43"/>
      <c r="EU976" s="43"/>
      <c r="EV976" s="43"/>
      <c r="EW976" s="43"/>
      <c r="EX976" s="43"/>
      <c r="EY976" s="43"/>
      <c r="EZ976" s="43"/>
      <c r="FA976" s="43"/>
      <c r="FB976" s="43"/>
      <c r="FC976" s="43"/>
      <c r="FD976" s="43"/>
      <c r="FE976" s="43"/>
      <c r="FF976" s="43"/>
      <c r="FG976" s="43"/>
      <c r="FH976" s="50"/>
      <c r="FI976" s="50"/>
    </row>
    <row r="977" ht="14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  <c r="AX977" s="43"/>
      <c r="AY977" s="43"/>
      <c r="AZ977" s="43"/>
      <c r="BA977" s="43"/>
      <c r="BB977" s="43"/>
      <c r="BC977" s="43"/>
      <c r="BD977" s="43"/>
      <c r="BE977" s="43"/>
      <c r="BF977" s="43"/>
      <c r="BG977" s="43"/>
      <c r="BH977" s="43"/>
      <c r="BI977" s="43"/>
      <c r="BJ977" s="43"/>
      <c r="BK977" s="43"/>
      <c r="BL977" s="43"/>
      <c r="BM977" s="43"/>
      <c r="BN977" s="43"/>
      <c r="BO977" s="43"/>
      <c r="BP977" s="43"/>
      <c r="BQ977" s="43"/>
      <c r="BR977" s="43"/>
      <c r="BS977" s="43"/>
      <c r="BT977" s="43"/>
      <c r="BU977" s="43"/>
      <c r="BV977" s="43"/>
      <c r="BW977" s="43"/>
      <c r="BX977" s="43"/>
      <c r="BY977" s="43"/>
      <c r="BZ977" s="43"/>
      <c r="CA977" s="43"/>
      <c r="CB977" s="43"/>
      <c r="CC977" s="43"/>
      <c r="CD977" s="43"/>
      <c r="CE977" s="43"/>
      <c r="CF977" s="43"/>
      <c r="CG977" s="43"/>
      <c r="CH977" s="43"/>
      <c r="CI977" s="43"/>
      <c r="CJ977" s="43"/>
      <c r="CK977" s="43"/>
      <c r="CL977" s="43"/>
      <c r="CM977" s="43"/>
      <c r="CN977" s="43"/>
      <c r="CO977" s="43"/>
      <c r="CP977" s="43"/>
      <c r="CQ977" s="43"/>
      <c r="CR977" s="43"/>
      <c r="CS977" s="43"/>
      <c r="CT977" s="43"/>
      <c r="CU977" s="43"/>
      <c r="CV977" s="43"/>
      <c r="CW977" s="43"/>
      <c r="CX977" s="43"/>
      <c r="CY977" s="43"/>
      <c r="CZ977" s="43"/>
      <c r="DA977" s="43"/>
      <c r="DB977" s="43"/>
      <c r="DC977" s="43"/>
      <c r="DD977" s="43"/>
      <c r="DE977" s="43"/>
      <c r="DF977" s="43"/>
      <c r="DG977" s="43"/>
      <c r="DH977" s="43"/>
      <c r="DI977" s="43"/>
      <c r="DJ977" s="43"/>
      <c r="DK977" s="43"/>
      <c r="DL977" s="43"/>
      <c r="DM977" s="43"/>
      <c r="DN977" s="43"/>
      <c r="DO977" s="43"/>
      <c r="DP977" s="43"/>
      <c r="DQ977" s="43"/>
      <c r="DR977" s="43"/>
      <c r="DS977" s="43"/>
      <c r="DT977" s="43"/>
      <c r="DU977" s="43"/>
      <c r="DV977" s="43"/>
      <c r="DW977" s="43"/>
      <c r="DX977" s="43"/>
      <c r="DY977" s="43"/>
      <c r="DZ977" s="43"/>
      <c r="EA977" s="43"/>
      <c r="EB977" s="43"/>
      <c r="EC977" s="43"/>
      <c r="ED977" s="43"/>
      <c r="EE977" s="43"/>
      <c r="EF977" s="43"/>
      <c r="EG977" s="43"/>
      <c r="EH977" s="43"/>
      <c r="EI977" s="43"/>
      <c r="EJ977" s="43"/>
      <c r="EK977" s="43"/>
      <c r="EL977" s="43"/>
      <c r="EM977" s="43"/>
      <c r="EN977" s="43"/>
      <c r="EO977" s="43"/>
      <c r="EP977" s="43"/>
      <c r="EQ977" s="43"/>
      <c r="ER977" s="43"/>
      <c r="ES977" s="43"/>
      <c r="ET977" s="43"/>
      <c r="EU977" s="43"/>
      <c r="EV977" s="43"/>
      <c r="EW977" s="43"/>
      <c r="EX977" s="43"/>
      <c r="EY977" s="43"/>
      <c r="EZ977" s="43"/>
      <c r="FA977" s="43"/>
      <c r="FB977" s="43"/>
      <c r="FC977" s="43"/>
      <c r="FD977" s="43"/>
      <c r="FE977" s="43"/>
      <c r="FF977" s="43"/>
      <c r="FG977" s="43"/>
      <c r="FH977" s="50"/>
      <c r="FI977" s="50"/>
    </row>
    <row r="978" ht="14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  <c r="AX978" s="43"/>
      <c r="AY978" s="43"/>
      <c r="AZ978" s="43"/>
      <c r="BA978" s="43"/>
      <c r="BB978" s="43"/>
      <c r="BC978" s="43"/>
      <c r="BD978" s="43"/>
      <c r="BE978" s="43"/>
      <c r="BF978" s="43"/>
      <c r="BG978" s="43"/>
      <c r="BH978" s="43"/>
      <c r="BI978" s="43"/>
      <c r="BJ978" s="43"/>
      <c r="BK978" s="43"/>
      <c r="BL978" s="43"/>
      <c r="BM978" s="43"/>
      <c r="BN978" s="43"/>
      <c r="BO978" s="43"/>
      <c r="BP978" s="43"/>
      <c r="BQ978" s="43"/>
      <c r="BR978" s="43"/>
      <c r="BS978" s="43"/>
      <c r="BT978" s="43"/>
      <c r="BU978" s="43"/>
      <c r="BV978" s="43"/>
      <c r="BW978" s="43"/>
      <c r="BX978" s="43"/>
      <c r="BY978" s="43"/>
      <c r="BZ978" s="43"/>
      <c r="CA978" s="43"/>
      <c r="CB978" s="43"/>
      <c r="CC978" s="43"/>
      <c r="CD978" s="43"/>
      <c r="CE978" s="43"/>
      <c r="CF978" s="43"/>
      <c r="CG978" s="43"/>
      <c r="CH978" s="43"/>
      <c r="CI978" s="43"/>
      <c r="CJ978" s="43"/>
      <c r="CK978" s="43"/>
      <c r="CL978" s="43"/>
      <c r="CM978" s="43"/>
      <c r="CN978" s="43"/>
      <c r="CO978" s="43"/>
      <c r="CP978" s="43"/>
      <c r="CQ978" s="43"/>
      <c r="CR978" s="43"/>
      <c r="CS978" s="43"/>
      <c r="CT978" s="43"/>
      <c r="CU978" s="43"/>
      <c r="CV978" s="43"/>
      <c r="CW978" s="43"/>
      <c r="CX978" s="43"/>
      <c r="CY978" s="43"/>
      <c r="CZ978" s="43"/>
      <c r="DA978" s="43"/>
      <c r="DB978" s="43"/>
      <c r="DC978" s="43"/>
      <c r="DD978" s="43"/>
      <c r="DE978" s="43"/>
      <c r="DF978" s="43"/>
      <c r="DG978" s="43"/>
      <c r="DH978" s="43"/>
      <c r="DI978" s="43"/>
      <c r="DJ978" s="43"/>
      <c r="DK978" s="43"/>
      <c r="DL978" s="43"/>
      <c r="DM978" s="43"/>
      <c r="DN978" s="43"/>
      <c r="DO978" s="43"/>
      <c r="DP978" s="43"/>
      <c r="DQ978" s="43"/>
      <c r="DR978" s="43"/>
      <c r="DS978" s="43"/>
      <c r="DT978" s="43"/>
      <c r="DU978" s="43"/>
      <c r="DV978" s="43"/>
      <c r="DW978" s="43"/>
      <c r="DX978" s="43"/>
      <c r="DY978" s="43"/>
      <c r="DZ978" s="43"/>
      <c r="EA978" s="43"/>
      <c r="EB978" s="43"/>
      <c r="EC978" s="43"/>
      <c r="ED978" s="43"/>
      <c r="EE978" s="43"/>
      <c r="EF978" s="43"/>
      <c r="EG978" s="43"/>
      <c r="EH978" s="43"/>
      <c r="EI978" s="43"/>
      <c r="EJ978" s="43"/>
      <c r="EK978" s="43"/>
      <c r="EL978" s="43"/>
      <c r="EM978" s="43"/>
      <c r="EN978" s="43"/>
      <c r="EO978" s="43"/>
      <c r="EP978" s="43"/>
      <c r="EQ978" s="43"/>
      <c r="ER978" s="43"/>
      <c r="ES978" s="43"/>
      <c r="ET978" s="43"/>
      <c r="EU978" s="43"/>
      <c r="EV978" s="43"/>
      <c r="EW978" s="43"/>
      <c r="EX978" s="43"/>
      <c r="EY978" s="43"/>
      <c r="EZ978" s="43"/>
      <c r="FA978" s="43"/>
      <c r="FB978" s="43"/>
      <c r="FC978" s="43"/>
      <c r="FD978" s="43"/>
      <c r="FE978" s="43"/>
      <c r="FF978" s="43"/>
      <c r="FG978" s="43"/>
      <c r="FH978" s="50"/>
      <c r="FI978" s="50"/>
    </row>
    <row r="979" ht="14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  <c r="AX979" s="43"/>
      <c r="AY979" s="43"/>
      <c r="AZ979" s="43"/>
      <c r="BA979" s="43"/>
      <c r="BB979" s="43"/>
      <c r="BC979" s="43"/>
      <c r="BD979" s="43"/>
      <c r="BE979" s="43"/>
      <c r="BF979" s="43"/>
      <c r="BG979" s="43"/>
      <c r="BH979" s="43"/>
      <c r="BI979" s="43"/>
      <c r="BJ979" s="43"/>
      <c r="BK979" s="43"/>
      <c r="BL979" s="43"/>
      <c r="BM979" s="43"/>
      <c r="BN979" s="43"/>
      <c r="BO979" s="43"/>
      <c r="BP979" s="43"/>
      <c r="BQ979" s="43"/>
      <c r="BR979" s="43"/>
      <c r="BS979" s="43"/>
      <c r="BT979" s="43"/>
      <c r="BU979" s="43"/>
      <c r="BV979" s="43"/>
      <c r="BW979" s="43"/>
      <c r="BX979" s="43"/>
      <c r="BY979" s="43"/>
      <c r="BZ979" s="43"/>
      <c r="CA979" s="43"/>
      <c r="CB979" s="43"/>
      <c r="CC979" s="43"/>
      <c r="CD979" s="43"/>
      <c r="CE979" s="43"/>
      <c r="CF979" s="43"/>
      <c r="CG979" s="43"/>
      <c r="CH979" s="43"/>
      <c r="CI979" s="43"/>
      <c r="CJ979" s="43"/>
      <c r="CK979" s="43"/>
      <c r="CL979" s="43"/>
      <c r="CM979" s="43"/>
      <c r="CN979" s="43"/>
      <c r="CO979" s="43"/>
      <c r="CP979" s="43"/>
      <c r="CQ979" s="43"/>
      <c r="CR979" s="43"/>
      <c r="CS979" s="43"/>
      <c r="CT979" s="43"/>
      <c r="CU979" s="43"/>
      <c r="CV979" s="43"/>
      <c r="CW979" s="43"/>
      <c r="CX979" s="43"/>
      <c r="CY979" s="43"/>
      <c r="CZ979" s="43"/>
      <c r="DA979" s="43"/>
      <c r="DB979" s="43"/>
      <c r="DC979" s="43"/>
      <c r="DD979" s="43"/>
      <c r="DE979" s="43"/>
      <c r="DF979" s="43"/>
      <c r="DG979" s="43"/>
      <c r="DH979" s="43"/>
      <c r="DI979" s="43"/>
      <c r="DJ979" s="43"/>
      <c r="DK979" s="43"/>
      <c r="DL979" s="43"/>
      <c r="DM979" s="43"/>
      <c r="DN979" s="43"/>
      <c r="DO979" s="43"/>
      <c r="DP979" s="43"/>
      <c r="DQ979" s="43"/>
      <c r="DR979" s="43"/>
      <c r="DS979" s="43"/>
      <c r="DT979" s="43"/>
      <c r="DU979" s="43"/>
      <c r="DV979" s="43"/>
      <c r="DW979" s="43"/>
      <c r="DX979" s="43"/>
      <c r="DY979" s="43"/>
      <c r="DZ979" s="43"/>
      <c r="EA979" s="43"/>
      <c r="EB979" s="43"/>
      <c r="EC979" s="43"/>
      <c r="ED979" s="43"/>
      <c r="EE979" s="43"/>
      <c r="EF979" s="43"/>
      <c r="EG979" s="43"/>
      <c r="EH979" s="43"/>
      <c r="EI979" s="43"/>
      <c r="EJ979" s="43"/>
      <c r="EK979" s="43"/>
      <c r="EL979" s="43"/>
      <c r="EM979" s="43"/>
      <c r="EN979" s="43"/>
      <c r="EO979" s="43"/>
      <c r="EP979" s="43"/>
      <c r="EQ979" s="43"/>
      <c r="ER979" s="43"/>
      <c r="ES979" s="43"/>
      <c r="ET979" s="43"/>
      <c r="EU979" s="43"/>
      <c r="EV979" s="43"/>
      <c r="EW979" s="43"/>
      <c r="EX979" s="43"/>
      <c r="EY979" s="43"/>
      <c r="EZ979" s="43"/>
      <c r="FA979" s="43"/>
      <c r="FB979" s="43"/>
      <c r="FC979" s="43"/>
      <c r="FD979" s="43"/>
      <c r="FE979" s="43"/>
      <c r="FF979" s="43"/>
      <c r="FG979" s="43"/>
      <c r="FH979" s="50"/>
      <c r="FI979" s="50"/>
    </row>
    <row r="980" ht="14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  <c r="AX980" s="43"/>
      <c r="AY980" s="43"/>
      <c r="AZ980" s="43"/>
      <c r="BA980" s="43"/>
      <c r="BB980" s="43"/>
      <c r="BC980" s="43"/>
      <c r="BD980" s="43"/>
      <c r="BE980" s="43"/>
      <c r="BF980" s="43"/>
      <c r="BG980" s="43"/>
      <c r="BH980" s="43"/>
      <c r="BI980" s="43"/>
      <c r="BJ980" s="43"/>
      <c r="BK980" s="43"/>
      <c r="BL980" s="43"/>
      <c r="BM980" s="43"/>
      <c r="BN980" s="43"/>
      <c r="BO980" s="43"/>
      <c r="BP980" s="43"/>
      <c r="BQ980" s="43"/>
      <c r="BR980" s="43"/>
      <c r="BS980" s="43"/>
      <c r="BT980" s="43"/>
      <c r="BU980" s="43"/>
      <c r="BV980" s="43"/>
      <c r="BW980" s="43"/>
      <c r="BX980" s="43"/>
      <c r="BY980" s="43"/>
      <c r="BZ980" s="43"/>
      <c r="CA980" s="43"/>
      <c r="CB980" s="43"/>
      <c r="CC980" s="43"/>
      <c r="CD980" s="43"/>
      <c r="CE980" s="43"/>
      <c r="CF980" s="43"/>
      <c r="CG980" s="43"/>
      <c r="CH980" s="43"/>
      <c r="CI980" s="43"/>
      <c r="CJ980" s="43"/>
      <c r="CK980" s="43"/>
      <c r="CL980" s="43"/>
      <c r="CM980" s="43"/>
      <c r="CN980" s="43"/>
      <c r="CO980" s="43"/>
      <c r="CP980" s="43"/>
      <c r="CQ980" s="43"/>
      <c r="CR980" s="43"/>
      <c r="CS980" s="43"/>
      <c r="CT980" s="43"/>
      <c r="CU980" s="43"/>
      <c r="CV980" s="43"/>
      <c r="CW980" s="43"/>
      <c r="CX980" s="43"/>
      <c r="CY980" s="43"/>
      <c r="CZ980" s="43"/>
      <c r="DA980" s="43"/>
      <c r="DB980" s="43"/>
      <c r="DC980" s="43"/>
      <c r="DD980" s="43"/>
      <c r="DE980" s="43"/>
      <c r="DF980" s="43"/>
      <c r="DG980" s="43"/>
      <c r="DH980" s="43"/>
      <c r="DI980" s="43"/>
      <c r="DJ980" s="43"/>
      <c r="DK980" s="43"/>
      <c r="DL980" s="43"/>
      <c r="DM980" s="43"/>
      <c r="DN980" s="43"/>
      <c r="DO980" s="43"/>
      <c r="DP980" s="43"/>
      <c r="DQ980" s="43"/>
      <c r="DR980" s="43"/>
      <c r="DS980" s="43"/>
      <c r="DT980" s="43"/>
      <c r="DU980" s="43"/>
      <c r="DV980" s="43"/>
      <c r="DW980" s="43"/>
      <c r="DX980" s="43"/>
      <c r="DY980" s="43"/>
      <c r="DZ980" s="43"/>
      <c r="EA980" s="43"/>
      <c r="EB980" s="43"/>
      <c r="EC980" s="43"/>
      <c r="ED980" s="43"/>
      <c r="EE980" s="43"/>
      <c r="EF980" s="43"/>
      <c r="EG980" s="43"/>
      <c r="EH980" s="43"/>
      <c r="EI980" s="43"/>
      <c r="EJ980" s="43"/>
      <c r="EK980" s="43"/>
      <c r="EL980" s="43"/>
      <c r="EM980" s="43"/>
      <c r="EN980" s="43"/>
      <c r="EO980" s="43"/>
      <c r="EP980" s="43"/>
      <c r="EQ980" s="43"/>
      <c r="ER980" s="43"/>
      <c r="ES980" s="43"/>
      <c r="ET980" s="43"/>
      <c r="EU980" s="43"/>
      <c r="EV980" s="43"/>
      <c r="EW980" s="43"/>
      <c r="EX980" s="43"/>
      <c r="EY980" s="43"/>
      <c r="EZ980" s="43"/>
      <c r="FA980" s="43"/>
      <c r="FB980" s="43"/>
      <c r="FC980" s="43"/>
      <c r="FD980" s="43"/>
      <c r="FE980" s="43"/>
      <c r="FF980" s="43"/>
      <c r="FG980" s="43"/>
      <c r="FH980" s="50"/>
      <c r="FI980" s="50"/>
    </row>
    <row r="981" ht="14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  <c r="AX981" s="43"/>
      <c r="AY981" s="43"/>
      <c r="AZ981" s="43"/>
      <c r="BA981" s="43"/>
      <c r="BB981" s="43"/>
      <c r="BC981" s="43"/>
      <c r="BD981" s="43"/>
      <c r="BE981" s="43"/>
      <c r="BF981" s="43"/>
      <c r="BG981" s="43"/>
      <c r="BH981" s="43"/>
      <c r="BI981" s="43"/>
      <c r="BJ981" s="43"/>
      <c r="BK981" s="43"/>
      <c r="BL981" s="43"/>
      <c r="BM981" s="43"/>
      <c r="BN981" s="43"/>
      <c r="BO981" s="43"/>
      <c r="BP981" s="43"/>
      <c r="BQ981" s="43"/>
      <c r="BR981" s="43"/>
      <c r="BS981" s="43"/>
      <c r="BT981" s="43"/>
      <c r="BU981" s="43"/>
      <c r="BV981" s="43"/>
      <c r="BW981" s="43"/>
      <c r="BX981" s="43"/>
      <c r="BY981" s="43"/>
      <c r="BZ981" s="43"/>
      <c r="CA981" s="43"/>
      <c r="CB981" s="43"/>
      <c r="CC981" s="43"/>
      <c r="CD981" s="43"/>
      <c r="CE981" s="43"/>
      <c r="CF981" s="43"/>
      <c r="CG981" s="43"/>
      <c r="CH981" s="43"/>
      <c r="CI981" s="43"/>
      <c r="CJ981" s="43"/>
      <c r="CK981" s="43"/>
      <c r="CL981" s="43"/>
      <c r="CM981" s="43"/>
      <c r="CN981" s="43"/>
      <c r="CO981" s="43"/>
      <c r="CP981" s="43"/>
      <c r="CQ981" s="43"/>
      <c r="CR981" s="43"/>
      <c r="CS981" s="43"/>
      <c r="CT981" s="43"/>
      <c r="CU981" s="43"/>
      <c r="CV981" s="43"/>
      <c r="CW981" s="43"/>
      <c r="CX981" s="43"/>
      <c r="CY981" s="43"/>
      <c r="CZ981" s="43"/>
      <c r="DA981" s="43"/>
      <c r="DB981" s="43"/>
      <c r="DC981" s="43"/>
      <c r="DD981" s="43"/>
      <c r="DE981" s="43"/>
      <c r="DF981" s="43"/>
      <c r="DG981" s="43"/>
      <c r="DH981" s="43"/>
      <c r="DI981" s="43"/>
      <c r="DJ981" s="43"/>
      <c r="DK981" s="43"/>
      <c r="DL981" s="43"/>
      <c r="DM981" s="43"/>
      <c r="DN981" s="43"/>
      <c r="DO981" s="43"/>
      <c r="DP981" s="43"/>
      <c r="DQ981" s="43"/>
      <c r="DR981" s="43"/>
      <c r="DS981" s="43"/>
      <c r="DT981" s="43"/>
      <c r="DU981" s="43"/>
      <c r="DV981" s="43"/>
      <c r="DW981" s="43"/>
      <c r="DX981" s="43"/>
      <c r="DY981" s="43"/>
      <c r="DZ981" s="43"/>
      <c r="EA981" s="43"/>
      <c r="EB981" s="43"/>
      <c r="EC981" s="43"/>
      <c r="ED981" s="43"/>
      <c r="EE981" s="43"/>
      <c r="EF981" s="43"/>
      <c r="EG981" s="43"/>
      <c r="EH981" s="43"/>
      <c r="EI981" s="43"/>
      <c r="EJ981" s="43"/>
      <c r="EK981" s="43"/>
      <c r="EL981" s="43"/>
      <c r="EM981" s="43"/>
      <c r="EN981" s="43"/>
      <c r="EO981" s="43"/>
      <c r="EP981" s="43"/>
      <c r="EQ981" s="43"/>
      <c r="ER981" s="43"/>
      <c r="ES981" s="43"/>
      <c r="ET981" s="43"/>
      <c r="EU981" s="43"/>
      <c r="EV981" s="43"/>
      <c r="EW981" s="43"/>
      <c r="EX981" s="43"/>
      <c r="EY981" s="43"/>
      <c r="EZ981" s="43"/>
      <c r="FA981" s="43"/>
      <c r="FB981" s="43"/>
      <c r="FC981" s="43"/>
      <c r="FD981" s="43"/>
      <c r="FE981" s="43"/>
      <c r="FF981" s="43"/>
      <c r="FG981" s="43"/>
      <c r="FH981" s="50"/>
      <c r="FI981" s="50"/>
    </row>
    <row r="982" ht="14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  <c r="AX982" s="43"/>
      <c r="AY982" s="43"/>
      <c r="AZ982" s="43"/>
      <c r="BA982" s="43"/>
      <c r="BB982" s="43"/>
      <c r="BC982" s="43"/>
      <c r="BD982" s="43"/>
      <c r="BE982" s="43"/>
      <c r="BF982" s="43"/>
      <c r="BG982" s="43"/>
      <c r="BH982" s="43"/>
      <c r="BI982" s="43"/>
      <c r="BJ982" s="43"/>
      <c r="BK982" s="43"/>
      <c r="BL982" s="43"/>
      <c r="BM982" s="43"/>
      <c r="BN982" s="43"/>
      <c r="BO982" s="43"/>
      <c r="BP982" s="43"/>
      <c r="BQ982" s="43"/>
      <c r="BR982" s="43"/>
      <c r="BS982" s="43"/>
      <c r="BT982" s="43"/>
      <c r="BU982" s="43"/>
      <c r="BV982" s="43"/>
      <c r="BW982" s="43"/>
      <c r="BX982" s="43"/>
      <c r="BY982" s="43"/>
      <c r="BZ982" s="43"/>
      <c r="CA982" s="43"/>
      <c r="CB982" s="43"/>
      <c r="CC982" s="43"/>
      <c r="CD982" s="43"/>
      <c r="CE982" s="43"/>
      <c r="CF982" s="43"/>
      <c r="CG982" s="43"/>
      <c r="CH982" s="43"/>
      <c r="CI982" s="43"/>
      <c r="CJ982" s="43"/>
      <c r="CK982" s="43"/>
      <c r="CL982" s="43"/>
      <c r="CM982" s="43"/>
      <c r="CN982" s="43"/>
      <c r="CO982" s="43"/>
      <c r="CP982" s="43"/>
      <c r="CQ982" s="43"/>
      <c r="CR982" s="43"/>
      <c r="CS982" s="43"/>
      <c r="CT982" s="43"/>
      <c r="CU982" s="43"/>
      <c r="CV982" s="43"/>
      <c r="CW982" s="43"/>
      <c r="CX982" s="43"/>
      <c r="CY982" s="43"/>
      <c r="CZ982" s="43"/>
      <c r="DA982" s="43"/>
      <c r="DB982" s="43"/>
      <c r="DC982" s="43"/>
      <c r="DD982" s="43"/>
      <c r="DE982" s="43"/>
      <c r="DF982" s="43"/>
      <c r="DG982" s="43"/>
      <c r="DH982" s="43"/>
      <c r="DI982" s="43"/>
      <c r="DJ982" s="43"/>
      <c r="DK982" s="43"/>
      <c r="DL982" s="43"/>
      <c r="DM982" s="43"/>
      <c r="DN982" s="43"/>
      <c r="DO982" s="43"/>
      <c r="DP982" s="43"/>
      <c r="DQ982" s="43"/>
      <c r="DR982" s="43"/>
      <c r="DS982" s="43"/>
      <c r="DT982" s="43"/>
      <c r="DU982" s="43"/>
      <c r="DV982" s="43"/>
      <c r="DW982" s="43"/>
      <c r="DX982" s="43"/>
      <c r="DY982" s="43"/>
      <c r="DZ982" s="43"/>
      <c r="EA982" s="43"/>
      <c r="EB982" s="43"/>
      <c r="EC982" s="43"/>
      <c r="ED982" s="43"/>
      <c r="EE982" s="43"/>
      <c r="EF982" s="43"/>
      <c r="EG982" s="43"/>
      <c r="EH982" s="43"/>
      <c r="EI982" s="43"/>
      <c r="EJ982" s="43"/>
      <c r="EK982" s="43"/>
      <c r="EL982" s="43"/>
      <c r="EM982" s="43"/>
      <c r="EN982" s="43"/>
      <c r="EO982" s="43"/>
      <c r="EP982" s="43"/>
      <c r="EQ982" s="43"/>
      <c r="ER982" s="43"/>
      <c r="ES982" s="43"/>
      <c r="ET982" s="43"/>
      <c r="EU982" s="43"/>
      <c r="EV982" s="43"/>
      <c r="EW982" s="43"/>
      <c r="EX982" s="43"/>
      <c r="EY982" s="43"/>
      <c r="EZ982" s="43"/>
      <c r="FA982" s="43"/>
      <c r="FB982" s="43"/>
      <c r="FC982" s="43"/>
      <c r="FD982" s="43"/>
      <c r="FE982" s="43"/>
      <c r="FF982" s="43"/>
      <c r="FG982" s="43"/>
      <c r="FH982" s="50"/>
      <c r="FI982" s="50"/>
    </row>
    <row r="983" ht="14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  <c r="AX983" s="43"/>
      <c r="AY983" s="43"/>
      <c r="AZ983" s="43"/>
      <c r="BA983" s="43"/>
      <c r="BB983" s="43"/>
      <c r="BC983" s="43"/>
      <c r="BD983" s="43"/>
      <c r="BE983" s="43"/>
      <c r="BF983" s="43"/>
      <c r="BG983" s="43"/>
      <c r="BH983" s="43"/>
      <c r="BI983" s="43"/>
      <c r="BJ983" s="43"/>
      <c r="BK983" s="43"/>
      <c r="BL983" s="43"/>
      <c r="BM983" s="43"/>
      <c r="BN983" s="43"/>
      <c r="BO983" s="43"/>
      <c r="BP983" s="43"/>
      <c r="BQ983" s="43"/>
      <c r="BR983" s="43"/>
      <c r="BS983" s="43"/>
      <c r="BT983" s="43"/>
      <c r="BU983" s="43"/>
      <c r="BV983" s="43"/>
      <c r="BW983" s="43"/>
      <c r="BX983" s="43"/>
      <c r="BY983" s="43"/>
      <c r="BZ983" s="43"/>
      <c r="CA983" s="43"/>
      <c r="CB983" s="43"/>
      <c r="CC983" s="43"/>
      <c r="CD983" s="43"/>
      <c r="CE983" s="43"/>
      <c r="CF983" s="43"/>
      <c r="CG983" s="43"/>
      <c r="CH983" s="43"/>
      <c r="CI983" s="43"/>
      <c r="CJ983" s="43"/>
      <c r="CK983" s="43"/>
      <c r="CL983" s="43"/>
      <c r="CM983" s="43"/>
      <c r="CN983" s="43"/>
      <c r="CO983" s="43"/>
      <c r="CP983" s="43"/>
      <c r="CQ983" s="43"/>
      <c r="CR983" s="43"/>
      <c r="CS983" s="43"/>
      <c r="CT983" s="43"/>
      <c r="CU983" s="43"/>
      <c r="CV983" s="43"/>
      <c r="CW983" s="43"/>
      <c r="CX983" s="43"/>
      <c r="CY983" s="43"/>
      <c r="CZ983" s="43"/>
      <c r="DA983" s="43"/>
      <c r="DB983" s="43"/>
      <c r="DC983" s="43"/>
      <c r="DD983" s="43"/>
      <c r="DE983" s="43"/>
      <c r="DF983" s="43"/>
      <c r="DG983" s="43"/>
      <c r="DH983" s="43"/>
      <c r="DI983" s="43"/>
      <c r="DJ983" s="43"/>
      <c r="DK983" s="43"/>
      <c r="DL983" s="43"/>
      <c r="DM983" s="43"/>
      <c r="DN983" s="43"/>
      <c r="DO983" s="43"/>
      <c r="DP983" s="43"/>
      <c r="DQ983" s="43"/>
      <c r="DR983" s="43"/>
      <c r="DS983" s="43"/>
      <c r="DT983" s="43"/>
      <c r="DU983" s="43"/>
      <c r="DV983" s="43"/>
      <c r="DW983" s="43"/>
      <c r="DX983" s="43"/>
      <c r="DY983" s="43"/>
      <c r="DZ983" s="43"/>
      <c r="EA983" s="43"/>
      <c r="EB983" s="43"/>
      <c r="EC983" s="43"/>
      <c r="ED983" s="43"/>
      <c r="EE983" s="43"/>
      <c r="EF983" s="43"/>
      <c r="EG983" s="43"/>
      <c r="EH983" s="43"/>
      <c r="EI983" s="43"/>
      <c r="EJ983" s="43"/>
      <c r="EK983" s="43"/>
      <c r="EL983" s="43"/>
      <c r="EM983" s="43"/>
      <c r="EN983" s="43"/>
      <c r="EO983" s="43"/>
      <c r="EP983" s="43"/>
      <c r="EQ983" s="43"/>
      <c r="ER983" s="43"/>
      <c r="ES983" s="43"/>
      <c r="ET983" s="43"/>
      <c r="EU983" s="43"/>
      <c r="EV983" s="43"/>
      <c r="EW983" s="43"/>
      <c r="EX983" s="43"/>
      <c r="EY983" s="43"/>
      <c r="EZ983" s="43"/>
      <c r="FA983" s="43"/>
      <c r="FB983" s="43"/>
      <c r="FC983" s="43"/>
      <c r="FD983" s="43"/>
      <c r="FE983" s="43"/>
      <c r="FF983" s="43"/>
      <c r="FG983" s="43"/>
      <c r="FH983" s="50"/>
      <c r="FI983" s="50"/>
    </row>
    <row r="984" ht="14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  <c r="AX984" s="43"/>
      <c r="AY984" s="43"/>
      <c r="AZ984" s="43"/>
      <c r="BA984" s="43"/>
      <c r="BB984" s="43"/>
      <c r="BC984" s="43"/>
      <c r="BD984" s="43"/>
      <c r="BE984" s="43"/>
      <c r="BF984" s="43"/>
      <c r="BG984" s="43"/>
      <c r="BH984" s="43"/>
      <c r="BI984" s="43"/>
      <c r="BJ984" s="43"/>
      <c r="BK984" s="43"/>
      <c r="BL984" s="43"/>
      <c r="BM984" s="43"/>
      <c r="BN984" s="43"/>
      <c r="BO984" s="43"/>
      <c r="BP984" s="43"/>
      <c r="BQ984" s="43"/>
      <c r="BR984" s="43"/>
      <c r="BS984" s="43"/>
      <c r="BT984" s="43"/>
      <c r="BU984" s="43"/>
      <c r="BV984" s="43"/>
      <c r="BW984" s="43"/>
      <c r="BX984" s="43"/>
      <c r="BY984" s="43"/>
      <c r="BZ984" s="43"/>
      <c r="CA984" s="43"/>
      <c r="CB984" s="43"/>
      <c r="CC984" s="43"/>
      <c r="CD984" s="43"/>
      <c r="CE984" s="43"/>
      <c r="CF984" s="43"/>
      <c r="CG984" s="43"/>
      <c r="CH984" s="43"/>
      <c r="CI984" s="43"/>
      <c r="CJ984" s="43"/>
      <c r="CK984" s="43"/>
      <c r="CL984" s="43"/>
      <c r="CM984" s="43"/>
      <c r="CN984" s="43"/>
      <c r="CO984" s="43"/>
      <c r="CP984" s="43"/>
      <c r="CQ984" s="43"/>
      <c r="CR984" s="43"/>
      <c r="CS984" s="43"/>
      <c r="CT984" s="43"/>
      <c r="CU984" s="43"/>
      <c r="CV984" s="43"/>
      <c r="CW984" s="43"/>
      <c r="CX984" s="43"/>
      <c r="CY984" s="43"/>
      <c r="CZ984" s="43"/>
      <c r="DA984" s="43"/>
      <c r="DB984" s="43"/>
      <c r="DC984" s="43"/>
      <c r="DD984" s="43"/>
      <c r="DE984" s="43"/>
      <c r="DF984" s="43"/>
      <c r="DG984" s="43"/>
      <c r="DH984" s="43"/>
      <c r="DI984" s="43"/>
      <c r="DJ984" s="43"/>
      <c r="DK984" s="43"/>
      <c r="DL984" s="43"/>
      <c r="DM984" s="43"/>
      <c r="DN984" s="43"/>
      <c r="DO984" s="43"/>
      <c r="DP984" s="43"/>
      <c r="DQ984" s="43"/>
      <c r="DR984" s="43"/>
      <c r="DS984" s="43"/>
      <c r="DT984" s="43"/>
      <c r="DU984" s="43"/>
      <c r="DV984" s="43"/>
      <c r="DW984" s="43"/>
      <c r="DX984" s="43"/>
      <c r="DY984" s="43"/>
      <c r="DZ984" s="43"/>
      <c r="EA984" s="43"/>
      <c r="EB984" s="43"/>
      <c r="EC984" s="43"/>
      <c r="ED984" s="43"/>
      <c r="EE984" s="43"/>
      <c r="EF984" s="43"/>
      <c r="EG984" s="43"/>
      <c r="EH984" s="43"/>
      <c r="EI984" s="43"/>
      <c r="EJ984" s="43"/>
      <c r="EK984" s="43"/>
      <c r="EL984" s="43"/>
      <c r="EM984" s="43"/>
      <c r="EN984" s="43"/>
      <c r="EO984" s="43"/>
      <c r="EP984" s="43"/>
      <c r="EQ984" s="43"/>
      <c r="ER984" s="43"/>
      <c r="ES984" s="43"/>
      <c r="ET984" s="43"/>
      <c r="EU984" s="43"/>
      <c r="EV984" s="43"/>
      <c r="EW984" s="43"/>
      <c r="EX984" s="43"/>
      <c r="EY984" s="43"/>
      <c r="EZ984" s="43"/>
      <c r="FA984" s="43"/>
      <c r="FB984" s="43"/>
      <c r="FC984" s="43"/>
      <c r="FD984" s="43"/>
      <c r="FE984" s="43"/>
      <c r="FF984" s="43"/>
      <c r="FG984" s="43"/>
      <c r="FH984" s="50"/>
      <c r="FI984" s="50"/>
    </row>
    <row r="985" ht="14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  <c r="AX985" s="43"/>
      <c r="AY985" s="43"/>
      <c r="AZ985" s="43"/>
      <c r="BA985" s="43"/>
      <c r="BB985" s="43"/>
      <c r="BC985" s="43"/>
      <c r="BD985" s="43"/>
      <c r="BE985" s="43"/>
      <c r="BF985" s="43"/>
      <c r="BG985" s="43"/>
      <c r="BH985" s="43"/>
      <c r="BI985" s="43"/>
      <c r="BJ985" s="43"/>
      <c r="BK985" s="43"/>
      <c r="BL985" s="43"/>
      <c r="BM985" s="43"/>
      <c r="BN985" s="43"/>
      <c r="BO985" s="43"/>
      <c r="BP985" s="43"/>
      <c r="BQ985" s="43"/>
      <c r="BR985" s="43"/>
      <c r="BS985" s="43"/>
      <c r="BT985" s="43"/>
      <c r="BU985" s="43"/>
      <c r="BV985" s="43"/>
      <c r="BW985" s="43"/>
      <c r="BX985" s="43"/>
      <c r="BY985" s="43"/>
      <c r="BZ985" s="43"/>
      <c r="CA985" s="43"/>
      <c r="CB985" s="43"/>
      <c r="CC985" s="43"/>
      <c r="CD985" s="43"/>
      <c r="CE985" s="43"/>
      <c r="CF985" s="43"/>
      <c r="CG985" s="43"/>
      <c r="CH985" s="43"/>
      <c r="CI985" s="43"/>
      <c r="CJ985" s="43"/>
      <c r="CK985" s="43"/>
      <c r="CL985" s="43"/>
      <c r="CM985" s="43"/>
      <c r="CN985" s="43"/>
      <c r="CO985" s="43"/>
      <c r="CP985" s="43"/>
      <c r="CQ985" s="43"/>
      <c r="CR985" s="43"/>
      <c r="CS985" s="43"/>
      <c r="CT985" s="43"/>
      <c r="CU985" s="43"/>
      <c r="CV985" s="43"/>
      <c r="CW985" s="43"/>
      <c r="CX985" s="43"/>
      <c r="CY985" s="43"/>
      <c r="CZ985" s="43"/>
      <c r="DA985" s="43"/>
      <c r="DB985" s="43"/>
      <c r="DC985" s="43"/>
      <c r="DD985" s="43"/>
      <c r="DE985" s="43"/>
      <c r="DF985" s="43"/>
      <c r="DG985" s="43"/>
      <c r="DH985" s="43"/>
      <c r="DI985" s="43"/>
      <c r="DJ985" s="43"/>
      <c r="DK985" s="43"/>
      <c r="DL985" s="43"/>
      <c r="DM985" s="43"/>
      <c r="DN985" s="43"/>
      <c r="DO985" s="43"/>
      <c r="DP985" s="43"/>
      <c r="DQ985" s="43"/>
      <c r="DR985" s="43"/>
      <c r="DS985" s="43"/>
      <c r="DT985" s="43"/>
      <c r="DU985" s="43"/>
      <c r="DV985" s="43"/>
      <c r="DW985" s="43"/>
      <c r="DX985" s="43"/>
      <c r="DY985" s="43"/>
      <c r="DZ985" s="43"/>
      <c r="EA985" s="43"/>
      <c r="EB985" s="43"/>
      <c r="EC985" s="43"/>
      <c r="ED985" s="43"/>
      <c r="EE985" s="43"/>
      <c r="EF985" s="43"/>
      <c r="EG985" s="43"/>
      <c r="EH985" s="43"/>
      <c r="EI985" s="43"/>
      <c r="EJ985" s="43"/>
      <c r="EK985" s="43"/>
      <c r="EL985" s="43"/>
      <c r="EM985" s="43"/>
      <c r="EN985" s="43"/>
      <c r="EO985" s="43"/>
      <c r="EP985" s="43"/>
      <c r="EQ985" s="43"/>
      <c r="ER985" s="43"/>
      <c r="ES985" s="43"/>
      <c r="ET985" s="43"/>
      <c r="EU985" s="43"/>
      <c r="EV985" s="43"/>
      <c r="EW985" s="43"/>
      <c r="EX985" s="43"/>
      <c r="EY985" s="43"/>
      <c r="EZ985" s="43"/>
      <c r="FA985" s="43"/>
      <c r="FB985" s="43"/>
      <c r="FC985" s="43"/>
      <c r="FD985" s="43"/>
      <c r="FE985" s="43"/>
      <c r="FF985" s="43"/>
      <c r="FG985" s="43"/>
      <c r="FH985" s="50"/>
      <c r="FI985" s="50"/>
    </row>
    <row r="986" ht="14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  <c r="AX986" s="43"/>
      <c r="AY986" s="43"/>
      <c r="AZ986" s="43"/>
      <c r="BA986" s="43"/>
      <c r="BB986" s="43"/>
      <c r="BC986" s="43"/>
      <c r="BD986" s="43"/>
      <c r="BE986" s="43"/>
      <c r="BF986" s="43"/>
      <c r="BG986" s="43"/>
      <c r="BH986" s="43"/>
      <c r="BI986" s="43"/>
      <c r="BJ986" s="43"/>
      <c r="BK986" s="43"/>
      <c r="BL986" s="43"/>
      <c r="BM986" s="43"/>
      <c r="BN986" s="43"/>
      <c r="BO986" s="43"/>
      <c r="BP986" s="43"/>
      <c r="BQ986" s="43"/>
      <c r="BR986" s="43"/>
      <c r="BS986" s="43"/>
      <c r="BT986" s="43"/>
      <c r="BU986" s="43"/>
      <c r="BV986" s="43"/>
      <c r="BW986" s="43"/>
      <c r="BX986" s="43"/>
      <c r="BY986" s="43"/>
      <c r="BZ986" s="43"/>
      <c r="CA986" s="43"/>
      <c r="CB986" s="43"/>
      <c r="CC986" s="43"/>
      <c r="CD986" s="43"/>
      <c r="CE986" s="43"/>
      <c r="CF986" s="43"/>
      <c r="CG986" s="43"/>
      <c r="CH986" s="43"/>
      <c r="CI986" s="43"/>
      <c r="CJ986" s="43"/>
      <c r="CK986" s="43"/>
      <c r="CL986" s="43"/>
      <c r="CM986" s="43"/>
      <c r="CN986" s="43"/>
      <c r="CO986" s="43"/>
      <c r="CP986" s="43"/>
      <c r="CQ986" s="43"/>
      <c r="CR986" s="43"/>
      <c r="CS986" s="43"/>
      <c r="CT986" s="43"/>
      <c r="CU986" s="43"/>
      <c r="CV986" s="43"/>
      <c r="CW986" s="43"/>
      <c r="CX986" s="43"/>
      <c r="CY986" s="43"/>
      <c r="CZ986" s="43"/>
      <c r="DA986" s="43"/>
      <c r="DB986" s="43"/>
      <c r="DC986" s="43"/>
      <c r="DD986" s="43"/>
      <c r="DE986" s="43"/>
      <c r="DF986" s="43"/>
      <c r="DG986" s="43"/>
      <c r="DH986" s="43"/>
      <c r="DI986" s="43"/>
      <c r="DJ986" s="43"/>
      <c r="DK986" s="43"/>
      <c r="DL986" s="43"/>
      <c r="DM986" s="43"/>
      <c r="DN986" s="43"/>
      <c r="DO986" s="43"/>
      <c r="DP986" s="43"/>
      <c r="DQ986" s="43"/>
      <c r="DR986" s="43"/>
      <c r="DS986" s="43"/>
      <c r="DT986" s="43"/>
      <c r="DU986" s="43"/>
      <c r="DV986" s="43"/>
      <c r="DW986" s="43"/>
      <c r="DX986" s="43"/>
      <c r="DY986" s="43"/>
      <c r="DZ986" s="43"/>
      <c r="EA986" s="43"/>
      <c r="EB986" s="43"/>
      <c r="EC986" s="43"/>
      <c r="ED986" s="43"/>
      <c r="EE986" s="43"/>
      <c r="EF986" s="43"/>
      <c r="EG986" s="43"/>
      <c r="EH986" s="43"/>
      <c r="EI986" s="43"/>
      <c r="EJ986" s="43"/>
      <c r="EK986" s="43"/>
      <c r="EL986" s="43"/>
      <c r="EM986" s="43"/>
      <c r="EN986" s="43"/>
      <c r="EO986" s="43"/>
      <c r="EP986" s="43"/>
      <c r="EQ986" s="43"/>
      <c r="ER986" s="43"/>
      <c r="ES986" s="43"/>
      <c r="ET986" s="43"/>
      <c r="EU986" s="43"/>
      <c r="EV986" s="43"/>
      <c r="EW986" s="43"/>
      <c r="EX986" s="43"/>
      <c r="EY986" s="43"/>
      <c r="EZ986" s="43"/>
      <c r="FA986" s="43"/>
      <c r="FB986" s="43"/>
      <c r="FC986" s="43"/>
      <c r="FD986" s="43"/>
      <c r="FE986" s="43"/>
      <c r="FF986" s="43"/>
      <c r="FG986" s="43"/>
      <c r="FH986" s="50"/>
      <c r="FI986" s="50"/>
    </row>
    <row r="987" ht="14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  <c r="AX987" s="43"/>
      <c r="AY987" s="43"/>
      <c r="AZ987" s="43"/>
      <c r="BA987" s="43"/>
      <c r="BB987" s="43"/>
      <c r="BC987" s="43"/>
      <c r="BD987" s="43"/>
      <c r="BE987" s="43"/>
      <c r="BF987" s="43"/>
      <c r="BG987" s="43"/>
      <c r="BH987" s="43"/>
      <c r="BI987" s="43"/>
      <c r="BJ987" s="43"/>
      <c r="BK987" s="43"/>
      <c r="BL987" s="43"/>
      <c r="BM987" s="43"/>
      <c r="BN987" s="43"/>
      <c r="BO987" s="43"/>
      <c r="BP987" s="43"/>
      <c r="BQ987" s="43"/>
      <c r="BR987" s="43"/>
      <c r="BS987" s="43"/>
      <c r="BT987" s="43"/>
      <c r="BU987" s="43"/>
      <c r="BV987" s="43"/>
      <c r="BW987" s="43"/>
      <c r="BX987" s="43"/>
      <c r="BY987" s="43"/>
      <c r="BZ987" s="43"/>
      <c r="CA987" s="43"/>
      <c r="CB987" s="43"/>
      <c r="CC987" s="43"/>
      <c r="CD987" s="43"/>
      <c r="CE987" s="43"/>
      <c r="CF987" s="43"/>
      <c r="CG987" s="43"/>
      <c r="CH987" s="43"/>
      <c r="CI987" s="43"/>
      <c r="CJ987" s="43"/>
      <c r="CK987" s="43"/>
      <c r="CL987" s="43"/>
      <c r="CM987" s="43"/>
      <c r="CN987" s="43"/>
      <c r="CO987" s="43"/>
      <c r="CP987" s="43"/>
      <c r="CQ987" s="43"/>
      <c r="CR987" s="43"/>
      <c r="CS987" s="43"/>
      <c r="CT987" s="43"/>
      <c r="CU987" s="43"/>
      <c r="CV987" s="43"/>
      <c r="CW987" s="43"/>
      <c r="CX987" s="43"/>
      <c r="CY987" s="43"/>
      <c r="CZ987" s="43"/>
      <c r="DA987" s="43"/>
      <c r="DB987" s="43"/>
      <c r="DC987" s="43"/>
      <c r="DD987" s="43"/>
      <c r="DE987" s="43"/>
      <c r="DF987" s="43"/>
      <c r="DG987" s="43"/>
      <c r="DH987" s="43"/>
      <c r="DI987" s="43"/>
      <c r="DJ987" s="43"/>
      <c r="DK987" s="43"/>
      <c r="DL987" s="43"/>
      <c r="DM987" s="43"/>
      <c r="DN987" s="43"/>
      <c r="DO987" s="43"/>
      <c r="DP987" s="43"/>
      <c r="DQ987" s="43"/>
      <c r="DR987" s="43"/>
      <c r="DS987" s="43"/>
      <c r="DT987" s="43"/>
      <c r="DU987" s="43"/>
      <c r="DV987" s="43"/>
      <c r="DW987" s="43"/>
      <c r="DX987" s="43"/>
      <c r="DY987" s="43"/>
      <c r="DZ987" s="43"/>
      <c r="EA987" s="43"/>
      <c r="EB987" s="43"/>
      <c r="EC987" s="43"/>
      <c r="ED987" s="43"/>
      <c r="EE987" s="43"/>
      <c r="EF987" s="43"/>
      <c r="EG987" s="43"/>
      <c r="EH987" s="43"/>
      <c r="EI987" s="43"/>
      <c r="EJ987" s="43"/>
      <c r="EK987" s="43"/>
      <c r="EL987" s="43"/>
      <c r="EM987" s="43"/>
      <c r="EN987" s="43"/>
      <c r="EO987" s="43"/>
      <c r="EP987" s="43"/>
      <c r="EQ987" s="43"/>
      <c r="ER987" s="43"/>
      <c r="ES987" s="43"/>
      <c r="ET987" s="43"/>
      <c r="EU987" s="43"/>
      <c r="EV987" s="43"/>
      <c r="EW987" s="43"/>
      <c r="EX987" s="43"/>
      <c r="EY987" s="43"/>
      <c r="EZ987" s="43"/>
      <c r="FA987" s="43"/>
      <c r="FB987" s="43"/>
      <c r="FC987" s="43"/>
      <c r="FD987" s="43"/>
      <c r="FE987" s="43"/>
      <c r="FF987" s="43"/>
      <c r="FG987" s="43"/>
      <c r="FH987" s="50"/>
      <c r="FI987" s="50"/>
    </row>
    <row r="988" ht="14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  <c r="AX988" s="43"/>
      <c r="AY988" s="43"/>
      <c r="AZ988" s="43"/>
      <c r="BA988" s="43"/>
      <c r="BB988" s="43"/>
      <c r="BC988" s="43"/>
      <c r="BD988" s="43"/>
      <c r="BE988" s="43"/>
      <c r="BF988" s="43"/>
      <c r="BG988" s="43"/>
      <c r="BH988" s="43"/>
      <c r="BI988" s="43"/>
      <c r="BJ988" s="43"/>
      <c r="BK988" s="43"/>
      <c r="BL988" s="43"/>
      <c r="BM988" s="43"/>
      <c r="BN988" s="43"/>
      <c r="BO988" s="43"/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3"/>
      <c r="CA988" s="43"/>
      <c r="CB988" s="43"/>
      <c r="CC988" s="43"/>
      <c r="CD988" s="43"/>
      <c r="CE988" s="43"/>
      <c r="CF988" s="43"/>
      <c r="CG988" s="43"/>
      <c r="CH988" s="43"/>
      <c r="CI988" s="43"/>
      <c r="CJ988" s="43"/>
      <c r="CK988" s="43"/>
      <c r="CL988" s="43"/>
      <c r="CM988" s="43"/>
      <c r="CN988" s="43"/>
      <c r="CO988" s="43"/>
      <c r="CP988" s="43"/>
      <c r="CQ988" s="43"/>
      <c r="CR988" s="43"/>
      <c r="CS988" s="43"/>
      <c r="CT988" s="43"/>
      <c r="CU988" s="43"/>
      <c r="CV988" s="43"/>
      <c r="CW988" s="43"/>
      <c r="CX988" s="43"/>
      <c r="CY988" s="43"/>
      <c r="CZ988" s="43"/>
      <c r="DA988" s="43"/>
      <c r="DB988" s="43"/>
      <c r="DC988" s="43"/>
      <c r="DD988" s="43"/>
      <c r="DE988" s="43"/>
      <c r="DF988" s="43"/>
      <c r="DG988" s="43"/>
      <c r="DH988" s="43"/>
      <c r="DI988" s="43"/>
      <c r="DJ988" s="43"/>
      <c r="DK988" s="43"/>
      <c r="DL988" s="43"/>
      <c r="DM988" s="43"/>
      <c r="DN988" s="43"/>
      <c r="DO988" s="43"/>
      <c r="DP988" s="43"/>
      <c r="DQ988" s="43"/>
      <c r="DR988" s="43"/>
      <c r="DS988" s="43"/>
      <c r="DT988" s="43"/>
      <c r="DU988" s="43"/>
      <c r="DV988" s="43"/>
      <c r="DW988" s="43"/>
      <c r="DX988" s="43"/>
      <c r="DY988" s="43"/>
      <c r="DZ988" s="43"/>
      <c r="EA988" s="43"/>
      <c r="EB988" s="43"/>
      <c r="EC988" s="43"/>
      <c r="ED988" s="43"/>
      <c r="EE988" s="43"/>
      <c r="EF988" s="43"/>
      <c r="EG988" s="43"/>
      <c r="EH988" s="43"/>
      <c r="EI988" s="43"/>
      <c r="EJ988" s="43"/>
      <c r="EK988" s="43"/>
      <c r="EL988" s="43"/>
      <c r="EM988" s="43"/>
      <c r="EN988" s="43"/>
      <c r="EO988" s="43"/>
      <c r="EP988" s="43"/>
      <c r="EQ988" s="43"/>
      <c r="ER988" s="43"/>
      <c r="ES988" s="43"/>
      <c r="ET988" s="43"/>
      <c r="EU988" s="43"/>
      <c r="EV988" s="43"/>
      <c r="EW988" s="43"/>
      <c r="EX988" s="43"/>
      <c r="EY988" s="43"/>
      <c r="EZ988" s="43"/>
      <c r="FA988" s="43"/>
      <c r="FB988" s="43"/>
      <c r="FC988" s="43"/>
      <c r="FD988" s="43"/>
      <c r="FE988" s="43"/>
      <c r="FF988" s="43"/>
      <c r="FG988" s="43"/>
      <c r="FH988" s="50"/>
      <c r="FI988" s="50"/>
    </row>
    <row r="989" ht="14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  <c r="AX989" s="43"/>
      <c r="AY989" s="43"/>
      <c r="AZ989" s="43"/>
      <c r="BA989" s="43"/>
      <c r="BB989" s="43"/>
      <c r="BC989" s="43"/>
      <c r="BD989" s="43"/>
      <c r="BE989" s="43"/>
      <c r="BF989" s="43"/>
      <c r="BG989" s="43"/>
      <c r="BH989" s="43"/>
      <c r="BI989" s="43"/>
      <c r="BJ989" s="43"/>
      <c r="BK989" s="43"/>
      <c r="BL989" s="43"/>
      <c r="BM989" s="43"/>
      <c r="BN989" s="43"/>
      <c r="BO989" s="43"/>
      <c r="BP989" s="43"/>
      <c r="BQ989" s="43"/>
      <c r="BR989" s="43"/>
      <c r="BS989" s="43"/>
      <c r="BT989" s="43"/>
      <c r="BU989" s="43"/>
      <c r="BV989" s="43"/>
      <c r="BW989" s="43"/>
      <c r="BX989" s="43"/>
      <c r="BY989" s="43"/>
      <c r="BZ989" s="43"/>
      <c r="CA989" s="43"/>
      <c r="CB989" s="43"/>
      <c r="CC989" s="43"/>
      <c r="CD989" s="43"/>
      <c r="CE989" s="43"/>
      <c r="CF989" s="43"/>
      <c r="CG989" s="43"/>
      <c r="CH989" s="43"/>
      <c r="CI989" s="43"/>
      <c r="CJ989" s="43"/>
      <c r="CK989" s="43"/>
      <c r="CL989" s="43"/>
      <c r="CM989" s="43"/>
      <c r="CN989" s="43"/>
      <c r="CO989" s="43"/>
      <c r="CP989" s="43"/>
      <c r="CQ989" s="43"/>
      <c r="CR989" s="43"/>
      <c r="CS989" s="43"/>
      <c r="CT989" s="43"/>
      <c r="CU989" s="43"/>
      <c r="CV989" s="43"/>
      <c r="CW989" s="43"/>
      <c r="CX989" s="43"/>
      <c r="CY989" s="43"/>
      <c r="CZ989" s="43"/>
      <c r="DA989" s="43"/>
      <c r="DB989" s="43"/>
      <c r="DC989" s="43"/>
      <c r="DD989" s="43"/>
      <c r="DE989" s="43"/>
      <c r="DF989" s="43"/>
      <c r="DG989" s="43"/>
      <c r="DH989" s="43"/>
      <c r="DI989" s="43"/>
      <c r="DJ989" s="43"/>
      <c r="DK989" s="43"/>
      <c r="DL989" s="43"/>
      <c r="DM989" s="43"/>
      <c r="DN989" s="43"/>
      <c r="DO989" s="43"/>
      <c r="DP989" s="43"/>
      <c r="DQ989" s="43"/>
      <c r="DR989" s="43"/>
      <c r="DS989" s="43"/>
      <c r="DT989" s="43"/>
      <c r="DU989" s="43"/>
      <c r="DV989" s="43"/>
      <c r="DW989" s="43"/>
      <c r="DX989" s="43"/>
      <c r="DY989" s="43"/>
      <c r="DZ989" s="43"/>
      <c r="EA989" s="43"/>
      <c r="EB989" s="43"/>
      <c r="EC989" s="43"/>
      <c r="ED989" s="43"/>
      <c r="EE989" s="43"/>
      <c r="EF989" s="43"/>
      <c r="EG989" s="43"/>
      <c r="EH989" s="43"/>
      <c r="EI989" s="43"/>
      <c r="EJ989" s="43"/>
      <c r="EK989" s="43"/>
      <c r="EL989" s="43"/>
      <c r="EM989" s="43"/>
      <c r="EN989" s="43"/>
      <c r="EO989" s="43"/>
      <c r="EP989" s="43"/>
      <c r="EQ989" s="43"/>
      <c r="ER989" s="43"/>
      <c r="ES989" s="43"/>
      <c r="ET989" s="43"/>
      <c r="EU989" s="43"/>
      <c r="EV989" s="43"/>
      <c r="EW989" s="43"/>
      <c r="EX989" s="43"/>
      <c r="EY989" s="43"/>
      <c r="EZ989" s="43"/>
      <c r="FA989" s="43"/>
      <c r="FB989" s="43"/>
      <c r="FC989" s="43"/>
      <c r="FD989" s="43"/>
      <c r="FE989" s="43"/>
      <c r="FF989" s="43"/>
      <c r="FG989" s="43"/>
      <c r="FH989" s="50"/>
      <c r="FI989" s="50"/>
    </row>
    <row r="990" ht="14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  <c r="AX990" s="43"/>
      <c r="AY990" s="43"/>
      <c r="AZ990" s="43"/>
      <c r="BA990" s="43"/>
      <c r="BB990" s="43"/>
      <c r="BC990" s="43"/>
      <c r="BD990" s="43"/>
      <c r="BE990" s="43"/>
      <c r="BF990" s="43"/>
      <c r="BG990" s="43"/>
      <c r="BH990" s="43"/>
      <c r="BI990" s="43"/>
      <c r="BJ990" s="43"/>
      <c r="BK990" s="43"/>
      <c r="BL990" s="43"/>
      <c r="BM990" s="43"/>
      <c r="BN990" s="43"/>
      <c r="BO990" s="43"/>
      <c r="BP990" s="43"/>
      <c r="BQ990" s="43"/>
      <c r="BR990" s="43"/>
      <c r="BS990" s="43"/>
      <c r="BT990" s="43"/>
      <c r="BU990" s="43"/>
      <c r="BV990" s="43"/>
      <c r="BW990" s="43"/>
      <c r="BX990" s="43"/>
      <c r="BY990" s="43"/>
      <c r="BZ990" s="43"/>
      <c r="CA990" s="43"/>
      <c r="CB990" s="43"/>
      <c r="CC990" s="43"/>
      <c r="CD990" s="43"/>
      <c r="CE990" s="43"/>
      <c r="CF990" s="43"/>
      <c r="CG990" s="43"/>
      <c r="CH990" s="43"/>
      <c r="CI990" s="43"/>
      <c r="CJ990" s="43"/>
      <c r="CK990" s="43"/>
      <c r="CL990" s="43"/>
      <c r="CM990" s="43"/>
      <c r="CN990" s="43"/>
      <c r="CO990" s="43"/>
      <c r="CP990" s="43"/>
      <c r="CQ990" s="43"/>
      <c r="CR990" s="43"/>
      <c r="CS990" s="43"/>
      <c r="CT990" s="43"/>
      <c r="CU990" s="43"/>
      <c r="CV990" s="43"/>
      <c r="CW990" s="43"/>
      <c r="CX990" s="43"/>
      <c r="CY990" s="43"/>
      <c r="CZ990" s="43"/>
      <c r="DA990" s="43"/>
      <c r="DB990" s="43"/>
      <c r="DC990" s="43"/>
      <c r="DD990" s="43"/>
      <c r="DE990" s="43"/>
      <c r="DF990" s="43"/>
      <c r="DG990" s="43"/>
      <c r="DH990" s="43"/>
      <c r="DI990" s="43"/>
      <c r="DJ990" s="43"/>
      <c r="DK990" s="43"/>
      <c r="DL990" s="43"/>
      <c r="DM990" s="43"/>
      <c r="DN990" s="43"/>
      <c r="DO990" s="43"/>
      <c r="DP990" s="43"/>
      <c r="DQ990" s="43"/>
      <c r="DR990" s="43"/>
      <c r="DS990" s="43"/>
      <c r="DT990" s="43"/>
      <c r="DU990" s="43"/>
      <c r="DV990" s="43"/>
      <c r="DW990" s="43"/>
      <c r="DX990" s="43"/>
      <c r="DY990" s="43"/>
      <c r="DZ990" s="43"/>
      <c r="EA990" s="43"/>
      <c r="EB990" s="43"/>
      <c r="EC990" s="43"/>
      <c r="ED990" s="43"/>
      <c r="EE990" s="43"/>
      <c r="EF990" s="43"/>
      <c r="EG990" s="43"/>
      <c r="EH990" s="43"/>
      <c r="EI990" s="43"/>
      <c r="EJ990" s="43"/>
      <c r="EK990" s="43"/>
      <c r="EL990" s="43"/>
      <c r="EM990" s="43"/>
      <c r="EN990" s="43"/>
      <c r="EO990" s="43"/>
      <c r="EP990" s="43"/>
      <c r="EQ990" s="43"/>
      <c r="ER990" s="43"/>
      <c r="ES990" s="43"/>
      <c r="ET990" s="43"/>
      <c r="EU990" s="43"/>
      <c r="EV990" s="43"/>
      <c r="EW990" s="43"/>
      <c r="EX990" s="43"/>
      <c r="EY990" s="43"/>
      <c r="EZ990" s="43"/>
      <c r="FA990" s="43"/>
      <c r="FB990" s="43"/>
      <c r="FC990" s="43"/>
      <c r="FD990" s="43"/>
      <c r="FE990" s="43"/>
      <c r="FF990" s="43"/>
      <c r="FG990" s="43"/>
      <c r="FH990" s="50"/>
      <c r="FI990" s="50"/>
    </row>
    <row r="991" ht="14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  <c r="AX991" s="43"/>
      <c r="AY991" s="43"/>
      <c r="AZ991" s="43"/>
      <c r="BA991" s="43"/>
      <c r="BB991" s="43"/>
      <c r="BC991" s="43"/>
      <c r="BD991" s="43"/>
      <c r="BE991" s="43"/>
      <c r="BF991" s="43"/>
      <c r="BG991" s="43"/>
      <c r="BH991" s="43"/>
      <c r="BI991" s="43"/>
      <c r="BJ991" s="43"/>
      <c r="BK991" s="43"/>
      <c r="BL991" s="43"/>
      <c r="BM991" s="43"/>
      <c r="BN991" s="43"/>
      <c r="BO991" s="43"/>
      <c r="BP991" s="43"/>
      <c r="BQ991" s="43"/>
      <c r="BR991" s="43"/>
      <c r="BS991" s="43"/>
      <c r="BT991" s="43"/>
      <c r="BU991" s="43"/>
      <c r="BV991" s="43"/>
      <c r="BW991" s="43"/>
      <c r="BX991" s="43"/>
      <c r="BY991" s="43"/>
      <c r="BZ991" s="43"/>
      <c r="CA991" s="43"/>
      <c r="CB991" s="43"/>
      <c r="CC991" s="43"/>
      <c r="CD991" s="43"/>
      <c r="CE991" s="43"/>
      <c r="CF991" s="43"/>
      <c r="CG991" s="43"/>
      <c r="CH991" s="43"/>
      <c r="CI991" s="43"/>
      <c r="CJ991" s="43"/>
      <c r="CK991" s="43"/>
      <c r="CL991" s="43"/>
      <c r="CM991" s="43"/>
      <c r="CN991" s="43"/>
      <c r="CO991" s="43"/>
      <c r="CP991" s="43"/>
      <c r="CQ991" s="43"/>
      <c r="CR991" s="43"/>
      <c r="CS991" s="43"/>
      <c r="CT991" s="43"/>
      <c r="CU991" s="43"/>
      <c r="CV991" s="43"/>
      <c r="CW991" s="43"/>
      <c r="CX991" s="43"/>
      <c r="CY991" s="43"/>
      <c r="CZ991" s="43"/>
      <c r="DA991" s="43"/>
      <c r="DB991" s="43"/>
      <c r="DC991" s="43"/>
      <c r="DD991" s="43"/>
      <c r="DE991" s="43"/>
      <c r="DF991" s="43"/>
      <c r="DG991" s="43"/>
      <c r="DH991" s="43"/>
      <c r="DI991" s="43"/>
      <c r="DJ991" s="43"/>
      <c r="DK991" s="43"/>
      <c r="DL991" s="43"/>
      <c r="DM991" s="43"/>
      <c r="DN991" s="43"/>
      <c r="DO991" s="43"/>
      <c r="DP991" s="43"/>
      <c r="DQ991" s="43"/>
      <c r="DR991" s="43"/>
      <c r="DS991" s="43"/>
      <c r="DT991" s="43"/>
      <c r="DU991" s="43"/>
      <c r="DV991" s="43"/>
      <c r="DW991" s="43"/>
      <c r="DX991" s="43"/>
      <c r="DY991" s="43"/>
      <c r="DZ991" s="43"/>
      <c r="EA991" s="43"/>
      <c r="EB991" s="43"/>
      <c r="EC991" s="43"/>
      <c r="ED991" s="43"/>
      <c r="EE991" s="43"/>
      <c r="EF991" s="43"/>
      <c r="EG991" s="43"/>
      <c r="EH991" s="43"/>
      <c r="EI991" s="43"/>
      <c r="EJ991" s="43"/>
      <c r="EK991" s="43"/>
      <c r="EL991" s="43"/>
      <c r="EM991" s="43"/>
      <c r="EN991" s="43"/>
      <c r="EO991" s="43"/>
      <c r="EP991" s="43"/>
      <c r="EQ991" s="43"/>
      <c r="ER991" s="43"/>
      <c r="ES991" s="43"/>
      <c r="ET991" s="43"/>
      <c r="EU991" s="43"/>
      <c r="EV991" s="43"/>
      <c r="EW991" s="43"/>
      <c r="EX991" s="43"/>
      <c r="EY991" s="43"/>
      <c r="EZ991" s="43"/>
      <c r="FA991" s="43"/>
      <c r="FB991" s="43"/>
      <c r="FC991" s="43"/>
      <c r="FD991" s="43"/>
      <c r="FE991" s="43"/>
      <c r="FF991" s="43"/>
      <c r="FG991" s="43"/>
      <c r="FH991" s="50"/>
      <c r="FI991" s="50"/>
    </row>
    <row r="992" ht="14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  <c r="AX992" s="43"/>
      <c r="AY992" s="43"/>
      <c r="AZ992" s="43"/>
      <c r="BA992" s="43"/>
      <c r="BB992" s="43"/>
      <c r="BC992" s="43"/>
      <c r="BD992" s="43"/>
      <c r="BE992" s="43"/>
      <c r="BF992" s="43"/>
      <c r="BG992" s="43"/>
      <c r="BH992" s="43"/>
      <c r="BI992" s="43"/>
      <c r="BJ992" s="43"/>
      <c r="BK992" s="43"/>
      <c r="BL992" s="43"/>
      <c r="BM992" s="43"/>
      <c r="BN992" s="43"/>
      <c r="BO992" s="43"/>
      <c r="BP992" s="43"/>
      <c r="BQ992" s="43"/>
      <c r="BR992" s="43"/>
      <c r="BS992" s="43"/>
      <c r="BT992" s="43"/>
      <c r="BU992" s="43"/>
      <c r="BV992" s="43"/>
      <c r="BW992" s="43"/>
      <c r="BX992" s="43"/>
      <c r="BY992" s="43"/>
      <c r="BZ992" s="43"/>
      <c r="CA992" s="43"/>
      <c r="CB992" s="43"/>
      <c r="CC992" s="43"/>
      <c r="CD992" s="43"/>
      <c r="CE992" s="43"/>
      <c r="CF992" s="43"/>
      <c r="CG992" s="43"/>
      <c r="CH992" s="43"/>
      <c r="CI992" s="43"/>
      <c r="CJ992" s="43"/>
      <c r="CK992" s="43"/>
      <c r="CL992" s="43"/>
      <c r="CM992" s="43"/>
      <c r="CN992" s="43"/>
      <c r="CO992" s="43"/>
      <c r="CP992" s="43"/>
      <c r="CQ992" s="43"/>
      <c r="CR992" s="43"/>
      <c r="CS992" s="43"/>
      <c r="CT992" s="43"/>
      <c r="CU992" s="43"/>
      <c r="CV992" s="43"/>
      <c r="CW992" s="43"/>
      <c r="CX992" s="43"/>
      <c r="CY992" s="43"/>
      <c r="CZ992" s="43"/>
      <c r="DA992" s="43"/>
      <c r="DB992" s="43"/>
      <c r="DC992" s="43"/>
      <c r="DD992" s="43"/>
      <c r="DE992" s="43"/>
      <c r="DF992" s="43"/>
      <c r="DG992" s="43"/>
      <c r="DH992" s="43"/>
      <c r="DI992" s="43"/>
      <c r="DJ992" s="43"/>
      <c r="DK992" s="43"/>
      <c r="DL992" s="43"/>
      <c r="DM992" s="43"/>
      <c r="DN992" s="43"/>
      <c r="DO992" s="43"/>
      <c r="DP992" s="43"/>
      <c r="DQ992" s="43"/>
      <c r="DR992" s="43"/>
      <c r="DS992" s="43"/>
      <c r="DT992" s="43"/>
      <c r="DU992" s="43"/>
      <c r="DV992" s="43"/>
      <c r="DW992" s="43"/>
      <c r="DX992" s="43"/>
      <c r="DY992" s="43"/>
      <c r="DZ992" s="43"/>
      <c r="EA992" s="43"/>
      <c r="EB992" s="43"/>
      <c r="EC992" s="43"/>
      <c r="ED992" s="43"/>
      <c r="EE992" s="43"/>
      <c r="EF992" s="43"/>
      <c r="EG992" s="43"/>
      <c r="EH992" s="43"/>
      <c r="EI992" s="43"/>
      <c r="EJ992" s="43"/>
      <c r="EK992" s="43"/>
      <c r="EL992" s="43"/>
      <c r="EM992" s="43"/>
      <c r="EN992" s="43"/>
      <c r="EO992" s="43"/>
      <c r="EP992" s="43"/>
      <c r="EQ992" s="43"/>
      <c r="ER992" s="43"/>
      <c r="ES992" s="43"/>
      <c r="ET992" s="43"/>
      <c r="EU992" s="43"/>
      <c r="EV992" s="43"/>
      <c r="EW992" s="43"/>
      <c r="EX992" s="43"/>
      <c r="EY992" s="43"/>
      <c r="EZ992" s="43"/>
      <c r="FA992" s="43"/>
      <c r="FB992" s="43"/>
      <c r="FC992" s="43"/>
      <c r="FD992" s="43"/>
      <c r="FE992" s="43"/>
      <c r="FF992" s="43"/>
      <c r="FG992" s="43"/>
      <c r="FH992" s="50"/>
      <c r="FI992" s="50"/>
    </row>
    <row r="993" ht="14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  <c r="AX993" s="43"/>
      <c r="AY993" s="43"/>
      <c r="AZ993" s="43"/>
      <c r="BA993" s="43"/>
      <c r="BB993" s="43"/>
      <c r="BC993" s="43"/>
      <c r="BD993" s="43"/>
      <c r="BE993" s="43"/>
      <c r="BF993" s="43"/>
      <c r="BG993" s="43"/>
      <c r="BH993" s="43"/>
      <c r="BI993" s="43"/>
      <c r="BJ993" s="43"/>
      <c r="BK993" s="43"/>
      <c r="BL993" s="43"/>
      <c r="BM993" s="43"/>
      <c r="BN993" s="43"/>
      <c r="BO993" s="43"/>
      <c r="BP993" s="43"/>
      <c r="BQ993" s="43"/>
      <c r="BR993" s="43"/>
      <c r="BS993" s="43"/>
      <c r="BT993" s="43"/>
      <c r="BU993" s="43"/>
      <c r="BV993" s="43"/>
      <c r="BW993" s="43"/>
      <c r="BX993" s="43"/>
      <c r="BY993" s="43"/>
      <c r="BZ993" s="43"/>
      <c r="CA993" s="43"/>
      <c r="CB993" s="43"/>
      <c r="CC993" s="43"/>
      <c r="CD993" s="43"/>
      <c r="CE993" s="43"/>
      <c r="CF993" s="43"/>
      <c r="CG993" s="43"/>
      <c r="CH993" s="43"/>
      <c r="CI993" s="43"/>
      <c r="CJ993" s="43"/>
      <c r="CK993" s="43"/>
      <c r="CL993" s="43"/>
      <c r="CM993" s="43"/>
      <c r="CN993" s="43"/>
      <c r="CO993" s="43"/>
      <c r="CP993" s="43"/>
      <c r="CQ993" s="43"/>
      <c r="CR993" s="43"/>
      <c r="CS993" s="43"/>
      <c r="CT993" s="43"/>
      <c r="CU993" s="43"/>
      <c r="CV993" s="43"/>
      <c r="CW993" s="43"/>
      <c r="CX993" s="43"/>
      <c r="CY993" s="43"/>
      <c r="CZ993" s="43"/>
      <c r="DA993" s="43"/>
      <c r="DB993" s="43"/>
      <c r="DC993" s="43"/>
      <c r="DD993" s="43"/>
      <c r="DE993" s="43"/>
      <c r="DF993" s="43"/>
      <c r="DG993" s="43"/>
      <c r="DH993" s="43"/>
      <c r="DI993" s="43"/>
      <c r="DJ993" s="43"/>
      <c r="DK993" s="43"/>
      <c r="DL993" s="43"/>
      <c r="DM993" s="43"/>
      <c r="DN993" s="43"/>
      <c r="DO993" s="43"/>
      <c r="DP993" s="43"/>
      <c r="DQ993" s="43"/>
      <c r="DR993" s="43"/>
      <c r="DS993" s="43"/>
      <c r="DT993" s="43"/>
      <c r="DU993" s="43"/>
      <c r="DV993" s="43"/>
      <c r="DW993" s="43"/>
      <c r="DX993" s="43"/>
      <c r="DY993" s="43"/>
      <c r="DZ993" s="43"/>
      <c r="EA993" s="43"/>
      <c r="EB993" s="43"/>
      <c r="EC993" s="43"/>
      <c r="ED993" s="43"/>
      <c r="EE993" s="43"/>
      <c r="EF993" s="43"/>
      <c r="EG993" s="43"/>
      <c r="EH993" s="43"/>
      <c r="EI993" s="43"/>
      <c r="EJ993" s="43"/>
      <c r="EK993" s="43"/>
      <c r="EL993" s="43"/>
      <c r="EM993" s="43"/>
      <c r="EN993" s="43"/>
      <c r="EO993" s="43"/>
      <c r="EP993" s="43"/>
      <c r="EQ993" s="43"/>
      <c r="ER993" s="43"/>
      <c r="ES993" s="43"/>
      <c r="ET993" s="43"/>
      <c r="EU993" s="43"/>
      <c r="EV993" s="43"/>
      <c r="EW993" s="43"/>
      <c r="EX993" s="43"/>
      <c r="EY993" s="43"/>
      <c r="EZ993" s="43"/>
      <c r="FA993" s="43"/>
      <c r="FB993" s="43"/>
      <c r="FC993" s="43"/>
      <c r="FD993" s="43"/>
      <c r="FE993" s="43"/>
      <c r="FF993" s="43"/>
      <c r="FG993" s="43"/>
      <c r="FH993" s="50"/>
      <c r="FI993" s="50"/>
    </row>
    <row r="994" ht="14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  <c r="AX994" s="43"/>
      <c r="AY994" s="43"/>
      <c r="AZ994" s="43"/>
      <c r="BA994" s="43"/>
      <c r="BB994" s="43"/>
      <c r="BC994" s="43"/>
      <c r="BD994" s="43"/>
      <c r="BE994" s="43"/>
      <c r="BF994" s="43"/>
      <c r="BG994" s="43"/>
      <c r="BH994" s="43"/>
      <c r="BI994" s="43"/>
      <c r="BJ994" s="43"/>
      <c r="BK994" s="43"/>
      <c r="BL994" s="43"/>
      <c r="BM994" s="43"/>
      <c r="BN994" s="43"/>
      <c r="BO994" s="43"/>
      <c r="BP994" s="43"/>
      <c r="BQ994" s="43"/>
      <c r="BR994" s="43"/>
      <c r="BS994" s="43"/>
      <c r="BT994" s="43"/>
      <c r="BU994" s="43"/>
      <c r="BV994" s="43"/>
      <c r="BW994" s="43"/>
      <c r="BX994" s="43"/>
      <c r="BY994" s="43"/>
      <c r="BZ994" s="43"/>
      <c r="CA994" s="43"/>
      <c r="CB994" s="43"/>
      <c r="CC994" s="43"/>
      <c r="CD994" s="43"/>
      <c r="CE994" s="43"/>
      <c r="CF994" s="43"/>
      <c r="CG994" s="43"/>
      <c r="CH994" s="43"/>
      <c r="CI994" s="43"/>
      <c r="CJ994" s="43"/>
      <c r="CK994" s="43"/>
      <c r="CL994" s="43"/>
      <c r="CM994" s="43"/>
      <c r="CN994" s="43"/>
      <c r="CO994" s="43"/>
      <c r="CP994" s="43"/>
      <c r="CQ994" s="43"/>
      <c r="CR994" s="43"/>
      <c r="CS994" s="43"/>
      <c r="CT994" s="43"/>
      <c r="CU994" s="43"/>
      <c r="CV994" s="43"/>
      <c r="CW994" s="43"/>
      <c r="CX994" s="43"/>
      <c r="CY994" s="43"/>
      <c r="CZ994" s="43"/>
      <c r="DA994" s="43"/>
      <c r="DB994" s="43"/>
      <c r="DC994" s="43"/>
      <c r="DD994" s="43"/>
      <c r="DE994" s="43"/>
      <c r="DF994" s="43"/>
      <c r="DG994" s="43"/>
      <c r="DH994" s="43"/>
      <c r="DI994" s="43"/>
      <c r="DJ994" s="43"/>
      <c r="DK994" s="43"/>
      <c r="DL994" s="43"/>
      <c r="DM994" s="43"/>
      <c r="DN994" s="43"/>
      <c r="DO994" s="43"/>
      <c r="DP994" s="43"/>
      <c r="DQ994" s="43"/>
      <c r="DR994" s="43"/>
      <c r="DS994" s="43"/>
      <c r="DT994" s="43"/>
      <c r="DU994" s="43"/>
      <c r="DV994" s="43"/>
      <c r="DW994" s="43"/>
      <c r="DX994" s="43"/>
      <c r="DY994" s="43"/>
      <c r="DZ994" s="43"/>
      <c r="EA994" s="43"/>
      <c r="EB994" s="43"/>
      <c r="EC994" s="43"/>
      <c r="ED994" s="43"/>
      <c r="EE994" s="43"/>
      <c r="EF994" s="43"/>
      <c r="EG994" s="43"/>
      <c r="EH994" s="43"/>
      <c r="EI994" s="43"/>
      <c r="EJ994" s="43"/>
      <c r="EK994" s="43"/>
      <c r="EL994" s="43"/>
      <c r="EM994" s="43"/>
      <c r="EN994" s="43"/>
      <c r="EO994" s="43"/>
      <c r="EP994" s="43"/>
      <c r="EQ994" s="43"/>
      <c r="ER994" s="43"/>
      <c r="ES994" s="43"/>
      <c r="ET994" s="43"/>
      <c r="EU994" s="43"/>
      <c r="EV994" s="43"/>
      <c r="EW994" s="43"/>
      <c r="EX994" s="43"/>
      <c r="EY994" s="43"/>
      <c r="EZ994" s="43"/>
      <c r="FA994" s="43"/>
      <c r="FB994" s="43"/>
      <c r="FC994" s="43"/>
      <c r="FD994" s="43"/>
      <c r="FE994" s="43"/>
      <c r="FF994" s="43"/>
      <c r="FG994" s="43"/>
      <c r="FH994" s="50"/>
      <c r="FI994" s="50"/>
    </row>
  </sheetData>
  <mergeCells count="55">
    <mergeCell ref="A12:J12"/>
    <mergeCell ref="K12:AE12"/>
    <mergeCell ref="A16:G16"/>
    <mergeCell ref="A20:H20"/>
    <mergeCell ref="A25:L25"/>
    <mergeCell ref="A30:W30"/>
    <mergeCell ref="B34:I34"/>
    <mergeCell ref="I39:J39"/>
    <mergeCell ref="K39:L39"/>
    <mergeCell ref="M39:N39"/>
    <mergeCell ref="O39:P39"/>
    <mergeCell ref="A38:F38"/>
    <mergeCell ref="G38:L38"/>
    <mergeCell ref="M38:R38"/>
    <mergeCell ref="A39:B39"/>
    <mergeCell ref="C39:D39"/>
    <mergeCell ref="E39:F39"/>
    <mergeCell ref="G39:H39"/>
    <mergeCell ref="Q39:R39"/>
    <mergeCell ref="EM1:EX1"/>
    <mergeCell ref="EY1:FA2"/>
    <mergeCell ref="FB1:FD2"/>
    <mergeCell ref="FE1:FG2"/>
    <mergeCell ref="EM2:EO2"/>
    <mergeCell ref="EP2:ER2"/>
    <mergeCell ref="ES2:EU2"/>
    <mergeCell ref="EV2:EX2"/>
    <mergeCell ref="DH1:DO2"/>
    <mergeCell ref="DP1:DQ2"/>
    <mergeCell ref="DR1:DW2"/>
    <mergeCell ref="DX1:DX2"/>
    <mergeCell ref="DY1:EE2"/>
    <mergeCell ref="EF1:EF2"/>
    <mergeCell ref="EG1:EL2"/>
    <mergeCell ref="AX2:BA2"/>
    <mergeCell ref="BB2:BE2"/>
    <mergeCell ref="BF2:BJ2"/>
    <mergeCell ref="BK2:BN2"/>
    <mergeCell ref="BO2:BR2"/>
    <mergeCell ref="BS2:BV2"/>
    <mergeCell ref="AH1:AP2"/>
    <mergeCell ref="AQ1:AW2"/>
    <mergeCell ref="AX1:CA1"/>
    <mergeCell ref="CB1:CI2"/>
    <mergeCell ref="CJ1:CO2"/>
    <mergeCell ref="CP1:CY2"/>
    <mergeCell ref="CZ1:DG2"/>
    <mergeCell ref="BW2:CA2"/>
    <mergeCell ref="A1:A3"/>
    <mergeCell ref="B1:C2"/>
    <mergeCell ref="D1:E2"/>
    <mergeCell ref="F1:O2"/>
    <mergeCell ref="P1:Z2"/>
    <mergeCell ref="AA1:AF2"/>
    <mergeCell ref="AG1:AG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63</v>
      </c>
      <c r="C2" s="28"/>
      <c r="D2" s="28"/>
      <c r="E2" s="29"/>
    </row>
    <row r="3">
      <c r="A3" s="33" t="s">
        <v>2265</v>
      </c>
      <c r="B3" s="75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35"/>
      <c r="C4" s="36">
        <v>3.0</v>
      </c>
      <c r="D4" s="36">
        <v>33.0</v>
      </c>
      <c r="E4" s="36">
        <v>25.0</v>
      </c>
    </row>
    <row r="5">
      <c r="A5" s="33" t="s">
        <v>606</v>
      </c>
      <c r="B5" s="36">
        <v>2.0</v>
      </c>
      <c r="C5" s="36">
        <v>9.0</v>
      </c>
      <c r="D5" s="36">
        <v>90.0</v>
      </c>
      <c r="E5" s="36">
        <v>181.0</v>
      </c>
    </row>
    <row r="6">
      <c r="A6" s="33" t="s">
        <v>1875</v>
      </c>
      <c r="B6" s="35"/>
      <c r="C6" s="36">
        <v>1.0</v>
      </c>
      <c r="D6" s="36">
        <v>24.0</v>
      </c>
      <c r="E6" s="36">
        <v>43.0</v>
      </c>
    </row>
    <row r="7">
      <c r="A7" s="33" t="s">
        <v>2267</v>
      </c>
      <c r="B7" s="37">
        <f t="shared" ref="B7:E7" si="1">SUM(B4:B6)</f>
        <v>2</v>
      </c>
      <c r="C7" s="37">
        <f t="shared" si="1"/>
        <v>13</v>
      </c>
      <c r="D7" s="37">
        <f t="shared" si="1"/>
        <v>147</v>
      </c>
      <c r="E7" s="37">
        <f t="shared" si="1"/>
        <v>249</v>
      </c>
    </row>
    <row r="10" ht="26.25" customHeight="1">
      <c r="B10" s="42" t="s">
        <v>63</v>
      </c>
      <c r="C10" s="28"/>
      <c r="D10" s="28"/>
      <c r="E10" s="29"/>
    </row>
    <row r="11" ht="18.75" customHeight="1">
      <c r="A11" s="33"/>
      <c r="B11" s="75" t="s">
        <v>597</v>
      </c>
      <c r="C11" s="74" t="s">
        <v>2281</v>
      </c>
      <c r="D11" s="74" t="s">
        <v>126</v>
      </c>
      <c r="E11" s="74" t="s">
        <v>181</v>
      </c>
    </row>
    <row r="12" ht="21.75" customHeight="1">
      <c r="A12" s="33" t="s">
        <v>2268</v>
      </c>
      <c r="B12" s="73">
        <f t="shared" ref="B12:E12" si="2">B7/411*100</f>
        <v>0.4866180049</v>
      </c>
      <c r="C12" s="73">
        <f t="shared" si="2"/>
        <v>3.163017032</v>
      </c>
      <c r="D12" s="73">
        <f t="shared" si="2"/>
        <v>35.76642336</v>
      </c>
      <c r="E12" s="73">
        <f t="shared" si="2"/>
        <v>60.58394161</v>
      </c>
    </row>
  </sheetData>
  <mergeCells count="2">
    <mergeCell ref="B2:E2"/>
    <mergeCell ref="B10:E1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64</v>
      </c>
      <c r="C2" s="28"/>
      <c r="D2" s="28"/>
      <c r="E2" s="28"/>
      <c r="F2" s="29"/>
    </row>
    <row r="3">
      <c r="A3" s="33" t="s">
        <v>2265</v>
      </c>
      <c r="B3" s="75" t="s">
        <v>2284</v>
      </c>
      <c r="C3" s="74" t="s">
        <v>597</v>
      </c>
      <c r="D3" s="74" t="s">
        <v>2281</v>
      </c>
      <c r="E3" s="74" t="s">
        <v>126</v>
      </c>
      <c r="F3" s="74" t="s">
        <v>181</v>
      </c>
    </row>
    <row r="4">
      <c r="A4" s="33" t="s">
        <v>2266</v>
      </c>
      <c r="B4" s="35"/>
      <c r="C4" s="35"/>
      <c r="D4" s="36">
        <v>13.0</v>
      </c>
      <c r="E4" s="36">
        <v>32.0</v>
      </c>
      <c r="F4" s="36">
        <v>15.0</v>
      </c>
    </row>
    <row r="5">
      <c r="A5" s="33" t="s">
        <v>606</v>
      </c>
      <c r="B5" s="36">
        <v>2.0</v>
      </c>
      <c r="C5" s="36">
        <v>14.0</v>
      </c>
      <c r="D5" s="36">
        <v>20.0</v>
      </c>
      <c r="E5" s="36">
        <v>94.0</v>
      </c>
      <c r="F5" s="36">
        <v>150.0</v>
      </c>
    </row>
    <row r="6">
      <c r="A6" s="33" t="s">
        <v>1875</v>
      </c>
      <c r="B6" s="35"/>
      <c r="C6" s="35"/>
      <c r="D6" s="36">
        <v>2.0</v>
      </c>
      <c r="E6" s="36">
        <v>31.0</v>
      </c>
      <c r="F6" s="36">
        <v>35.0</v>
      </c>
    </row>
    <row r="7">
      <c r="A7" s="33" t="s">
        <v>2267</v>
      </c>
      <c r="B7" s="37">
        <f t="shared" ref="B7:F7" si="1">SUM(B4:B6)</f>
        <v>2</v>
      </c>
      <c r="C7" s="37">
        <f t="shared" si="1"/>
        <v>14</v>
      </c>
      <c r="D7" s="37">
        <f t="shared" si="1"/>
        <v>35</v>
      </c>
      <c r="E7" s="37">
        <f t="shared" si="1"/>
        <v>157</v>
      </c>
      <c r="F7" s="37">
        <f t="shared" si="1"/>
        <v>200</v>
      </c>
    </row>
    <row r="10">
      <c r="B10" s="42" t="s">
        <v>64</v>
      </c>
      <c r="C10" s="28"/>
      <c r="D10" s="28"/>
      <c r="E10" s="28"/>
      <c r="F10" s="29"/>
    </row>
    <row r="11">
      <c r="A11" s="33"/>
      <c r="B11" s="75" t="s">
        <v>2284</v>
      </c>
      <c r="C11" s="74" t="s">
        <v>597</v>
      </c>
      <c r="D11" s="74" t="s">
        <v>2281</v>
      </c>
      <c r="E11" s="74" t="s">
        <v>126</v>
      </c>
      <c r="F11" s="74" t="s">
        <v>181</v>
      </c>
    </row>
    <row r="12">
      <c r="A12" s="33" t="s">
        <v>2268</v>
      </c>
      <c r="B12" s="73">
        <f t="shared" ref="B12:F12" si="2">B7/408*100</f>
        <v>0.4901960784</v>
      </c>
      <c r="C12" s="73">
        <f t="shared" si="2"/>
        <v>3.431372549</v>
      </c>
      <c r="D12" s="73">
        <f t="shared" si="2"/>
        <v>8.578431373</v>
      </c>
      <c r="E12" s="73">
        <f t="shared" si="2"/>
        <v>38.48039216</v>
      </c>
      <c r="F12" s="73">
        <f t="shared" si="2"/>
        <v>49.01960784</v>
      </c>
    </row>
  </sheetData>
  <mergeCells count="2">
    <mergeCell ref="B2:F2"/>
    <mergeCell ref="B10:F1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20</v>
      </c>
      <c r="C2" s="28"/>
      <c r="D2" s="28"/>
      <c r="E2" s="28"/>
      <c r="F2" s="28"/>
      <c r="G2" s="28"/>
      <c r="H2" s="28"/>
      <c r="I2" s="29"/>
    </row>
    <row r="3">
      <c r="B3" s="30"/>
      <c r="C3" s="31"/>
      <c r="D3" s="31"/>
      <c r="E3" s="31"/>
      <c r="F3" s="31"/>
      <c r="G3" s="31"/>
      <c r="H3" s="31"/>
      <c r="I3" s="32"/>
    </row>
    <row r="4">
      <c r="A4" s="33" t="s">
        <v>2265</v>
      </c>
      <c r="B4" s="85" t="s">
        <v>93</v>
      </c>
      <c r="C4" s="85" t="s">
        <v>94</v>
      </c>
      <c r="D4" s="85" t="s">
        <v>95</v>
      </c>
      <c r="E4" s="85" t="s">
        <v>96</v>
      </c>
      <c r="F4" s="85" t="s">
        <v>97</v>
      </c>
      <c r="G4" s="85" t="s">
        <v>98</v>
      </c>
      <c r="H4" s="85" t="s">
        <v>99</v>
      </c>
      <c r="I4" s="41" t="s">
        <v>45</v>
      </c>
    </row>
    <row r="5">
      <c r="A5" s="33" t="s">
        <v>2266</v>
      </c>
      <c r="B5" s="36">
        <v>4.0</v>
      </c>
      <c r="C5" s="36">
        <v>3.0</v>
      </c>
      <c r="D5" s="36">
        <v>1.0</v>
      </c>
      <c r="E5" s="36">
        <v>15.0</v>
      </c>
      <c r="F5" s="36">
        <v>4.0</v>
      </c>
      <c r="G5" s="36">
        <v>0.0</v>
      </c>
      <c r="H5" s="36">
        <v>8.0</v>
      </c>
      <c r="I5" s="36">
        <v>12.0</v>
      </c>
    </row>
    <row r="6">
      <c r="A6" s="33" t="s">
        <v>606</v>
      </c>
      <c r="B6" s="36">
        <v>20.0</v>
      </c>
      <c r="C6" s="36">
        <v>14.0</v>
      </c>
      <c r="D6" s="36">
        <v>22.0</v>
      </c>
      <c r="E6" s="36">
        <v>89.0</v>
      </c>
      <c r="F6" s="36">
        <v>44.0</v>
      </c>
      <c r="G6" s="36">
        <v>10.0</v>
      </c>
      <c r="H6" s="36">
        <v>33.0</v>
      </c>
      <c r="I6" s="36">
        <v>32.0</v>
      </c>
    </row>
    <row r="7">
      <c r="A7" s="33" t="s">
        <v>1875</v>
      </c>
      <c r="B7" s="36">
        <v>9.0</v>
      </c>
      <c r="C7" s="36">
        <v>3.0</v>
      </c>
      <c r="D7" s="36">
        <v>3.0</v>
      </c>
      <c r="E7" s="36">
        <v>39.0</v>
      </c>
      <c r="F7" s="36">
        <v>12.0</v>
      </c>
      <c r="G7" s="36">
        <v>6.0</v>
      </c>
      <c r="H7" s="36">
        <v>15.0</v>
      </c>
      <c r="I7" s="36">
        <v>1.0</v>
      </c>
    </row>
    <row r="8">
      <c r="A8" s="33" t="s">
        <v>2267</v>
      </c>
      <c r="B8" s="83">
        <f t="shared" ref="B8:I8" si="1">SUM(B5:B7)</f>
        <v>33</v>
      </c>
      <c r="C8" s="83">
        <f t="shared" si="1"/>
        <v>20</v>
      </c>
      <c r="D8" s="83">
        <f t="shared" si="1"/>
        <v>26</v>
      </c>
      <c r="E8" s="83">
        <f t="shared" si="1"/>
        <v>143</v>
      </c>
      <c r="F8" s="83">
        <f t="shared" si="1"/>
        <v>60</v>
      </c>
      <c r="G8" s="83">
        <f t="shared" si="1"/>
        <v>16</v>
      </c>
      <c r="H8" s="83">
        <f t="shared" si="1"/>
        <v>56</v>
      </c>
      <c r="I8" s="83">
        <f t="shared" si="1"/>
        <v>45</v>
      </c>
    </row>
    <row r="9">
      <c r="B9" s="85" t="s">
        <v>93</v>
      </c>
      <c r="C9" s="85" t="s">
        <v>94</v>
      </c>
      <c r="D9" s="85" t="s">
        <v>95</v>
      </c>
      <c r="E9" s="85" t="s">
        <v>96</v>
      </c>
      <c r="F9" s="85" t="s">
        <v>97</v>
      </c>
      <c r="G9" s="85" t="s">
        <v>98</v>
      </c>
      <c r="H9" s="85" t="s">
        <v>99</v>
      </c>
      <c r="I9" s="41" t="s">
        <v>45</v>
      </c>
    </row>
    <row r="10">
      <c r="A10" s="33" t="s">
        <v>2272</v>
      </c>
      <c r="B10" s="73">
        <f t="shared" ref="B10:I10" si="2">B8/399*100</f>
        <v>8.270676692</v>
      </c>
      <c r="C10" s="73">
        <f t="shared" si="2"/>
        <v>5.012531328</v>
      </c>
      <c r="D10" s="73">
        <f t="shared" si="2"/>
        <v>6.516290727</v>
      </c>
      <c r="E10" s="73">
        <f t="shared" si="2"/>
        <v>35.839599</v>
      </c>
      <c r="F10" s="73">
        <f t="shared" si="2"/>
        <v>15.03759398</v>
      </c>
      <c r="G10" s="73">
        <f t="shared" si="2"/>
        <v>4.010025063</v>
      </c>
      <c r="H10" s="73">
        <f t="shared" si="2"/>
        <v>14.03508772</v>
      </c>
      <c r="I10" s="73">
        <f t="shared" si="2"/>
        <v>11.27819549</v>
      </c>
    </row>
    <row r="29">
      <c r="B29" s="86" t="s">
        <v>2299</v>
      </c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>
      <c r="B30" s="123" t="s">
        <v>2300</v>
      </c>
      <c r="C30" s="16" t="s">
        <v>197</v>
      </c>
      <c r="D30" s="16" t="s">
        <v>211</v>
      </c>
      <c r="E30" s="16" t="s">
        <v>217</v>
      </c>
      <c r="F30" s="16" t="s">
        <v>253</v>
      </c>
      <c r="G30" s="16" t="s">
        <v>272</v>
      </c>
      <c r="H30" s="16" t="s">
        <v>292</v>
      </c>
      <c r="I30" s="16" t="s">
        <v>364</v>
      </c>
      <c r="J30" s="16" t="s">
        <v>391</v>
      </c>
      <c r="K30" s="16" t="s">
        <v>403</v>
      </c>
      <c r="L30" s="16" t="s">
        <v>475</v>
      </c>
      <c r="M30" s="16" t="s">
        <v>510</v>
      </c>
      <c r="N30" s="16" t="s">
        <v>518</v>
      </c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B31" s="123" t="s">
        <v>606</v>
      </c>
      <c r="C31" s="16" t="s">
        <v>676</v>
      </c>
      <c r="D31" s="16" t="s">
        <v>676</v>
      </c>
      <c r="E31" s="16" t="s">
        <v>676</v>
      </c>
      <c r="F31" s="16" t="s">
        <v>750</v>
      </c>
      <c r="G31" s="16" t="s">
        <v>676</v>
      </c>
      <c r="H31" s="16" t="s">
        <v>793</v>
      </c>
      <c r="I31" s="16" t="s">
        <v>941</v>
      </c>
      <c r="J31" s="16" t="s">
        <v>1045</v>
      </c>
      <c r="K31" s="16" t="s">
        <v>1045</v>
      </c>
      <c r="L31" s="16" t="s">
        <v>1163</v>
      </c>
      <c r="M31" s="16" t="s">
        <v>1207</v>
      </c>
      <c r="N31" s="16" t="s">
        <v>1233</v>
      </c>
      <c r="O31" s="16" t="s">
        <v>1446</v>
      </c>
      <c r="P31" s="16" t="s">
        <v>1463</v>
      </c>
      <c r="Q31" s="16" t="s">
        <v>1479</v>
      </c>
      <c r="R31" s="16" t="s">
        <v>1523</v>
      </c>
      <c r="S31" s="16" t="s">
        <v>1547</v>
      </c>
      <c r="T31" s="16" t="s">
        <v>1612</v>
      </c>
      <c r="U31" s="16" t="s">
        <v>1618</v>
      </c>
      <c r="V31" s="16" t="s">
        <v>1651</v>
      </c>
      <c r="W31" s="16" t="s">
        <v>1656</v>
      </c>
      <c r="X31" s="16" t="s">
        <v>676</v>
      </c>
      <c r="Y31" s="16" t="s">
        <v>1656</v>
      </c>
      <c r="Z31" s="16" t="s">
        <v>676</v>
      </c>
      <c r="AA31" s="16" t="s">
        <v>676</v>
      </c>
      <c r="AB31" s="16" t="s">
        <v>676</v>
      </c>
      <c r="AC31" s="16" t="s">
        <v>1740</v>
      </c>
      <c r="AD31" s="16" t="s">
        <v>1750</v>
      </c>
      <c r="AE31" s="16" t="s">
        <v>1656</v>
      </c>
      <c r="AF31" s="16" t="s">
        <v>1656</v>
      </c>
      <c r="AG31" s="16" t="s">
        <v>676</v>
      </c>
      <c r="AH31" s="16" t="s">
        <v>1656</v>
      </c>
    </row>
    <row r="32">
      <c r="B32" s="123" t="s">
        <v>1875</v>
      </c>
      <c r="C32" s="16" t="s">
        <v>1990</v>
      </c>
      <c r="D32" s="109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</sheetData>
  <mergeCells count="2">
    <mergeCell ref="B2:I3"/>
    <mergeCell ref="B29:X2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21</v>
      </c>
      <c r="C2" s="29"/>
      <c r="D2" s="42" t="s">
        <v>22</v>
      </c>
      <c r="E2" s="28"/>
      <c r="F2" s="28"/>
      <c r="G2" s="28"/>
      <c r="H2" s="28"/>
      <c r="I2" s="29"/>
    </row>
    <row r="3">
      <c r="B3" s="30"/>
      <c r="C3" s="32"/>
      <c r="D3" s="30"/>
      <c r="E3" s="31"/>
      <c r="F3" s="31"/>
      <c r="G3" s="31"/>
      <c r="H3" s="31"/>
      <c r="I3" s="32"/>
    </row>
    <row r="4">
      <c r="A4" s="33" t="s">
        <v>2265</v>
      </c>
      <c r="B4" s="54" t="s">
        <v>2287</v>
      </c>
      <c r="C4" s="54" t="s">
        <v>158</v>
      </c>
      <c r="D4" s="41" t="s">
        <v>100</v>
      </c>
      <c r="E4" s="41" t="s">
        <v>101</v>
      </c>
      <c r="F4" s="41" t="s">
        <v>102</v>
      </c>
      <c r="G4" s="41" t="s">
        <v>103</v>
      </c>
      <c r="H4" s="41" t="s">
        <v>104</v>
      </c>
      <c r="I4" s="41" t="s">
        <v>45</v>
      </c>
    </row>
    <row r="5">
      <c r="A5" s="33" t="s">
        <v>2266</v>
      </c>
      <c r="B5" s="36">
        <v>1.0</v>
      </c>
      <c r="C5" s="36">
        <v>12.0</v>
      </c>
      <c r="D5" s="36">
        <v>47.0</v>
      </c>
      <c r="E5" s="36">
        <v>34.0</v>
      </c>
      <c r="F5" s="36">
        <v>29.0</v>
      </c>
      <c r="G5" s="36">
        <v>17.0</v>
      </c>
      <c r="H5" s="36">
        <v>42.0</v>
      </c>
      <c r="I5" s="36">
        <v>6.0</v>
      </c>
    </row>
    <row r="6">
      <c r="A6" s="33" t="s">
        <v>606</v>
      </c>
      <c r="B6" s="36">
        <v>2.0</v>
      </c>
      <c r="C6" s="36">
        <v>14.0</v>
      </c>
      <c r="D6" s="36">
        <v>155.0</v>
      </c>
      <c r="E6" s="36">
        <v>102.0</v>
      </c>
      <c r="F6" s="36">
        <v>110.0</v>
      </c>
      <c r="G6" s="36">
        <v>58.0</v>
      </c>
      <c r="H6" s="36">
        <v>205.0</v>
      </c>
      <c r="I6" s="36">
        <v>15.0</v>
      </c>
    </row>
    <row r="7">
      <c r="A7" s="33" t="s">
        <v>1875</v>
      </c>
      <c r="B7" s="35"/>
      <c r="C7" s="36">
        <v>3.0</v>
      </c>
      <c r="D7" s="36">
        <v>36.0</v>
      </c>
      <c r="E7" s="36">
        <v>22.0</v>
      </c>
      <c r="F7" s="36">
        <v>29.0</v>
      </c>
      <c r="G7" s="36">
        <v>19.0</v>
      </c>
      <c r="H7" s="36">
        <v>43.0</v>
      </c>
      <c r="I7" s="36">
        <v>1.0</v>
      </c>
    </row>
    <row r="8">
      <c r="A8" s="33" t="s">
        <v>2267</v>
      </c>
      <c r="B8" s="37">
        <f t="shared" ref="B8:I8" si="1">SUM(B5:B7)</f>
        <v>3</v>
      </c>
      <c r="C8" s="37">
        <f t="shared" si="1"/>
        <v>29</v>
      </c>
      <c r="D8" s="37">
        <f t="shared" si="1"/>
        <v>238</v>
      </c>
      <c r="E8" s="37">
        <f t="shared" si="1"/>
        <v>158</v>
      </c>
      <c r="F8" s="37">
        <f t="shared" si="1"/>
        <v>168</v>
      </c>
      <c r="G8" s="37">
        <f t="shared" si="1"/>
        <v>94</v>
      </c>
      <c r="H8" s="37">
        <f t="shared" si="1"/>
        <v>290</v>
      </c>
      <c r="I8" s="37">
        <f t="shared" si="1"/>
        <v>22</v>
      </c>
    </row>
    <row r="10">
      <c r="B10" s="42" t="s">
        <v>21</v>
      </c>
      <c r="C10" s="29"/>
      <c r="D10" s="42" t="s">
        <v>22</v>
      </c>
      <c r="E10" s="28"/>
      <c r="F10" s="28"/>
      <c r="G10" s="28"/>
      <c r="H10" s="28"/>
      <c r="I10" s="29"/>
    </row>
    <row r="11">
      <c r="B11" s="30"/>
      <c r="C11" s="32"/>
      <c r="D11" s="30"/>
      <c r="E11" s="31"/>
      <c r="F11" s="31"/>
      <c r="G11" s="31"/>
      <c r="H11" s="31"/>
      <c r="I11" s="32"/>
    </row>
    <row r="12">
      <c r="B12" s="54" t="s">
        <v>2287</v>
      </c>
      <c r="C12" s="54" t="s">
        <v>158</v>
      </c>
      <c r="D12" s="41" t="s">
        <v>100</v>
      </c>
      <c r="E12" s="41" t="s">
        <v>101</v>
      </c>
      <c r="F12" s="41" t="s">
        <v>102</v>
      </c>
      <c r="G12" s="41" t="s">
        <v>103</v>
      </c>
      <c r="H12" s="41" t="s">
        <v>104</v>
      </c>
      <c r="I12" s="41" t="s">
        <v>45</v>
      </c>
    </row>
    <row r="13">
      <c r="A13" s="33" t="s">
        <v>2272</v>
      </c>
      <c r="B13" s="73">
        <f t="shared" ref="B13:I13" si="2">B8/1002*100</f>
        <v>0.2994011976</v>
      </c>
      <c r="C13" s="73">
        <f t="shared" si="2"/>
        <v>2.894211577</v>
      </c>
      <c r="D13" s="73">
        <f t="shared" si="2"/>
        <v>23.75249501</v>
      </c>
      <c r="E13" s="73">
        <f t="shared" si="2"/>
        <v>15.76846307</v>
      </c>
      <c r="F13" s="73">
        <f t="shared" si="2"/>
        <v>16.76646707</v>
      </c>
      <c r="G13" s="73">
        <f t="shared" si="2"/>
        <v>9.381237525</v>
      </c>
      <c r="H13" s="73">
        <f t="shared" si="2"/>
        <v>28.94211577</v>
      </c>
      <c r="I13" s="73">
        <f t="shared" si="2"/>
        <v>2.195608782</v>
      </c>
    </row>
  </sheetData>
  <mergeCells count="4">
    <mergeCell ref="B2:C3"/>
    <mergeCell ref="D2:I3"/>
    <mergeCell ref="B10:C11"/>
    <mergeCell ref="D10:I1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3">
      <c r="B3" s="41" t="s">
        <v>23</v>
      </c>
      <c r="C3" s="42" t="s">
        <v>24</v>
      </c>
      <c r="D3" s="28"/>
      <c r="E3" s="28"/>
      <c r="F3" s="28"/>
      <c r="G3" s="28"/>
      <c r="H3" s="28"/>
      <c r="I3" s="29"/>
    </row>
    <row r="4">
      <c r="B4" s="97"/>
      <c r="C4" s="30"/>
      <c r="D4" s="31"/>
      <c r="E4" s="31"/>
      <c r="F4" s="31"/>
      <c r="G4" s="31"/>
      <c r="H4" s="31"/>
      <c r="I4" s="32"/>
    </row>
    <row r="5">
      <c r="A5" s="33" t="s">
        <v>2265</v>
      </c>
      <c r="B5" s="54" t="s">
        <v>2288</v>
      </c>
      <c r="C5" s="41" t="s">
        <v>105</v>
      </c>
      <c r="D5" s="41" t="s">
        <v>106</v>
      </c>
      <c r="E5" s="41" t="s">
        <v>107</v>
      </c>
      <c r="F5" s="41" t="s">
        <v>108</v>
      </c>
      <c r="G5" s="41" t="s">
        <v>109</v>
      </c>
      <c r="H5" s="41" t="s">
        <v>110</v>
      </c>
      <c r="I5" s="98" t="s">
        <v>45</v>
      </c>
    </row>
    <row r="6">
      <c r="A6" s="33" t="s">
        <v>2266</v>
      </c>
      <c r="B6" s="36">
        <v>2.0</v>
      </c>
      <c r="C6" s="36">
        <v>56.0</v>
      </c>
      <c r="D6" s="36">
        <v>43.0</v>
      </c>
      <c r="E6" s="36">
        <v>22.0</v>
      </c>
      <c r="F6" s="36">
        <v>35.0</v>
      </c>
      <c r="G6" s="36">
        <v>46.0</v>
      </c>
      <c r="H6" s="36">
        <v>29.0</v>
      </c>
      <c r="I6" s="36">
        <v>2.0</v>
      </c>
    </row>
    <row r="7">
      <c r="A7" s="33" t="s">
        <v>606</v>
      </c>
      <c r="B7" s="36">
        <v>10.0</v>
      </c>
      <c r="C7" s="36">
        <v>196.0</v>
      </c>
      <c r="D7" s="36">
        <v>88.0</v>
      </c>
      <c r="E7" s="36">
        <v>53.0</v>
      </c>
      <c r="F7" s="36">
        <v>126.0</v>
      </c>
      <c r="G7" s="36">
        <v>98.0</v>
      </c>
      <c r="H7" s="36">
        <v>113.0</v>
      </c>
      <c r="I7" s="36">
        <v>7.0</v>
      </c>
    </row>
    <row r="8">
      <c r="A8" s="33" t="s">
        <v>1875</v>
      </c>
      <c r="B8" s="35"/>
      <c r="C8" s="36">
        <v>53.0</v>
      </c>
      <c r="D8" s="36">
        <v>49.0</v>
      </c>
      <c r="E8" s="36">
        <v>32.0</v>
      </c>
      <c r="F8" s="36">
        <v>43.0</v>
      </c>
      <c r="G8" s="36">
        <v>27.0</v>
      </c>
      <c r="H8" s="36">
        <v>36.0</v>
      </c>
      <c r="I8" s="36">
        <v>1.0</v>
      </c>
    </row>
    <row r="9">
      <c r="A9" s="33" t="s">
        <v>2267</v>
      </c>
      <c r="B9" s="37">
        <f t="shared" ref="B9:I9" si="1">SUM(B6:B8)</f>
        <v>12</v>
      </c>
      <c r="C9" s="37">
        <f t="shared" si="1"/>
        <v>305</v>
      </c>
      <c r="D9" s="37">
        <f t="shared" si="1"/>
        <v>180</v>
      </c>
      <c r="E9" s="37">
        <f t="shared" si="1"/>
        <v>107</v>
      </c>
      <c r="F9" s="37">
        <f t="shared" si="1"/>
        <v>204</v>
      </c>
      <c r="G9" s="37">
        <f t="shared" si="1"/>
        <v>171</v>
      </c>
      <c r="H9" s="37">
        <f t="shared" si="1"/>
        <v>178</v>
      </c>
      <c r="I9" s="37">
        <f t="shared" si="1"/>
        <v>10</v>
      </c>
    </row>
    <row r="12">
      <c r="B12" s="124" t="s">
        <v>2349</v>
      </c>
    </row>
    <row r="13">
      <c r="A13" s="73" t="s">
        <v>2350</v>
      </c>
      <c r="B13" s="54" t="s">
        <v>2288</v>
      </c>
      <c r="C13" s="41" t="s">
        <v>105</v>
      </c>
      <c r="D13" s="41" t="s">
        <v>106</v>
      </c>
      <c r="E13" s="41" t="s">
        <v>107</v>
      </c>
      <c r="F13" s="41" t="s">
        <v>108</v>
      </c>
      <c r="G13" s="41" t="s">
        <v>109</v>
      </c>
      <c r="H13" s="41" t="s">
        <v>110</v>
      </c>
      <c r="I13" s="98" t="s">
        <v>45</v>
      </c>
    </row>
    <row r="14">
      <c r="A14" s="73" t="s">
        <v>2272</v>
      </c>
      <c r="B14" s="73">
        <f t="shared" ref="B14:I14" si="2">B9/1167 *100 </f>
        <v>1.028277635</v>
      </c>
      <c r="C14" s="73">
        <f t="shared" si="2"/>
        <v>26.13538989</v>
      </c>
      <c r="D14" s="73">
        <f t="shared" si="2"/>
        <v>15.42416452</v>
      </c>
      <c r="E14" s="73">
        <f t="shared" si="2"/>
        <v>9.168808912</v>
      </c>
      <c r="F14" s="73">
        <f t="shared" si="2"/>
        <v>17.48071979</v>
      </c>
      <c r="G14" s="73">
        <f t="shared" si="2"/>
        <v>14.6529563</v>
      </c>
      <c r="H14" s="73">
        <f t="shared" si="2"/>
        <v>15.25278492</v>
      </c>
      <c r="I14" s="73">
        <f t="shared" si="2"/>
        <v>0.8568980291</v>
      </c>
    </row>
  </sheetData>
  <mergeCells count="3">
    <mergeCell ref="B3:B4"/>
    <mergeCell ref="C3:I4"/>
    <mergeCell ref="B12:I1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3">
      <c r="B3" s="41" t="s">
        <v>25</v>
      </c>
      <c r="C3" s="42" t="s">
        <v>26</v>
      </c>
      <c r="D3" s="28"/>
      <c r="E3" s="28"/>
      <c r="F3" s="28"/>
      <c r="G3" s="28"/>
      <c r="H3" s="29"/>
    </row>
    <row r="4">
      <c r="B4" s="97"/>
      <c r="C4" s="30"/>
      <c r="D4" s="31"/>
      <c r="E4" s="31"/>
      <c r="F4" s="31"/>
      <c r="G4" s="31"/>
      <c r="H4" s="32"/>
    </row>
    <row r="5">
      <c r="A5" s="33" t="s">
        <v>2265</v>
      </c>
      <c r="B5" s="46" t="s">
        <v>2289</v>
      </c>
      <c r="C5" s="41" t="s">
        <v>111</v>
      </c>
      <c r="D5" s="41" t="s">
        <v>112</v>
      </c>
      <c r="E5" s="41" t="s">
        <v>113</v>
      </c>
      <c r="F5" s="41" t="s">
        <v>114</v>
      </c>
      <c r="G5" s="41" t="s">
        <v>115</v>
      </c>
      <c r="H5" s="41" t="s">
        <v>45</v>
      </c>
    </row>
    <row r="6">
      <c r="A6" s="33" t="s">
        <v>2266</v>
      </c>
      <c r="B6" s="36">
        <v>20.0</v>
      </c>
      <c r="C6" s="36">
        <v>17.0</v>
      </c>
      <c r="D6" s="36">
        <v>36.0</v>
      </c>
      <c r="E6" s="36">
        <v>12.0</v>
      </c>
      <c r="F6" s="36">
        <v>26.0</v>
      </c>
      <c r="G6" s="36">
        <v>41.0</v>
      </c>
      <c r="H6" s="36">
        <v>1.0</v>
      </c>
    </row>
    <row r="7">
      <c r="A7" s="33" t="s">
        <v>606</v>
      </c>
      <c r="B7" s="36">
        <v>51.0</v>
      </c>
      <c r="C7" s="36">
        <v>50.0</v>
      </c>
      <c r="D7" s="36">
        <v>75.0</v>
      </c>
      <c r="E7" s="36">
        <v>40.0</v>
      </c>
      <c r="F7" s="36">
        <v>119.0</v>
      </c>
      <c r="G7" s="36">
        <v>117.0</v>
      </c>
      <c r="H7" s="36">
        <v>7.0</v>
      </c>
    </row>
    <row r="8">
      <c r="A8" s="33" t="s">
        <v>1875</v>
      </c>
      <c r="B8" s="36">
        <v>4.0</v>
      </c>
      <c r="C8" s="36">
        <v>15.0</v>
      </c>
      <c r="D8" s="36">
        <v>40.0</v>
      </c>
      <c r="E8" s="36">
        <v>17.0</v>
      </c>
      <c r="F8" s="36">
        <v>28.0</v>
      </c>
      <c r="G8" s="36">
        <v>43.0</v>
      </c>
      <c r="H8" s="35"/>
    </row>
    <row r="9">
      <c r="A9" s="33" t="s">
        <v>2267</v>
      </c>
      <c r="B9" s="37">
        <f t="shared" ref="B9:H9" si="1">SUM(B6:B8)</f>
        <v>75</v>
      </c>
      <c r="C9" s="37">
        <f t="shared" si="1"/>
        <v>82</v>
      </c>
      <c r="D9" s="37">
        <f t="shared" si="1"/>
        <v>151</v>
      </c>
      <c r="E9" s="37">
        <f t="shared" si="1"/>
        <v>69</v>
      </c>
      <c r="F9" s="37">
        <f t="shared" si="1"/>
        <v>173</v>
      </c>
      <c r="G9" s="37">
        <f t="shared" si="1"/>
        <v>201</v>
      </c>
      <c r="H9" s="37">
        <f t="shared" si="1"/>
        <v>8</v>
      </c>
    </row>
    <row r="12" ht="26.25" customHeight="1">
      <c r="A12" s="125"/>
      <c r="B12" s="126" t="s">
        <v>25</v>
      </c>
    </row>
    <row r="13">
      <c r="A13" s="46" t="s">
        <v>2351</v>
      </c>
      <c r="B13" s="41" t="s">
        <v>2289</v>
      </c>
      <c r="C13" s="41" t="s">
        <v>111</v>
      </c>
      <c r="D13" s="41" t="s">
        <v>112</v>
      </c>
      <c r="E13" s="41" t="s">
        <v>113</v>
      </c>
      <c r="F13" s="41" t="s">
        <v>114</v>
      </c>
      <c r="G13" s="41" t="s">
        <v>115</v>
      </c>
      <c r="H13" s="41" t="s">
        <v>45</v>
      </c>
    </row>
    <row r="14" ht="24.75" customHeight="1">
      <c r="A14" s="33" t="s">
        <v>2280</v>
      </c>
      <c r="B14" s="73">
        <f t="shared" ref="B14:H14" si="2">B9/759*100</f>
        <v>9.881422925</v>
      </c>
      <c r="C14" s="73">
        <f t="shared" si="2"/>
        <v>10.80368906</v>
      </c>
      <c r="D14" s="73">
        <f t="shared" si="2"/>
        <v>19.89459816</v>
      </c>
      <c r="E14" s="73">
        <f t="shared" si="2"/>
        <v>9.090909091</v>
      </c>
      <c r="F14" s="73">
        <f t="shared" si="2"/>
        <v>22.79314888</v>
      </c>
      <c r="G14" s="73">
        <f t="shared" si="2"/>
        <v>26.48221344</v>
      </c>
      <c r="H14" s="73">
        <f t="shared" si="2"/>
        <v>1.054018445</v>
      </c>
    </row>
    <row r="21">
      <c r="B21" s="43"/>
      <c r="C21" s="110" t="s">
        <v>2301</v>
      </c>
      <c r="D21" s="111"/>
      <c r="E21" s="111"/>
      <c r="F21" s="111"/>
      <c r="G21" s="111"/>
      <c r="H21" s="111"/>
      <c r="I21" s="111"/>
      <c r="J21" s="112"/>
      <c r="K21" s="43"/>
    </row>
    <row r="22">
      <c r="B22" s="63" t="s">
        <v>2276</v>
      </c>
      <c r="C22" s="16" t="s">
        <v>501</v>
      </c>
      <c r="D22" s="16" t="s">
        <v>1504</v>
      </c>
      <c r="E22" s="16" t="s">
        <v>1742</v>
      </c>
      <c r="F22" s="16" t="s">
        <v>1756</v>
      </c>
      <c r="G22" s="16" t="s">
        <v>1767</v>
      </c>
      <c r="H22" s="16" t="s">
        <v>1798</v>
      </c>
      <c r="I22" s="16" t="s">
        <v>1827</v>
      </c>
      <c r="J22" s="16" t="s">
        <v>1848</v>
      </c>
      <c r="K22" s="92" t="s">
        <v>2278</v>
      </c>
    </row>
    <row r="23">
      <c r="B23" s="48" t="s">
        <v>2270</v>
      </c>
      <c r="C23" s="18">
        <v>1.0</v>
      </c>
      <c r="D23" s="19"/>
      <c r="E23" s="35"/>
      <c r="F23" s="35"/>
      <c r="G23" s="35"/>
      <c r="H23" s="35"/>
      <c r="I23" s="35"/>
      <c r="J23" s="35"/>
      <c r="K23" s="48">
        <f t="shared" ref="K23:K24" si="3">SUM(C23:J23)</f>
        <v>1</v>
      </c>
    </row>
    <row r="24">
      <c r="B24" s="48" t="s">
        <v>547</v>
      </c>
      <c r="C24" s="19"/>
      <c r="D24" s="18">
        <v>1.0</v>
      </c>
      <c r="E24" s="36">
        <v>1.0</v>
      </c>
      <c r="F24" s="36">
        <v>1.0</v>
      </c>
      <c r="G24" s="36">
        <v>1.0</v>
      </c>
      <c r="H24" s="36">
        <v>1.0</v>
      </c>
      <c r="I24" s="36">
        <v>1.0</v>
      </c>
      <c r="J24" s="36">
        <v>1.0</v>
      </c>
      <c r="K24" s="48">
        <f t="shared" si="3"/>
        <v>7</v>
      </c>
    </row>
  </sheetData>
  <mergeCells count="4">
    <mergeCell ref="B3:B4"/>
    <mergeCell ref="C3:H4"/>
    <mergeCell ref="B12:H12"/>
    <mergeCell ref="C21:J2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94" t="s">
        <v>27</v>
      </c>
      <c r="C2" s="95"/>
      <c r="D2" s="95"/>
    </row>
    <row r="3">
      <c r="B3" s="42" t="s">
        <v>116</v>
      </c>
      <c r="C3" s="28"/>
      <c r="D3" s="28"/>
    </row>
    <row r="4">
      <c r="A4" s="33" t="s">
        <v>2265</v>
      </c>
      <c r="B4" s="54" t="s">
        <v>602</v>
      </c>
      <c r="C4" s="54" t="s">
        <v>145</v>
      </c>
      <c r="D4" s="54" t="s">
        <v>2290</v>
      </c>
      <c r="G4" s="54" t="s">
        <v>602</v>
      </c>
      <c r="H4" s="54" t="s">
        <v>145</v>
      </c>
      <c r="I4" s="54" t="s">
        <v>2290</v>
      </c>
    </row>
    <row r="5">
      <c r="A5" s="33" t="s">
        <v>2266</v>
      </c>
      <c r="B5" s="35"/>
      <c r="C5" s="36">
        <v>19.0</v>
      </c>
      <c r="D5" s="36">
        <v>30.0</v>
      </c>
      <c r="F5" s="127" t="s">
        <v>116</v>
      </c>
      <c r="G5" s="62">
        <f t="shared" ref="G5:I5" si="1">B8/361*100</f>
        <v>2.770083102</v>
      </c>
      <c r="H5" s="62">
        <f t="shared" si="1"/>
        <v>22.43767313</v>
      </c>
      <c r="I5" s="62">
        <f t="shared" si="1"/>
        <v>74.79224377</v>
      </c>
    </row>
    <row r="6">
      <c r="A6" s="33" t="s">
        <v>606</v>
      </c>
      <c r="B6" s="36">
        <v>9.0</v>
      </c>
      <c r="C6" s="36">
        <v>57.0</v>
      </c>
      <c r="D6" s="36">
        <v>186.0</v>
      </c>
      <c r="F6" s="127" t="s">
        <v>117</v>
      </c>
      <c r="G6" s="62">
        <f t="shared" ref="G6:I6" si="2">B16/370*100</f>
        <v>1.891891892</v>
      </c>
      <c r="H6" s="62">
        <f t="shared" si="2"/>
        <v>16.75675676</v>
      </c>
      <c r="I6" s="62">
        <f t="shared" si="2"/>
        <v>81.35135135</v>
      </c>
    </row>
    <row r="7">
      <c r="A7" s="33" t="s">
        <v>1875</v>
      </c>
      <c r="B7" s="36">
        <v>1.0</v>
      </c>
      <c r="C7" s="36">
        <v>5.0</v>
      </c>
      <c r="D7" s="36">
        <v>54.0</v>
      </c>
      <c r="F7" s="127" t="s">
        <v>118</v>
      </c>
      <c r="G7" s="62">
        <f t="shared" ref="G7:I7" si="3">B24/368*100</f>
        <v>2.445652174</v>
      </c>
      <c r="H7" s="62">
        <f t="shared" si="3"/>
        <v>18.20652174</v>
      </c>
      <c r="I7" s="62">
        <f t="shared" si="3"/>
        <v>79.34782609</v>
      </c>
    </row>
    <row r="8">
      <c r="A8" s="33" t="s">
        <v>2267</v>
      </c>
      <c r="B8" s="37">
        <f t="shared" ref="B8:D8" si="4">SUM(B5:B7)</f>
        <v>10</v>
      </c>
      <c r="C8" s="37">
        <f t="shared" si="4"/>
        <v>81</v>
      </c>
      <c r="D8" s="37">
        <f t="shared" si="4"/>
        <v>270</v>
      </c>
      <c r="F8" s="127" t="s">
        <v>2352</v>
      </c>
      <c r="G8" s="62">
        <f t="shared" ref="G8:I8" si="5">B32/359*100</f>
        <v>2.78551532</v>
      </c>
      <c r="H8" s="62">
        <f t="shared" si="5"/>
        <v>22.84122563</v>
      </c>
      <c r="I8" s="62">
        <f t="shared" si="5"/>
        <v>74.37325905</v>
      </c>
    </row>
    <row r="11">
      <c r="B11" s="42" t="s">
        <v>117</v>
      </c>
      <c r="C11" s="28"/>
      <c r="D11" s="29"/>
    </row>
    <row r="12">
      <c r="A12" s="33" t="s">
        <v>2265</v>
      </c>
      <c r="B12" s="54" t="s">
        <v>602</v>
      </c>
      <c r="C12" s="54" t="s">
        <v>145</v>
      </c>
      <c r="D12" s="46" t="s">
        <v>2290</v>
      </c>
    </row>
    <row r="13">
      <c r="A13" s="33" t="s">
        <v>2266</v>
      </c>
      <c r="B13" s="36">
        <v>0.0</v>
      </c>
      <c r="C13" s="36">
        <v>13.0</v>
      </c>
      <c r="D13" s="36">
        <v>37.0</v>
      </c>
    </row>
    <row r="14">
      <c r="A14" s="33" t="s">
        <v>606</v>
      </c>
      <c r="B14" s="36">
        <v>6.0</v>
      </c>
      <c r="C14" s="36">
        <v>43.0</v>
      </c>
      <c r="D14" s="36">
        <v>208.0</v>
      </c>
    </row>
    <row r="15">
      <c r="A15" s="33" t="s">
        <v>1875</v>
      </c>
      <c r="B15" s="36">
        <v>1.0</v>
      </c>
      <c r="C15" s="36">
        <v>6.0</v>
      </c>
      <c r="D15" s="36">
        <v>56.0</v>
      </c>
    </row>
    <row r="16">
      <c r="A16" s="33" t="s">
        <v>2267</v>
      </c>
      <c r="B16" s="37">
        <f t="shared" ref="B16:D16" si="6">SUM(B13:B15)</f>
        <v>7</v>
      </c>
      <c r="C16" s="37">
        <f t="shared" si="6"/>
        <v>62</v>
      </c>
      <c r="D16" s="37">
        <f t="shared" si="6"/>
        <v>301</v>
      </c>
    </row>
    <row r="19">
      <c r="B19" s="42" t="s">
        <v>118</v>
      </c>
      <c r="C19" s="28"/>
      <c r="D19" s="29"/>
    </row>
    <row r="20">
      <c r="A20" s="33" t="s">
        <v>2265</v>
      </c>
      <c r="B20" s="46" t="s">
        <v>602</v>
      </c>
      <c r="C20" s="46" t="s">
        <v>145</v>
      </c>
      <c r="D20" s="46" t="s">
        <v>2290</v>
      </c>
    </row>
    <row r="21">
      <c r="A21" s="33" t="s">
        <v>2266</v>
      </c>
      <c r="B21" s="36">
        <v>0.0</v>
      </c>
      <c r="C21" s="36">
        <v>11.0</v>
      </c>
      <c r="D21" s="36">
        <v>37.0</v>
      </c>
    </row>
    <row r="22">
      <c r="A22" s="33" t="s">
        <v>606</v>
      </c>
      <c r="B22" s="36">
        <v>9.0</v>
      </c>
      <c r="C22" s="36">
        <v>48.0</v>
      </c>
      <c r="D22" s="36">
        <v>200.0</v>
      </c>
    </row>
    <row r="23">
      <c r="A23" s="33" t="s">
        <v>1875</v>
      </c>
      <c r="B23" s="36">
        <v>0.0</v>
      </c>
      <c r="C23" s="36">
        <v>8.0</v>
      </c>
      <c r="D23" s="36">
        <v>55.0</v>
      </c>
    </row>
    <row r="24">
      <c r="A24" s="33" t="s">
        <v>2267</v>
      </c>
      <c r="B24" s="37">
        <f t="shared" ref="B24:D24" si="7">SUM(B21:B23)</f>
        <v>9</v>
      </c>
      <c r="C24" s="37">
        <f t="shared" si="7"/>
        <v>67</v>
      </c>
      <c r="D24" s="37">
        <f t="shared" si="7"/>
        <v>292</v>
      </c>
    </row>
    <row r="27">
      <c r="B27" s="42" t="s">
        <v>119</v>
      </c>
      <c r="C27" s="28"/>
      <c r="D27" s="29"/>
    </row>
    <row r="28">
      <c r="A28" s="33" t="s">
        <v>2265</v>
      </c>
      <c r="B28" s="46" t="s">
        <v>602</v>
      </c>
      <c r="C28" s="46" t="s">
        <v>145</v>
      </c>
      <c r="D28" s="46" t="s">
        <v>2290</v>
      </c>
    </row>
    <row r="29">
      <c r="A29" s="33" t="s">
        <v>2266</v>
      </c>
      <c r="B29" s="36">
        <v>0.0</v>
      </c>
      <c r="C29" s="36">
        <v>9.0</v>
      </c>
      <c r="D29" s="36">
        <v>35.0</v>
      </c>
    </row>
    <row r="30">
      <c r="A30" s="33" t="s">
        <v>606</v>
      </c>
      <c r="B30" s="36">
        <v>10.0</v>
      </c>
      <c r="C30" s="36">
        <v>66.0</v>
      </c>
      <c r="D30" s="36">
        <v>180.0</v>
      </c>
    </row>
    <row r="31">
      <c r="A31" s="33" t="s">
        <v>1875</v>
      </c>
      <c r="B31" s="36">
        <v>0.0</v>
      </c>
      <c r="C31" s="36">
        <v>7.0</v>
      </c>
      <c r="D31" s="36">
        <v>52.0</v>
      </c>
    </row>
    <row r="32">
      <c r="A32" s="33" t="s">
        <v>2267</v>
      </c>
      <c r="B32" s="37">
        <f t="shared" ref="B32:D32" si="8">SUM(B29:B31)</f>
        <v>10</v>
      </c>
      <c r="C32" s="37">
        <f t="shared" si="8"/>
        <v>82</v>
      </c>
      <c r="D32" s="37">
        <f t="shared" si="8"/>
        <v>267</v>
      </c>
    </row>
  </sheetData>
  <mergeCells count="5">
    <mergeCell ref="B2:D2"/>
    <mergeCell ref="B3:D3"/>
    <mergeCell ref="B11:D11"/>
    <mergeCell ref="B19:D19"/>
    <mergeCell ref="B27:D2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2" max="2" width="25.88"/>
    <col customWidth="1" min="4" max="4" width="23.13"/>
    <col customWidth="1" min="6" max="6" width="23.13"/>
  </cols>
  <sheetData>
    <row r="1">
      <c r="C1" s="94" t="s">
        <v>30</v>
      </c>
      <c r="D1" s="95"/>
      <c r="E1" s="5"/>
    </row>
    <row r="2">
      <c r="B2" s="33" t="s">
        <v>2265</v>
      </c>
      <c r="C2" s="99" t="s">
        <v>2291</v>
      </c>
      <c r="D2" s="99" t="s">
        <v>2292</v>
      </c>
      <c r="E2" s="99" t="s">
        <v>2293</v>
      </c>
    </row>
    <row r="3">
      <c r="B3" s="33" t="s">
        <v>2266</v>
      </c>
      <c r="C3" s="36">
        <v>32.0</v>
      </c>
      <c r="D3" s="35"/>
      <c r="E3" s="35"/>
    </row>
    <row r="4">
      <c r="B4" s="33" t="s">
        <v>606</v>
      </c>
      <c r="C4" s="36">
        <v>48.0</v>
      </c>
      <c r="D4" s="35"/>
      <c r="E4" s="35"/>
    </row>
    <row r="5">
      <c r="B5" s="33" t="s">
        <v>1875</v>
      </c>
      <c r="C5" s="36">
        <v>23.0</v>
      </c>
      <c r="D5" s="35"/>
      <c r="E5" s="35"/>
    </row>
    <row r="6">
      <c r="B6" s="33" t="s">
        <v>2267</v>
      </c>
      <c r="C6" s="37">
        <f t="shared" ref="C6:E6" si="1">SUM(C3:C5)</f>
        <v>103</v>
      </c>
      <c r="D6" s="37">
        <f t="shared" si="1"/>
        <v>0</v>
      </c>
      <c r="E6" s="37">
        <f t="shared" si="1"/>
        <v>0</v>
      </c>
    </row>
    <row r="7">
      <c r="B7" s="117" t="s">
        <v>2304</v>
      </c>
      <c r="C7" s="22"/>
      <c r="D7" s="22"/>
      <c r="E7" s="22"/>
      <c r="F7" s="22"/>
      <c r="G7" s="23"/>
    </row>
    <row r="8">
      <c r="B8" s="120" t="s">
        <v>2270</v>
      </c>
      <c r="C8" s="23"/>
      <c r="D8" s="120" t="s">
        <v>606</v>
      </c>
      <c r="E8" s="23"/>
      <c r="F8" s="120" t="s">
        <v>1875</v>
      </c>
      <c r="G8" s="23"/>
    </row>
    <row r="9">
      <c r="B9" s="121" t="s">
        <v>2304</v>
      </c>
      <c r="C9" s="121" t="s">
        <v>2307</v>
      </c>
      <c r="D9" s="121" t="s">
        <v>2304</v>
      </c>
      <c r="E9" s="121" t="s">
        <v>2307</v>
      </c>
      <c r="F9" s="121" t="s">
        <v>2304</v>
      </c>
      <c r="G9" s="121" t="s">
        <v>2307</v>
      </c>
    </row>
    <row r="10">
      <c r="B10" s="55" t="s">
        <v>148</v>
      </c>
      <c r="C10" s="55">
        <v>3.0</v>
      </c>
      <c r="D10" s="55" t="s">
        <v>2310</v>
      </c>
      <c r="E10" s="122">
        <v>73.0</v>
      </c>
      <c r="F10" s="55" t="s">
        <v>1882</v>
      </c>
      <c r="G10" s="122">
        <v>4.0</v>
      </c>
    </row>
    <row r="11">
      <c r="B11" s="55" t="s">
        <v>156</v>
      </c>
      <c r="C11" s="55">
        <v>12.0</v>
      </c>
      <c r="D11" s="55" t="s">
        <v>2312</v>
      </c>
      <c r="E11" s="122">
        <v>71.0</v>
      </c>
      <c r="F11" s="55" t="s">
        <v>2313</v>
      </c>
      <c r="G11" s="122">
        <v>32.0</v>
      </c>
    </row>
    <row r="12">
      <c r="B12" s="55" t="s">
        <v>172</v>
      </c>
      <c r="C12" s="55">
        <v>1.0</v>
      </c>
      <c r="D12" s="55" t="s">
        <v>599</v>
      </c>
      <c r="E12" s="122">
        <v>3.0</v>
      </c>
      <c r="F12" s="55" t="s">
        <v>2077</v>
      </c>
      <c r="G12" s="122">
        <v>23.0</v>
      </c>
    </row>
    <row r="13">
      <c r="B13" s="55" t="s">
        <v>187</v>
      </c>
      <c r="C13" s="55">
        <v>12.0</v>
      </c>
      <c r="D13" s="55" t="s">
        <v>567</v>
      </c>
      <c r="E13" s="122">
        <v>5.0</v>
      </c>
      <c r="F13" s="55" t="s">
        <v>1918</v>
      </c>
      <c r="G13" s="122">
        <v>2.0</v>
      </c>
    </row>
    <row r="14">
      <c r="B14" s="55" t="s">
        <v>225</v>
      </c>
      <c r="C14" s="55">
        <v>1.0</v>
      </c>
      <c r="D14" s="55" t="s">
        <v>2319</v>
      </c>
      <c r="E14" s="122">
        <v>26.0</v>
      </c>
      <c r="F14" s="55" t="s">
        <v>2320</v>
      </c>
      <c r="G14" s="122">
        <v>12.0</v>
      </c>
    </row>
    <row r="15">
      <c r="B15" s="55" t="s">
        <v>232</v>
      </c>
      <c r="C15" s="55">
        <v>2.0</v>
      </c>
      <c r="D15" s="55" t="s">
        <v>2322</v>
      </c>
      <c r="E15" s="55">
        <v>15.0</v>
      </c>
      <c r="F15" s="55" t="s">
        <v>1930</v>
      </c>
      <c r="G15" s="122">
        <v>2.0</v>
      </c>
    </row>
    <row r="16">
      <c r="B16" s="55" t="s">
        <v>266</v>
      </c>
      <c r="C16" s="55">
        <v>3.0</v>
      </c>
      <c r="D16" s="55" t="s">
        <v>614</v>
      </c>
      <c r="E16" s="55">
        <v>4.0</v>
      </c>
      <c r="F16" s="55" t="s">
        <v>2324</v>
      </c>
      <c r="G16" s="122">
        <v>6.0</v>
      </c>
    </row>
    <row r="17">
      <c r="B17" s="55" t="s">
        <v>279</v>
      </c>
      <c r="C17" s="55">
        <v>2.0</v>
      </c>
      <c r="D17" s="55" t="s">
        <v>2326</v>
      </c>
      <c r="E17" s="55">
        <v>1.0</v>
      </c>
      <c r="F17" s="55" t="s">
        <v>1975</v>
      </c>
      <c r="G17" s="122">
        <v>2.0</v>
      </c>
    </row>
    <row r="18">
      <c r="B18" s="55" t="s">
        <v>286</v>
      </c>
      <c r="C18" s="55">
        <v>2.0</v>
      </c>
      <c r="D18" s="55" t="s">
        <v>1088</v>
      </c>
      <c r="E18" s="55">
        <v>14.0</v>
      </c>
      <c r="F18" s="55" t="s">
        <v>220</v>
      </c>
      <c r="G18" s="122">
        <v>7.0</v>
      </c>
    </row>
    <row r="19">
      <c r="B19" s="55" t="s">
        <v>351</v>
      </c>
      <c r="C19" s="122">
        <v>4.0</v>
      </c>
      <c r="D19" s="55" t="s">
        <v>2331</v>
      </c>
      <c r="E19" s="122">
        <v>33.0</v>
      </c>
      <c r="F19" s="55" t="s">
        <v>2043</v>
      </c>
      <c r="G19" s="122">
        <v>1.0</v>
      </c>
    </row>
    <row r="20">
      <c r="B20" s="55" t="s">
        <v>304</v>
      </c>
      <c r="C20" s="55">
        <v>1.0</v>
      </c>
      <c r="D20" s="55" t="s">
        <v>2332</v>
      </c>
      <c r="E20" s="55">
        <v>2.0</v>
      </c>
      <c r="F20" s="55" t="s">
        <v>2123</v>
      </c>
      <c r="G20" s="122">
        <v>4.0</v>
      </c>
    </row>
    <row r="21">
      <c r="B21" s="55" t="s">
        <v>317</v>
      </c>
      <c r="C21" s="55">
        <v>1.0</v>
      </c>
      <c r="D21" s="55" t="s">
        <v>1268</v>
      </c>
      <c r="E21" s="55">
        <v>1.0</v>
      </c>
      <c r="F21" s="55" t="s">
        <v>2131</v>
      </c>
      <c r="G21" s="122">
        <v>2.0</v>
      </c>
    </row>
    <row r="22">
      <c r="B22" s="55" t="s">
        <v>412</v>
      </c>
      <c r="C22" s="55">
        <v>2.0</v>
      </c>
      <c r="D22" s="55" t="s">
        <v>930</v>
      </c>
      <c r="E22" s="122">
        <v>15.0</v>
      </c>
      <c r="F22" s="55" t="s">
        <v>2163</v>
      </c>
      <c r="G22" s="122">
        <v>1.0</v>
      </c>
    </row>
    <row r="23">
      <c r="B23" s="55" t="s">
        <v>306</v>
      </c>
      <c r="C23" s="55">
        <v>1.0</v>
      </c>
      <c r="D23" s="55" t="s">
        <v>1843</v>
      </c>
      <c r="E23" s="122">
        <v>1.0</v>
      </c>
      <c r="F23" s="55" t="s">
        <v>2058</v>
      </c>
      <c r="G23" s="122">
        <v>3.0</v>
      </c>
    </row>
    <row r="24">
      <c r="B24" s="55" t="s">
        <v>300</v>
      </c>
      <c r="C24" s="122">
        <v>3.0</v>
      </c>
      <c r="D24" s="55" t="s">
        <v>1185</v>
      </c>
      <c r="E24" s="122">
        <v>1.0</v>
      </c>
      <c r="F24" s="55" t="s">
        <v>2124</v>
      </c>
      <c r="G24" s="122">
        <v>3.0</v>
      </c>
    </row>
    <row r="25">
      <c r="B25" s="55" t="s">
        <v>203</v>
      </c>
      <c r="C25" s="55">
        <v>1.0</v>
      </c>
      <c r="D25" s="16" t="s">
        <v>658</v>
      </c>
      <c r="E25" s="122">
        <v>1.0</v>
      </c>
      <c r="F25" s="55" t="s">
        <v>2187</v>
      </c>
      <c r="G25" s="122">
        <v>2.0</v>
      </c>
    </row>
    <row r="26">
      <c r="B26" s="55" t="s">
        <v>2338</v>
      </c>
      <c r="C26" s="55">
        <v>7.0</v>
      </c>
      <c r="D26" s="55" t="s">
        <v>2339</v>
      </c>
      <c r="E26" s="122">
        <v>4.0</v>
      </c>
      <c r="F26" s="55" t="s">
        <v>2261</v>
      </c>
      <c r="G26" s="122">
        <v>1.0</v>
      </c>
    </row>
    <row r="27">
      <c r="B27" s="55" t="s">
        <v>353</v>
      </c>
      <c r="C27" s="55">
        <v>1.0</v>
      </c>
      <c r="D27" s="16" t="s">
        <v>826</v>
      </c>
      <c r="E27" s="122">
        <v>2.0</v>
      </c>
      <c r="F27" s="55" t="s">
        <v>1958</v>
      </c>
      <c r="G27" s="122">
        <v>1.0</v>
      </c>
    </row>
    <row r="28">
      <c r="B28" s="55" t="s">
        <v>2341</v>
      </c>
      <c r="C28" s="55">
        <v>1.0</v>
      </c>
      <c r="D28" s="16" t="s">
        <v>1547</v>
      </c>
      <c r="E28" s="122">
        <v>2.0</v>
      </c>
      <c r="F28" s="55" t="s">
        <v>2006</v>
      </c>
      <c r="G28" s="122">
        <v>1.0</v>
      </c>
    </row>
    <row r="29">
      <c r="B29" s="55" t="s">
        <v>395</v>
      </c>
      <c r="C29" s="55">
        <v>1.0</v>
      </c>
      <c r="D29" s="16" t="s">
        <v>831</v>
      </c>
      <c r="E29" s="122">
        <v>2.0</v>
      </c>
      <c r="F29" s="55" t="s">
        <v>2090</v>
      </c>
      <c r="G29" s="122">
        <v>1.0</v>
      </c>
    </row>
    <row r="30">
      <c r="B30" s="55" t="s">
        <v>408</v>
      </c>
      <c r="C30" s="55">
        <v>1.0</v>
      </c>
      <c r="D30" s="16" t="s">
        <v>1266</v>
      </c>
      <c r="E30" s="122">
        <v>1.0</v>
      </c>
      <c r="F30" s="55" t="s">
        <v>2164</v>
      </c>
      <c r="G30" s="122">
        <v>1.0</v>
      </c>
    </row>
    <row r="31">
      <c r="B31" s="55" t="s">
        <v>431</v>
      </c>
      <c r="C31" s="55">
        <v>1.0</v>
      </c>
      <c r="D31" s="16" t="s">
        <v>1071</v>
      </c>
      <c r="E31" s="122">
        <v>7.0</v>
      </c>
      <c r="F31" s="55" t="s">
        <v>2232</v>
      </c>
      <c r="G31" s="122">
        <v>1.0</v>
      </c>
    </row>
    <row r="32">
      <c r="B32" s="55" t="s">
        <v>461</v>
      </c>
      <c r="C32" s="55">
        <v>4.0</v>
      </c>
      <c r="D32" s="16" t="s">
        <v>556</v>
      </c>
      <c r="E32" s="122">
        <v>1.0</v>
      </c>
      <c r="F32" s="16" t="s">
        <v>2253</v>
      </c>
      <c r="G32" s="122">
        <v>1.0</v>
      </c>
    </row>
    <row r="33">
      <c r="B33" s="55" t="s">
        <v>469</v>
      </c>
      <c r="C33" s="55">
        <v>1.0</v>
      </c>
      <c r="D33" s="55" t="s">
        <v>2345</v>
      </c>
      <c r="E33" s="122">
        <v>3.0</v>
      </c>
      <c r="F33" s="55"/>
      <c r="G33" s="104"/>
    </row>
    <row r="34">
      <c r="B34" s="55" t="s">
        <v>523</v>
      </c>
      <c r="C34" s="55">
        <v>1.0</v>
      </c>
      <c r="D34" s="16" t="s">
        <v>1761</v>
      </c>
      <c r="E34" s="122">
        <v>2.0</v>
      </c>
      <c r="F34" s="104"/>
      <c r="G34" s="104"/>
    </row>
    <row r="35">
      <c r="B35" s="55" t="s">
        <v>529</v>
      </c>
      <c r="C35" s="55">
        <v>1.0</v>
      </c>
      <c r="D35" s="16" t="s">
        <v>945</v>
      </c>
      <c r="E35" s="122">
        <v>2.0</v>
      </c>
      <c r="F35" s="104"/>
      <c r="G35" s="104"/>
    </row>
    <row r="36">
      <c r="B36" s="55" t="s">
        <v>540</v>
      </c>
      <c r="C36" s="55">
        <v>1.0</v>
      </c>
      <c r="D36" s="16" t="s">
        <v>717</v>
      </c>
      <c r="E36" s="122">
        <v>1.0</v>
      </c>
      <c r="F36" s="104"/>
      <c r="G36" s="104"/>
    </row>
    <row r="37">
      <c r="B37" s="55" t="s">
        <v>258</v>
      </c>
      <c r="C37" s="55">
        <v>1.0</v>
      </c>
      <c r="D37" s="16" t="s">
        <v>804</v>
      </c>
      <c r="E37" s="122">
        <v>1.0</v>
      </c>
      <c r="F37" s="104"/>
      <c r="G37" s="104"/>
    </row>
    <row r="38">
      <c r="B38" s="55" t="s">
        <v>287</v>
      </c>
      <c r="C38" s="55">
        <v>1.0</v>
      </c>
      <c r="D38" s="16" t="s">
        <v>884</v>
      </c>
      <c r="E38" s="122">
        <v>1.0</v>
      </c>
      <c r="F38" s="104"/>
      <c r="G38" s="104"/>
    </row>
    <row r="39">
      <c r="B39" s="55" t="s">
        <v>305</v>
      </c>
      <c r="C39" s="55">
        <v>1.0</v>
      </c>
      <c r="D39" s="16" t="s">
        <v>907</v>
      </c>
      <c r="E39" s="122">
        <v>1.0</v>
      </c>
      <c r="F39" s="104"/>
      <c r="G39" s="104"/>
    </row>
    <row r="40">
      <c r="B40" s="55" t="s">
        <v>342</v>
      </c>
      <c r="C40" s="55">
        <v>1.0</v>
      </c>
      <c r="D40" s="16" t="s">
        <v>1022</v>
      </c>
      <c r="E40" s="122">
        <v>1.0</v>
      </c>
      <c r="F40" s="104"/>
      <c r="G40" s="104"/>
    </row>
    <row r="41">
      <c r="B41" s="55" t="s">
        <v>506</v>
      </c>
      <c r="C41" s="55">
        <v>1.0</v>
      </c>
      <c r="D41" s="16" t="s">
        <v>1369</v>
      </c>
      <c r="E41" s="122">
        <v>1.0</v>
      </c>
      <c r="F41" s="104"/>
      <c r="G41" s="104"/>
    </row>
    <row r="42">
      <c r="B42" s="104"/>
      <c r="C42" s="104"/>
      <c r="D42" s="16" t="s">
        <v>1418</v>
      </c>
      <c r="E42" s="122">
        <v>1.0</v>
      </c>
      <c r="F42" s="104"/>
      <c r="G42" s="104"/>
    </row>
    <row r="43">
      <c r="B43" s="104"/>
      <c r="C43" s="104"/>
      <c r="D43" s="16" t="s">
        <v>1527</v>
      </c>
      <c r="E43" s="122">
        <v>1.0</v>
      </c>
      <c r="F43" s="104"/>
      <c r="G43" s="104"/>
    </row>
    <row r="44">
      <c r="B44" s="104"/>
      <c r="C44" s="104"/>
      <c r="D44" s="16" t="s">
        <v>1536</v>
      </c>
      <c r="E44" s="122">
        <v>1.0</v>
      </c>
      <c r="F44" s="104"/>
      <c r="G44" s="104"/>
    </row>
    <row r="45">
      <c r="B45" s="104"/>
      <c r="C45" s="104"/>
      <c r="D45" s="16" t="s">
        <v>1653</v>
      </c>
      <c r="E45" s="122">
        <v>1.0</v>
      </c>
      <c r="F45" s="104"/>
      <c r="G45" s="104"/>
    </row>
    <row r="46">
      <c r="B46" s="104"/>
      <c r="C46" s="104"/>
      <c r="D46" s="16" t="s">
        <v>1744</v>
      </c>
      <c r="E46" s="122">
        <v>1.0</v>
      </c>
      <c r="F46" s="104"/>
      <c r="G46" s="104"/>
    </row>
    <row r="47">
      <c r="B47" s="104"/>
      <c r="C47" s="104"/>
      <c r="D47" s="16" t="s">
        <v>646</v>
      </c>
      <c r="E47" s="122">
        <v>1.0</v>
      </c>
      <c r="F47" s="104"/>
      <c r="G47" s="104"/>
    </row>
    <row r="48">
      <c r="B48" s="104"/>
      <c r="C48" s="104"/>
      <c r="D48" s="16" t="s">
        <v>655</v>
      </c>
      <c r="E48" s="122">
        <v>1.0</v>
      </c>
      <c r="F48" s="104"/>
      <c r="G48" s="104"/>
    </row>
    <row r="49">
      <c r="B49" s="104"/>
      <c r="C49" s="104"/>
      <c r="D49" s="16" t="s">
        <v>721</v>
      </c>
      <c r="E49" s="122">
        <v>1.0</v>
      </c>
      <c r="F49" s="104"/>
      <c r="G49" s="104"/>
    </row>
    <row r="50">
      <c r="B50" s="104"/>
      <c r="C50" s="104"/>
      <c r="D50" s="16" t="s">
        <v>776</v>
      </c>
      <c r="E50" s="122">
        <v>1.0</v>
      </c>
      <c r="F50" s="104"/>
      <c r="G50" s="104"/>
    </row>
    <row r="51">
      <c r="B51" s="104"/>
      <c r="C51" s="104"/>
      <c r="D51" s="16" t="s">
        <v>809</v>
      </c>
      <c r="E51" s="122">
        <v>1.0</v>
      </c>
      <c r="F51" s="104"/>
      <c r="G51" s="104"/>
    </row>
    <row r="52">
      <c r="B52" s="104"/>
      <c r="C52" s="104"/>
      <c r="D52" s="16" t="s">
        <v>858</v>
      </c>
      <c r="E52" s="122">
        <v>1.0</v>
      </c>
      <c r="F52" s="104"/>
      <c r="G52" s="104"/>
    </row>
    <row r="53">
      <c r="B53" s="104"/>
      <c r="C53" s="104"/>
      <c r="D53" s="16" t="s">
        <v>935</v>
      </c>
      <c r="E53" s="122">
        <v>1.0</v>
      </c>
      <c r="F53" s="104"/>
      <c r="G53" s="104"/>
    </row>
    <row r="54">
      <c r="B54" s="104"/>
      <c r="C54" s="104"/>
      <c r="D54" s="16" t="s">
        <v>1267</v>
      </c>
      <c r="E54" s="122">
        <v>1.0</v>
      </c>
      <c r="F54" s="104"/>
      <c r="G54" s="104"/>
    </row>
    <row r="55">
      <c r="B55" s="104"/>
      <c r="C55" s="104"/>
      <c r="D55" s="16" t="s">
        <v>1528</v>
      </c>
      <c r="E55" s="122">
        <v>1.0</v>
      </c>
      <c r="F55" s="104"/>
      <c r="G55" s="104"/>
    </row>
    <row r="56">
      <c r="B56" s="104"/>
      <c r="C56" s="104"/>
      <c r="D56" s="16" t="s">
        <v>1600</v>
      </c>
      <c r="E56" s="122">
        <v>1.0</v>
      </c>
      <c r="F56" s="104"/>
      <c r="G56" s="104"/>
    </row>
    <row r="57">
      <c r="B57" s="104"/>
      <c r="C57" s="104"/>
      <c r="D57" s="16" t="s">
        <v>616</v>
      </c>
      <c r="E57" s="122">
        <v>1.0</v>
      </c>
      <c r="F57" s="104"/>
      <c r="G57" s="104"/>
    </row>
  </sheetData>
  <mergeCells count="5">
    <mergeCell ref="C1:E1"/>
    <mergeCell ref="B7:G7"/>
    <mergeCell ref="B8:C8"/>
    <mergeCell ref="D8:E8"/>
    <mergeCell ref="F8:G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28</v>
      </c>
      <c r="C2" s="28"/>
      <c r="D2" s="29"/>
    </row>
    <row r="3">
      <c r="A3" s="33" t="s">
        <v>2265</v>
      </c>
      <c r="B3" s="30"/>
      <c r="C3" s="31"/>
      <c r="D3" s="32"/>
    </row>
    <row r="4">
      <c r="A4" s="33" t="s">
        <v>2266</v>
      </c>
      <c r="B4" s="36">
        <v>28.0</v>
      </c>
      <c r="C4" s="35"/>
      <c r="D4" s="35"/>
    </row>
    <row r="5">
      <c r="A5" s="33" t="s">
        <v>606</v>
      </c>
      <c r="B5" s="36">
        <v>29.0</v>
      </c>
      <c r="C5" s="35"/>
      <c r="D5" s="35"/>
    </row>
    <row r="6">
      <c r="A6" s="33" t="s">
        <v>1875</v>
      </c>
      <c r="B6" s="36">
        <v>25.0</v>
      </c>
      <c r="C6" s="35"/>
      <c r="D6" s="35"/>
    </row>
    <row r="7">
      <c r="A7" s="33" t="s">
        <v>2267</v>
      </c>
      <c r="B7" s="37">
        <f t="shared" ref="B7:D7" si="1">SUM(B4:B6)</f>
        <v>82</v>
      </c>
      <c r="C7" s="37">
        <f t="shared" si="1"/>
        <v>0</v>
      </c>
      <c r="D7" s="37">
        <f t="shared" si="1"/>
        <v>0</v>
      </c>
    </row>
    <row r="8">
      <c r="A8" s="117" t="s">
        <v>2302</v>
      </c>
      <c r="B8" s="22"/>
      <c r="C8" s="22"/>
      <c r="D8" s="22"/>
      <c r="E8" s="22"/>
      <c r="F8" s="23"/>
    </row>
    <row r="9">
      <c r="A9" s="120" t="s">
        <v>2270</v>
      </c>
      <c r="B9" s="23"/>
      <c r="C9" s="120" t="s">
        <v>606</v>
      </c>
      <c r="D9" s="23"/>
      <c r="E9" s="120" t="s">
        <v>1875</v>
      </c>
      <c r="F9" s="23"/>
    </row>
    <row r="10">
      <c r="A10" s="121" t="s">
        <v>2305</v>
      </c>
      <c r="B10" s="121" t="s">
        <v>2306</v>
      </c>
      <c r="C10" s="121" t="s">
        <v>2305</v>
      </c>
      <c r="D10" s="121" t="s">
        <v>2306</v>
      </c>
      <c r="E10" s="121" t="s">
        <v>2305</v>
      </c>
      <c r="F10" s="121" t="s">
        <v>2306</v>
      </c>
    </row>
    <row r="11">
      <c r="A11" s="55" t="s">
        <v>155</v>
      </c>
      <c r="B11" s="122">
        <v>16.0</v>
      </c>
      <c r="C11" s="55" t="s">
        <v>155</v>
      </c>
      <c r="D11" s="122">
        <v>15.0</v>
      </c>
      <c r="E11" s="55" t="s">
        <v>2308</v>
      </c>
      <c r="F11" s="122">
        <v>10.0</v>
      </c>
    </row>
    <row r="12">
      <c r="A12" s="55" t="s">
        <v>146</v>
      </c>
      <c r="B12" s="122">
        <v>6.0</v>
      </c>
      <c r="C12" s="55" t="s">
        <v>638</v>
      </c>
      <c r="D12" s="122">
        <v>20.0</v>
      </c>
      <c r="E12" s="55" t="s">
        <v>2311</v>
      </c>
      <c r="F12" s="122">
        <v>24.0</v>
      </c>
    </row>
    <row r="13">
      <c r="A13" s="55" t="s">
        <v>264</v>
      </c>
      <c r="B13" s="122">
        <v>7.0</v>
      </c>
      <c r="C13" s="55" t="s">
        <v>264</v>
      </c>
      <c r="D13" s="122">
        <v>4.0</v>
      </c>
      <c r="E13" s="55" t="s">
        <v>2314</v>
      </c>
      <c r="F13" s="122">
        <v>8.0</v>
      </c>
    </row>
    <row r="14">
      <c r="A14" s="55" t="s">
        <v>2316</v>
      </c>
      <c r="B14" s="122">
        <v>11.0</v>
      </c>
      <c r="C14" s="55" t="s">
        <v>2316</v>
      </c>
      <c r="D14" s="122">
        <v>68.0</v>
      </c>
      <c r="E14" s="55" t="s">
        <v>2316</v>
      </c>
      <c r="F14" s="122">
        <v>7.0</v>
      </c>
    </row>
    <row r="15">
      <c r="A15" s="55" t="s">
        <v>1850</v>
      </c>
      <c r="B15" s="122">
        <v>1.0</v>
      </c>
      <c r="C15" s="55" t="s">
        <v>2317</v>
      </c>
      <c r="D15" s="122">
        <v>56.0</v>
      </c>
      <c r="E15" s="55" t="s">
        <v>2318</v>
      </c>
      <c r="F15" s="122">
        <v>14.0</v>
      </c>
    </row>
    <row r="16">
      <c r="A16" s="55" t="s">
        <v>2321</v>
      </c>
      <c r="B16" s="122">
        <v>4.0</v>
      </c>
      <c r="C16" s="55" t="s">
        <v>549</v>
      </c>
      <c r="D16" s="122">
        <v>10.0</v>
      </c>
      <c r="E16" s="16" t="s">
        <v>1881</v>
      </c>
      <c r="F16" s="122">
        <v>2.0</v>
      </c>
    </row>
    <row r="17">
      <c r="A17" s="55" t="s">
        <v>2323</v>
      </c>
      <c r="B17" s="122">
        <v>13.0</v>
      </c>
      <c r="C17" s="55" t="s">
        <v>2323</v>
      </c>
      <c r="D17" s="122">
        <v>45.0</v>
      </c>
      <c r="E17" s="55" t="s">
        <v>2323</v>
      </c>
      <c r="F17" s="122">
        <v>11.0</v>
      </c>
    </row>
    <row r="18">
      <c r="A18" s="55" t="s">
        <v>2325</v>
      </c>
      <c r="B18" s="122">
        <v>7.0</v>
      </c>
      <c r="C18" s="55" t="s">
        <v>730</v>
      </c>
      <c r="D18" s="122">
        <v>2.0</v>
      </c>
      <c r="E18" s="55" t="s">
        <v>2325</v>
      </c>
      <c r="F18" s="122">
        <v>5.0</v>
      </c>
    </row>
    <row r="19">
      <c r="A19" s="55" t="s">
        <v>2327</v>
      </c>
      <c r="B19" s="122">
        <v>10.0</v>
      </c>
      <c r="C19" s="55" t="s">
        <v>2328</v>
      </c>
      <c r="D19" s="122">
        <v>9.0</v>
      </c>
      <c r="E19" s="16" t="s">
        <v>1995</v>
      </c>
      <c r="F19" s="122">
        <v>5.0</v>
      </c>
    </row>
    <row r="20">
      <c r="A20" s="55" t="s">
        <v>2168</v>
      </c>
      <c r="B20" s="122">
        <v>3.0</v>
      </c>
      <c r="C20" s="55" t="s">
        <v>2330</v>
      </c>
      <c r="D20" s="122">
        <v>21.0</v>
      </c>
      <c r="E20" s="55" t="s">
        <v>2168</v>
      </c>
      <c r="F20" s="122">
        <v>4.0</v>
      </c>
    </row>
    <row r="21">
      <c r="A21" s="55" t="s">
        <v>263</v>
      </c>
      <c r="B21" s="122">
        <v>4.0</v>
      </c>
      <c r="C21" s="55" t="s">
        <v>550</v>
      </c>
      <c r="D21" s="122">
        <v>4.0</v>
      </c>
      <c r="E21" s="55" t="s">
        <v>1905</v>
      </c>
      <c r="F21" s="122">
        <v>4.0</v>
      </c>
    </row>
    <row r="22">
      <c r="A22" s="55" t="s">
        <v>298</v>
      </c>
      <c r="B22" s="122">
        <v>1.0</v>
      </c>
      <c r="C22" s="55" t="s">
        <v>1693</v>
      </c>
      <c r="D22" s="122">
        <v>36.0</v>
      </c>
      <c r="E22" s="16" t="s">
        <v>1917</v>
      </c>
      <c r="F22" s="122">
        <v>6.0</v>
      </c>
    </row>
    <row r="23">
      <c r="A23" s="55" t="s">
        <v>2333</v>
      </c>
      <c r="B23" s="122">
        <v>2.0</v>
      </c>
      <c r="C23" s="55" t="s">
        <v>2334</v>
      </c>
      <c r="D23" s="122">
        <v>27.0</v>
      </c>
      <c r="E23" s="16" t="s">
        <v>1928</v>
      </c>
      <c r="F23" s="122">
        <v>9.0</v>
      </c>
    </row>
    <row r="24">
      <c r="A24" s="55" t="s">
        <v>416</v>
      </c>
      <c r="B24" s="122">
        <v>4.0</v>
      </c>
      <c r="C24" s="55" t="s">
        <v>1312</v>
      </c>
      <c r="D24" s="122">
        <v>1.0</v>
      </c>
      <c r="E24" s="16" t="s">
        <v>2087</v>
      </c>
      <c r="F24" s="122">
        <v>3.0</v>
      </c>
    </row>
    <row r="25">
      <c r="A25" s="55" t="s">
        <v>420</v>
      </c>
      <c r="B25" s="122">
        <v>1.0</v>
      </c>
      <c r="C25" s="55" t="s">
        <v>561</v>
      </c>
      <c r="D25" s="122">
        <v>30.0</v>
      </c>
      <c r="E25" s="16" t="s">
        <v>130</v>
      </c>
      <c r="F25" s="122">
        <v>1.0</v>
      </c>
    </row>
    <row r="26">
      <c r="A26" s="55" t="s">
        <v>424</v>
      </c>
      <c r="B26" s="122">
        <v>5.0</v>
      </c>
      <c r="C26" s="55" t="s">
        <v>79</v>
      </c>
      <c r="D26" s="122">
        <v>9.0</v>
      </c>
      <c r="E26" s="16" t="s">
        <v>445</v>
      </c>
      <c r="F26" s="122">
        <v>1.0</v>
      </c>
    </row>
    <row r="27">
      <c r="A27" s="55" t="s">
        <v>2336</v>
      </c>
      <c r="B27" s="122">
        <v>6.0</v>
      </c>
      <c r="C27" s="55" t="s">
        <v>2337</v>
      </c>
      <c r="D27" s="122">
        <v>120.0</v>
      </c>
      <c r="E27" s="16" t="s">
        <v>2241</v>
      </c>
      <c r="F27" s="122">
        <v>5.0</v>
      </c>
    </row>
    <row r="28">
      <c r="A28" s="55" t="s">
        <v>454</v>
      </c>
      <c r="B28" s="122">
        <v>1.0</v>
      </c>
      <c r="C28" s="55" t="s">
        <v>551</v>
      </c>
      <c r="D28" s="122">
        <v>9.0</v>
      </c>
      <c r="E28" s="16" t="s">
        <v>1969</v>
      </c>
      <c r="F28" s="122">
        <v>1.0</v>
      </c>
    </row>
    <row r="29">
      <c r="A29" s="16" t="s">
        <v>532</v>
      </c>
      <c r="B29" s="122">
        <v>1.0</v>
      </c>
      <c r="C29" s="55" t="s">
        <v>2340</v>
      </c>
      <c r="D29" s="122">
        <v>23.0</v>
      </c>
      <c r="E29" s="16" t="s">
        <v>843</v>
      </c>
      <c r="F29" s="122">
        <v>1.0</v>
      </c>
    </row>
    <row r="30">
      <c r="A30" s="55" t="s">
        <v>207</v>
      </c>
      <c r="B30" s="122">
        <v>1.0</v>
      </c>
      <c r="C30" s="55" t="s">
        <v>2342</v>
      </c>
      <c r="D30" s="122">
        <v>1.0</v>
      </c>
      <c r="E30" s="55" t="s">
        <v>2343</v>
      </c>
      <c r="F30" s="122">
        <v>13.0</v>
      </c>
    </row>
    <row r="31">
      <c r="A31" s="55" t="s">
        <v>223</v>
      </c>
      <c r="B31" s="122">
        <v>1.0</v>
      </c>
      <c r="C31" s="16" t="s">
        <v>1097</v>
      </c>
      <c r="D31" s="122">
        <v>11.0</v>
      </c>
      <c r="E31" s="16" t="s">
        <v>2242</v>
      </c>
      <c r="F31" s="122">
        <v>1.0</v>
      </c>
    </row>
    <row r="32">
      <c r="A32" s="55" t="s">
        <v>310</v>
      </c>
      <c r="B32" s="122">
        <v>3.0</v>
      </c>
      <c r="C32" s="16" t="s">
        <v>1397</v>
      </c>
      <c r="D32" s="122">
        <v>2.0</v>
      </c>
      <c r="E32" s="16" t="s">
        <v>769</v>
      </c>
      <c r="F32" s="122">
        <v>2.0</v>
      </c>
    </row>
    <row r="33">
      <c r="A33" s="55" t="s">
        <v>406</v>
      </c>
      <c r="B33" s="122">
        <v>1.0</v>
      </c>
      <c r="C33" s="55" t="s">
        <v>2344</v>
      </c>
      <c r="D33" s="122">
        <v>1.0</v>
      </c>
      <c r="E33" s="16" t="s">
        <v>116</v>
      </c>
      <c r="F33" s="122">
        <v>1.0</v>
      </c>
    </row>
    <row r="34">
      <c r="A34" s="55" t="s">
        <v>329</v>
      </c>
      <c r="B34" s="122">
        <v>1.0</v>
      </c>
      <c r="C34" s="55" t="s">
        <v>683</v>
      </c>
      <c r="D34" s="122">
        <v>1.0</v>
      </c>
      <c r="E34" s="55" t="s">
        <v>2192</v>
      </c>
      <c r="F34" s="122">
        <v>1.0</v>
      </c>
    </row>
    <row r="35">
      <c r="A35" s="16" t="s">
        <v>348</v>
      </c>
      <c r="B35" s="122">
        <v>1.0</v>
      </c>
      <c r="C35" s="55" t="s">
        <v>2346</v>
      </c>
      <c r="D35" s="122">
        <v>1.0</v>
      </c>
      <c r="E35" s="16" t="s">
        <v>1980</v>
      </c>
      <c r="F35" s="122">
        <v>1.0</v>
      </c>
    </row>
    <row r="36">
      <c r="A36" s="16" t="s">
        <v>451</v>
      </c>
      <c r="B36" s="122">
        <v>1.0</v>
      </c>
      <c r="C36" s="55" t="s">
        <v>2347</v>
      </c>
      <c r="D36" s="122">
        <v>1.0</v>
      </c>
      <c r="E36" s="104"/>
      <c r="F36" s="104"/>
    </row>
    <row r="37">
      <c r="A37" s="55" t="s">
        <v>467</v>
      </c>
      <c r="B37" s="122">
        <v>1.0</v>
      </c>
      <c r="C37" s="55" t="s">
        <v>2348</v>
      </c>
      <c r="D37" s="122">
        <v>2.0</v>
      </c>
      <c r="E37" s="104"/>
      <c r="F37" s="104"/>
    </row>
    <row r="38">
      <c r="A38" s="16" t="s">
        <v>528</v>
      </c>
      <c r="B38" s="122">
        <v>1.0</v>
      </c>
      <c r="C38" s="16" t="s">
        <v>528</v>
      </c>
      <c r="D38" s="122">
        <v>3.0</v>
      </c>
      <c r="E38" s="104"/>
      <c r="F38" s="104"/>
    </row>
    <row r="39">
      <c r="A39" s="104"/>
      <c r="B39" s="104"/>
      <c r="C39" s="55" t="s">
        <v>1803</v>
      </c>
      <c r="D39" s="122">
        <v>1.0</v>
      </c>
      <c r="E39" s="104"/>
      <c r="F39" s="104"/>
    </row>
  </sheetData>
  <mergeCells count="5">
    <mergeCell ref="B2:D3"/>
    <mergeCell ref="A8:F8"/>
    <mergeCell ref="A9:B9"/>
    <mergeCell ref="C9:D9"/>
    <mergeCell ref="E9:F9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2" max="2" width="19.88"/>
    <col customWidth="1" min="4" max="4" width="24.63"/>
    <col customWidth="1" min="6" max="6" width="24.63"/>
  </cols>
  <sheetData>
    <row r="1">
      <c r="C1" s="42" t="s">
        <v>29</v>
      </c>
      <c r="D1" s="28"/>
      <c r="E1" s="29"/>
    </row>
    <row r="2">
      <c r="B2" s="33" t="s">
        <v>2265</v>
      </c>
      <c r="C2" s="30"/>
      <c r="D2" s="31"/>
      <c r="E2" s="32"/>
    </row>
    <row r="3">
      <c r="B3" s="33" t="s">
        <v>2266</v>
      </c>
      <c r="C3" s="36">
        <v>11.0</v>
      </c>
      <c r="D3" s="35"/>
      <c r="E3" s="35"/>
    </row>
    <row r="4">
      <c r="B4" s="33" t="s">
        <v>606</v>
      </c>
      <c r="C4" s="36">
        <v>32.0</v>
      </c>
      <c r="D4" s="35"/>
      <c r="E4" s="35"/>
    </row>
    <row r="5">
      <c r="B5" s="33" t="s">
        <v>1875</v>
      </c>
      <c r="C5" s="36">
        <v>27.0</v>
      </c>
      <c r="D5" s="35"/>
      <c r="E5" s="35"/>
    </row>
    <row r="6">
      <c r="B6" s="33" t="s">
        <v>2267</v>
      </c>
      <c r="C6" s="37">
        <f>SUM(C3:C5)</f>
        <v>70</v>
      </c>
      <c r="D6" s="37"/>
      <c r="E6" s="37"/>
    </row>
    <row r="7">
      <c r="B7" s="117" t="s">
        <v>2303</v>
      </c>
      <c r="C7" s="22"/>
      <c r="D7" s="22"/>
      <c r="E7" s="22"/>
      <c r="F7" s="22"/>
      <c r="G7" s="23"/>
    </row>
    <row r="8">
      <c r="B8" s="120" t="s">
        <v>2270</v>
      </c>
      <c r="C8" s="23"/>
      <c r="D8" s="120" t="s">
        <v>606</v>
      </c>
      <c r="E8" s="23"/>
      <c r="F8" s="120" t="s">
        <v>1875</v>
      </c>
      <c r="G8" s="23"/>
    </row>
    <row r="9">
      <c r="B9" s="121" t="s">
        <v>2303</v>
      </c>
      <c r="C9" s="121" t="s">
        <v>2307</v>
      </c>
      <c r="D9" s="121" t="s">
        <v>2303</v>
      </c>
      <c r="E9" s="121" t="s">
        <v>2307</v>
      </c>
      <c r="F9" s="121" t="s">
        <v>2303</v>
      </c>
      <c r="G9" s="121" t="s">
        <v>2307</v>
      </c>
    </row>
    <row r="10">
      <c r="B10" s="55" t="s">
        <v>224</v>
      </c>
      <c r="C10" s="122">
        <v>1.0</v>
      </c>
      <c r="D10" s="55" t="s">
        <v>552</v>
      </c>
      <c r="E10" s="122">
        <v>14.0</v>
      </c>
      <c r="F10" s="55" t="s">
        <v>2309</v>
      </c>
      <c r="G10" s="122">
        <v>28.0</v>
      </c>
    </row>
    <row r="11">
      <c r="B11" s="55" t="s">
        <v>237</v>
      </c>
      <c r="C11" s="122">
        <v>2.0</v>
      </c>
      <c r="D11" s="55" t="s">
        <v>582</v>
      </c>
      <c r="E11" s="122">
        <v>3.0</v>
      </c>
      <c r="F11" s="16" t="s">
        <v>2065</v>
      </c>
      <c r="G11" s="122">
        <v>15.0</v>
      </c>
    </row>
    <row r="12">
      <c r="B12" s="55" t="s">
        <v>274</v>
      </c>
      <c r="C12" s="122">
        <v>1.0</v>
      </c>
      <c r="D12" s="55" t="s">
        <v>1863</v>
      </c>
      <c r="E12" s="122">
        <v>7.0</v>
      </c>
      <c r="F12" s="55" t="s">
        <v>2315</v>
      </c>
      <c r="G12" s="122">
        <v>10.0</v>
      </c>
    </row>
    <row r="13">
      <c r="B13" s="55" t="s">
        <v>316</v>
      </c>
      <c r="C13" s="122">
        <v>1.0</v>
      </c>
      <c r="D13" s="55" t="s">
        <v>1813</v>
      </c>
      <c r="E13" s="122">
        <v>2.0</v>
      </c>
      <c r="F13" s="55" t="s">
        <v>1929</v>
      </c>
      <c r="G13" s="122">
        <v>4.0</v>
      </c>
    </row>
    <row r="14">
      <c r="B14" s="55" t="s">
        <v>339</v>
      </c>
      <c r="C14" s="122">
        <v>1.0</v>
      </c>
      <c r="D14" s="55" t="s">
        <v>1264</v>
      </c>
      <c r="E14" s="122">
        <v>1.0</v>
      </c>
      <c r="F14" s="55" t="s">
        <v>1946</v>
      </c>
      <c r="G14" s="122">
        <v>3.0</v>
      </c>
    </row>
    <row r="15">
      <c r="B15" s="55" t="s">
        <v>366</v>
      </c>
      <c r="C15" s="122">
        <v>1.0</v>
      </c>
      <c r="D15" s="55" t="s">
        <v>612</v>
      </c>
      <c r="E15" s="122">
        <v>6.0</v>
      </c>
      <c r="F15" s="55" t="s">
        <v>1955</v>
      </c>
      <c r="G15" s="122">
        <v>2.0</v>
      </c>
    </row>
    <row r="16">
      <c r="B16" s="55" t="s">
        <v>386</v>
      </c>
      <c r="C16" s="122">
        <v>1.0</v>
      </c>
      <c r="D16" s="55" t="s">
        <v>688</v>
      </c>
      <c r="E16" s="122">
        <v>1.0</v>
      </c>
      <c r="F16" s="55" t="s">
        <v>2096</v>
      </c>
      <c r="G16" s="122">
        <v>8.0</v>
      </c>
    </row>
    <row r="17">
      <c r="B17" s="55" t="s">
        <v>394</v>
      </c>
      <c r="C17" s="122">
        <v>1.0</v>
      </c>
      <c r="D17" s="55" t="s">
        <v>554</v>
      </c>
      <c r="E17" s="122">
        <v>5.0</v>
      </c>
      <c r="F17" s="55" t="s">
        <v>2003</v>
      </c>
      <c r="G17" s="122">
        <v>1.0</v>
      </c>
    </row>
    <row r="18">
      <c r="B18" s="55" t="s">
        <v>437</v>
      </c>
      <c r="C18" s="122">
        <v>2.0</v>
      </c>
      <c r="D18" s="55" t="s">
        <v>2329</v>
      </c>
      <c r="E18" s="122">
        <v>17.0</v>
      </c>
      <c r="F18" s="55" t="s">
        <v>1104</v>
      </c>
      <c r="G18" s="122">
        <v>1.0</v>
      </c>
    </row>
    <row r="19">
      <c r="B19" s="55" t="s">
        <v>522</v>
      </c>
      <c r="C19" s="122">
        <v>1.0</v>
      </c>
      <c r="D19" s="55" t="s">
        <v>1126</v>
      </c>
      <c r="E19" s="122">
        <v>14.0</v>
      </c>
      <c r="F19" s="55" t="s">
        <v>2004</v>
      </c>
      <c r="G19" s="122">
        <v>1.0</v>
      </c>
    </row>
    <row r="20">
      <c r="B20" s="55" t="s">
        <v>340</v>
      </c>
      <c r="C20" s="122">
        <v>1.0</v>
      </c>
      <c r="D20" s="55" t="s">
        <v>830</v>
      </c>
      <c r="E20" s="122">
        <v>2.0</v>
      </c>
      <c r="F20" s="55" t="s">
        <v>2024</v>
      </c>
      <c r="G20" s="122">
        <v>1.0</v>
      </c>
    </row>
    <row r="21">
      <c r="B21" s="55"/>
      <c r="C21" s="104"/>
      <c r="D21" s="55" t="s">
        <v>875</v>
      </c>
      <c r="E21" s="122">
        <v>3.0</v>
      </c>
      <c r="F21" s="55" t="s">
        <v>2161</v>
      </c>
      <c r="G21" s="122">
        <v>1.0</v>
      </c>
    </row>
    <row r="22">
      <c r="B22" s="55"/>
      <c r="C22" s="104"/>
      <c r="D22" s="55" t="s">
        <v>1021</v>
      </c>
      <c r="E22" s="122">
        <v>3.0</v>
      </c>
      <c r="F22" s="55" t="s">
        <v>2215</v>
      </c>
      <c r="G22" s="122">
        <v>4.0</v>
      </c>
    </row>
    <row r="23">
      <c r="B23" s="104"/>
      <c r="C23" s="104"/>
      <c r="D23" s="55" t="s">
        <v>716</v>
      </c>
      <c r="E23" s="122">
        <v>1.0</v>
      </c>
      <c r="F23" s="55" t="s">
        <v>2023</v>
      </c>
      <c r="G23" s="122">
        <v>1.0</v>
      </c>
    </row>
    <row r="24">
      <c r="B24" s="104"/>
      <c r="C24" s="104"/>
      <c r="D24" s="55" t="s">
        <v>795</v>
      </c>
      <c r="E24" s="122">
        <v>1.0</v>
      </c>
      <c r="F24" s="55" t="s">
        <v>2033</v>
      </c>
      <c r="G24" s="122">
        <v>1.0</v>
      </c>
    </row>
    <row r="25">
      <c r="B25" s="104"/>
      <c r="C25" s="104"/>
      <c r="D25" s="55" t="s">
        <v>2335</v>
      </c>
      <c r="E25" s="122">
        <v>5.0</v>
      </c>
      <c r="F25" s="55" t="s">
        <v>2145</v>
      </c>
      <c r="G25" s="122">
        <v>4.0</v>
      </c>
    </row>
    <row r="26">
      <c r="B26" s="104"/>
      <c r="C26" s="104"/>
      <c r="D26" s="55" t="s">
        <v>1184</v>
      </c>
      <c r="E26" s="122">
        <v>1.0</v>
      </c>
      <c r="F26" s="55" t="s">
        <v>2160</v>
      </c>
      <c r="G26" s="122">
        <v>1.0</v>
      </c>
    </row>
    <row r="27">
      <c r="B27" s="104"/>
      <c r="C27" s="104"/>
      <c r="D27" s="55" t="s">
        <v>1104</v>
      </c>
      <c r="E27" s="122">
        <v>7.0</v>
      </c>
      <c r="F27" s="16"/>
      <c r="G27" s="122">
        <v>1.0</v>
      </c>
    </row>
    <row r="28">
      <c r="B28" s="104"/>
      <c r="C28" s="104"/>
      <c r="D28" s="55" t="s">
        <v>864</v>
      </c>
      <c r="E28" s="122">
        <v>1.0</v>
      </c>
      <c r="F28" s="55"/>
      <c r="G28" s="122">
        <v>1.0</v>
      </c>
    </row>
    <row r="29">
      <c r="B29" s="104"/>
      <c r="C29" s="104"/>
      <c r="D29" s="55" t="s">
        <v>1857</v>
      </c>
      <c r="E29" s="122">
        <v>2.0</v>
      </c>
      <c r="F29" s="55" t="s">
        <v>2184</v>
      </c>
      <c r="G29" s="122">
        <v>1.0</v>
      </c>
    </row>
    <row r="30">
      <c r="B30" s="104"/>
      <c r="C30" s="104"/>
      <c r="D30" s="55" t="s">
        <v>1379</v>
      </c>
      <c r="E30" s="122">
        <v>2.0</v>
      </c>
      <c r="F30" s="55" t="s">
        <v>2200</v>
      </c>
      <c r="G30" s="122">
        <v>1.0</v>
      </c>
    </row>
    <row r="31">
      <c r="B31" s="104"/>
      <c r="C31" s="104"/>
      <c r="D31" s="55" t="s">
        <v>1842</v>
      </c>
      <c r="E31" s="122">
        <v>1.0</v>
      </c>
      <c r="F31" s="55" t="s">
        <v>2054</v>
      </c>
      <c r="G31" s="122">
        <v>1.0</v>
      </c>
    </row>
    <row r="32">
      <c r="B32" s="104"/>
      <c r="C32" s="104"/>
      <c r="D32" s="55" t="s">
        <v>1265</v>
      </c>
      <c r="E32" s="122">
        <v>1.0</v>
      </c>
      <c r="F32" s="55" t="s">
        <v>2185</v>
      </c>
      <c r="G32" s="122">
        <v>1.0</v>
      </c>
    </row>
    <row r="33">
      <c r="B33" s="104"/>
      <c r="C33" s="104"/>
      <c r="D33" s="55" t="s">
        <v>1658</v>
      </c>
      <c r="E33" s="122">
        <v>4.0</v>
      </c>
      <c r="F33" s="55" t="s">
        <v>295</v>
      </c>
      <c r="G33" s="122">
        <v>1.0</v>
      </c>
    </row>
    <row r="34">
      <c r="B34" s="104"/>
      <c r="C34" s="104"/>
      <c r="D34" s="55" t="s">
        <v>882</v>
      </c>
      <c r="E34" s="122">
        <v>1.0</v>
      </c>
      <c r="F34" s="55" t="s">
        <v>2245</v>
      </c>
      <c r="G34" s="122">
        <v>1.0</v>
      </c>
    </row>
    <row r="35">
      <c r="B35" s="104"/>
      <c r="C35" s="104"/>
      <c r="D35" s="55" t="s">
        <v>1222</v>
      </c>
      <c r="E35" s="122">
        <v>1.0</v>
      </c>
      <c r="F35" s="55" t="s">
        <v>2090</v>
      </c>
      <c r="G35" s="122">
        <v>1.0</v>
      </c>
    </row>
    <row r="36">
      <c r="B36" s="104"/>
      <c r="C36" s="104"/>
      <c r="D36" s="55" t="s">
        <v>1568</v>
      </c>
      <c r="E36" s="122">
        <v>1.0</v>
      </c>
      <c r="F36" s="55" t="s">
        <v>2162</v>
      </c>
      <c r="G36" s="122">
        <v>1.0</v>
      </c>
    </row>
    <row r="37">
      <c r="B37" s="104"/>
      <c r="C37" s="104"/>
      <c r="D37" s="55" t="s">
        <v>1457</v>
      </c>
      <c r="E37" s="122">
        <v>1.0</v>
      </c>
      <c r="F37" s="104"/>
      <c r="G37" s="104"/>
    </row>
    <row r="38">
      <c r="B38" s="104"/>
      <c r="C38" s="104"/>
      <c r="D38" s="55" t="s">
        <v>1526</v>
      </c>
      <c r="E38" s="122">
        <v>1.0</v>
      </c>
      <c r="F38" s="104"/>
      <c r="G38" s="104"/>
    </row>
    <row r="39">
      <c r="B39" s="104"/>
      <c r="C39" s="104"/>
      <c r="D39" s="55" t="s">
        <v>1806</v>
      </c>
      <c r="E39" s="122">
        <v>1.0</v>
      </c>
      <c r="F39" s="104"/>
      <c r="G39" s="104"/>
    </row>
    <row r="40">
      <c r="B40" s="104"/>
      <c r="C40" s="104"/>
      <c r="D40" s="55" t="s">
        <v>613</v>
      </c>
      <c r="E40" s="122">
        <v>1.0</v>
      </c>
      <c r="F40" s="104"/>
      <c r="G40" s="104"/>
    </row>
    <row r="41">
      <c r="B41" s="104"/>
      <c r="C41" s="104"/>
      <c r="D41" s="55" t="s">
        <v>883</v>
      </c>
      <c r="E41" s="122">
        <v>1.0</v>
      </c>
      <c r="F41" s="104"/>
      <c r="G41" s="104"/>
    </row>
  </sheetData>
  <mergeCells count="5">
    <mergeCell ref="C1:E2"/>
    <mergeCell ref="B7:G7"/>
    <mergeCell ref="B8:C8"/>
    <mergeCell ref="D8:E8"/>
    <mergeCell ref="F8:G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17</v>
      </c>
      <c r="C2" s="28"/>
      <c r="D2" s="28"/>
      <c r="E2" s="28"/>
      <c r="F2" s="28"/>
      <c r="G2" s="29"/>
    </row>
    <row r="3">
      <c r="B3" s="30"/>
      <c r="C3" s="31"/>
      <c r="D3" s="31"/>
      <c r="E3" s="31"/>
      <c r="F3" s="31"/>
      <c r="G3" s="32"/>
    </row>
    <row r="4">
      <c r="A4" s="33" t="s">
        <v>2265</v>
      </c>
      <c r="B4" s="85" t="s">
        <v>73</v>
      </c>
      <c r="C4" s="85" t="s">
        <v>74</v>
      </c>
      <c r="D4" s="85" t="s">
        <v>75</v>
      </c>
      <c r="E4" s="85" t="s">
        <v>76</v>
      </c>
      <c r="F4" s="85" t="s">
        <v>77</v>
      </c>
      <c r="G4" s="85" t="s">
        <v>45</v>
      </c>
    </row>
    <row r="5">
      <c r="A5" s="33" t="s">
        <v>2266</v>
      </c>
      <c r="B5" s="36">
        <v>3.0</v>
      </c>
      <c r="C5" s="36">
        <v>9.0</v>
      </c>
      <c r="D5" s="36">
        <v>1.0</v>
      </c>
      <c r="E5" s="36">
        <v>10.0</v>
      </c>
      <c r="F5" s="36">
        <v>13.0</v>
      </c>
      <c r="G5" s="36">
        <v>1.0</v>
      </c>
    </row>
    <row r="6">
      <c r="A6" s="33" t="s">
        <v>606</v>
      </c>
      <c r="B6" s="36">
        <v>54.0</v>
      </c>
      <c r="C6" s="36">
        <v>60.0</v>
      </c>
      <c r="D6" s="36">
        <v>9.0</v>
      </c>
      <c r="E6" s="36">
        <v>44.0</v>
      </c>
      <c r="F6" s="36">
        <v>98.0</v>
      </c>
      <c r="G6" s="36">
        <v>5.0</v>
      </c>
    </row>
    <row r="7">
      <c r="A7" s="33" t="s">
        <v>1875</v>
      </c>
      <c r="B7" s="36">
        <v>17.0</v>
      </c>
      <c r="C7" s="36">
        <v>14.0</v>
      </c>
      <c r="D7" s="36">
        <v>5.0</v>
      </c>
      <c r="E7" s="36">
        <v>20.0</v>
      </c>
      <c r="F7" s="36">
        <v>27.0</v>
      </c>
      <c r="G7" s="35"/>
    </row>
    <row r="8">
      <c r="A8" s="33" t="s">
        <v>2267</v>
      </c>
      <c r="B8" s="37">
        <f t="shared" ref="B8:G8" si="1">SUM(B5:B7)</f>
        <v>74</v>
      </c>
      <c r="C8" s="37">
        <f t="shared" si="1"/>
        <v>83</v>
      </c>
      <c r="D8" s="37">
        <f t="shared" si="1"/>
        <v>15</v>
      </c>
      <c r="E8" s="37">
        <f t="shared" si="1"/>
        <v>74</v>
      </c>
      <c r="F8" s="37">
        <f t="shared" si="1"/>
        <v>138</v>
      </c>
      <c r="G8" s="37">
        <f t="shared" si="1"/>
        <v>6</v>
      </c>
    </row>
    <row r="11">
      <c r="B11" s="128" t="s">
        <v>73</v>
      </c>
      <c r="C11" s="128" t="s">
        <v>74</v>
      </c>
      <c r="D11" s="128" t="s">
        <v>75</v>
      </c>
      <c r="E11" s="128" t="s">
        <v>76</v>
      </c>
      <c r="F11" s="128" t="s">
        <v>77</v>
      </c>
      <c r="G11" s="128" t="s">
        <v>45</v>
      </c>
    </row>
    <row r="12" ht="22.5" customHeight="1">
      <c r="A12" s="33" t="s">
        <v>2272</v>
      </c>
      <c r="B12" s="73">
        <f t="shared" ref="B12:G12" si="2">B8/390*100</f>
        <v>18.97435897</v>
      </c>
      <c r="C12" s="73">
        <f t="shared" si="2"/>
        <v>21.28205128</v>
      </c>
      <c r="D12" s="73">
        <f t="shared" si="2"/>
        <v>3.846153846</v>
      </c>
      <c r="E12" s="73">
        <f t="shared" si="2"/>
        <v>18.97435897</v>
      </c>
      <c r="F12" s="73">
        <f t="shared" si="2"/>
        <v>35.38461538</v>
      </c>
      <c r="G12" s="73">
        <f t="shared" si="2"/>
        <v>1.538461538</v>
      </c>
    </row>
    <row r="15">
      <c r="B15" s="129" t="s">
        <v>17</v>
      </c>
      <c r="C15" s="111"/>
      <c r="D15" s="111"/>
      <c r="E15" s="111"/>
      <c r="F15" s="111"/>
      <c r="G15" s="112"/>
    </row>
    <row r="16">
      <c r="B16" s="130"/>
      <c r="C16" s="131"/>
      <c r="D16" s="131"/>
      <c r="E16" s="131"/>
      <c r="F16" s="131"/>
      <c r="G16" s="132"/>
    </row>
    <row r="17">
      <c r="A17" s="133" t="s">
        <v>2353</v>
      </c>
      <c r="B17" s="93" t="s">
        <v>73</v>
      </c>
      <c r="C17" s="93" t="s">
        <v>74</v>
      </c>
      <c r="D17" s="93" t="s">
        <v>75</v>
      </c>
      <c r="E17" s="93" t="s">
        <v>76</v>
      </c>
      <c r="F17" s="93" t="s">
        <v>77</v>
      </c>
      <c r="G17" s="93" t="s">
        <v>45</v>
      </c>
    </row>
    <row r="18" ht="26.25" customHeight="1">
      <c r="A18" s="133" t="s">
        <v>2354</v>
      </c>
      <c r="B18" s="134">
        <v>74.0</v>
      </c>
      <c r="C18" s="134">
        <v>83.0</v>
      </c>
      <c r="D18" s="134">
        <v>15.0</v>
      </c>
      <c r="E18" s="134">
        <v>74.0</v>
      </c>
      <c r="F18" s="134">
        <v>138.0</v>
      </c>
      <c r="G18" s="134">
        <v>6.0</v>
      </c>
    </row>
    <row r="24">
      <c r="B24" s="103" t="s">
        <v>2298</v>
      </c>
      <c r="C24" s="22"/>
      <c r="D24" s="22"/>
      <c r="E24" s="22"/>
      <c r="F24" s="22"/>
      <c r="G24" s="22"/>
      <c r="H24" s="23"/>
    </row>
    <row r="25">
      <c r="B25" s="63" t="s">
        <v>2276</v>
      </c>
      <c r="C25" s="104" t="s">
        <v>363</v>
      </c>
      <c r="D25" s="104" t="s">
        <v>729</v>
      </c>
      <c r="E25" s="104" t="s">
        <v>1050</v>
      </c>
      <c r="F25" s="104" t="s">
        <v>1205</v>
      </c>
      <c r="G25" s="104" t="s">
        <v>1632</v>
      </c>
      <c r="H25" s="92" t="s">
        <v>2278</v>
      </c>
    </row>
    <row r="26">
      <c r="B26" s="48" t="s">
        <v>2270</v>
      </c>
      <c r="C26" s="35">
        <v>1.0</v>
      </c>
      <c r="D26" s="35"/>
      <c r="E26" s="35"/>
      <c r="F26" s="35"/>
      <c r="G26" s="35"/>
      <c r="H26" s="35">
        <f t="shared" ref="H26:H27" si="3">SUM(C26:G26)</f>
        <v>1</v>
      </c>
    </row>
    <row r="27">
      <c r="B27" s="48" t="s">
        <v>547</v>
      </c>
      <c r="C27" s="35"/>
      <c r="D27" s="35">
        <v>1.0</v>
      </c>
      <c r="E27" s="35">
        <v>1.0</v>
      </c>
      <c r="F27" s="35">
        <v>1.0</v>
      </c>
      <c r="G27" s="35">
        <v>2.0</v>
      </c>
      <c r="H27" s="35">
        <f t="shared" si="3"/>
        <v>5</v>
      </c>
    </row>
  </sheetData>
  <mergeCells count="3">
    <mergeCell ref="B2:G3"/>
    <mergeCell ref="B15:G16"/>
    <mergeCell ref="B24:H2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16</v>
      </c>
      <c r="C2" s="28"/>
      <c r="D2" s="28"/>
      <c r="E2" s="28"/>
      <c r="F2" s="28"/>
      <c r="G2" s="28"/>
      <c r="H2" s="28"/>
      <c r="I2" s="29"/>
    </row>
    <row r="3">
      <c r="B3" s="30"/>
      <c r="C3" s="31"/>
      <c r="D3" s="31"/>
      <c r="E3" s="31"/>
      <c r="F3" s="31"/>
      <c r="G3" s="31"/>
      <c r="H3" s="31"/>
      <c r="I3" s="32"/>
    </row>
    <row r="4">
      <c r="A4" s="33" t="s">
        <v>2265</v>
      </c>
      <c r="B4" s="85" t="s">
        <v>65</v>
      </c>
      <c r="C4" s="85" t="s">
        <v>66</v>
      </c>
      <c r="D4" s="85" t="s">
        <v>67</v>
      </c>
      <c r="E4" s="85" t="s">
        <v>68</v>
      </c>
      <c r="F4" s="85" t="s">
        <v>69</v>
      </c>
      <c r="G4" s="85" t="s">
        <v>70</v>
      </c>
      <c r="H4" s="85" t="s">
        <v>71</v>
      </c>
      <c r="I4" s="85" t="s">
        <v>72</v>
      </c>
    </row>
    <row r="5">
      <c r="A5" s="33" t="s">
        <v>2266</v>
      </c>
      <c r="B5" s="36">
        <v>38.0</v>
      </c>
      <c r="C5" s="36">
        <v>5.0</v>
      </c>
      <c r="D5" s="36">
        <v>20.0</v>
      </c>
      <c r="E5" s="36">
        <v>64.0</v>
      </c>
      <c r="F5" s="36">
        <v>26.0</v>
      </c>
      <c r="G5" s="36">
        <v>26.0</v>
      </c>
      <c r="H5" s="36">
        <v>18.0</v>
      </c>
      <c r="I5" s="36">
        <v>9.0</v>
      </c>
    </row>
    <row r="6">
      <c r="A6" s="33" t="s">
        <v>606</v>
      </c>
      <c r="B6" s="36">
        <v>180.0</v>
      </c>
      <c r="C6" s="36">
        <v>18.0</v>
      </c>
      <c r="D6" s="36">
        <v>49.0</v>
      </c>
      <c r="E6" s="36">
        <v>290.0</v>
      </c>
      <c r="F6" s="36">
        <v>101.0</v>
      </c>
      <c r="G6" s="36">
        <v>101.0</v>
      </c>
      <c r="H6" s="36">
        <v>95.0</v>
      </c>
      <c r="I6" s="36">
        <v>38.0</v>
      </c>
    </row>
    <row r="7">
      <c r="A7" s="33" t="s">
        <v>1875</v>
      </c>
      <c r="B7" s="36">
        <v>38.0</v>
      </c>
      <c r="C7" s="36">
        <v>9.0</v>
      </c>
      <c r="D7" s="36">
        <v>17.0</v>
      </c>
      <c r="E7" s="36">
        <v>68.0</v>
      </c>
      <c r="F7" s="36">
        <v>18.0</v>
      </c>
      <c r="G7" s="36">
        <v>16.0</v>
      </c>
      <c r="H7" s="36">
        <v>15.0</v>
      </c>
      <c r="I7" s="36">
        <v>3.0</v>
      </c>
    </row>
    <row r="8">
      <c r="A8" s="33" t="s">
        <v>2267</v>
      </c>
      <c r="B8" s="37">
        <f t="shared" ref="B8:I8" si="1">SUM(B5:B7)</f>
        <v>256</v>
      </c>
      <c r="C8" s="37">
        <f t="shared" si="1"/>
        <v>32</v>
      </c>
      <c r="D8" s="37">
        <f t="shared" si="1"/>
        <v>86</v>
      </c>
      <c r="E8" s="37">
        <f t="shared" si="1"/>
        <v>422</v>
      </c>
      <c r="F8" s="37">
        <f t="shared" si="1"/>
        <v>145</v>
      </c>
      <c r="G8" s="37">
        <f t="shared" si="1"/>
        <v>143</v>
      </c>
      <c r="H8" s="37">
        <f t="shared" si="1"/>
        <v>128</v>
      </c>
      <c r="I8" s="37">
        <f t="shared" si="1"/>
        <v>50</v>
      </c>
    </row>
    <row r="12">
      <c r="B12" s="85" t="s">
        <v>65</v>
      </c>
      <c r="C12" s="85" t="s">
        <v>66</v>
      </c>
      <c r="D12" s="85" t="s">
        <v>67</v>
      </c>
      <c r="E12" s="85" t="s">
        <v>68</v>
      </c>
      <c r="F12" s="85" t="s">
        <v>69</v>
      </c>
      <c r="G12" s="85" t="s">
        <v>70</v>
      </c>
      <c r="H12" s="85" t="s">
        <v>71</v>
      </c>
      <c r="I12" s="85" t="s">
        <v>72</v>
      </c>
    </row>
    <row r="13">
      <c r="A13" s="33" t="s">
        <v>2272</v>
      </c>
      <c r="B13" s="73">
        <f t="shared" ref="B13:I13" si="2">B8/1262*100</f>
        <v>20.28526149</v>
      </c>
      <c r="C13" s="73">
        <f t="shared" si="2"/>
        <v>2.535657686</v>
      </c>
      <c r="D13" s="73">
        <f t="shared" si="2"/>
        <v>6.814580032</v>
      </c>
      <c r="E13" s="73">
        <f t="shared" si="2"/>
        <v>33.43898574</v>
      </c>
      <c r="F13" s="73">
        <f t="shared" si="2"/>
        <v>11.48969889</v>
      </c>
      <c r="G13" s="73">
        <f t="shared" si="2"/>
        <v>11.33122029</v>
      </c>
      <c r="H13" s="73">
        <f t="shared" si="2"/>
        <v>10.14263074</v>
      </c>
      <c r="I13" s="73">
        <f t="shared" si="2"/>
        <v>3.961965135</v>
      </c>
    </row>
    <row r="16">
      <c r="A16" s="133" t="s">
        <v>2355</v>
      </c>
      <c r="B16" s="89" t="s">
        <v>65</v>
      </c>
      <c r="C16" s="89" t="s">
        <v>66</v>
      </c>
      <c r="D16" s="89" t="s">
        <v>67</v>
      </c>
      <c r="E16" s="89" t="s">
        <v>68</v>
      </c>
      <c r="F16" s="89" t="s">
        <v>69</v>
      </c>
      <c r="G16" s="89" t="s">
        <v>70</v>
      </c>
      <c r="H16" s="89" t="s">
        <v>71</v>
      </c>
      <c r="I16" s="89" t="s">
        <v>72</v>
      </c>
    </row>
    <row r="17">
      <c r="A17" s="133" t="s">
        <v>2356</v>
      </c>
      <c r="B17" s="135">
        <v>256.0</v>
      </c>
      <c r="C17" s="135">
        <v>32.0</v>
      </c>
      <c r="D17" s="135">
        <v>86.0</v>
      </c>
      <c r="E17" s="135">
        <v>422.0</v>
      </c>
      <c r="F17" s="135">
        <v>145.0</v>
      </c>
      <c r="G17" s="135">
        <v>143.0</v>
      </c>
      <c r="H17" s="135">
        <v>128.0</v>
      </c>
      <c r="I17" s="135">
        <v>50.0</v>
      </c>
    </row>
    <row r="23">
      <c r="A23" s="102" t="s">
        <v>2297</v>
      </c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</row>
    <row r="24">
      <c r="A24" s="63" t="s">
        <v>2276</v>
      </c>
      <c r="B24" s="16" t="s">
        <v>182</v>
      </c>
      <c r="C24" s="16" t="s">
        <v>291</v>
      </c>
      <c r="D24" s="16" t="s">
        <v>370</v>
      </c>
      <c r="E24" s="16" t="s">
        <v>465</v>
      </c>
      <c r="F24" s="16" t="s">
        <v>473</v>
      </c>
      <c r="G24" s="16" t="s">
        <v>493</v>
      </c>
      <c r="H24" s="16" t="s">
        <v>493</v>
      </c>
      <c r="I24" s="16" t="s">
        <v>517</v>
      </c>
      <c r="J24" s="16" t="s">
        <v>536</v>
      </c>
      <c r="K24" s="16" t="s">
        <v>589</v>
      </c>
      <c r="L24" s="16" t="s">
        <v>589</v>
      </c>
      <c r="M24" s="16" t="s">
        <v>593</v>
      </c>
      <c r="N24" s="16" t="s">
        <v>696</v>
      </c>
      <c r="O24" s="16" t="s">
        <v>769</v>
      </c>
      <c r="P24" s="16" t="s">
        <v>773</v>
      </c>
      <c r="Q24" s="16" t="s">
        <v>783</v>
      </c>
      <c r="R24" s="16" t="s">
        <v>792</v>
      </c>
      <c r="S24" s="16" t="s">
        <v>799</v>
      </c>
      <c r="T24" s="16" t="s">
        <v>866</v>
      </c>
      <c r="U24" s="16" t="s">
        <v>911</v>
      </c>
      <c r="V24" s="16" t="s">
        <v>1012</v>
      </c>
      <c r="W24" s="16" t="s">
        <v>1040</v>
      </c>
      <c r="X24" s="16" t="s">
        <v>1064</v>
      </c>
      <c r="Y24" s="16" t="s">
        <v>1074</v>
      </c>
      <c r="Z24" s="16" t="s">
        <v>1074</v>
      </c>
      <c r="AA24" s="16" t="s">
        <v>1074</v>
      </c>
      <c r="AB24" s="16" t="s">
        <v>1198</v>
      </c>
      <c r="AC24" s="16" t="s">
        <v>1283</v>
      </c>
      <c r="AD24" s="16" t="s">
        <v>1325</v>
      </c>
      <c r="AE24" s="16" t="s">
        <v>1364</v>
      </c>
      <c r="AF24" s="16" t="s">
        <v>1478</v>
      </c>
      <c r="AG24" s="16" t="s">
        <v>1498</v>
      </c>
      <c r="AH24" s="16" t="s">
        <v>1522</v>
      </c>
      <c r="AI24" s="16" t="s">
        <v>1546</v>
      </c>
      <c r="AJ24" s="16" t="s">
        <v>783</v>
      </c>
      <c r="AK24" s="16" t="s">
        <v>1677</v>
      </c>
      <c r="AL24" s="16" t="s">
        <v>1682</v>
      </c>
      <c r="AM24" s="16" t="s">
        <v>1691</v>
      </c>
      <c r="AN24" s="16" t="s">
        <v>1700</v>
      </c>
      <c r="AO24" s="16" t="s">
        <v>1718</v>
      </c>
      <c r="AP24" s="16" t="s">
        <v>1727</v>
      </c>
      <c r="AQ24" s="16" t="s">
        <v>1739</v>
      </c>
      <c r="AR24" s="16" t="s">
        <v>1752</v>
      </c>
      <c r="AS24" s="16" t="s">
        <v>1772</v>
      </c>
      <c r="AT24" s="16" t="s">
        <v>1797</v>
      </c>
      <c r="AU24" s="16" t="s">
        <v>1678</v>
      </c>
      <c r="AV24" s="16" t="s">
        <v>1862</v>
      </c>
      <c r="AW24" s="16" t="s">
        <v>1951</v>
      </c>
      <c r="AX24" s="16" t="s">
        <v>1962</v>
      </c>
      <c r="AY24" s="16" t="s">
        <v>2000</v>
      </c>
      <c r="AZ24" s="92" t="s">
        <v>2278</v>
      </c>
    </row>
    <row r="25">
      <c r="A25" s="48" t="s">
        <v>2270</v>
      </c>
      <c r="B25" s="36">
        <v>1.0</v>
      </c>
      <c r="C25" s="36">
        <v>1.0</v>
      </c>
      <c r="D25" s="36">
        <v>1.0</v>
      </c>
      <c r="E25" s="36">
        <v>1.0</v>
      </c>
      <c r="F25" s="36">
        <v>1.0</v>
      </c>
      <c r="G25" s="36">
        <v>1.0</v>
      </c>
      <c r="H25" s="36">
        <v>1.0</v>
      </c>
      <c r="I25" s="36">
        <v>1.0</v>
      </c>
      <c r="J25" s="36">
        <v>1.0</v>
      </c>
      <c r="K25" s="36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36">
        <v>0.0</v>
      </c>
      <c r="AX25" s="36">
        <v>0.0</v>
      </c>
      <c r="AY25" s="36">
        <v>0.0</v>
      </c>
      <c r="AZ25" s="35">
        <f t="shared" ref="AZ25:AZ27" si="3">SUM(B25:AY25)</f>
        <v>9</v>
      </c>
    </row>
    <row r="26">
      <c r="A26" s="48" t="s">
        <v>547</v>
      </c>
      <c r="B26" s="36">
        <v>0.0</v>
      </c>
      <c r="C26" s="36">
        <v>0.0</v>
      </c>
      <c r="D26" s="36">
        <v>0.0</v>
      </c>
      <c r="E26" s="36">
        <v>0.0</v>
      </c>
      <c r="F26" s="36">
        <v>0.0</v>
      </c>
      <c r="G26" s="36">
        <v>0.0</v>
      </c>
      <c r="H26" s="36">
        <v>0.0</v>
      </c>
      <c r="I26" s="36">
        <v>0.0</v>
      </c>
      <c r="J26" s="36">
        <v>0.0</v>
      </c>
      <c r="K26" s="36">
        <v>1.0</v>
      </c>
      <c r="L26" s="36">
        <v>1.0</v>
      </c>
      <c r="M26" s="36">
        <v>1.0</v>
      </c>
      <c r="N26" s="36">
        <v>1.0</v>
      </c>
      <c r="O26" s="36">
        <v>1.0</v>
      </c>
      <c r="P26" s="36">
        <v>1.0</v>
      </c>
      <c r="Q26" s="36">
        <v>1.0</v>
      </c>
      <c r="R26" s="36">
        <v>1.0</v>
      </c>
      <c r="S26" s="36">
        <v>1.0</v>
      </c>
      <c r="T26" s="36">
        <v>1.0</v>
      </c>
      <c r="U26" s="36">
        <v>1.0</v>
      </c>
      <c r="V26" s="36">
        <v>1.0</v>
      </c>
      <c r="W26" s="36">
        <v>1.0</v>
      </c>
      <c r="X26" s="36">
        <v>1.0</v>
      </c>
      <c r="Y26" s="36">
        <v>1.0</v>
      </c>
      <c r="Z26" s="36">
        <v>1.0</v>
      </c>
      <c r="AA26" s="36">
        <v>1.0</v>
      </c>
      <c r="AB26" s="36">
        <v>1.0</v>
      </c>
      <c r="AC26" s="36">
        <v>1.0</v>
      </c>
      <c r="AD26" s="36">
        <v>1.0</v>
      </c>
      <c r="AE26" s="36">
        <v>1.0</v>
      </c>
      <c r="AF26" s="36">
        <v>1.0</v>
      </c>
      <c r="AG26" s="36">
        <v>1.0</v>
      </c>
      <c r="AH26" s="36">
        <v>1.0</v>
      </c>
      <c r="AI26" s="36">
        <v>1.0</v>
      </c>
      <c r="AJ26" s="36">
        <v>1.0</v>
      </c>
      <c r="AK26" s="36">
        <v>1.0</v>
      </c>
      <c r="AL26" s="36">
        <v>1.0</v>
      </c>
      <c r="AM26" s="36">
        <v>1.0</v>
      </c>
      <c r="AN26" s="36">
        <v>1.0</v>
      </c>
      <c r="AO26" s="36">
        <v>1.0</v>
      </c>
      <c r="AP26" s="36">
        <v>1.0</v>
      </c>
      <c r="AQ26" s="36">
        <v>1.0</v>
      </c>
      <c r="AR26" s="36">
        <v>1.0</v>
      </c>
      <c r="AS26" s="36">
        <v>1.0</v>
      </c>
      <c r="AT26" s="36">
        <v>1.0</v>
      </c>
      <c r="AU26" s="36">
        <v>1.0</v>
      </c>
      <c r="AV26" s="36">
        <v>1.0</v>
      </c>
      <c r="AW26" s="36">
        <v>0.0</v>
      </c>
      <c r="AX26" s="36">
        <v>0.0</v>
      </c>
      <c r="AY26" s="36">
        <v>0.0</v>
      </c>
      <c r="AZ26" s="35">
        <f t="shared" si="3"/>
        <v>38</v>
      </c>
    </row>
    <row r="27">
      <c r="A27" s="48" t="s">
        <v>1875</v>
      </c>
      <c r="B27" s="36">
        <v>0.0</v>
      </c>
      <c r="C27" s="36">
        <v>0.0</v>
      </c>
      <c r="D27" s="36">
        <v>0.0</v>
      </c>
      <c r="E27" s="36">
        <v>0.0</v>
      </c>
      <c r="F27" s="36">
        <v>0.0</v>
      </c>
      <c r="G27" s="36">
        <v>0.0</v>
      </c>
      <c r="H27" s="36">
        <v>0.0</v>
      </c>
      <c r="I27" s="36">
        <v>0.0</v>
      </c>
      <c r="J27" s="36">
        <v>0.0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36">
        <v>1.0</v>
      </c>
      <c r="AX27" s="36">
        <v>1.0</v>
      </c>
      <c r="AY27" s="36">
        <v>1.0</v>
      </c>
      <c r="AZ27" s="35">
        <f t="shared" si="3"/>
        <v>3</v>
      </c>
    </row>
    <row r="28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</row>
  </sheetData>
  <mergeCells count="2">
    <mergeCell ref="B2:I3"/>
    <mergeCell ref="A23:U23"/>
  </mergeCells>
  <drawing r:id="rId1"/>
</worksheet>
</file>